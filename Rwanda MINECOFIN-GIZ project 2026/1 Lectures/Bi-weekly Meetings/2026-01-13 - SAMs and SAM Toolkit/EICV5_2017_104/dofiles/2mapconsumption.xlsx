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A:\Dropbox (IFPRI)\NEXUS\Nexus Project\7 AgGDP+\SAMs\RWA_X117\Surveys\EICV5_2017_104\dofiles\"/>
    </mc:Choice>
  </mc:AlternateContent>
  <xr:revisionPtr revIDLastSave="0" documentId="13_ncr:1_{E88EDCDE-0E96-4898-8194-1A2306DCCD70}" xr6:coauthVersionLast="45" xr6:coauthVersionMax="45" xr10:uidLastSave="{00000000-0000-0000-0000-000000000000}"/>
  <bookViews>
    <workbookView xWindow="-110" yWindow="-110" windowWidth="38620" windowHeight="21220" xr2:uid="{00000000-000D-0000-FFFF-FFFF00000000}"/>
  </bookViews>
  <sheets>
    <sheet name="EICV5" sheetId="8" r:id="rId1"/>
    <sheet name="Sheet3" sheetId="9" r:id="rId2"/>
    <sheet name="Sheet2" sheetId="7" r:id="rId3"/>
    <sheet name="James" sheetId="6" r:id="rId4"/>
    <sheet name="Sheet1" sheetId="1" r:id="rId5"/>
    <sheet name="map_purchase_homeprod" sheetId="3" r:id="rId6"/>
    <sheet name="Final_EICV4" sheetId="4" r:id="rId7"/>
    <sheet name="map_food_EICV3_EICV4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26" i="8" l="1"/>
  <c r="AI25" i="8"/>
  <c r="AI24" i="8"/>
  <c r="AI23" i="8"/>
  <c r="AI22" i="8"/>
  <c r="AI21" i="8"/>
  <c r="AI20" i="8"/>
  <c r="AI19" i="8"/>
  <c r="AI18" i="8"/>
  <c r="AI17" i="8"/>
  <c r="AI16" i="8"/>
  <c r="AI15" i="8"/>
  <c r="AI14" i="8"/>
  <c r="AI13" i="8"/>
  <c r="AI12" i="8"/>
  <c r="AI11" i="8"/>
  <c r="AI10" i="8"/>
  <c r="AI9" i="8"/>
  <c r="AI8" i="8"/>
  <c r="AI7" i="8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AD310" i="9"/>
  <c r="C310" i="9"/>
  <c r="AD309" i="9"/>
  <c r="C309" i="9"/>
  <c r="AD308" i="9"/>
  <c r="C308" i="9"/>
  <c r="AD307" i="9"/>
  <c r="C307" i="9"/>
  <c r="AD306" i="9"/>
  <c r="C306" i="9"/>
  <c r="AD305" i="9"/>
  <c r="C305" i="9"/>
  <c r="AD304" i="9"/>
  <c r="C304" i="9"/>
  <c r="AD303" i="9"/>
  <c r="C303" i="9"/>
  <c r="AD302" i="9"/>
  <c r="C302" i="9"/>
  <c r="AD301" i="9"/>
  <c r="C301" i="9"/>
  <c r="AD300" i="9"/>
  <c r="C300" i="9"/>
  <c r="AD299" i="9"/>
  <c r="C299" i="9"/>
  <c r="AD298" i="9"/>
  <c r="C298" i="9"/>
  <c r="AD297" i="9"/>
  <c r="C297" i="9"/>
  <c r="AD296" i="9"/>
  <c r="C296" i="9"/>
  <c r="AD295" i="9"/>
  <c r="C295" i="9"/>
  <c r="AD294" i="9"/>
  <c r="C294" i="9"/>
  <c r="AD293" i="9"/>
  <c r="C293" i="9"/>
  <c r="AD292" i="9"/>
  <c r="C292" i="9"/>
  <c r="AD291" i="9"/>
  <c r="C291" i="9"/>
  <c r="AD290" i="9"/>
  <c r="C290" i="9"/>
  <c r="AD289" i="9"/>
  <c r="C289" i="9"/>
  <c r="AD288" i="9"/>
  <c r="C288" i="9"/>
  <c r="AD287" i="9"/>
  <c r="C287" i="9"/>
  <c r="AD286" i="9"/>
  <c r="C286" i="9"/>
  <c r="AD285" i="9"/>
  <c r="C285" i="9"/>
  <c r="AD284" i="9"/>
  <c r="C284" i="9"/>
  <c r="AD283" i="9"/>
  <c r="C283" i="9"/>
  <c r="AD282" i="9"/>
  <c r="C282" i="9"/>
  <c r="AD281" i="9"/>
  <c r="C281" i="9"/>
  <c r="AD280" i="9"/>
  <c r="C280" i="9"/>
  <c r="AD279" i="9"/>
  <c r="C279" i="9"/>
  <c r="AD278" i="9"/>
  <c r="C278" i="9"/>
  <c r="AD277" i="9"/>
  <c r="C277" i="9"/>
  <c r="AD276" i="9"/>
  <c r="C276" i="9"/>
  <c r="AD275" i="9"/>
  <c r="C275" i="9"/>
  <c r="AD274" i="9"/>
  <c r="C274" i="9"/>
  <c r="AD273" i="9"/>
  <c r="C273" i="9"/>
  <c r="AD272" i="9"/>
  <c r="C272" i="9"/>
  <c r="AD271" i="9"/>
  <c r="C271" i="9"/>
  <c r="AD270" i="9"/>
  <c r="C270" i="9"/>
  <c r="AD269" i="9"/>
  <c r="C269" i="9"/>
  <c r="AD268" i="9"/>
  <c r="C268" i="9"/>
  <c r="AD267" i="9"/>
  <c r="C267" i="9"/>
  <c r="AD266" i="9"/>
  <c r="C266" i="9"/>
  <c r="AD265" i="9"/>
  <c r="C265" i="9"/>
  <c r="AD264" i="9"/>
  <c r="C264" i="9"/>
  <c r="AD263" i="9"/>
  <c r="C263" i="9"/>
  <c r="AD262" i="9"/>
  <c r="C262" i="9"/>
  <c r="AD261" i="9"/>
  <c r="C261" i="9"/>
  <c r="AD260" i="9"/>
  <c r="C260" i="9"/>
  <c r="AD259" i="9"/>
  <c r="C259" i="9"/>
  <c r="AD258" i="9"/>
  <c r="C258" i="9"/>
  <c r="AD257" i="9"/>
  <c r="C257" i="9"/>
  <c r="AD256" i="9"/>
  <c r="C256" i="9"/>
  <c r="AD255" i="9"/>
  <c r="C255" i="9"/>
  <c r="AD254" i="9"/>
  <c r="C254" i="9"/>
  <c r="AD253" i="9"/>
  <c r="C253" i="9"/>
  <c r="AD252" i="9"/>
  <c r="C252" i="9"/>
  <c r="AD251" i="9"/>
  <c r="C251" i="9"/>
  <c r="AD250" i="9"/>
  <c r="C250" i="9"/>
  <c r="AD249" i="9"/>
  <c r="C249" i="9"/>
  <c r="AD248" i="9"/>
  <c r="C248" i="9"/>
  <c r="AD247" i="9"/>
  <c r="C247" i="9"/>
  <c r="AD246" i="9"/>
  <c r="C246" i="9"/>
  <c r="AD245" i="9"/>
  <c r="C245" i="9"/>
  <c r="AD244" i="9"/>
  <c r="C244" i="9"/>
  <c r="AD243" i="9"/>
  <c r="C243" i="9"/>
  <c r="AD242" i="9"/>
  <c r="C242" i="9"/>
  <c r="AD241" i="9"/>
  <c r="C241" i="9"/>
  <c r="AD240" i="9"/>
  <c r="C240" i="9"/>
  <c r="AD239" i="9"/>
  <c r="C239" i="9"/>
  <c r="AD238" i="9"/>
  <c r="C238" i="9"/>
  <c r="AD237" i="9"/>
  <c r="C237" i="9"/>
  <c r="AD236" i="9"/>
  <c r="C236" i="9"/>
  <c r="AD235" i="9"/>
  <c r="C235" i="9"/>
  <c r="AD234" i="9"/>
  <c r="C234" i="9"/>
  <c r="AD233" i="9"/>
  <c r="C233" i="9"/>
  <c r="AD232" i="9"/>
  <c r="C232" i="9"/>
  <c r="AD231" i="9"/>
  <c r="C231" i="9"/>
  <c r="AD230" i="9"/>
  <c r="C230" i="9"/>
  <c r="AD229" i="9"/>
  <c r="C229" i="9"/>
  <c r="AD228" i="9"/>
  <c r="C228" i="9"/>
  <c r="AD227" i="9"/>
  <c r="C227" i="9"/>
  <c r="AD226" i="9"/>
  <c r="C226" i="9"/>
  <c r="AD225" i="9"/>
  <c r="C225" i="9"/>
  <c r="AD224" i="9"/>
  <c r="C224" i="9"/>
  <c r="AD223" i="9"/>
  <c r="C223" i="9"/>
  <c r="AD222" i="9"/>
  <c r="C222" i="9"/>
  <c r="AD221" i="9"/>
  <c r="C221" i="9"/>
  <c r="AD220" i="9"/>
  <c r="C220" i="9"/>
  <c r="AD219" i="9"/>
  <c r="C219" i="9"/>
  <c r="AD218" i="9"/>
  <c r="C218" i="9"/>
  <c r="AD217" i="9"/>
  <c r="C217" i="9"/>
  <c r="AD216" i="9"/>
  <c r="C216" i="9"/>
  <c r="AD215" i="9"/>
  <c r="C215" i="9"/>
  <c r="AD214" i="9"/>
  <c r="C214" i="9"/>
  <c r="AD213" i="9"/>
  <c r="C213" i="9"/>
  <c r="AD212" i="9"/>
  <c r="C212" i="9"/>
  <c r="AD211" i="9"/>
  <c r="C211" i="9"/>
  <c r="AD210" i="9"/>
  <c r="C210" i="9"/>
  <c r="AD209" i="9"/>
  <c r="C209" i="9"/>
  <c r="AD208" i="9"/>
  <c r="C208" i="9"/>
  <c r="AD207" i="9"/>
  <c r="C207" i="9"/>
  <c r="AD206" i="9"/>
  <c r="C206" i="9"/>
  <c r="AD205" i="9"/>
  <c r="C205" i="9"/>
  <c r="AD204" i="9"/>
  <c r="C204" i="9"/>
  <c r="AD203" i="9"/>
  <c r="C203" i="9"/>
  <c r="AD202" i="9"/>
  <c r="C202" i="9"/>
  <c r="AD201" i="9"/>
  <c r="C201" i="9"/>
  <c r="AD200" i="9"/>
  <c r="C200" i="9"/>
  <c r="AD199" i="9"/>
  <c r="C199" i="9"/>
  <c r="AD198" i="9"/>
  <c r="C198" i="9"/>
  <c r="AD197" i="9"/>
  <c r="C197" i="9"/>
  <c r="AD196" i="9"/>
  <c r="C196" i="9"/>
  <c r="AD195" i="9"/>
  <c r="C195" i="9"/>
  <c r="AD194" i="9"/>
  <c r="C194" i="9"/>
  <c r="AD193" i="9"/>
  <c r="C193" i="9"/>
  <c r="AD192" i="9"/>
  <c r="C192" i="9"/>
  <c r="AD191" i="9"/>
  <c r="C191" i="9"/>
  <c r="AD190" i="9"/>
  <c r="C190" i="9"/>
  <c r="AD189" i="9"/>
  <c r="C189" i="9"/>
  <c r="AD188" i="9"/>
  <c r="C188" i="9"/>
  <c r="AD187" i="9"/>
  <c r="C187" i="9"/>
  <c r="AD186" i="9"/>
  <c r="C186" i="9"/>
  <c r="AD185" i="9"/>
  <c r="C185" i="9"/>
  <c r="AD184" i="9"/>
  <c r="C184" i="9"/>
  <c r="AD183" i="9"/>
  <c r="C183" i="9"/>
  <c r="AD182" i="9"/>
  <c r="C182" i="9"/>
  <c r="AD181" i="9"/>
  <c r="C181" i="9"/>
  <c r="AD180" i="9"/>
  <c r="C180" i="9"/>
  <c r="AD179" i="9"/>
  <c r="C179" i="9"/>
  <c r="AD178" i="9"/>
  <c r="C178" i="9"/>
  <c r="AD177" i="9"/>
  <c r="C177" i="9"/>
  <c r="AD176" i="9"/>
  <c r="C176" i="9"/>
  <c r="AD175" i="9"/>
  <c r="C175" i="9"/>
  <c r="AD174" i="9"/>
  <c r="C174" i="9"/>
  <c r="AD173" i="9"/>
  <c r="C173" i="9"/>
  <c r="AD172" i="9"/>
  <c r="C172" i="9"/>
  <c r="AD171" i="9"/>
  <c r="C171" i="9"/>
  <c r="AD170" i="9"/>
  <c r="C170" i="9"/>
  <c r="AD169" i="9"/>
  <c r="C169" i="9"/>
  <c r="AD168" i="9"/>
  <c r="C168" i="9"/>
  <c r="AD167" i="9"/>
  <c r="J167" i="9"/>
  <c r="J168" i="9" s="1"/>
  <c r="J169" i="9" s="1"/>
  <c r="J170" i="9" s="1"/>
  <c r="J171" i="9" s="1"/>
  <c r="J172" i="9" s="1"/>
  <c r="J173" i="9" s="1"/>
  <c r="J174" i="9" s="1"/>
  <c r="J175" i="9" s="1"/>
  <c r="J176" i="9" s="1"/>
  <c r="J177" i="9" s="1"/>
  <c r="J178" i="9" s="1"/>
  <c r="J179" i="9" s="1"/>
  <c r="J180" i="9" s="1"/>
  <c r="J181" i="9" s="1"/>
  <c r="J182" i="9" s="1"/>
  <c r="J183" i="9" s="1"/>
  <c r="J184" i="9" s="1"/>
  <c r="J185" i="9" s="1"/>
  <c r="J186" i="9" s="1"/>
  <c r="J187" i="9" s="1"/>
  <c r="J188" i="9" s="1"/>
  <c r="J189" i="9" s="1"/>
  <c r="J190" i="9" s="1"/>
  <c r="J191" i="9" s="1"/>
  <c r="J192" i="9" s="1"/>
  <c r="J193" i="9" s="1"/>
  <c r="J194" i="9" s="1"/>
  <c r="J195" i="9" s="1"/>
  <c r="J196" i="9" s="1"/>
  <c r="J197" i="9" s="1"/>
  <c r="J198" i="9" s="1"/>
  <c r="J199" i="9" s="1"/>
  <c r="J200" i="9" s="1"/>
  <c r="J201" i="9" s="1"/>
  <c r="J202" i="9" s="1"/>
  <c r="J203" i="9" s="1"/>
  <c r="J204" i="9" s="1"/>
  <c r="J205" i="9" s="1"/>
  <c r="J206" i="9" s="1"/>
  <c r="J207" i="9" s="1"/>
  <c r="J208" i="9" s="1"/>
  <c r="J209" i="9" s="1"/>
  <c r="J210" i="9" s="1"/>
  <c r="J211" i="9" s="1"/>
  <c r="J212" i="9" s="1"/>
  <c r="J213" i="9" s="1"/>
  <c r="J214" i="9" s="1"/>
  <c r="J215" i="9" s="1"/>
  <c r="J216" i="9" s="1"/>
  <c r="J217" i="9" s="1"/>
  <c r="J218" i="9" s="1"/>
  <c r="J219" i="9" s="1"/>
  <c r="J220" i="9" s="1"/>
  <c r="J221" i="9" s="1"/>
  <c r="J222" i="9" s="1"/>
  <c r="J223" i="9" s="1"/>
  <c r="J224" i="9" s="1"/>
  <c r="J225" i="9" s="1"/>
  <c r="J226" i="9" s="1"/>
  <c r="J227" i="9" s="1"/>
  <c r="J228" i="9" s="1"/>
  <c r="J229" i="9" s="1"/>
  <c r="J230" i="9" s="1"/>
  <c r="J231" i="9" s="1"/>
  <c r="J232" i="9" s="1"/>
  <c r="J233" i="9" s="1"/>
  <c r="J234" i="9" s="1"/>
  <c r="J235" i="9" s="1"/>
  <c r="J236" i="9" s="1"/>
  <c r="J237" i="9" s="1"/>
  <c r="J238" i="9" s="1"/>
  <c r="J239" i="9" s="1"/>
  <c r="J240" i="9" s="1"/>
  <c r="J241" i="9" s="1"/>
  <c r="J242" i="9" s="1"/>
  <c r="J243" i="9" s="1"/>
  <c r="J244" i="9" s="1"/>
  <c r="J245" i="9" s="1"/>
  <c r="J246" i="9" s="1"/>
  <c r="J247" i="9" s="1"/>
  <c r="J248" i="9" s="1"/>
  <c r="J249" i="9" s="1"/>
  <c r="J250" i="9" s="1"/>
  <c r="J251" i="9" s="1"/>
  <c r="J252" i="9" s="1"/>
  <c r="J253" i="9" s="1"/>
  <c r="J254" i="9" s="1"/>
  <c r="J255" i="9" s="1"/>
  <c r="J256" i="9" s="1"/>
  <c r="J257" i="9" s="1"/>
  <c r="J258" i="9" s="1"/>
  <c r="J259" i="9" s="1"/>
  <c r="J260" i="9" s="1"/>
  <c r="J261" i="9" s="1"/>
  <c r="J262" i="9" s="1"/>
  <c r="J263" i="9" s="1"/>
  <c r="J264" i="9" s="1"/>
  <c r="J265" i="9" s="1"/>
  <c r="J266" i="9" s="1"/>
  <c r="J267" i="9" s="1"/>
  <c r="J268" i="9" s="1"/>
  <c r="J269" i="9" s="1"/>
  <c r="J270" i="9" s="1"/>
  <c r="J271" i="9" s="1"/>
  <c r="J272" i="9" s="1"/>
  <c r="J273" i="9" s="1"/>
  <c r="J274" i="9" s="1"/>
  <c r="J275" i="9" s="1"/>
  <c r="J276" i="9" s="1"/>
  <c r="J277" i="9" s="1"/>
  <c r="J278" i="9" s="1"/>
  <c r="J279" i="9" s="1"/>
  <c r="J280" i="9" s="1"/>
  <c r="J281" i="9" s="1"/>
  <c r="J282" i="9" s="1"/>
  <c r="J283" i="9" s="1"/>
  <c r="J284" i="9" s="1"/>
  <c r="J285" i="9" s="1"/>
  <c r="J286" i="9" s="1"/>
  <c r="J287" i="9" s="1"/>
  <c r="J288" i="9" s="1"/>
  <c r="J289" i="9" s="1"/>
  <c r="J290" i="9" s="1"/>
  <c r="J291" i="9" s="1"/>
  <c r="J292" i="9" s="1"/>
  <c r="J293" i="9" s="1"/>
  <c r="J294" i="9" s="1"/>
  <c r="J295" i="9" s="1"/>
  <c r="J296" i="9" s="1"/>
  <c r="J297" i="9" s="1"/>
  <c r="J298" i="9" s="1"/>
  <c r="J299" i="9" s="1"/>
  <c r="J300" i="9" s="1"/>
  <c r="J301" i="9" s="1"/>
  <c r="J302" i="9" s="1"/>
  <c r="J303" i="9" s="1"/>
  <c r="J304" i="9" s="1"/>
  <c r="J305" i="9" s="1"/>
  <c r="J306" i="9" s="1"/>
  <c r="J307" i="9" s="1"/>
  <c r="J308" i="9" s="1"/>
  <c r="J309" i="9" s="1"/>
  <c r="J310" i="9" s="1"/>
  <c r="J311" i="9" s="1"/>
  <c r="J312" i="9" s="1"/>
  <c r="J313" i="9" s="1"/>
  <c r="J314" i="9" s="1"/>
  <c r="C167" i="9"/>
  <c r="AD166" i="9"/>
  <c r="J166" i="9"/>
  <c r="C166" i="9"/>
  <c r="AD165" i="9"/>
  <c r="J165" i="9"/>
  <c r="C165" i="9"/>
  <c r="AD164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J128" i="9"/>
  <c r="J129" i="9" s="1"/>
  <c r="J130" i="9" s="1"/>
  <c r="J131" i="9" s="1"/>
  <c r="J132" i="9" s="1"/>
  <c r="J133" i="9" s="1"/>
  <c r="J134" i="9" s="1"/>
  <c r="J135" i="9" s="1"/>
  <c r="J136" i="9" s="1"/>
  <c r="J137" i="9" s="1"/>
  <c r="J138" i="9" s="1"/>
  <c r="J139" i="9" s="1"/>
  <c r="J140" i="9" s="1"/>
  <c r="J141" i="9" s="1"/>
  <c r="J142" i="9" s="1"/>
  <c r="J143" i="9" s="1"/>
  <c r="J144" i="9" s="1"/>
  <c r="J145" i="9" s="1"/>
  <c r="J146" i="9" s="1"/>
  <c r="J147" i="9" s="1"/>
  <c r="J148" i="9" s="1"/>
  <c r="J149" i="9" s="1"/>
  <c r="J150" i="9" s="1"/>
  <c r="J151" i="9" s="1"/>
  <c r="J152" i="9" s="1"/>
  <c r="J153" i="9" s="1"/>
  <c r="J154" i="9" s="1"/>
  <c r="J155" i="9" s="1"/>
  <c r="J156" i="9" s="1"/>
  <c r="J157" i="9" s="1"/>
  <c r="J158" i="9" s="1"/>
  <c r="J159" i="9" s="1"/>
  <c r="J160" i="9" s="1"/>
  <c r="J161" i="9" s="1"/>
  <c r="J162" i="9" s="1"/>
  <c r="J163" i="9" s="1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J73" i="9"/>
  <c r="J74" i="9" s="1"/>
  <c r="J75" i="9" s="1"/>
  <c r="J76" i="9" s="1"/>
  <c r="J77" i="9" s="1"/>
  <c r="J78" i="9" s="1"/>
  <c r="J79" i="9" s="1"/>
  <c r="J80" i="9" s="1"/>
  <c r="J81" i="9" s="1"/>
  <c r="J82" i="9" s="1"/>
  <c r="J83" i="9" s="1"/>
  <c r="J84" i="9" s="1"/>
  <c r="J85" i="9" s="1"/>
  <c r="J86" i="9" s="1"/>
  <c r="J87" i="9" s="1"/>
  <c r="J88" i="9" s="1"/>
  <c r="J89" i="9" s="1"/>
  <c r="J90" i="9" s="1"/>
  <c r="J91" i="9" s="1"/>
  <c r="J92" i="9" s="1"/>
  <c r="J93" i="9" s="1"/>
  <c r="J94" i="9" s="1"/>
  <c r="J95" i="9" s="1"/>
  <c r="J96" i="9" s="1"/>
  <c r="J97" i="9" s="1"/>
  <c r="J98" i="9" s="1"/>
  <c r="J99" i="9" s="1"/>
  <c r="J100" i="9" s="1"/>
  <c r="J101" i="9" s="1"/>
  <c r="J102" i="9" s="1"/>
  <c r="J103" i="9" s="1"/>
  <c r="J104" i="9" s="1"/>
  <c r="J105" i="9" s="1"/>
  <c r="J106" i="9" s="1"/>
  <c r="J107" i="9" s="1"/>
  <c r="J108" i="9" s="1"/>
  <c r="J109" i="9" s="1"/>
  <c r="J110" i="9" s="1"/>
  <c r="J111" i="9" s="1"/>
  <c r="J112" i="9" s="1"/>
  <c r="J113" i="9" s="1"/>
  <c r="J114" i="9" s="1"/>
  <c r="J115" i="9" s="1"/>
  <c r="J116" i="9" s="1"/>
  <c r="J117" i="9" s="1"/>
  <c r="J118" i="9" s="1"/>
  <c r="J119" i="9" s="1"/>
  <c r="J120" i="9" s="1"/>
  <c r="J121" i="9" s="1"/>
  <c r="J122" i="9" s="1"/>
  <c r="J123" i="9" s="1"/>
  <c r="J124" i="9" s="1"/>
  <c r="J125" i="9" s="1"/>
  <c r="J126" i="9" s="1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AC23" i="8" l="1"/>
  <c r="AC24" i="8" s="1"/>
  <c r="AC25" i="8" s="1"/>
  <c r="AC26" i="8" s="1"/>
  <c r="AC22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V8" i="7" l="1"/>
  <c r="V9" i="7"/>
  <c r="V10" i="7"/>
  <c r="V11" i="7"/>
  <c r="V12" i="7"/>
  <c r="V13" i="7"/>
  <c r="V14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7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O91" i="6" l="1"/>
  <c r="O90" i="6"/>
  <c r="O84" i="6"/>
  <c r="O83" i="6"/>
  <c r="O87" i="6"/>
  <c r="O61" i="6"/>
  <c r="AB69" i="6" l="1"/>
  <c r="AB62" i="6"/>
  <c r="AB53" i="6"/>
  <c r="AB48" i="6"/>
  <c r="O25" i="6" s="1"/>
  <c r="AB42" i="6"/>
  <c r="O50" i="6" s="1"/>
  <c r="AB34" i="6"/>
  <c r="AB27" i="6"/>
  <c r="O40" i="6" s="1"/>
  <c r="AB18" i="6"/>
  <c r="AB9" i="6"/>
  <c r="O38" i="6"/>
  <c r="O37" i="6"/>
  <c r="O35" i="6"/>
  <c r="O33" i="6"/>
  <c r="O34" i="6"/>
  <c r="O36" i="6"/>
  <c r="O2" i="6"/>
  <c r="J333" i="6"/>
  <c r="O66" i="6"/>
  <c r="O65" i="6"/>
  <c r="O64" i="6"/>
  <c r="I5" i="6"/>
  <c r="J330" i="6"/>
  <c r="J329" i="6"/>
  <c r="J318" i="6"/>
  <c r="J5" i="6" s="1"/>
  <c r="J317" i="6"/>
  <c r="J165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E335" i="6"/>
  <c r="E334" i="6"/>
  <c r="E333" i="6"/>
  <c r="E332" i="6"/>
  <c r="E331" i="6"/>
  <c r="E328" i="6"/>
  <c r="E327" i="6"/>
  <c r="E326" i="6"/>
  <c r="E325" i="6"/>
  <c r="E324" i="6"/>
  <c r="E323" i="6"/>
  <c r="E322" i="6"/>
  <c r="E321" i="6"/>
  <c r="E320" i="6"/>
  <c r="E319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O5" i="6" l="1"/>
  <c r="M5" i="6"/>
  <c r="H5" i="6" l="1"/>
  <c r="I4" i="6" l="1"/>
  <c r="N41" i="6"/>
  <c r="N10" i="6"/>
  <c r="N74" i="6"/>
  <c r="N43" i="6"/>
  <c r="N12" i="6"/>
  <c r="N76" i="6"/>
  <c r="N37" i="6"/>
  <c r="N56" i="6"/>
  <c r="N70" i="6"/>
  <c r="N39" i="6"/>
  <c r="N29" i="6"/>
  <c r="N24" i="6"/>
  <c r="N49" i="6"/>
  <c r="N18" i="6"/>
  <c r="N82" i="6"/>
  <c r="N51" i="6"/>
  <c r="N20" i="6"/>
  <c r="N84" i="6"/>
  <c r="N45" i="6"/>
  <c r="N14" i="6"/>
  <c r="N78" i="6"/>
  <c r="N47" i="6"/>
  <c r="N72" i="6"/>
  <c r="N8" i="6"/>
  <c r="N32" i="6"/>
  <c r="N57" i="6"/>
  <c r="N26" i="6"/>
  <c r="N90" i="6"/>
  <c r="N59" i="6"/>
  <c r="N28" i="6"/>
  <c r="N92" i="6"/>
  <c r="N53" i="6"/>
  <c r="N22" i="6"/>
  <c r="N86" i="6"/>
  <c r="N55" i="6"/>
  <c r="N35" i="6"/>
  <c r="N62" i="6"/>
  <c r="N88" i="6"/>
  <c r="N65" i="6"/>
  <c r="N34" i="6"/>
  <c r="N80" i="6"/>
  <c r="N67" i="6"/>
  <c r="N36" i="6"/>
  <c r="N16" i="6"/>
  <c r="N61" i="6"/>
  <c r="N30" i="6"/>
  <c r="N40" i="6"/>
  <c r="N63" i="6"/>
  <c r="N68" i="6"/>
  <c r="N9" i="6"/>
  <c r="N73" i="6"/>
  <c r="N42" i="6"/>
  <c r="N11" i="6"/>
  <c r="N75" i="6"/>
  <c r="N44" i="6"/>
  <c r="N48" i="6"/>
  <c r="N69" i="6"/>
  <c r="N38" i="6"/>
  <c r="N7" i="6"/>
  <c r="N71" i="6"/>
  <c r="N66" i="6"/>
  <c r="N17" i="6"/>
  <c r="N81" i="6"/>
  <c r="N50" i="6"/>
  <c r="N19" i="6"/>
  <c r="N83" i="6"/>
  <c r="N52" i="6"/>
  <c r="N13" i="6"/>
  <c r="N77" i="6"/>
  <c r="N46" i="6"/>
  <c r="N15" i="6"/>
  <c r="N79" i="6"/>
  <c r="N64" i="6"/>
  <c r="N25" i="6"/>
  <c r="N89" i="6"/>
  <c r="N58" i="6"/>
  <c r="N27" i="6"/>
  <c r="N91" i="6"/>
  <c r="N60" i="6"/>
  <c r="N21" i="6"/>
  <c r="N85" i="6"/>
  <c r="N54" i="6"/>
  <c r="N23" i="6"/>
  <c r="N87" i="6"/>
  <c r="N33" i="6"/>
  <c r="N31" i="6"/>
  <c r="M4" i="6"/>
  <c r="C341" i="1"/>
  <c r="C340" i="1"/>
  <c r="AE47" i="1"/>
  <c r="AE46" i="1"/>
  <c r="AE13" i="1"/>
  <c r="AE12" i="1"/>
  <c r="N2" i="6" l="1"/>
  <c r="N5" i="6"/>
  <c r="F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Randriamamonjy, Josee (IFPRI)</author>
  </authors>
  <commentList>
    <comment ref="D17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Randriamamonjy, Josee (IFPRI):</t>
        </r>
        <r>
          <rPr>
            <sz val="9"/>
            <color indexed="81"/>
            <rFont val="Tahoma"/>
            <family val="2"/>
          </rPr>
          <t xml:space="preserve">
item==400 was created in do file </t>
        </r>
      </text>
    </comment>
  </commentList>
</comments>
</file>

<file path=xl/sharedStrings.xml><?xml version="1.0" encoding="utf-8"?>
<sst xmlns="http://schemas.openxmlformats.org/spreadsheetml/2006/main" count="8820" uniqueCount="2730">
  <si>
    <t>local rice</t>
  </si>
  <si>
    <t>maize (fresh)</t>
  </si>
  <si>
    <t>dry maize (grain)</t>
  </si>
  <si>
    <t>sorghum</t>
  </si>
  <si>
    <t>wheat (grain)</t>
  </si>
  <si>
    <t>other cereals,</t>
  </si>
  <si>
    <t>corn (flour)</t>
  </si>
  <si>
    <t>sorghum (flour)</t>
  </si>
  <si>
    <t>wheat (flour)</t>
  </si>
  <si>
    <t>millet (flour)</t>
  </si>
  <si>
    <t>other flours of cereals,</t>
  </si>
  <si>
    <t>beef meat</t>
  </si>
  <si>
    <t>sheep /mutton / lamb meat</t>
  </si>
  <si>
    <t>goat meat</t>
  </si>
  <si>
    <t>pork meat</t>
  </si>
  <si>
    <t>rabbit meat</t>
  </si>
  <si>
    <t>wild meat</t>
  </si>
  <si>
    <t>other meats</t>
  </si>
  <si>
    <t>chicken live</t>
  </si>
  <si>
    <t>other domestic poultries e.g ducks</t>
  </si>
  <si>
    <t>eggs</t>
  </si>
  <si>
    <t>fish (fresh / frozen)</t>
  </si>
  <si>
    <t>fish (dry / smoked)</t>
  </si>
  <si>
    <t>fresh milk</t>
  </si>
  <si>
    <t>curdled milk</t>
  </si>
  <si>
    <t>cheese</t>
  </si>
  <si>
    <t>butter not used in cooking</t>
  </si>
  <si>
    <t>peanut oil</t>
  </si>
  <si>
    <t>palm oil</t>
  </si>
  <si>
    <t>soya oil</t>
  </si>
  <si>
    <t>corn/maize oil</t>
  </si>
  <si>
    <t>sun flower oil</t>
  </si>
  <si>
    <t>beef grease(amavutay'inka)</t>
  </si>
  <si>
    <t>other oils and fats</t>
  </si>
  <si>
    <t>lard of pork</t>
  </si>
  <si>
    <t>banana fruit (iminike)</t>
  </si>
  <si>
    <t>banana - beer (ikakama/inkashi)</t>
  </si>
  <si>
    <t>banana - cooking (inyamunyo)</t>
  </si>
  <si>
    <t>mangos</t>
  </si>
  <si>
    <t>papayas</t>
  </si>
  <si>
    <t>avocado</t>
  </si>
  <si>
    <t>pineapple</t>
  </si>
  <si>
    <t>guava</t>
  </si>
  <si>
    <t>orange (local)</t>
  </si>
  <si>
    <t>tangerine</t>
  </si>
  <si>
    <t>citron - lemon</t>
  </si>
  <si>
    <t>maracouja</t>
  </si>
  <si>
    <t>plums</t>
  </si>
  <si>
    <t>berries</t>
  </si>
  <si>
    <t>other fruits, e.g jackfruit</t>
  </si>
  <si>
    <t>string bean</t>
  </si>
  <si>
    <t>fresh bean</t>
  </si>
  <si>
    <t>dry beans</t>
  </si>
  <si>
    <t>soya (fresh)</t>
  </si>
  <si>
    <t>soya (dry)</t>
  </si>
  <si>
    <t>soya flour</t>
  </si>
  <si>
    <t>sunflower pastie</t>
  </si>
  <si>
    <t>ground nuts (peanuts)</t>
  </si>
  <si>
    <t>groundnut flour</t>
  </si>
  <si>
    <t>green pea (fresh)</t>
  </si>
  <si>
    <t>green pea (dry)</t>
  </si>
  <si>
    <t>tomato</t>
  </si>
  <si>
    <t>onion</t>
  </si>
  <si>
    <t>garlic</t>
  </si>
  <si>
    <t>pepper</t>
  </si>
  <si>
    <t>pumpkin</t>
  </si>
  <si>
    <t>cucumber</t>
  </si>
  <si>
    <t>eggplant</t>
  </si>
  <si>
    <t>carrot</t>
  </si>
  <si>
    <t>leeks</t>
  </si>
  <si>
    <t>cabbages</t>
  </si>
  <si>
    <t>lettuce</t>
  </si>
  <si>
    <t>parsley</t>
  </si>
  <si>
    <t>mushrooms</t>
  </si>
  <si>
    <t>cassava leaves</t>
  </si>
  <si>
    <t>amarante (small leafed green)(dodo,inyabutongo)</t>
  </si>
  <si>
    <t>spinach</t>
  </si>
  <si>
    <t>amarante (large leafed green) (imwija, shufureri)</t>
  </si>
  <si>
    <t>celery</t>
  </si>
  <si>
    <t>ibishayote</t>
  </si>
  <si>
    <t>other vegetables,</t>
  </si>
  <si>
    <t>irish potato</t>
  </si>
  <si>
    <t>sweet potato</t>
  </si>
  <si>
    <t>cassava (root)</t>
  </si>
  <si>
    <t>cassava (fermented)</t>
  </si>
  <si>
    <t>cassava (flour)</t>
  </si>
  <si>
    <t>tarot/amateke</t>
  </si>
  <si>
    <t>yams/ibikoro</t>
  </si>
  <si>
    <t>other tubers</t>
  </si>
  <si>
    <t>honey</t>
  </si>
  <si>
    <t>sugarcane</t>
  </si>
  <si>
    <t>pepper-raw</t>
  </si>
  <si>
    <t>pepper(ground/ liquid)</t>
  </si>
  <si>
    <t>coffee (local)</t>
  </si>
  <si>
    <t>tea (local)</t>
  </si>
  <si>
    <t>local banana juice</t>
  </si>
  <si>
    <t>sorghum juice(ubushera)</t>
  </si>
  <si>
    <t>passion fruit juice</t>
  </si>
  <si>
    <t>other fruit juices,</t>
  </si>
  <si>
    <t>local banana beer</t>
  </si>
  <si>
    <t>local sorghum beer(ikigage)</t>
  </si>
  <si>
    <t xml:space="preserve">. </t>
  </si>
  <si>
    <t>imported rice</t>
  </si>
  <si>
    <t>fermented sorghum</t>
  </si>
  <si>
    <t>other cereals</t>
  </si>
  <si>
    <t>pasta</t>
  </si>
  <si>
    <t>bread</t>
  </si>
  <si>
    <t>cakes/chapati/mandazi</t>
  </si>
  <si>
    <t>biscuits</t>
  </si>
  <si>
    <t>sheep, mutton or lamb meat</t>
  </si>
  <si>
    <t>preserved/canned meat</t>
  </si>
  <si>
    <t>sausages, bacon etc</t>
  </si>
  <si>
    <t>frozen chicken</t>
  </si>
  <si>
    <t>other domestic poultries eg ducks</t>
  </si>
  <si>
    <t>small sized fish</t>
  </si>
  <si>
    <t>preserved/canned</t>
  </si>
  <si>
    <t>milk powder</t>
  </si>
  <si>
    <t>condensed milk unsweetened</t>
  </si>
  <si>
    <t>yogurt</t>
  </si>
  <si>
    <t>ice cream</t>
  </si>
  <si>
    <t>butter (local)</t>
  </si>
  <si>
    <t>margarine</t>
  </si>
  <si>
    <t>other plant oils</t>
  </si>
  <si>
    <t>banana fruit (imineke)</t>
  </si>
  <si>
    <t>mandarine</t>
  </si>
  <si>
    <t>apples</t>
  </si>
  <si>
    <t>other fruits</t>
  </si>
  <si>
    <t>grilled ground nuts</t>
  </si>
  <si>
    <t>amarante (small leafed green)</t>
  </si>
  <si>
    <t>amarante (large leafed green)</t>
  </si>
  <si>
    <t>other vegetables</t>
  </si>
  <si>
    <t>sugar (local)</t>
  </si>
  <si>
    <t>jam, marmelade</t>
  </si>
  <si>
    <t>chocolate</t>
  </si>
  <si>
    <t>candy / gum</t>
  </si>
  <si>
    <t>powdered juice(super dip)</t>
  </si>
  <si>
    <t>salt</t>
  </si>
  <si>
    <t>pepper(ground / liquid)</t>
  </si>
  <si>
    <t>vinegar</t>
  </si>
  <si>
    <t>boullion cubes(maggi)</t>
  </si>
  <si>
    <t>mayonnaise</t>
  </si>
  <si>
    <t>tomato cocentrate</t>
  </si>
  <si>
    <t>baby food</t>
  </si>
  <si>
    <t>other food items</t>
  </si>
  <si>
    <t>cocoa and powdered drinking chocolate</t>
  </si>
  <si>
    <t>mineral water</t>
  </si>
  <si>
    <t>other juices of fruits (local)</t>
  </si>
  <si>
    <t>carbonated soft drinks</t>
  </si>
  <si>
    <t>other local beer</t>
  </si>
  <si>
    <t>wine (local)</t>
  </si>
  <si>
    <t>liqueurs  (local)</t>
  </si>
  <si>
    <t>commercial beer (local)</t>
  </si>
  <si>
    <t>shish kebab(brochette)</t>
  </si>
  <si>
    <t>chicken / fish grilled</t>
  </si>
  <si>
    <t>bar foods</t>
  </si>
  <si>
    <t>bar drinks</t>
  </si>
  <si>
    <t>restaurant food &amp; drinks</t>
  </si>
  <si>
    <t>other meals and drinks purchased</t>
  </si>
  <si>
    <t>bleach</t>
  </si>
  <si>
    <t>broom/brush</t>
  </si>
  <si>
    <t>disinfectant and cleaners</t>
  </si>
  <si>
    <t>shoe brush and polish</t>
  </si>
  <si>
    <t>other non-durable household goods</t>
  </si>
  <si>
    <t>wages for household (domestic) help</t>
  </si>
  <si>
    <t>laundry services (washing clothes &amp; others)</t>
  </si>
  <si>
    <t>rubbish collection services</t>
  </si>
  <si>
    <t>spare  parts of vehicle</t>
  </si>
  <si>
    <t>vehicle repair (labour)</t>
  </si>
  <si>
    <t>spare parts of motorcycle or bicycle (parts)</t>
  </si>
  <si>
    <t>repair of motorcycle or bicycle (labour)</t>
  </si>
  <si>
    <t>audio video cassettes</t>
  </si>
  <si>
    <t>cd and dvd disks</t>
  </si>
  <si>
    <t>toys</t>
  </si>
  <si>
    <t>film and developing</t>
  </si>
  <si>
    <t>passport photos</t>
  </si>
  <si>
    <t>books</t>
  </si>
  <si>
    <t>magazines</t>
  </si>
  <si>
    <t>etc..)</t>
  </si>
  <si>
    <t>natural &amp; artificial flowers,foliages &amp; plants</t>
  </si>
  <si>
    <t>other interior decorations</t>
  </si>
  <si>
    <t>other recreational or cultural items</t>
  </si>
  <si>
    <t>men's haircut (barber)</t>
  </si>
  <si>
    <t>women's haircut (stylist &amp; treatment)</t>
  </si>
  <si>
    <t>hair products</t>
  </si>
  <si>
    <t>shaving accessories</t>
  </si>
  <si>
    <t>combs</t>
  </si>
  <si>
    <t>toothpaste (and accessories)</t>
  </si>
  <si>
    <t>sanitary napkins</t>
  </si>
  <si>
    <t>beauty treatment</t>
  </si>
  <si>
    <t>beauty/cosmetics products</t>
  </si>
  <si>
    <t>sauna/steam bath</t>
  </si>
  <si>
    <t>other personal hygiene products</t>
  </si>
  <si>
    <t>rwandatel/mtn fixed line charges</t>
  </si>
  <si>
    <t>internet connection subscription</t>
  </si>
  <si>
    <t>postage stamps</t>
  </si>
  <si>
    <t>fax and courier services</t>
  </si>
  <si>
    <t>photocopies, printing etc.</t>
  </si>
  <si>
    <t>security services</t>
  </si>
  <si>
    <t>antimalarial drugs</t>
  </si>
  <si>
    <t>astringents (iodine, alcohol)</t>
  </si>
  <si>
    <t>worm medicine</t>
  </si>
  <si>
    <t>condoms</t>
  </si>
  <si>
    <t>contraceptive drugs</t>
  </si>
  <si>
    <t>other basic/preventive medicines</t>
  </si>
  <si>
    <t>fabric (cloth) for men</t>
  </si>
  <si>
    <t>fabric (cloth) for women</t>
  </si>
  <si>
    <t>wrap around cloth for women(igitenge)</t>
  </si>
  <si>
    <t>men's garments</t>
  </si>
  <si>
    <t>women's garments</t>
  </si>
  <si>
    <t>children's clothing (excluding school uniform)</t>
  </si>
  <si>
    <t>men's underwear</t>
  </si>
  <si>
    <t>women's underwear</t>
  </si>
  <si>
    <t>children's underwear</t>
  </si>
  <si>
    <t>men's tailoring</t>
  </si>
  <si>
    <t>women's tailoring</t>
  </si>
  <si>
    <t>children's tailoring</t>
  </si>
  <si>
    <t>men's footwear</t>
  </si>
  <si>
    <t>women's footwear</t>
  </si>
  <si>
    <t>children's footwear</t>
  </si>
  <si>
    <t>men's clothing accessories (ties, hats, belts)</t>
  </si>
  <si>
    <t>women's clothing accessories (scarves, hats, belts)</t>
  </si>
  <si>
    <t>watches (timepiece)</t>
  </si>
  <si>
    <t>jewelry</t>
  </si>
  <si>
    <t>clocks</t>
  </si>
  <si>
    <t>umbrellas</t>
  </si>
  <si>
    <t>metal/wooden case</t>
  </si>
  <si>
    <t>suitcases</t>
  </si>
  <si>
    <t>travel bags</t>
  </si>
  <si>
    <t>hand bags</t>
  </si>
  <si>
    <t>sunglasses</t>
  </si>
  <si>
    <t>other personal effects, e.g wallet, lighters e.t.c</t>
  </si>
  <si>
    <t>building repairs (supplies)</t>
  </si>
  <si>
    <t>building repairs (labor)</t>
  </si>
  <si>
    <t>dressing table</t>
  </si>
  <si>
    <t>mattresses</t>
  </si>
  <si>
    <t>other household goods</t>
  </si>
  <si>
    <t>rugs</t>
  </si>
  <si>
    <t>carpets</t>
  </si>
  <si>
    <t>other floor covering</t>
  </si>
  <si>
    <t>gusanisha ibikoresho byo mu nzo</t>
  </si>
  <si>
    <t>blanket</t>
  </si>
  <si>
    <t>bed sheets and pillows</t>
  </si>
  <si>
    <t>mosquito nets</t>
  </si>
  <si>
    <t>tablecloth</t>
  </si>
  <si>
    <t>draperies (curtains)</t>
  </si>
  <si>
    <t>dish towel/rag/wiper</t>
  </si>
  <si>
    <t>mats</t>
  </si>
  <si>
    <t>other household textiles</t>
  </si>
  <si>
    <t>electric generator</t>
  </si>
  <si>
    <t>electric hotplate (burner)</t>
  </si>
  <si>
    <t>stabilisateur</t>
  </si>
  <si>
    <t>other major household appliance</t>
  </si>
  <si>
    <t>electric clothes iron</t>
  </si>
  <si>
    <t>non-electric clothes iron</t>
  </si>
  <si>
    <t>plunger thermo</t>
  </si>
  <si>
    <t>kitchen and domestic utensils(pots and pans)</t>
  </si>
  <si>
    <t>fan/air conditioner</t>
  </si>
  <si>
    <t>repair of household appliances</t>
  </si>
  <si>
    <t>dishes (tableware)</t>
  </si>
  <si>
    <t>cutlery, flatware and silverware</t>
  </si>
  <si>
    <t>other small household appliances (tea kettles etc.)</t>
  </si>
  <si>
    <t>torch (flashlight)</t>
  </si>
  <si>
    <t>other household and garden tools</t>
  </si>
  <si>
    <t>local energy saving stove</t>
  </si>
  <si>
    <t>outboard motor (boat)</t>
  </si>
  <si>
    <t>local  travel</t>
  </si>
  <si>
    <t>international travel</t>
  </si>
  <si>
    <t>vehicle/ motor insurance</t>
  </si>
  <si>
    <t>still camera</t>
  </si>
  <si>
    <t>video camera</t>
  </si>
  <si>
    <t>sporting equipment</t>
  </si>
  <si>
    <t>musical instruments</t>
  </si>
  <si>
    <t>subscription to dstv, star times e.t.c</t>
  </si>
  <si>
    <t>annual expenditures for associations, excursions, clubs</t>
  </si>
  <si>
    <t>hotel overnight and hotel services</t>
  </si>
  <si>
    <t>medical consultations</t>
  </si>
  <si>
    <t>medical exams</t>
  </si>
  <si>
    <t>hospitalisation</t>
  </si>
  <si>
    <t>health insurance (mutuelle,rama,mmi, etc.)</t>
  </si>
  <si>
    <t>giving birth</t>
  </si>
  <si>
    <t>diabetes drugs</t>
  </si>
  <si>
    <t>heart disease medicines</t>
  </si>
  <si>
    <t>high/low blood pressure drugs</t>
  </si>
  <si>
    <t>asthma drugs</t>
  </si>
  <si>
    <t>arv drugs</t>
  </si>
  <si>
    <t>spectacles/eye lenses</t>
  </si>
  <si>
    <t>dentures</t>
  </si>
  <si>
    <t>hearing aids</t>
  </si>
  <si>
    <t>prosthetic limbs</t>
  </si>
  <si>
    <t>wheel chair</t>
  </si>
  <si>
    <t>crutches</t>
  </si>
  <si>
    <t>issue of administrative (official) documents</t>
  </si>
  <si>
    <t>nursery and daycare fees</t>
  </si>
  <si>
    <t>stadium entry</t>
  </si>
  <si>
    <t>cinema/movie entry/ video club</t>
  </si>
  <si>
    <t>dancing</t>
  </si>
  <si>
    <t>newspapers</t>
  </si>
  <si>
    <t>stationary</t>
  </si>
  <si>
    <t>bath soap</t>
  </si>
  <si>
    <t>toilet paper</t>
  </si>
  <si>
    <t>laundry soap</t>
  </si>
  <si>
    <t>other soaps and detergents</t>
  </si>
  <si>
    <t>insecticides</t>
  </si>
  <si>
    <t>taxi fees (voiture)</t>
  </si>
  <si>
    <t>bus including coaster</t>
  </si>
  <si>
    <t>minibus</t>
  </si>
  <si>
    <t>motorcycle/bicycle</t>
  </si>
  <si>
    <t>other transport, e,g boats etc</t>
  </si>
  <si>
    <t>parking</t>
  </si>
  <si>
    <t>petrol (fuel)</t>
  </si>
  <si>
    <t>diesel (fuel)</t>
  </si>
  <si>
    <t>vehichles lubricants</t>
  </si>
  <si>
    <t>charcoal (cooking)</t>
  </si>
  <si>
    <t>wood (cooking)</t>
  </si>
  <si>
    <t>kerosene</t>
  </si>
  <si>
    <t>fuel for generator</t>
  </si>
  <si>
    <t>gas (propane)</t>
  </si>
  <si>
    <t>candle</t>
  </si>
  <si>
    <t>matches</t>
  </si>
  <si>
    <t>batteries</t>
  </si>
  <si>
    <t>light bulbs</t>
  </si>
  <si>
    <t>clothing repair</t>
  </si>
  <si>
    <t>shoes repair</t>
  </si>
  <si>
    <t>other household repairs</t>
  </si>
  <si>
    <t>internet cafe</t>
  </si>
  <si>
    <t>airtime (cell phone) cards/me 2 you</t>
  </si>
  <si>
    <t>mobile phone batterie recharging</t>
  </si>
  <si>
    <t>public phone charges</t>
  </si>
  <si>
    <t>dried tobacco leaves</t>
  </si>
  <si>
    <t>cigarettes</t>
  </si>
  <si>
    <t>others no food</t>
  </si>
  <si>
    <t>frui</t>
  </si>
  <si>
    <t>root</t>
  </si>
  <si>
    <t>cass</t>
  </si>
  <si>
    <t>rice</t>
  </si>
  <si>
    <t>maiz</t>
  </si>
  <si>
    <t>food</t>
  </si>
  <si>
    <t>sorg</t>
  </si>
  <si>
    <t>catt</t>
  </si>
  <si>
    <t>poul</t>
  </si>
  <si>
    <t>fish</t>
  </si>
  <si>
    <t>meat</t>
  </si>
  <si>
    <t>foil</t>
  </si>
  <si>
    <t>vege</t>
  </si>
  <si>
    <t>puls</t>
  </si>
  <si>
    <t>gnut</t>
  </si>
  <si>
    <t>sref</t>
  </si>
  <si>
    <t>beve</t>
  </si>
  <si>
    <t>clth</t>
  </si>
  <si>
    <t>text</t>
  </si>
  <si>
    <t>leat</t>
  </si>
  <si>
    <t>oman</t>
  </si>
  <si>
    <t>trad</t>
  </si>
  <si>
    <t>mach</t>
  </si>
  <si>
    <t>ocer</t>
  </si>
  <si>
    <t xml:space="preserve"> </t>
  </si>
  <si>
    <t>oils</t>
  </si>
  <si>
    <t>sugr</t>
  </si>
  <si>
    <r>
      <t xml:space="preserve">butter </t>
    </r>
    <r>
      <rPr>
        <sz val="11"/>
        <color rgb="FFFF0000"/>
        <rFont val="Calibri"/>
        <family val="2"/>
        <scheme val="minor"/>
      </rPr>
      <t>(imported)</t>
    </r>
  </si>
  <si>
    <r>
      <t>orange</t>
    </r>
    <r>
      <rPr>
        <sz val="11"/>
        <color rgb="FFFF0000"/>
        <rFont val="Calibri"/>
        <family val="2"/>
        <scheme val="minor"/>
      </rPr>
      <t xml:space="preserve"> (imported)</t>
    </r>
  </si>
  <si>
    <r>
      <t xml:space="preserve">sugar  </t>
    </r>
    <r>
      <rPr>
        <sz val="11"/>
        <color rgb="FFFF0000"/>
        <rFont val="Calibri"/>
        <family val="2"/>
        <scheme val="minor"/>
      </rPr>
      <t>(imported)</t>
    </r>
  </si>
  <si>
    <r>
      <t xml:space="preserve">coffee </t>
    </r>
    <r>
      <rPr>
        <sz val="11"/>
        <color rgb="FFFF0000"/>
        <rFont val="Calibri"/>
        <family val="2"/>
        <scheme val="minor"/>
      </rPr>
      <t>(imported)</t>
    </r>
  </si>
  <si>
    <t>coff</t>
  </si>
  <si>
    <r>
      <t xml:space="preserve">tea </t>
    </r>
    <r>
      <rPr>
        <sz val="11"/>
        <color rgb="FFFF0000"/>
        <rFont val="Calibri"/>
        <family val="2"/>
        <scheme val="minor"/>
      </rPr>
      <t>(imported)</t>
    </r>
  </si>
  <si>
    <r>
      <t xml:space="preserve">commercial beer </t>
    </r>
    <r>
      <rPr>
        <sz val="11"/>
        <color rgb="FFFF0000"/>
        <rFont val="Calibri"/>
        <family val="2"/>
        <scheme val="minor"/>
      </rPr>
      <t>(imported)</t>
    </r>
  </si>
  <si>
    <r>
      <t xml:space="preserve">liqueurs  </t>
    </r>
    <r>
      <rPr>
        <sz val="11"/>
        <color rgb="FFFF0000"/>
        <rFont val="Calibri"/>
        <family val="2"/>
        <scheme val="minor"/>
      </rPr>
      <t>(imported)</t>
    </r>
  </si>
  <si>
    <r>
      <t xml:space="preserve">wine </t>
    </r>
    <r>
      <rPr>
        <sz val="11"/>
        <color rgb="FFFF0000"/>
        <rFont val="Calibri"/>
        <family val="2"/>
        <scheme val="minor"/>
      </rPr>
      <t>(imported)</t>
    </r>
  </si>
  <si>
    <r>
      <t xml:space="preserve">other juices of fruits </t>
    </r>
    <r>
      <rPr>
        <sz val="11"/>
        <color rgb="FFFF0000"/>
        <rFont val="Calibri"/>
        <family val="2"/>
        <scheme val="minor"/>
      </rPr>
      <t>(imported)</t>
    </r>
  </si>
  <si>
    <t xml:space="preserve">meat </t>
  </si>
  <si>
    <t>wood</t>
  </si>
  <si>
    <t>metl</t>
  </si>
  <si>
    <t>chem</t>
  </si>
  <si>
    <t>fore</t>
  </si>
  <si>
    <t xml:space="preserve">chem </t>
  </si>
  <si>
    <t>heal</t>
  </si>
  <si>
    <t>comm</t>
  </si>
  <si>
    <t>tran</t>
  </si>
  <si>
    <t>hotl</t>
  </si>
  <si>
    <t>fsrv</t>
  </si>
  <si>
    <t>petr</t>
  </si>
  <si>
    <t>bsrv</t>
  </si>
  <si>
    <t>padm</t>
  </si>
  <si>
    <t>osrv</t>
  </si>
  <si>
    <t>samdesc</t>
  </si>
  <si>
    <t>item</t>
  </si>
  <si>
    <t>itemdesc</t>
  </si>
  <si>
    <t>gmll</t>
  </si>
  <si>
    <t>ptob</t>
  </si>
  <si>
    <t>toba</t>
  </si>
  <si>
    <t>stationery supplies (stapler, perforator, folder,</t>
  </si>
  <si>
    <t>pain relievers (aspirin/paracetamol/hedex)</t>
  </si>
  <si>
    <t>sam</t>
  </si>
  <si>
    <t>educ</t>
  </si>
  <si>
    <t>Inkind payment section 6D</t>
  </si>
  <si>
    <t>Health section 3</t>
  </si>
  <si>
    <t>Education section 2</t>
  </si>
  <si>
    <t>Electricity section 5</t>
  </si>
  <si>
    <t>real</t>
  </si>
  <si>
    <t>othr</t>
  </si>
  <si>
    <t xml:space="preserve">inkd </t>
  </si>
  <si>
    <t>watr</t>
  </si>
  <si>
    <t>elec</t>
  </si>
  <si>
    <t>Home produced food</t>
  </si>
  <si>
    <t>Rent - Imputed rent section 5</t>
  </si>
  <si>
    <t>Water section 6</t>
  </si>
  <si>
    <t>s8a1q0</t>
  </si>
  <si>
    <t>Fabric (cloth) for men</t>
  </si>
  <si>
    <t>Fabric (cloth) for women</t>
  </si>
  <si>
    <t>Wrap around cloth for women(Igitenge)</t>
  </si>
  <si>
    <t>Men's garments</t>
  </si>
  <si>
    <t>Men's tailoring</t>
  </si>
  <si>
    <t>Men's underwear</t>
  </si>
  <si>
    <t>Men's clothing accessories (ties, hats, belts)</t>
  </si>
  <si>
    <t>Women's garments</t>
  </si>
  <si>
    <t>Women's tailoring</t>
  </si>
  <si>
    <t>Women's underwear</t>
  </si>
  <si>
    <t>Women's clothing accessories (scarves, hats, belts)</t>
  </si>
  <si>
    <t>Children's clothing (excluding school uniform)</t>
  </si>
  <si>
    <t>Children's underwear</t>
  </si>
  <si>
    <t>Children's tailoring</t>
  </si>
  <si>
    <t>Men's footwear</t>
  </si>
  <si>
    <t>Women's footwear</t>
  </si>
  <si>
    <t>Children's footwear</t>
  </si>
  <si>
    <t>Jewelry</t>
  </si>
  <si>
    <t>Watches (timepiece)</t>
  </si>
  <si>
    <t>Clocks</t>
  </si>
  <si>
    <t>Metal/Wooden Case</t>
  </si>
  <si>
    <t>Suitcases</t>
  </si>
  <si>
    <t>Travel bags</t>
  </si>
  <si>
    <t>Hand bags (other than women's handbags)</t>
  </si>
  <si>
    <t>women's handbags</t>
  </si>
  <si>
    <t>Other personal effects, e.g. wallet</t>
  </si>
  <si>
    <t>Umbrellas</t>
  </si>
  <si>
    <t>Sunglasses</t>
  </si>
  <si>
    <t>Building repairs (supplies)</t>
  </si>
  <si>
    <t>Building repairs (labor)</t>
  </si>
  <si>
    <t>Mattresses</t>
  </si>
  <si>
    <t>Rugs, floor coverings, carpets</t>
  </si>
  <si>
    <t>Mats</t>
  </si>
  <si>
    <t>Furniture repair</t>
  </si>
  <si>
    <t>Draperies (curtains)</t>
  </si>
  <si>
    <t>Bed Pillows</t>
  </si>
  <si>
    <t>Blanket</t>
  </si>
  <si>
    <t>Bed Sheets</t>
  </si>
  <si>
    <t>Mosquito nets</t>
  </si>
  <si>
    <t>Tablecloth</t>
  </si>
  <si>
    <t>Dish towel/Rag/Wiper</t>
  </si>
  <si>
    <t>Cloth for wiping table ware</t>
  </si>
  <si>
    <t>Other household textiles</t>
  </si>
  <si>
    <t>Local Energy saving Stove</t>
  </si>
  <si>
    <t>Other small household appliances (tea kettles etc.)</t>
  </si>
  <si>
    <t>Torch (flashlight)</t>
  </si>
  <si>
    <t>Electric clothes iron</t>
  </si>
  <si>
    <t>Non-electric clothes iron</t>
  </si>
  <si>
    <t>Repair of household appliances</t>
  </si>
  <si>
    <t>Dishes (tableware)</t>
  </si>
  <si>
    <t>Kitchen and domestic utensils(Pots and pans)</t>
  </si>
  <si>
    <t>Cutlery, flatware and silverware</t>
  </si>
  <si>
    <t>Other household and garden tools</t>
  </si>
  <si>
    <t>International travel âbus fares</t>
  </si>
  <si>
    <t>Aeroplane flights</t>
  </si>
  <si>
    <t>Motor boat transport</t>
  </si>
  <si>
    <t>Vehicle/ Motor insurance</t>
  </si>
  <si>
    <t>Musical instruments</t>
  </si>
  <si>
    <t>Sporting equipment</t>
  </si>
  <si>
    <t>Subscription to DSTV, Star times e.t.c</t>
  </si>
  <si>
    <t>Hotel overnight and hotel services</t>
  </si>
  <si>
    <t>Spectacles / eye lenses</t>
  </si>
  <si>
    <t>Dentures</t>
  </si>
  <si>
    <t>Hearing aids/prosthetic limbs/ disability aids</t>
  </si>
  <si>
    <t>Hospitalization</t>
  </si>
  <si>
    <t>Giving birth</t>
  </si>
  <si>
    <t>Health insurance (Mutuelle,RAMA,MMI, etc.)</t>
  </si>
  <si>
    <t>Nursery and daycare fees</t>
  </si>
  <si>
    <t>Issue of administrative (official) documents</t>
  </si>
  <si>
    <t>Laundry services (washing clothes &amp; others)</t>
  </si>
  <si>
    <t>Rubbish collection services</t>
  </si>
  <si>
    <t>Bleach</t>
  </si>
  <si>
    <t>Disinfectant and cleaners</t>
  </si>
  <si>
    <t>Broom/Brush</t>
  </si>
  <si>
    <t>Shoe brush</t>
  </si>
  <si>
    <t>Shoe polish</t>
  </si>
  <si>
    <t>Other non-durable household goods e.g, sponges, window clean</t>
  </si>
  <si>
    <t>Wages for household (domestic) help</t>
  </si>
  <si>
    <t>Spare  parts of Vehicle</t>
  </si>
  <si>
    <t>Spare parts of motorcycle or bicycle (parts)</t>
  </si>
  <si>
    <t>Vehicle repair (labour)</t>
  </si>
  <si>
    <t>Repair of motorcycle or bicycle (labour)</t>
  </si>
  <si>
    <t>CD and DVD disks</t>
  </si>
  <si>
    <t>Audio video cassettes &amp; internet downloads</t>
  </si>
  <si>
    <t>Film and developing</t>
  </si>
  <si>
    <t>Toys</t>
  </si>
  <si>
    <t>Natural &amp; artificial flowers,foliages&amp; plants</t>
  </si>
  <si>
    <t>Other interior decorations</t>
  </si>
  <si>
    <t>Other recreational or cultural items, (Pets:- cats, dogs, Bi</t>
  </si>
  <si>
    <t>Books</t>
  </si>
  <si>
    <t>Magazines</t>
  </si>
  <si>
    <t>Stationary supplies (stapler, perforator, Folder, etc..)</t>
  </si>
  <si>
    <t>Passport photos</t>
  </si>
  <si>
    <t>Men's haircut (barber)</t>
  </si>
  <si>
    <t>Women's haircut (stylist &amp; treatment)</t>
  </si>
  <si>
    <t>Beauty Treatment/Massage(Non-medical)/ Manicure &amp; steam bath</t>
  </si>
  <si>
    <t>Shaving accessories</t>
  </si>
  <si>
    <t>Combs</t>
  </si>
  <si>
    <t>Other personal hygiene products, e.g; razor blades, nail cut</t>
  </si>
  <si>
    <t>Toothpaste (and accessories)</t>
  </si>
  <si>
    <t>Hair products</t>
  </si>
  <si>
    <t>Beauty/cosmetics products</t>
  </si>
  <si>
    <t>Deodorants</t>
  </si>
  <si>
    <t>Sanitary napkins, pampers</t>
  </si>
  <si>
    <t>Postage stamps</t>
  </si>
  <si>
    <t>Rwandatel/MTN fixed line charges</t>
  </si>
  <si>
    <t>Fax and courier services</t>
  </si>
  <si>
    <t>Internet connection subscription (Rwandatel /MTN/TIGO/â¦</t>
  </si>
  <si>
    <t>Security services</t>
  </si>
  <si>
    <t>Photocopies/printing/scanner/other secretarial services</t>
  </si>
  <si>
    <t>Diabetes drugs</t>
  </si>
  <si>
    <t>Heart disease medicines</t>
  </si>
  <si>
    <t>High/low blood pressure drugs</t>
  </si>
  <si>
    <t>Asthma drugs</t>
  </si>
  <si>
    <t>ARV drugs</t>
  </si>
  <si>
    <t>Pain relievers (Aspirin/Paracetamol/Hedex,â¦)</t>
  </si>
  <si>
    <t>Antimalarial drugs</t>
  </si>
  <si>
    <t>Astringents (iodine, alcohol)</t>
  </si>
  <si>
    <t>Worm medicine</t>
  </si>
  <si>
    <t>Contraceptive drugs</t>
  </si>
  <si>
    <t>Other basic/preventive medicines</t>
  </si>
  <si>
    <t>Condoms</t>
  </si>
  <si>
    <t>Medical consultations</t>
  </si>
  <si>
    <t>Medical exams</t>
  </si>
  <si>
    <t>s8a3q0</t>
  </si>
  <si>
    <t>Stadium entry</t>
  </si>
  <si>
    <t>Cinema/movie entry/ Video club</t>
  </si>
  <si>
    <t>Dancing</t>
  </si>
  <si>
    <t>Newspapers</t>
  </si>
  <si>
    <t>Stationary (paper, staples, pen, pencil,</t>
  </si>
  <si>
    <t>Laundry soap</t>
  </si>
  <si>
    <t>Bath soap</t>
  </si>
  <si>
    <t>Other soaps and Detergents</t>
  </si>
  <si>
    <t>Insecticides</t>
  </si>
  <si>
    <t>Toilet paper</t>
  </si>
  <si>
    <t>Petrol (Fuel)</t>
  </si>
  <si>
    <t>Diesel (Fuel)</t>
  </si>
  <si>
    <t>Vehicles Lubricants</t>
  </si>
  <si>
    <t>Parking</t>
  </si>
  <si>
    <t>Taxi fees (Voiture)</t>
  </si>
  <si>
    <t>Buses  including Coaster and minibus</t>
  </si>
  <si>
    <t>Motorcycle/Bicycle</t>
  </si>
  <si>
    <t>Other transport, e,g Boats etc</t>
  </si>
  <si>
    <t>Gas (propane)</t>
  </si>
  <si>
    <t>Kerosene</t>
  </si>
  <si>
    <t>Charcoal (cooking)</t>
  </si>
  <si>
    <t>Wood (cooking)</t>
  </si>
  <si>
    <t>Batteries</t>
  </si>
  <si>
    <t>Light bulbs</t>
  </si>
  <si>
    <t>Candle</t>
  </si>
  <si>
    <t>Matches/lighter</t>
  </si>
  <si>
    <t>Fuel for generator</t>
  </si>
  <si>
    <t>Clothing repair</t>
  </si>
  <si>
    <t>Shoes repair</t>
  </si>
  <si>
    <t>Mobile phone battery recharging</t>
  </si>
  <si>
    <t>Airtime (cell phone) cards/Me 2 you</t>
  </si>
  <si>
    <t>Public phone charges</t>
  </si>
  <si>
    <t>Internet cafe</t>
  </si>
  <si>
    <t>Dried tobacco leaves</t>
  </si>
  <si>
    <t>Cigarettes</t>
  </si>
  <si>
    <t>Other non-food products</t>
  </si>
  <si>
    <t>Local rice</t>
  </si>
  <si>
    <t>Imported rice</t>
  </si>
  <si>
    <t>Maize (fresh)</t>
  </si>
  <si>
    <t>Dry maize (grain)</t>
  </si>
  <si>
    <t>Sorghum</t>
  </si>
  <si>
    <t>Fermented sorghum</t>
  </si>
  <si>
    <t>Wheat (grain)</t>
  </si>
  <si>
    <t>Other cereals</t>
  </si>
  <si>
    <t>Corn (flour)</t>
  </si>
  <si>
    <t>Sorghum (flour)</t>
  </si>
  <si>
    <t>Wheat (flour)</t>
  </si>
  <si>
    <t>Millet (flour)</t>
  </si>
  <si>
    <t>Other flour of cereals</t>
  </si>
  <si>
    <t>Bread</t>
  </si>
  <si>
    <t>Cakes/Chapati/Mandazi</t>
  </si>
  <si>
    <t>Biscuits</t>
  </si>
  <si>
    <t>Pasta</t>
  </si>
  <si>
    <t>Beef meat</t>
  </si>
  <si>
    <t>Sheep /Mutton / lamb meat</t>
  </si>
  <si>
    <t>Goat meat</t>
  </si>
  <si>
    <t>Pork meat</t>
  </si>
  <si>
    <t>Rabbit Meat</t>
  </si>
  <si>
    <t>Wild Meat</t>
  </si>
  <si>
    <t>Other Meats</t>
  </si>
  <si>
    <t>Sausages, bacon, ham  etc</t>
  </si>
  <si>
    <t>Preserved/canned meat</t>
  </si>
  <si>
    <t>Chicken live</t>
  </si>
  <si>
    <t>Frozen chicken</t>
  </si>
  <si>
    <t>Other domestic poultries eg ducks</t>
  </si>
  <si>
    <t>Eggs</t>
  </si>
  <si>
    <t>Fish (fresh / frozen)</t>
  </si>
  <si>
    <t>Small Sized Fish (fresh)</t>
  </si>
  <si>
    <t>Fish (dry / smoked)</t>
  </si>
  <si>
    <t>Small Sized Fish (dry)</t>
  </si>
  <si>
    <t>Preserved/canned fish</t>
  </si>
  <si>
    <t>Fresh milk</t>
  </si>
  <si>
    <t>Curdled Milk</t>
  </si>
  <si>
    <t>Condensed milk unsweetened</t>
  </si>
  <si>
    <t>Milk powder</t>
  </si>
  <si>
    <t>Yogurt</t>
  </si>
  <si>
    <t>Ice cream</t>
  </si>
  <si>
    <t>Cheese</t>
  </si>
  <si>
    <t>Butter (local)</t>
  </si>
  <si>
    <t>Butter (imported)</t>
  </si>
  <si>
    <t>Margarine</t>
  </si>
  <si>
    <t>Peanut oil</t>
  </si>
  <si>
    <t>Palm oil</t>
  </si>
  <si>
    <t>Other plant oils</t>
  </si>
  <si>
    <t>Lard of pork</t>
  </si>
  <si>
    <t>Banana fruit (Imineke)</t>
  </si>
  <si>
    <t>Banana - beer (Ikakama/Inkashi)</t>
  </si>
  <si>
    <t>Banana - cooking (Inyamunyo)</t>
  </si>
  <si>
    <t>Mangos</t>
  </si>
  <si>
    <t>Papayas</t>
  </si>
  <si>
    <t>Avocado</t>
  </si>
  <si>
    <t>Pineapple</t>
  </si>
  <si>
    <t>Guava</t>
  </si>
  <si>
    <t>Orange (local)</t>
  </si>
  <si>
    <t>Orange (imported)</t>
  </si>
  <si>
    <t>Tangerine</t>
  </si>
  <si>
    <t>Citron - Lemon</t>
  </si>
  <si>
    <t>Passion Fruit</t>
  </si>
  <si>
    <t>Plums</t>
  </si>
  <si>
    <t>Berries</t>
  </si>
  <si>
    <t>Apples</t>
  </si>
  <si>
    <t>Other fruits</t>
  </si>
  <si>
    <t>Soya Flour</t>
  </si>
  <si>
    <t>Groundnut flour</t>
  </si>
  <si>
    <t>Ground nuts (peanuts)</t>
  </si>
  <si>
    <t>Grilled ground nuts</t>
  </si>
  <si>
    <t>String bean</t>
  </si>
  <si>
    <t>Fresh bean</t>
  </si>
  <si>
    <t>Dry beans</t>
  </si>
  <si>
    <t>Soya (fresh)</t>
  </si>
  <si>
    <t>Soya (dry)</t>
  </si>
  <si>
    <t>Green pea (fresh)</t>
  </si>
  <si>
    <t>Green pea (dry)</t>
  </si>
  <si>
    <t>Tomato</t>
  </si>
  <si>
    <t>Onion</t>
  </si>
  <si>
    <t>Garlic</t>
  </si>
  <si>
    <t>Pumpkin</t>
  </si>
  <si>
    <t>Cucumber</t>
  </si>
  <si>
    <t>Eggplant</t>
  </si>
  <si>
    <t>Carrot</t>
  </si>
  <si>
    <t>Leeks</t>
  </si>
  <si>
    <t>Lettuce</t>
  </si>
  <si>
    <t>Celery</t>
  </si>
  <si>
    <t>Parsley</t>
  </si>
  <si>
    <t>Mushrooms</t>
  </si>
  <si>
    <t>Cassava leaves</t>
  </si>
  <si>
    <t>Amarante (small leafed green)</t>
  </si>
  <si>
    <t>Cabbages</t>
  </si>
  <si>
    <t>Spinach</t>
  </si>
  <si>
    <t>Amarante (large leafed green)</t>
  </si>
  <si>
    <t>Other Vegetables</t>
  </si>
  <si>
    <t>Pepper</t>
  </si>
  <si>
    <t>Irish Potato</t>
  </si>
  <si>
    <t>Sweet potato</t>
  </si>
  <si>
    <t>Cassava (root)</t>
  </si>
  <si>
    <t>Tarot/amateke</t>
  </si>
  <si>
    <t>Yams/Ibikoro</t>
  </si>
  <si>
    <t>Other tubers</t>
  </si>
  <si>
    <t>Cassava (fermented)</t>
  </si>
  <si>
    <t>Cassava (flour)</t>
  </si>
  <si>
    <t>Sugar (local)</t>
  </si>
  <si>
    <t>Sugar  (imported)</t>
  </si>
  <si>
    <t>Sugarcane</t>
  </si>
  <si>
    <t>Jam, marmalade</t>
  </si>
  <si>
    <t>Honey</t>
  </si>
  <si>
    <t>Chocolate</t>
  </si>
  <si>
    <t>Candy / Gum</t>
  </si>
  <si>
    <t>Powdered juice(super dip)</t>
  </si>
  <si>
    <t>Salt</t>
  </si>
  <si>
    <t>Pepper(ground / liquid)</t>
  </si>
  <si>
    <t>Vinegar</t>
  </si>
  <si>
    <t>Mayonnaise</t>
  </si>
  <si>
    <t>Tomato concentrate</t>
  </si>
  <si>
    <t>Pepper-raw</t>
  </si>
  <si>
    <t>Boullion cubes(MAGGI)</t>
  </si>
  <si>
    <t>Baby food</t>
  </si>
  <si>
    <t>Other food items</t>
  </si>
  <si>
    <t>Coffee (local)</t>
  </si>
  <si>
    <t>Coffee (imported)</t>
  </si>
  <si>
    <t>Tea (local)</t>
  </si>
  <si>
    <t>Tea (imported)</t>
  </si>
  <si>
    <t>Cocoa and powdered drinking chocolate</t>
  </si>
  <si>
    <t>Mineral water</t>
  </si>
  <si>
    <t>Carbonated Soft Drinks</t>
  </si>
  <si>
    <t>Local banana juice</t>
  </si>
  <si>
    <t>Passion fruit juice</t>
  </si>
  <si>
    <t>Other juices of fruits (local)</t>
  </si>
  <si>
    <t>Other juices of fruits (imported)</t>
  </si>
  <si>
    <t>Sorghum juice(Ubushera)</t>
  </si>
  <si>
    <t>Liqueurs  (local)</t>
  </si>
  <si>
    <t>Liqueurs  (imported)</t>
  </si>
  <si>
    <t>Wine (local)</t>
  </si>
  <si>
    <t>Wine (imported)</t>
  </si>
  <si>
    <t>Local Banana beer</t>
  </si>
  <si>
    <t>Local sorghum beer(ikigage)</t>
  </si>
  <si>
    <t>Other local beer</t>
  </si>
  <si>
    <t>Commercial beer (local)</t>
  </si>
  <si>
    <t>Commercial beer (imported)</t>
  </si>
  <si>
    <t>Shish kebab(Brochette)</t>
  </si>
  <si>
    <t>Chicken / fish grilled</t>
  </si>
  <si>
    <t>Bar and restaurant foods</t>
  </si>
  <si>
    <t>Bar and restaurant drinks</t>
  </si>
  <si>
    <t>Other expenditures</t>
  </si>
  <si>
    <t>Other ceremonies</t>
  </si>
  <si>
    <t>Offering and tythes</t>
  </si>
  <si>
    <t>Religious festivals</t>
  </si>
  <si>
    <t>Death (funeral)</t>
  </si>
  <si>
    <t>Baptism</t>
  </si>
  <si>
    <t>Contribution to other HH's wedding</t>
  </si>
  <si>
    <t>Weddings/Introduction own HH</t>
  </si>
  <si>
    <t>Gifts and donations</t>
  </si>
  <si>
    <t>Charitable works</t>
  </si>
  <si>
    <t>Contributions to mutual aid or developmental</t>
  </si>
  <si>
    <t>Other taxes/Duties</t>
  </si>
  <si>
    <t>Taxes on property</t>
  </si>
  <si>
    <t xml:space="preserve"> s9eq1</t>
  </si>
  <si>
    <t>Other meals and drinks purchased outside the household</t>
  </si>
  <si>
    <t>Ibishayote</t>
  </si>
  <si>
    <t>Other cereals,</t>
  </si>
  <si>
    <t>Other flours of cereals,</t>
  </si>
  <si>
    <t>Other domestic poultries e.g ducks</t>
  </si>
  <si>
    <t>Butter not used in cooking</t>
  </si>
  <si>
    <t>Local Butter (Amavutay'inka)</t>
  </si>
  <si>
    <t>Other animal  fats</t>
  </si>
  <si>
    <t>Banana fruit (Iminike)</t>
  </si>
  <si>
    <t>Citron â Lemon</t>
  </si>
  <si>
    <t>Maracouja</t>
  </si>
  <si>
    <t>Other fruits, e.g jackfruit</t>
  </si>
  <si>
    <t>Sunflower  Flour</t>
  </si>
  <si>
    <t>Amarante (small leafed green)(dodo,inyabutongo)</t>
  </si>
  <si>
    <t>Amarante (large leafed green) (Imwija, shufureri)</t>
  </si>
  <si>
    <t>Other Vegetables,</t>
  </si>
  <si>
    <t>Pepper(ground/ liquid)</t>
  </si>
  <si>
    <t>Other fruit juices,</t>
  </si>
  <si>
    <t>Construction wood</t>
  </si>
  <si>
    <t>item_h</t>
  </si>
  <si>
    <t>itempdesc</t>
  </si>
  <si>
    <t>itemhdesc</t>
  </si>
  <si>
    <t>old code</t>
  </si>
  <si>
    <t>s8a2q0</t>
  </si>
  <si>
    <t>new code</t>
  </si>
  <si>
    <t>item_old</t>
  </si>
  <si>
    <t>already in section 5</t>
  </si>
  <si>
    <t>Other household repairs, furniture, beds, kitchen</t>
  </si>
  <si>
    <t>whea</t>
  </si>
  <si>
    <t>teal</t>
  </si>
  <si>
    <t>flwr</t>
  </si>
  <si>
    <t>milk</t>
  </si>
  <si>
    <t>oliv</t>
  </si>
  <si>
    <t>coal</t>
  </si>
  <si>
    <t>coil</t>
  </si>
  <si>
    <t>omin</t>
  </si>
  <si>
    <t>fsea</t>
  </si>
  <si>
    <t>fveg</t>
  </si>
  <si>
    <t>dair</t>
  </si>
  <si>
    <t>feed</t>
  </si>
  <si>
    <t>papr</t>
  </si>
  <si>
    <t>fert</t>
  </si>
  <si>
    <t>nmet</t>
  </si>
  <si>
    <t>equi</t>
  </si>
  <si>
    <t>vehi</t>
  </si>
  <si>
    <t>cons</t>
  </si>
  <si>
    <t>Growing of cereals and other crops n.e.c.</t>
  </si>
  <si>
    <t>Growing of vegetables, horticultural specialties and nursery products</t>
  </si>
  <si>
    <t>Growing of fruit, nuts, beverage and spice crops</t>
  </si>
  <si>
    <t>Farming of cattle, sheep, goats, horses, asses, mules and hinnies; dairy farming</t>
  </si>
  <si>
    <t>Other animal farming; production of animal products n.e.c.</t>
  </si>
  <si>
    <t>Growing of crops combined with farming of animals (mixed farming)</t>
  </si>
  <si>
    <t>x</t>
  </si>
  <si>
    <t>unmapped</t>
  </si>
  <si>
    <t>Agricultural and animal husbandry service activities, except veterinary activities</t>
  </si>
  <si>
    <t>Hunting, trapping and game propagation including related service activities</t>
  </si>
  <si>
    <t>Forestry, logging and related service activities</t>
  </si>
  <si>
    <t>Fishing</t>
  </si>
  <si>
    <t>Aquaculture</t>
  </si>
  <si>
    <t>Mining and agglomeration of hard coal</t>
  </si>
  <si>
    <t>Mining and agglomeration of lignite</t>
  </si>
  <si>
    <t>Extraction and agglomeration of peat</t>
  </si>
  <si>
    <t>Extraction of crude petroleum and natural gas</t>
  </si>
  <si>
    <t>Service activities incidental to oil and gas extraction excluding surveying</t>
  </si>
  <si>
    <t>Mining of uranium and thorium ores</t>
  </si>
  <si>
    <t>Mining of iron ores</t>
  </si>
  <si>
    <t>Mining of non-ferrous metal ores, except uranium and thorium ores</t>
  </si>
  <si>
    <t>Quarrying of stone, sand and clay</t>
  </si>
  <si>
    <t>Mining of chemical and fertilizer minerals</t>
  </si>
  <si>
    <t>Extraction of salt</t>
  </si>
  <si>
    <t>Other mining and quarrying n.e.c.</t>
  </si>
  <si>
    <t>Production, processing and preserving of meat and meat products</t>
  </si>
  <si>
    <t>Processing and preserving of fish and fish products</t>
  </si>
  <si>
    <t>Processing and preserving of fruit and vegetables</t>
  </si>
  <si>
    <t>Manufacture of vegetable and animal oils and fats</t>
  </si>
  <si>
    <t>Manufacture of dairy products</t>
  </si>
  <si>
    <t>Manufacture of grain mill products</t>
  </si>
  <si>
    <t>Manufacture of starches and starch products</t>
  </si>
  <si>
    <t>Manufacture of prepared animal feeds</t>
  </si>
  <si>
    <t>Manufacture of bakery products</t>
  </si>
  <si>
    <t>Manufacture of sugar</t>
  </si>
  <si>
    <t>Manufacture of cocoa, chocolate and sugar confectionery</t>
  </si>
  <si>
    <t>Manufacture of macaroni, noodles, couscous and similar farinaceous products</t>
  </si>
  <si>
    <t>Manufacture of other food products n.e.c.</t>
  </si>
  <si>
    <t>Distilling, rectifying and blending of spirits; ethyl alcohol production from fermented materials</t>
  </si>
  <si>
    <t>Manufacture of wines</t>
  </si>
  <si>
    <t>Manufacture of malt liquors and malt</t>
  </si>
  <si>
    <t>Manufacture of soft drinks; production of mineral waters</t>
  </si>
  <si>
    <t>Manufacture of tobacco products</t>
  </si>
  <si>
    <t>Preparation and spinning of textile fibres; weaving of textiles</t>
  </si>
  <si>
    <t>Finishing of textiles</t>
  </si>
  <si>
    <t>Manufacture of made-up textile articles, except apparel</t>
  </si>
  <si>
    <t>Manufacture of carpets and rugs</t>
  </si>
  <si>
    <t>Manufacture of cordage, rope, twine and netting</t>
  </si>
  <si>
    <t>Manufacture of other textiles n.e.c.</t>
  </si>
  <si>
    <t>Manufacture of knitted and crocheted fabrics and articles</t>
  </si>
  <si>
    <t>Manufacture of wearing apparel, except fur apparel</t>
  </si>
  <si>
    <t>Dressing and dyeing of fur; manufacture of articles of fur</t>
  </si>
  <si>
    <t>Tanning and dressing of leather</t>
  </si>
  <si>
    <t>Manufacture of luggage, handbags and the like, saddlery and harness</t>
  </si>
  <si>
    <t>Manufacture of footwear</t>
  </si>
  <si>
    <t>Sawmilling and planing of wood</t>
  </si>
  <si>
    <t>Manufacture of veneer sheets; manufacture of plywood, laminboard, particle board and other panels and boards</t>
  </si>
  <si>
    <t>Manufacture of builders' carpentry and joinery</t>
  </si>
  <si>
    <t>Manufacture of wooden containers</t>
  </si>
  <si>
    <t>Manufacture of other products of wood; manufacture of articles of cork, straw and plaiting materials</t>
  </si>
  <si>
    <t>Manufacture of pulp, paper and paperboard</t>
  </si>
  <si>
    <t>Manufacture of corrugated paper and paperboard and of containers of paper and paperboard</t>
  </si>
  <si>
    <t>Manufacture of other articles of paper and paperboard</t>
  </si>
  <si>
    <t>Publishing of books, brochures and other publications</t>
  </si>
  <si>
    <t>Publishing of newspapers, journals and periodicals</t>
  </si>
  <si>
    <t>Publishing of music</t>
  </si>
  <si>
    <t>Other publishing</t>
  </si>
  <si>
    <t>Printing</t>
  </si>
  <si>
    <t>Service activities related to printing</t>
  </si>
  <si>
    <t>Reproduction of recorded media</t>
  </si>
  <si>
    <t>Manufacture of coke oven products</t>
  </si>
  <si>
    <t>Manufacture of refined petroleum products</t>
  </si>
  <si>
    <t>Processing of nuclear fuel</t>
  </si>
  <si>
    <t>Manufacture of basic chemicals, except fertilizers and nitrogen compounds</t>
  </si>
  <si>
    <t>Manufacture of fertilizers and nitrogen compounds</t>
  </si>
  <si>
    <t>Manufacture of plastics in primary forms and of synthetic rubber</t>
  </si>
  <si>
    <t>Manufacture of pesticides and other agrochemical products</t>
  </si>
  <si>
    <t>Manufacture of paints, varnishes and similar coatings, printing ink and mastics</t>
  </si>
  <si>
    <t>Manufacture of pharmaceuticals, medicinal chemicals and botanical products</t>
  </si>
  <si>
    <t>Manufacture of soap and detergents, cleaning and polishing preparations, perfumes and toilet preparations</t>
  </si>
  <si>
    <t>Manufacture of other chemical products n.e.c.</t>
  </si>
  <si>
    <t>Manufacture of man-made fibres</t>
  </si>
  <si>
    <t>Manufacture of rubber tyres and tubes; retreading and rebuilding of rubber tyres</t>
  </si>
  <si>
    <t>Manufacture of other rubber products</t>
  </si>
  <si>
    <t>Manufacture of plastics products</t>
  </si>
  <si>
    <t>Manufacture of glass and glass products</t>
  </si>
  <si>
    <t>Manufacture of non-structural non-refractory ceramic ware</t>
  </si>
  <si>
    <t>Manufacture of refractory ceramic products</t>
  </si>
  <si>
    <t>Manufacture of structural non-refractory clay and ceramic products</t>
  </si>
  <si>
    <t>Manufacture of cement, lime and plaster</t>
  </si>
  <si>
    <t>Manufacture of articles of concrete, cement and plaster</t>
  </si>
  <si>
    <t>Cutting, shaping and finishing of stone</t>
  </si>
  <si>
    <t>Manufacture of other non-metallic mineral products n.e.c.</t>
  </si>
  <si>
    <t>Manufacture of basic iron and steel</t>
  </si>
  <si>
    <t>Manufacture of basic precious and non-ferrous metals</t>
  </si>
  <si>
    <t>Casting of iron and steel</t>
  </si>
  <si>
    <t>Casting of non-ferrous metals</t>
  </si>
  <si>
    <t>Manufacture of structural metal products</t>
  </si>
  <si>
    <t>Manufacture of tanks, reservoirs and containers of metal</t>
  </si>
  <si>
    <t>Manufacture of steam generators, except central heating hot water boilers</t>
  </si>
  <si>
    <t>Forging, pressing, stamping and roll-forming of metal; powder metallurgy</t>
  </si>
  <si>
    <t>Treatment and coating of metals; general mechanical engineering on a fee or contract basis</t>
  </si>
  <si>
    <t>Manufacture of cutlery, hand tools and general hardware</t>
  </si>
  <si>
    <t>Manufacture of other fabricated metal products n.e.c.</t>
  </si>
  <si>
    <t>Manufacture of engines and turbines, except aircraft, vehicle and cycle engines</t>
  </si>
  <si>
    <t>Manufacture of pumps, compressors, taps and valves</t>
  </si>
  <si>
    <t>Manufacture of bearings, gears, gearing and driving elements</t>
  </si>
  <si>
    <t>Manufacture of ovens, furnaces and furnace burners</t>
  </si>
  <si>
    <t>Manufacture of lifting and handling equipment</t>
  </si>
  <si>
    <t>Manufacture of other general-purpose machinery</t>
  </si>
  <si>
    <t>Manufacture of agricultural and forestry machinery</t>
  </si>
  <si>
    <t>Manufacture of machine tools</t>
  </si>
  <si>
    <t>Manufacture of machinery for metallurgy</t>
  </si>
  <si>
    <t>Manufacture of machinery for mining, quarrying and construction</t>
  </si>
  <si>
    <t>Manufacture of machinery for food, beverage and tobacco processing</t>
  </si>
  <si>
    <t>Manufacture of machinery for textile, apparel and leather production</t>
  </si>
  <si>
    <t>Manufacture of weapons and ammunition</t>
  </si>
  <si>
    <t>Manufacture of other special-purpose machinery</t>
  </si>
  <si>
    <t>Manufacture of domestic appliances n.e.c.</t>
  </si>
  <si>
    <t>Manufacture of office, accounting and computing machinery</t>
  </si>
  <si>
    <t>Manufacture of electric motors, generators and transformers</t>
  </si>
  <si>
    <t>Manufacture of electricity distribution and control apparatus</t>
  </si>
  <si>
    <t>Manufacture of insulated wire and cable</t>
  </si>
  <si>
    <t>Manufacture of accumulators, primary cells and primary batteries</t>
  </si>
  <si>
    <t>Manufacture of electric lamps and lighting equipment</t>
  </si>
  <si>
    <t>Manufacture of other electrical equipment n.e.c.</t>
  </si>
  <si>
    <t>Manufacture of electronic valves and tubes and other electronic components</t>
  </si>
  <si>
    <t>Manufacture of television and radio transmitters and apparatus for line telephony and line telegraphy</t>
  </si>
  <si>
    <t>Manufacture of television and radio receivers, sound or video recording or reproducing apparatus, and associated goods</t>
  </si>
  <si>
    <t>Manufacture of medical and surgical equipment and orthopaedic appliances</t>
  </si>
  <si>
    <t>Manufacture of instruments and appliances for measuring, checking, testing, navigating and other purposes, except industrial process control equipment</t>
  </si>
  <si>
    <t>Manufacture of industrial process control equipment</t>
  </si>
  <si>
    <t>Manufacture of optical instruments and photographic equipment</t>
  </si>
  <si>
    <t>Manufacture of watches and clocks</t>
  </si>
  <si>
    <t>Manufacture of motor vehicles</t>
  </si>
  <si>
    <t>Manufacture of bodies (coachwork) for motor vehicles; manufacture of trailers and semi-trailers</t>
  </si>
  <si>
    <t>Manufacture of parts and accessories for motor vehicles and their engines</t>
  </si>
  <si>
    <t>Building and repairing of ships</t>
  </si>
  <si>
    <t>Building and repairing of pleasure and sporting boats</t>
  </si>
  <si>
    <t>Manufacture of railway and tramway locomotives and rolling stock</t>
  </si>
  <si>
    <t>Manufacture of aircraft and spacecraft</t>
  </si>
  <si>
    <t>Manufacture of motorcycles</t>
  </si>
  <si>
    <t>Manufacture of bicycles and invalid carriages</t>
  </si>
  <si>
    <t>Manufacture of other transport equipment n.e.c.</t>
  </si>
  <si>
    <t>Manufacture of furniture</t>
  </si>
  <si>
    <t>Manufacture of jewellery and related articles</t>
  </si>
  <si>
    <t>Manufacture of musical instruments</t>
  </si>
  <si>
    <t>Manufacture of sports goods</t>
  </si>
  <si>
    <t>Manufacture of games and toys</t>
  </si>
  <si>
    <t>Other manufacturing n.e.c.</t>
  </si>
  <si>
    <t>Recycling of metal waste and scrap</t>
  </si>
  <si>
    <t>Recycling of non-metal waste and scrap</t>
  </si>
  <si>
    <t>Production, transmission and distribution of electricity</t>
  </si>
  <si>
    <t>Manufacture of gas; distribution of gaseous fuels through mains</t>
  </si>
  <si>
    <t>Steam and hot water supply</t>
  </si>
  <si>
    <t>Collection, purification and distribution of water</t>
  </si>
  <si>
    <t>Site preparation</t>
  </si>
  <si>
    <t>Building of complete constructions or parts thereof; civil engineering</t>
  </si>
  <si>
    <t>Building installation</t>
  </si>
  <si>
    <t>Building completion</t>
  </si>
  <si>
    <t>Renting of construction or demolition equipment with operator</t>
  </si>
  <si>
    <t>Sale of motor vehicles</t>
  </si>
  <si>
    <t>Maintenance and repair of motor vehicles</t>
  </si>
  <si>
    <t>Sale of motor vehicle parts and accessories</t>
  </si>
  <si>
    <t>Sale, maintenance and repair of motorcycles and related parts and accessories</t>
  </si>
  <si>
    <t>Retail sale of automotive fuel</t>
  </si>
  <si>
    <t>Wholesale on a fee or contract basis</t>
  </si>
  <si>
    <t>Wholesale of agricultural raw materials and live animals</t>
  </si>
  <si>
    <t>Wholesale of food, beverages and tobacco</t>
  </si>
  <si>
    <t>Wholesale of textiles, clothing and footwear</t>
  </si>
  <si>
    <t>Wholesale of other household goods</t>
  </si>
  <si>
    <t>Wholesale of solid, liquid and gaseous fuels and related products</t>
  </si>
  <si>
    <t>Wholesale of metals and metal ores</t>
  </si>
  <si>
    <t>Wholesale of construction materials, hardware, plumbing and heating equipment and supplies</t>
  </si>
  <si>
    <t>Wholesale of other intermediate products, waste and scrap</t>
  </si>
  <si>
    <t>Wholesale of computers, computer peripheral equipment and software</t>
  </si>
  <si>
    <t>Wholesale of electronic and telecommunications parts and equipment</t>
  </si>
  <si>
    <t>Wholesale of other machinery, equipment and supplies</t>
  </si>
  <si>
    <t>Other wholesale</t>
  </si>
  <si>
    <t>Retail sale in non-specialized stores with food, beverages or tobacco predominating</t>
  </si>
  <si>
    <t>Other retail sale in non-specialized stores</t>
  </si>
  <si>
    <t>Retail sale of food, beverages and tobacco in specialized stores</t>
  </si>
  <si>
    <t>Retail sale of pharmaceutical and medical goods, cosmetic and toilet articles</t>
  </si>
  <si>
    <t>Retail sale of textiles, clothing, footwear and leather goods</t>
  </si>
  <si>
    <t>Retail sale of household appliances, articles and equipment</t>
  </si>
  <si>
    <t>Retail sale of hardware, paints and glass</t>
  </si>
  <si>
    <t>Other retail sale in specialized stores</t>
  </si>
  <si>
    <t>Retail sale of second-hand goods in stores</t>
  </si>
  <si>
    <t>Retail sale via mail order houses</t>
  </si>
  <si>
    <t>Retail sale via stalls and markets</t>
  </si>
  <si>
    <t>Other non-store retail sale</t>
  </si>
  <si>
    <t>Repair of personal and household goods</t>
  </si>
  <si>
    <t>Hotels; camping sites and other provision of short-stay accommodation</t>
  </si>
  <si>
    <t>Restaurants, bars and canteens</t>
  </si>
  <si>
    <t>Transport via railways</t>
  </si>
  <si>
    <t>Other scheduled passenger land transport</t>
  </si>
  <si>
    <t>Other non-scheduled passenger land transport</t>
  </si>
  <si>
    <t>Freight transport by road</t>
  </si>
  <si>
    <t>Transport via pipelines</t>
  </si>
  <si>
    <t>Sea and coastal water transport</t>
  </si>
  <si>
    <t>Inland water transport</t>
  </si>
  <si>
    <t>Scheduled air transport</t>
  </si>
  <si>
    <t>Non-scheduled air transport</t>
  </si>
  <si>
    <t>Cargo handling</t>
  </si>
  <si>
    <t>Storage and warehousing</t>
  </si>
  <si>
    <t>Other supporting transport activities</t>
  </si>
  <si>
    <t>Activities of travel agencies and tour operators; tourist assistance activities n.e.c.</t>
  </si>
  <si>
    <t>Activities of other transport agencies</t>
  </si>
  <si>
    <t>National post activities</t>
  </si>
  <si>
    <t>Courier activities other than national post activities</t>
  </si>
  <si>
    <t>Telecommunications</t>
  </si>
  <si>
    <t>Central banking</t>
  </si>
  <si>
    <t>Other monetary intermediation</t>
  </si>
  <si>
    <t>Financial leasing</t>
  </si>
  <si>
    <t>Other credit granting</t>
  </si>
  <si>
    <t>Other financial intermediation n.e.c.</t>
  </si>
  <si>
    <t>Life insurance</t>
  </si>
  <si>
    <t>Pension funding</t>
  </si>
  <si>
    <t>Non-life insurance</t>
  </si>
  <si>
    <t>Administration of financial markets</t>
  </si>
  <si>
    <t>Security dealing activities</t>
  </si>
  <si>
    <t>Activities auxiliary to financial intermediation n.e.c.</t>
  </si>
  <si>
    <t>Activities auxiliary to insurance and pension funding</t>
  </si>
  <si>
    <t>Real estate activities with own or leased property</t>
  </si>
  <si>
    <t>Real estate activities on a fee or contract basis</t>
  </si>
  <si>
    <t>Renting of land transport equipment</t>
  </si>
  <si>
    <t>Renting of water transport equipment</t>
  </si>
  <si>
    <t>Renting of air transport equipment</t>
  </si>
  <si>
    <t>Renting of agricultural machinery and equipment</t>
  </si>
  <si>
    <t>Renting of construction and civil engineering machinery and equipment</t>
  </si>
  <si>
    <t>Renting of office machinery and equipment (including computers)</t>
  </si>
  <si>
    <t>Renting of other machinery and equipment n.e.c.</t>
  </si>
  <si>
    <t>Renting of personal and household goods n.e.c.</t>
  </si>
  <si>
    <t>Hardware consultancy</t>
  </si>
  <si>
    <t>Software publishing</t>
  </si>
  <si>
    <t>Other software consultancy and supply</t>
  </si>
  <si>
    <t>Data processing</t>
  </si>
  <si>
    <t>Database activities and online distribution of electronic content</t>
  </si>
  <si>
    <t>Maintenance and repair of office, accounting and computing machinery</t>
  </si>
  <si>
    <t>Other computer-related activities</t>
  </si>
  <si>
    <t>Research and experimental development on natural sciences and engineering (NSE)</t>
  </si>
  <si>
    <t>Research and experimental development on social sciences and humanities (SSH)</t>
  </si>
  <si>
    <t>Legal activities</t>
  </si>
  <si>
    <t>Accounting, bookkeeping and auditing activities; tax consultancy</t>
  </si>
  <si>
    <t>Market research and public opinion polling</t>
  </si>
  <si>
    <t>Business and management consultancy activities</t>
  </si>
  <si>
    <t>Architectural and engineering activities and related technical consultancy</t>
  </si>
  <si>
    <t>Technical testing and analysis</t>
  </si>
  <si>
    <t>Advertising</t>
  </si>
  <si>
    <t>Labour recruitment and provision of personnel</t>
  </si>
  <si>
    <t>Investigation and security activities</t>
  </si>
  <si>
    <t>Building-cleaning and industrial-cleaning activities</t>
  </si>
  <si>
    <t>Photographic activities</t>
  </si>
  <si>
    <t>Packaging activities</t>
  </si>
  <si>
    <t>Other business activities n.e.c.</t>
  </si>
  <si>
    <t>General (overall) public service activities</t>
  </si>
  <si>
    <t>Regulation of the activities of agencies that provide health care, education, cultural services and other social services, excluding social security</t>
  </si>
  <si>
    <t>Regulation of and contribution to more efficient operation of business</t>
  </si>
  <si>
    <t>Supporting service activities for the government as a whole</t>
  </si>
  <si>
    <t>Foreign affairs</t>
  </si>
  <si>
    <t>Defence activities</t>
  </si>
  <si>
    <t>Public order and safety activities</t>
  </si>
  <si>
    <t>Compulsory social security activities</t>
  </si>
  <si>
    <t>Primary education</t>
  </si>
  <si>
    <t>General secondary education</t>
  </si>
  <si>
    <t>Technical and vocational secondary education</t>
  </si>
  <si>
    <t>Higher education</t>
  </si>
  <si>
    <t>Other education</t>
  </si>
  <si>
    <t>Hospital activities</t>
  </si>
  <si>
    <t>Medical and dental practice activities</t>
  </si>
  <si>
    <t>Other human health activities</t>
  </si>
  <si>
    <t>Veterinary activities</t>
  </si>
  <si>
    <t>Social work activities with accommodation</t>
  </si>
  <si>
    <t>Social work activities without accommodation</t>
  </si>
  <si>
    <t>Sewage and refuse disposal, sanitation and similar activities</t>
  </si>
  <si>
    <t>Activities of business and employers organizations</t>
  </si>
  <si>
    <t>Activities of professional organizations</t>
  </si>
  <si>
    <t>Activities of trade unions</t>
  </si>
  <si>
    <t>Activities of religious organizations</t>
  </si>
  <si>
    <t>Activities of political organizations</t>
  </si>
  <si>
    <t>Activities of other membership organizations n.e.c.</t>
  </si>
  <si>
    <t>Motion picture and video production and distribution</t>
  </si>
  <si>
    <t>Motion picture projection</t>
  </si>
  <si>
    <t>Radio and television activities</t>
  </si>
  <si>
    <t>Dramatic arts, music and other arts activities</t>
  </si>
  <si>
    <t>Other entertainment activities n.e.c.</t>
  </si>
  <si>
    <t>News agency activities</t>
  </si>
  <si>
    <t>Library and archives activities</t>
  </si>
  <si>
    <t>Museums activities and preservation of historic sites and buildings</t>
  </si>
  <si>
    <t>Botanical and zoological gardens and nature reserves activities</t>
  </si>
  <si>
    <t>Sporting activities</t>
  </si>
  <si>
    <t>Other recreational activities</t>
  </si>
  <si>
    <t>Washing and (dry-)cleaning of textile and fur products</t>
  </si>
  <si>
    <t>Hairdressing and other beauty treatment</t>
  </si>
  <si>
    <t>Funeral and related activities</t>
  </si>
  <si>
    <t>Other service activities n.e.c.</t>
  </si>
  <si>
    <t>Activities of private households as employers of domestic staff</t>
  </si>
  <si>
    <t>Undifferentiated goods-producing activities of private households for own use</t>
  </si>
  <si>
    <t>Undifferentiated service-producing activities of private households for own use</t>
  </si>
  <si>
    <t>Extraterritorial organizations and bodies</t>
  </si>
  <si>
    <t>Maize</t>
  </si>
  <si>
    <t>Sorghum and millet</t>
  </si>
  <si>
    <t>Rice</t>
  </si>
  <si>
    <t>Wheat and barley</t>
  </si>
  <si>
    <t>Pulses</t>
  </si>
  <si>
    <t>Groundnuts</t>
  </si>
  <si>
    <t>Other oilseeds</t>
  </si>
  <si>
    <t>Cassava</t>
  </si>
  <si>
    <t>Other roots</t>
  </si>
  <si>
    <t>Vegetables</t>
  </si>
  <si>
    <t>Sugar cane</t>
  </si>
  <si>
    <t>Tobacco</t>
  </si>
  <si>
    <t>Cotton and fibres</t>
  </si>
  <si>
    <t>Fruits and nuts</t>
  </si>
  <si>
    <t>Cocoa</t>
  </si>
  <si>
    <t>Coffee</t>
  </si>
  <si>
    <t>Leaf tea</t>
  </si>
  <si>
    <t>Cut flowers</t>
  </si>
  <si>
    <t>Other crops</t>
  </si>
  <si>
    <t>Cattle</t>
  </si>
  <si>
    <t>Raw milk</t>
  </si>
  <si>
    <t>Small ruminants</t>
  </si>
  <si>
    <t>Poultry</t>
  </si>
  <si>
    <t>Other livestock</t>
  </si>
  <si>
    <t>Forestry</t>
  </si>
  <si>
    <t>Coal and lignite</t>
  </si>
  <si>
    <t>Crude oil</t>
  </si>
  <si>
    <t>Natural gas</t>
  </si>
  <si>
    <t>Other mining</t>
  </si>
  <si>
    <t>Meat processing</t>
  </si>
  <si>
    <t>Fish and seafood processing</t>
  </si>
  <si>
    <t>Fruit and vegetable processing</t>
  </si>
  <si>
    <t>Fats and oils</t>
  </si>
  <si>
    <t>Dairy</t>
  </si>
  <si>
    <t>Grain milling</t>
  </si>
  <si>
    <t>Sugar refining</t>
  </si>
  <si>
    <t>Other foods</t>
  </si>
  <si>
    <t>Animal feed</t>
  </si>
  <si>
    <t>Beverages</t>
  </si>
  <si>
    <t>Tobacco processing</t>
  </si>
  <si>
    <t>Textiles</t>
  </si>
  <si>
    <t>Clothing</t>
  </si>
  <si>
    <t>Leather and footwear</t>
  </si>
  <si>
    <t>Wood products</t>
  </si>
  <si>
    <t>Paper products and publishing</t>
  </si>
  <si>
    <t>Petroleum products</t>
  </si>
  <si>
    <t>Fertilizers and herbicides</t>
  </si>
  <si>
    <t>Other chemicals</t>
  </si>
  <si>
    <t>Non-metal minerals</t>
  </si>
  <si>
    <t>Metals and metal products</t>
  </si>
  <si>
    <t>Electrical equipment</t>
  </si>
  <si>
    <t>Machinery and other equipment</t>
  </si>
  <si>
    <t>Vehicles and transport equipment</t>
  </si>
  <si>
    <t>Other manufacturing</t>
  </si>
  <si>
    <t>Electricity, gas and steam</t>
  </si>
  <si>
    <t>Water supply and sewage</t>
  </si>
  <si>
    <t>Construction</t>
  </si>
  <si>
    <t>Wholesale and retail trade</t>
  </si>
  <si>
    <t>Transportation and storage</t>
  </si>
  <si>
    <t>Accommodation and food services</t>
  </si>
  <si>
    <t>Information and communication</t>
  </si>
  <si>
    <t>Finance and insurance</t>
  </si>
  <si>
    <t>Real estate activities</t>
  </si>
  <si>
    <t>Business services</t>
  </si>
  <si>
    <t>Public administration</t>
  </si>
  <si>
    <t>Education</t>
  </si>
  <si>
    <t>Health and social work</t>
  </si>
  <si>
    <t>Other services</t>
  </si>
  <si>
    <t>Old EICV3 (58 sectors, need revision)</t>
  </si>
  <si>
    <t>EICV4 (70 sectors)</t>
  </si>
  <si>
    <t xml:space="preserve"> s8bq0</t>
  </si>
  <si>
    <t xml:space="preserve">Purchased </t>
  </si>
  <si>
    <t>sections</t>
  </si>
  <si>
    <t>s7eq2</t>
  </si>
  <si>
    <t xml:space="preserve">Home produced </t>
  </si>
  <si>
    <t>item_p</t>
  </si>
  <si>
    <t xml:space="preserve">Inkind payment section (6c and 9b) </t>
  </si>
  <si>
    <t>House maintainance, extension, construction</t>
  </si>
  <si>
    <t>Water section 5</t>
  </si>
  <si>
    <t>tax</t>
  </si>
  <si>
    <t>See map_purchase_homeprod worksheet</t>
  </si>
  <si>
    <t>s9bq1</t>
  </si>
  <si>
    <t>Transfer to other households</t>
  </si>
  <si>
    <t>Old no.</t>
  </si>
  <si>
    <t>New no.</t>
  </si>
  <si>
    <t>A</t>
  </si>
  <si>
    <t>C</t>
  </si>
  <si>
    <t>Name</t>
  </si>
  <si>
    <t>amaiz</t>
  </si>
  <si>
    <t>cmaiz</t>
  </si>
  <si>
    <t>asorg</t>
  </si>
  <si>
    <t>csorg</t>
  </si>
  <si>
    <t>arice</t>
  </si>
  <si>
    <t>crice</t>
  </si>
  <si>
    <t>awhea</t>
  </si>
  <si>
    <t>cwhea</t>
  </si>
  <si>
    <t>aocer</t>
  </si>
  <si>
    <t>cocer</t>
  </si>
  <si>
    <t>apuls</t>
  </si>
  <si>
    <t>cpuls</t>
  </si>
  <si>
    <t>agnut</t>
  </si>
  <si>
    <t>cgnut</t>
  </si>
  <si>
    <t>aoils</t>
  </si>
  <si>
    <t>coils</t>
  </si>
  <si>
    <t>acass</t>
  </si>
  <si>
    <t>ccass</t>
  </si>
  <si>
    <t>aipot</t>
  </si>
  <si>
    <t>Irish potatoes</t>
  </si>
  <si>
    <t>aspot</t>
  </si>
  <si>
    <t>Sweet potatoes</t>
  </si>
  <si>
    <t>aroot</t>
  </si>
  <si>
    <t>croot</t>
  </si>
  <si>
    <t>avege</t>
  </si>
  <si>
    <t>cvege</t>
  </si>
  <si>
    <t>asugr</t>
  </si>
  <si>
    <t>csugr</t>
  </si>
  <si>
    <t>atoba</t>
  </si>
  <si>
    <t>ctoba</t>
  </si>
  <si>
    <t>acott</t>
  </si>
  <si>
    <t>ccott</t>
  </si>
  <si>
    <t>afrui</t>
  </si>
  <si>
    <t>cfrui</t>
  </si>
  <si>
    <t>abana</t>
  </si>
  <si>
    <t>cbana</t>
  </si>
  <si>
    <t>Bananas and plantains</t>
  </si>
  <si>
    <t>acoco</t>
  </si>
  <si>
    <t>ccoco</t>
  </si>
  <si>
    <t>acoff</t>
  </si>
  <si>
    <t>ccoff</t>
  </si>
  <si>
    <t>ateal</t>
  </si>
  <si>
    <t>cteal</t>
  </si>
  <si>
    <t>aflwr</t>
  </si>
  <si>
    <t>cflwr</t>
  </si>
  <si>
    <t>apyre</t>
  </si>
  <si>
    <t>cpyre</t>
  </si>
  <si>
    <t>Pyrethium</t>
  </si>
  <si>
    <t>aocrp</t>
  </si>
  <si>
    <t>cocrp</t>
  </si>
  <si>
    <t>acatt</t>
  </si>
  <si>
    <t>ccatt</t>
  </si>
  <si>
    <t>amilk</t>
  </si>
  <si>
    <t>cmilk</t>
  </si>
  <si>
    <t>asmlr</t>
  </si>
  <si>
    <t>csmlr</t>
  </si>
  <si>
    <t>apoul</t>
  </si>
  <si>
    <t>cpoul</t>
  </si>
  <si>
    <t>aeggs</t>
  </si>
  <si>
    <t>ceggs</t>
  </si>
  <si>
    <t>aoliv</t>
  </si>
  <si>
    <t>coliv</t>
  </si>
  <si>
    <t>afore</t>
  </si>
  <si>
    <t>cfore</t>
  </si>
  <si>
    <t>afish</t>
  </si>
  <si>
    <t>cfish</t>
  </si>
  <si>
    <t>acoal</t>
  </si>
  <si>
    <t>ccoal</t>
  </si>
  <si>
    <t>acoil</t>
  </si>
  <si>
    <t>ccoil</t>
  </si>
  <si>
    <t>angas</t>
  </si>
  <si>
    <t>cngas</t>
  </si>
  <si>
    <t>aomin</t>
  </si>
  <si>
    <t>comin</t>
  </si>
  <si>
    <t>ameat</t>
  </si>
  <si>
    <t>cmeat</t>
  </si>
  <si>
    <t>afsea</t>
  </si>
  <si>
    <t>cfsea</t>
  </si>
  <si>
    <t>afveg</t>
  </si>
  <si>
    <t>cfveg</t>
  </si>
  <si>
    <t>afoil</t>
  </si>
  <si>
    <t>cfoil</t>
  </si>
  <si>
    <t>adair</t>
  </si>
  <si>
    <t>cdair</t>
  </si>
  <si>
    <t>agmll</t>
  </si>
  <si>
    <t>cgmll</t>
  </si>
  <si>
    <t>asref</t>
  </si>
  <si>
    <t>csref</t>
  </si>
  <si>
    <t>apcof</t>
  </si>
  <si>
    <t>Coffee processing</t>
  </si>
  <si>
    <t>aptea</t>
  </si>
  <si>
    <t>Tea processing</t>
  </si>
  <si>
    <t>afood</t>
  </si>
  <si>
    <t>cfood</t>
  </si>
  <si>
    <t>afeed</t>
  </si>
  <si>
    <t>cfeed</t>
  </si>
  <si>
    <t>abeve</t>
  </si>
  <si>
    <t>cbeve</t>
  </si>
  <si>
    <t>aptob</t>
  </si>
  <si>
    <t>cptob</t>
  </si>
  <si>
    <t>atext</t>
  </si>
  <si>
    <t>ctext</t>
  </si>
  <si>
    <t>aclth</t>
  </si>
  <si>
    <t>cclth</t>
  </si>
  <si>
    <t>aleat</t>
  </si>
  <si>
    <t>cleat</t>
  </si>
  <si>
    <t>awood</t>
  </si>
  <si>
    <t>cwood</t>
  </si>
  <si>
    <t>apapr</t>
  </si>
  <si>
    <t>cpapr</t>
  </si>
  <si>
    <t>apetr</t>
  </si>
  <si>
    <t>cpetr</t>
  </si>
  <si>
    <t>afert</t>
  </si>
  <si>
    <t>cfert</t>
  </si>
  <si>
    <t>achem</t>
  </si>
  <si>
    <t>cchem</t>
  </si>
  <si>
    <t>anmet</t>
  </si>
  <si>
    <t>cnmet</t>
  </si>
  <si>
    <t>ametl</t>
  </si>
  <si>
    <t>cmetl</t>
  </si>
  <si>
    <t>aequi</t>
  </si>
  <si>
    <t>cequi</t>
  </si>
  <si>
    <t>amach</t>
  </si>
  <si>
    <t>cmach</t>
  </si>
  <si>
    <t>avehi</t>
  </si>
  <si>
    <t>cvehi</t>
  </si>
  <si>
    <t>aoman</t>
  </si>
  <si>
    <t>coman</t>
  </si>
  <si>
    <t>aelec</t>
  </si>
  <si>
    <t>celec</t>
  </si>
  <si>
    <t>awatr</t>
  </si>
  <si>
    <t>cwatr</t>
  </si>
  <si>
    <t>acons</t>
  </si>
  <si>
    <t>ccons</t>
  </si>
  <si>
    <t>atrad</t>
  </si>
  <si>
    <t>ctrad</t>
  </si>
  <si>
    <t>atran</t>
  </si>
  <si>
    <t>ctran</t>
  </si>
  <si>
    <t>ahotl</t>
  </si>
  <si>
    <t>chotl</t>
  </si>
  <si>
    <t>acomm</t>
  </si>
  <si>
    <t>ccomm</t>
  </si>
  <si>
    <t>afsrv</t>
  </si>
  <si>
    <t>cfsrv</t>
  </si>
  <si>
    <t>areal</t>
  </si>
  <si>
    <t>creal</t>
  </si>
  <si>
    <t>absrv</t>
  </si>
  <si>
    <t>cbsrv</t>
  </si>
  <si>
    <t>apadm</t>
  </si>
  <si>
    <t>cpadm</t>
  </si>
  <si>
    <t>aeduc</t>
  </si>
  <si>
    <t>ceduc</t>
  </si>
  <si>
    <t>aheal</t>
  </si>
  <si>
    <t>cheal</t>
  </si>
  <si>
    <t>aosrv</t>
  </si>
  <si>
    <t>cosrv</t>
  </si>
  <si>
    <t>ipot</t>
  </si>
  <si>
    <t>spot</t>
  </si>
  <si>
    <t>bana</t>
  </si>
  <si>
    <t>pcof</t>
  </si>
  <si>
    <t>ptea</t>
  </si>
  <si>
    <t>EICV3</t>
  </si>
  <si>
    <t>EICV4</t>
  </si>
  <si>
    <t>EICV3 final</t>
  </si>
  <si>
    <t>EICV4 final</t>
  </si>
  <si>
    <t>Home produced EICV3</t>
  </si>
  <si>
    <t>map purchase-homeprod EICV3</t>
  </si>
  <si>
    <t>map EICV4-EICV3</t>
  </si>
  <si>
    <t>small sized fish (dry)</t>
  </si>
  <si>
    <t>item_eicv3</t>
  </si>
  <si>
    <t>valt</t>
  </si>
  <si>
    <t>valh</t>
  </si>
  <si>
    <t>Inkind payment section (6c and 9b)</t>
  </si>
  <si>
    <t>inkd</t>
  </si>
  <si>
    <t>ALL PRODUCTS</t>
  </si>
  <si>
    <t>00</t>
  </si>
  <si>
    <t>FOOD AND NON-ALCOHOLIC BEVERAGES</t>
  </si>
  <si>
    <t>01</t>
  </si>
  <si>
    <t>Food</t>
  </si>
  <si>
    <t>01.1</t>
  </si>
  <si>
    <t>Bread and cereals</t>
  </si>
  <si>
    <t>01.1.1</t>
  </si>
  <si>
    <t>01.1.1.1</t>
  </si>
  <si>
    <t>Flours and other cereals</t>
  </si>
  <si>
    <t>01.1.1.2</t>
  </si>
  <si>
    <t>01.1.1.3</t>
  </si>
  <si>
    <t>Other bakery products</t>
  </si>
  <si>
    <t>01.1.1.4</t>
  </si>
  <si>
    <t>Pizza and quiche</t>
  </si>
  <si>
    <t>01.1.1.5</t>
  </si>
  <si>
    <t>Pasta products and couscous</t>
  </si>
  <si>
    <t>01.1.1.6</t>
  </si>
  <si>
    <t>Breakfast cereals</t>
  </si>
  <si>
    <t>01.1.1.7</t>
  </si>
  <si>
    <t>Other cereal products</t>
  </si>
  <si>
    <t>01.1.1.8</t>
  </si>
  <si>
    <t>Meat</t>
  </si>
  <si>
    <t>01.1.2</t>
  </si>
  <si>
    <t>Beef and veal</t>
  </si>
  <si>
    <t>01.1.2.1</t>
  </si>
  <si>
    <t>Pork</t>
  </si>
  <si>
    <t>01.1.2.2</t>
  </si>
  <si>
    <t>Lamb and goat</t>
  </si>
  <si>
    <t>01.1.2.3</t>
  </si>
  <si>
    <t>01.1.2.4</t>
  </si>
  <si>
    <t>Other meats</t>
  </si>
  <si>
    <t>01.1.2.5</t>
  </si>
  <si>
    <t>Edible offal</t>
  </si>
  <si>
    <t>01.1.2.6</t>
  </si>
  <si>
    <t>Dried, salted or smoked meat</t>
  </si>
  <si>
    <t>01.1.2.7</t>
  </si>
  <si>
    <t>Other meat preparations</t>
  </si>
  <si>
    <t>01.1.2.8</t>
  </si>
  <si>
    <t>Fish and seafood</t>
  </si>
  <si>
    <t>01.1.3</t>
  </si>
  <si>
    <t>Fresh or chilled fish</t>
  </si>
  <si>
    <t>01.1.3.1</t>
  </si>
  <si>
    <t>Frozen fish</t>
  </si>
  <si>
    <t>01.1.3.2</t>
  </si>
  <si>
    <t>Fresh or chilled seafood</t>
  </si>
  <si>
    <t>01.1.3.3</t>
  </si>
  <si>
    <t>Frozen seafood</t>
  </si>
  <si>
    <t>01.1.3.4</t>
  </si>
  <si>
    <t>Dried, smoked or salted fish and seafood</t>
  </si>
  <si>
    <t>01.1.3.5</t>
  </si>
  <si>
    <t>Other preserved or processed fish and seafood-based preparations</t>
  </si>
  <si>
    <t>01.1.3.6</t>
  </si>
  <si>
    <t>Milk, cheese and eggs</t>
  </si>
  <si>
    <t>01.1.4</t>
  </si>
  <si>
    <t>Milk, whole, fresh</t>
  </si>
  <si>
    <t>01.1.4.1</t>
  </si>
  <si>
    <t>Milk, low fat, fresh</t>
  </si>
  <si>
    <t>01.1.4.2</t>
  </si>
  <si>
    <t>Milk, preserved</t>
  </si>
  <si>
    <t>01.1.4.3</t>
  </si>
  <si>
    <t>Yoghurt</t>
  </si>
  <si>
    <t>01.1.4.4</t>
  </si>
  <si>
    <t>Cheese and curd</t>
  </si>
  <si>
    <t>01.1.4.5</t>
  </si>
  <si>
    <t>Other milk products</t>
  </si>
  <si>
    <t>01.1.4.6</t>
  </si>
  <si>
    <t>01.1.4.7</t>
  </si>
  <si>
    <t>Oils and fats</t>
  </si>
  <si>
    <t>01.1.5</t>
  </si>
  <si>
    <t>Butter</t>
  </si>
  <si>
    <t>01.1.5.1</t>
  </si>
  <si>
    <t>Margarine and other vegetable fats</t>
  </si>
  <si>
    <t>01.1.5.2</t>
  </si>
  <si>
    <t>Olive oil</t>
  </si>
  <si>
    <t>01.1.5.3</t>
  </si>
  <si>
    <t>Other edible oils</t>
  </si>
  <si>
    <t>01.1.5.4</t>
  </si>
  <si>
    <t>Other edible animal fats</t>
  </si>
  <si>
    <t>01.1.5.5</t>
  </si>
  <si>
    <t>Fruit</t>
  </si>
  <si>
    <t>01.1.6</t>
  </si>
  <si>
    <t>Fresh or chilled fruit</t>
  </si>
  <si>
    <t>01.1.6.1</t>
  </si>
  <si>
    <t>Frozen fruit</t>
  </si>
  <si>
    <t>01.1.6.2</t>
  </si>
  <si>
    <t>Dried fruit and nuts</t>
  </si>
  <si>
    <t>01.1.6.3</t>
  </si>
  <si>
    <t>Preserved fruit and fruit-based products</t>
  </si>
  <si>
    <t>01.1.6.4</t>
  </si>
  <si>
    <t>01.1.7</t>
  </si>
  <si>
    <t>Fresh or chilled vegetables other than potatoes and other tubers</t>
  </si>
  <si>
    <t>01.1.7.1</t>
  </si>
  <si>
    <t>Frozen vegetables other than potatoes and other tubers</t>
  </si>
  <si>
    <t>01.1.7.2</t>
  </si>
  <si>
    <t>Dried vegetables, other preserved or processed vegetables</t>
  </si>
  <si>
    <t>01.1.7.3</t>
  </si>
  <si>
    <t>Potatoes</t>
  </si>
  <si>
    <t>01.1.7.4</t>
  </si>
  <si>
    <t>Crisps</t>
  </si>
  <si>
    <t>01.1.7.5</t>
  </si>
  <si>
    <t>Other tubers and products of tuber vegetables</t>
  </si>
  <si>
    <t>01.1.7.6</t>
  </si>
  <si>
    <t>Sugar, jam, honey, chocolate and confectionery</t>
  </si>
  <si>
    <t>01.1.8</t>
  </si>
  <si>
    <t>Sugar</t>
  </si>
  <si>
    <t>01.1.8.1</t>
  </si>
  <si>
    <t>Jams, marmalades and honey</t>
  </si>
  <si>
    <t>01.1.8.2</t>
  </si>
  <si>
    <t>01.1.8.3</t>
  </si>
  <si>
    <t>Confectionery products</t>
  </si>
  <si>
    <t>01.1.8.4</t>
  </si>
  <si>
    <t>Edible ices and ice cream</t>
  </si>
  <si>
    <t>01.1.8.5</t>
  </si>
  <si>
    <t>Artificial sugar substitutes</t>
  </si>
  <si>
    <t>01.1.8.6</t>
  </si>
  <si>
    <t>Food products n.e.c.</t>
  </si>
  <si>
    <t>01.1.9</t>
  </si>
  <si>
    <t>Sauces, condiments</t>
  </si>
  <si>
    <t>01.1.9.1</t>
  </si>
  <si>
    <t>Salt, spices and culinary herbs</t>
  </si>
  <si>
    <t>01.1.9.2</t>
  </si>
  <si>
    <t>01.1.9.3</t>
  </si>
  <si>
    <t>Ready-made meals</t>
  </si>
  <si>
    <t>01.1.9.4</t>
  </si>
  <si>
    <t>Other food products n.e.c.</t>
  </si>
  <si>
    <t>01.1.9.9</t>
  </si>
  <si>
    <t>Non-alcoholic beverages</t>
  </si>
  <si>
    <t>01.2</t>
  </si>
  <si>
    <t>Coffee, tea and cocoa</t>
  </si>
  <si>
    <t>01.2.1</t>
  </si>
  <si>
    <t>01.2.1.1</t>
  </si>
  <si>
    <t>Tea</t>
  </si>
  <si>
    <t>01.2.1.2</t>
  </si>
  <si>
    <t>Cocoa and powdered chocolate</t>
  </si>
  <si>
    <t>01.2.1.3</t>
  </si>
  <si>
    <t>Mineral waters, soft drinks, fruit and vegetable juices</t>
  </si>
  <si>
    <t>01.2.2</t>
  </si>
  <si>
    <t>Mineral or spring waters</t>
  </si>
  <si>
    <t>01.2.2.1</t>
  </si>
  <si>
    <t>Soft drinks</t>
  </si>
  <si>
    <t>01.2.2.2</t>
  </si>
  <si>
    <t>Fruit and vegetable juices</t>
  </si>
  <si>
    <t>01.2.2.3</t>
  </si>
  <si>
    <t>ALCOHOLIC BEVERAGES, TOBACCO AND NARCOTICS</t>
  </si>
  <si>
    <t>02</t>
  </si>
  <si>
    <t>Alcoholic beverages</t>
  </si>
  <si>
    <t>02.1</t>
  </si>
  <si>
    <t>Spirits</t>
  </si>
  <si>
    <t>02.1.1</t>
  </si>
  <si>
    <t>Spirits and liqueurs</t>
  </si>
  <si>
    <t>02.1.1.1</t>
  </si>
  <si>
    <t>Alcoholic soft drinks</t>
  </si>
  <si>
    <t>02.1.1.2</t>
  </si>
  <si>
    <t>Wine</t>
  </si>
  <si>
    <t>02.1.2</t>
  </si>
  <si>
    <t>Wine from grapes</t>
  </si>
  <si>
    <t>02.1.2.1</t>
  </si>
  <si>
    <t>Wine from other fruits</t>
  </si>
  <si>
    <t>02.1.2.2</t>
  </si>
  <si>
    <t>Fortified wines</t>
  </si>
  <si>
    <t>02.1.2.3</t>
  </si>
  <si>
    <t>Wine-based drinks</t>
  </si>
  <si>
    <t>02.1.2.4</t>
  </si>
  <si>
    <t>Beer</t>
  </si>
  <si>
    <t>02.1.3</t>
  </si>
  <si>
    <t>Lager beer</t>
  </si>
  <si>
    <t>02.1.3.1</t>
  </si>
  <si>
    <t>Other alcoholic beer</t>
  </si>
  <si>
    <t>02.1.3.2</t>
  </si>
  <si>
    <t>Low and non-alcoholic beer</t>
  </si>
  <si>
    <t>02.1.3.3</t>
  </si>
  <si>
    <t>Beer-based drinks</t>
  </si>
  <si>
    <t>02.1.3.4</t>
  </si>
  <si>
    <t>02.2</t>
  </si>
  <si>
    <t>02.2.0</t>
  </si>
  <si>
    <t>02.2.0.1</t>
  </si>
  <si>
    <t>Cigars</t>
  </si>
  <si>
    <t>02.2.0.2</t>
  </si>
  <si>
    <t>Other tobacco products</t>
  </si>
  <si>
    <t>02.2.0.3</t>
  </si>
  <si>
    <t>Narcotics</t>
  </si>
  <si>
    <t>02.3</t>
  </si>
  <si>
    <t>02.3.0</t>
  </si>
  <si>
    <t>02.3.0.0</t>
  </si>
  <si>
    <t>CLOTHING AND FOOTWEAR</t>
  </si>
  <si>
    <t>03</t>
  </si>
  <si>
    <t>03.1</t>
  </si>
  <si>
    <t>Clothing materials</t>
  </si>
  <si>
    <t>03.1.1</t>
  </si>
  <si>
    <t>03.1.1.0</t>
  </si>
  <si>
    <t>Garments</t>
  </si>
  <si>
    <t>03.1.2</t>
  </si>
  <si>
    <t>Garments for men</t>
  </si>
  <si>
    <t>03.1.2.1</t>
  </si>
  <si>
    <t>Garments for women</t>
  </si>
  <si>
    <t>03.1.2.2</t>
  </si>
  <si>
    <t>Garments for infants (0 to 2 years) and children (3 to 13 years)</t>
  </si>
  <si>
    <t>03.1.2.3</t>
  </si>
  <si>
    <t>Other articles of clothing and clothing accessories</t>
  </si>
  <si>
    <t>03.1.3</t>
  </si>
  <si>
    <t>Other articles of clothing</t>
  </si>
  <si>
    <t>03.1.3.1</t>
  </si>
  <si>
    <t>Clothing accessories</t>
  </si>
  <si>
    <t>03.1.3.2</t>
  </si>
  <si>
    <t>Cleaning, repair and hire of clothing</t>
  </si>
  <si>
    <t>03.1.4</t>
  </si>
  <si>
    <t>Cleaning of clothing</t>
  </si>
  <si>
    <t>03.1.4.1</t>
  </si>
  <si>
    <t>Repair and hire of clothing</t>
  </si>
  <si>
    <t>03.1.4.2</t>
  </si>
  <si>
    <t>Footwear</t>
  </si>
  <si>
    <t>03.2</t>
  </si>
  <si>
    <t>Shoes and other footwear</t>
  </si>
  <si>
    <t>03.2.1</t>
  </si>
  <si>
    <t>Footwear for men</t>
  </si>
  <si>
    <t>03.2.1.1</t>
  </si>
  <si>
    <t>Footwear for women</t>
  </si>
  <si>
    <t>03.2.1.2</t>
  </si>
  <si>
    <t>Footwear for infants and children</t>
  </si>
  <si>
    <t>03.2.1.3</t>
  </si>
  <si>
    <t>Repair and hire of footwear</t>
  </si>
  <si>
    <t>03.2.2</t>
  </si>
  <si>
    <t>03.2.2.0</t>
  </si>
  <si>
    <t>HOUSING, WATER, ELECTRICITY, GAS AND OTHER FUELS</t>
  </si>
  <si>
    <t>04</t>
  </si>
  <si>
    <t>Actual rentals for housing</t>
  </si>
  <si>
    <t>04.1</t>
  </si>
  <si>
    <t>Actual rentals paid by tenants</t>
  </si>
  <si>
    <t>04.1.1</t>
  </si>
  <si>
    <t>04.1.1.0</t>
  </si>
  <si>
    <t>Other actual rentals</t>
  </si>
  <si>
    <t>04.1.2</t>
  </si>
  <si>
    <t>Actual rentals paid by tenants for secondary residences</t>
  </si>
  <si>
    <t>04.1.2.1</t>
  </si>
  <si>
    <t>Garage rentals and other rentals paid by tenants</t>
  </si>
  <si>
    <t>04.1.2.2</t>
  </si>
  <si>
    <t>Imputed rentals for housing</t>
  </si>
  <si>
    <t>04.2</t>
  </si>
  <si>
    <t>Imputed rentals of owner-occupiers</t>
  </si>
  <si>
    <t>04.2.1</t>
  </si>
  <si>
    <t>04.2.1.0</t>
  </si>
  <si>
    <t>Other imputed rentals</t>
  </si>
  <si>
    <t>04.2.2</t>
  </si>
  <si>
    <t>04.2.2.0</t>
  </si>
  <si>
    <t>Maintenance and repair of the dwelling</t>
  </si>
  <si>
    <t>04.3</t>
  </si>
  <si>
    <t>Materials for the maintenance and repair of the dwelling</t>
  </si>
  <si>
    <t>04.3.1</t>
  </si>
  <si>
    <t>04.3.1.0</t>
  </si>
  <si>
    <t>Services for the maintenance and repair of the dwelling</t>
  </si>
  <si>
    <t>04.3.2</t>
  </si>
  <si>
    <t>Services of plumbers</t>
  </si>
  <si>
    <t>04.3.2.1</t>
  </si>
  <si>
    <t>Services of electricians</t>
  </si>
  <si>
    <t>04.3.2.2</t>
  </si>
  <si>
    <t>Maintenance services for heating systems</t>
  </si>
  <si>
    <t>04.3.2.3</t>
  </si>
  <si>
    <t>Services of painters</t>
  </si>
  <si>
    <t>04.3.2.4</t>
  </si>
  <si>
    <t>Services of carpenters</t>
  </si>
  <si>
    <t>04.3.2.5</t>
  </si>
  <si>
    <t>Other services for maintenance and repair of the dwelling</t>
  </si>
  <si>
    <t>04.3.2.9</t>
  </si>
  <si>
    <t>Water supply and miscellaneous services relating to the dwelling</t>
  </si>
  <si>
    <t>04.4</t>
  </si>
  <si>
    <t>Water supply</t>
  </si>
  <si>
    <t>04.4.1</t>
  </si>
  <si>
    <t>04.4.1.0</t>
  </si>
  <si>
    <t>Refuse collection</t>
  </si>
  <si>
    <t>04.4.2</t>
  </si>
  <si>
    <t>04.4.2.0</t>
  </si>
  <si>
    <t>Sewage collection</t>
  </si>
  <si>
    <t>04.4.3</t>
  </si>
  <si>
    <t>04.4.3.0</t>
  </si>
  <si>
    <t>Other services relating to the dwelling n.e.c.</t>
  </si>
  <si>
    <t>04.4.4</t>
  </si>
  <si>
    <t>Maintenance charges in multi-occupied buildings</t>
  </si>
  <si>
    <t>04.4.4.1</t>
  </si>
  <si>
    <t>04.4.4.2</t>
  </si>
  <si>
    <t>Other services related to dwelling</t>
  </si>
  <si>
    <t>04.4.4.9</t>
  </si>
  <si>
    <t>Electricity, gas and other fuels</t>
  </si>
  <si>
    <t>04.5</t>
  </si>
  <si>
    <t>Electricity</t>
  </si>
  <si>
    <t>04.5.1</t>
  </si>
  <si>
    <t>04.5.1.0</t>
  </si>
  <si>
    <t>Gas</t>
  </si>
  <si>
    <t>04.5.2</t>
  </si>
  <si>
    <t>Natural gas and town gas</t>
  </si>
  <si>
    <t>04.5.2.1</t>
  </si>
  <si>
    <t>Liquefied hydrocarbons (butane, propane, etc.)</t>
  </si>
  <si>
    <t>04.5.2.2</t>
  </si>
  <si>
    <t>Liquid fuels</t>
  </si>
  <si>
    <t>04.5.3</t>
  </si>
  <si>
    <t>04.5.3.0</t>
  </si>
  <si>
    <t>Solid fuels</t>
  </si>
  <si>
    <t>04.5.4</t>
  </si>
  <si>
    <t>Coal</t>
  </si>
  <si>
    <t>04.5.4.1</t>
  </si>
  <si>
    <t>Other solid fuels</t>
  </si>
  <si>
    <t>04.5.4.9</t>
  </si>
  <si>
    <t>Heat energy</t>
  </si>
  <si>
    <t>04.5.5</t>
  </si>
  <si>
    <t>04.5.5.0</t>
  </si>
  <si>
    <t>FURNISHINGS, HOUSEHOLD EQUIPMENT AND ROUTINE HOUSEHOLD MAINTENANCE</t>
  </si>
  <si>
    <t>05</t>
  </si>
  <si>
    <t>Furniture and furnishings, carpets and other floor coverings</t>
  </si>
  <si>
    <t>05.1</t>
  </si>
  <si>
    <t>Furniture and furnishings</t>
  </si>
  <si>
    <t>05.1.1</t>
  </si>
  <si>
    <t>Household furniture</t>
  </si>
  <si>
    <t>05.1.1.1</t>
  </si>
  <si>
    <t>Garden furniture</t>
  </si>
  <si>
    <t>05.1.1.2</t>
  </si>
  <si>
    <t>Lighting equipment</t>
  </si>
  <si>
    <t>05.1.1.3</t>
  </si>
  <si>
    <t>Other furniture and furnishings</t>
  </si>
  <si>
    <t>05.1.1.9</t>
  </si>
  <si>
    <t>Carpets and other floor coverings</t>
  </si>
  <si>
    <t>05.1.2</t>
  </si>
  <si>
    <t>Carpets and rugs</t>
  </si>
  <si>
    <t>05.1.2.1</t>
  </si>
  <si>
    <t>Other floor coverings</t>
  </si>
  <si>
    <t>05.1.2.2</t>
  </si>
  <si>
    <t>Services of laying of fitted carpets and floor coverings</t>
  </si>
  <si>
    <t>05.1.2.3</t>
  </si>
  <si>
    <t>Repair of furniture, furnishings and floor coverings</t>
  </si>
  <si>
    <t>05.1.3</t>
  </si>
  <si>
    <t>05.1.3.0</t>
  </si>
  <si>
    <t>Household textiles</t>
  </si>
  <si>
    <t>05.2</t>
  </si>
  <si>
    <t>05.2.0</t>
  </si>
  <si>
    <t>Furnishing fabrics and curtains</t>
  </si>
  <si>
    <t>05.2.0.1</t>
  </si>
  <si>
    <t>Bed linen</t>
  </si>
  <si>
    <t>05.2.0.2</t>
  </si>
  <si>
    <t>Table linen and bathroom linen</t>
  </si>
  <si>
    <t>05.2.0.3</t>
  </si>
  <si>
    <t>Repair of household textiles</t>
  </si>
  <si>
    <t>05.2.0.4</t>
  </si>
  <si>
    <t>05.2.0.9</t>
  </si>
  <si>
    <t>Household appliances</t>
  </si>
  <si>
    <t>05.3</t>
  </si>
  <si>
    <t>Major household appliances whether electric or not</t>
  </si>
  <si>
    <t>05.3.1</t>
  </si>
  <si>
    <t>Refrigerators, freezers and fridge-freezers</t>
  </si>
  <si>
    <t>05.3.1.1</t>
  </si>
  <si>
    <t>Clothes washing machines, clothes drying machines and dish washing machines</t>
  </si>
  <si>
    <t>05.3.1.2</t>
  </si>
  <si>
    <t>Cookers</t>
  </si>
  <si>
    <t>05.3.1.3</t>
  </si>
  <si>
    <t>Heaters, air conditioners</t>
  </si>
  <si>
    <t>05.3.1.4</t>
  </si>
  <si>
    <t>Cleaning equipment</t>
  </si>
  <si>
    <t>05.3.1.5</t>
  </si>
  <si>
    <t>Other major household appliances</t>
  </si>
  <si>
    <t>05.3.1.9</t>
  </si>
  <si>
    <t>Small electric household appliances</t>
  </si>
  <si>
    <t>05.3.2</t>
  </si>
  <si>
    <t>Food processing appliances</t>
  </si>
  <si>
    <t>05.3.2.1</t>
  </si>
  <si>
    <t>Coffee machines, tea makers and similar appliances</t>
  </si>
  <si>
    <t>05.3.2.2</t>
  </si>
  <si>
    <t>Irons</t>
  </si>
  <si>
    <t>05.3.2.3</t>
  </si>
  <si>
    <t>Toasters and grills</t>
  </si>
  <si>
    <t>05.3.2.4</t>
  </si>
  <si>
    <t>Other small electric household appliances</t>
  </si>
  <si>
    <t>05.3.2.9</t>
  </si>
  <si>
    <t>05.3.3</t>
  </si>
  <si>
    <t>05.3.3.0</t>
  </si>
  <si>
    <t>Glassware, tableware and household utensils</t>
  </si>
  <si>
    <t>05.4</t>
  </si>
  <si>
    <t>05.4.0</t>
  </si>
  <si>
    <t>Glassware, crystal-ware, ceramic ware and chinaware</t>
  </si>
  <si>
    <t>05.4.0.1</t>
  </si>
  <si>
    <t>05.4.0.2</t>
  </si>
  <si>
    <t>Non-electric kitchen utensils and articles</t>
  </si>
  <si>
    <t>05.4.0.3</t>
  </si>
  <si>
    <t>Repair of glassware, tableware and household utensils</t>
  </si>
  <si>
    <t>05.4.0.4</t>
  </si>
  <si>
    <t>Tools and equipment for house and garden</t>
  </si>
  <si>
    <t>05.5</t>
  </si>
  <si>
    <t>Major tools and equipment</t>
  </si>
  <si>
    <t>05.5.1</t>
  </si>
  <si>
    <t>Motorized major tools and equipment</t>
  </si>
  <si>
    <t>05.5.1.1</t>
  </si>
  <si>
    <t>Repair, leasing and rental of major tools and equipment</t>
  </si>
  <si>
    <t>05.5.1.2</t>
  </si>
  <si>
    <t>Small tools and miscellaneous accessories</t>
  </si>
  <si>
    <t>05.5.2</t>
  </si>
  <si>
    <t>Non-motorized small tools</t>
  </si>
  <si>
    <t>05.5.2.1</t>
  </si>
  <si>
    <t>Miscellaneous small tool accessories</t>
  </si>
  <si>
    <t>05.5.2.2</t>
  </si>
  <si>
    <t>Repair of non-motorized small tools and miscellaneous accessories</t>
  </si>
  <si>
    <t>05.5.2.3</t>
  </si>
  <si>
    <t>Goods and services for routine household maintenance</t>
  </si>
  <si>
    <t>05.6</t>
  </si>
  <si>
    <t>Non-durable household goods</t>
  </si>
  <si>
    <t>05.6.1</t>
  </si>
  <si>
    <t>Cleaning and maintenance products</t>
  </si>
  <si>
    <t>05.6.1.1</t>
  </si>
  <si>
    <t>Other non-durable small household articles</t>
  </si>
  <si>
    <t>05.6.1.2</t>
  </si>
  <si>
    <t>Domestic services and household services</t>
  </si>
  <si>
    <t>05.6.2</t>
  </si>
  <si>
    <t>Domestic services by paid staff</t>
  </si>
  <si>
    <t>05.6.2.1</t>
  </si>
  <si>
    <t>Cleaning services</t>
  </si>
  <si>
    <t>05.6.2.2</t>
  </si>
  <si>
    <t>Hire of furniture and furnishings</t>
  </si>
  <si>
    <t>05.6.2.3</t>
  </si>
  <si>
    <t>Other domestic services and household services</t>
  </si>
  <si>
    <t>05.6.2.9</t>
  </si>
  <si>
    <t>HEALTH</t>
  </si>
  <si>
    <t>06</t>
  </si>
  <si>
    <t>Medical products, appliances and equipment</t>
  </si>
  <si>
    <t>06.1</t>
  </si>
  <si>
    <t>Pharmaceutical products</t>
  </si>
  <si>
    <t>06.1.1</t>
  </si>
  <si>
    <t>06.1.1.0</t>
  </si>
  <si>
    <t>Other medical products</t>
  </si>
  <si>
    <t>06.1.2</t>
  </si>
  <si>
    <t>Pregnancy tests and mechanical contraceptive devices</t>
  </si>
  <si>
    <t>06.1.2.1</t>
  </si>
  <si>
    <t>Other medical products n.e.c.</t>
  </si>
  <si>
    <t>06.1.2.9</t>
  </si>
  <si>
    <t>Therapeutic appliances and equipment</t>
  </si>
  <si>
    <t>06.1.3</t>
  </si>
  <si>
    <t>Corrective eye-glasses and contact lenses</t>
  </si>
  <si>
    <t>06.1.3.1</t>
  </si>
  <si>
    <t>Hearing aids</t>
  </si>
  <si>
    <t>06.1.3.2</t>
  </si>
  <si>
    <t>Repair of therapeutic appliances and equipment</t>
  </si>
  <si>
    <t>06.1.3.3</t>
  </si>
  <si>
    <t>Other therapeutic appliances and equipment</t>
  </si>
  <si>
    <t>06.1.3.9</t>
  </si>
  <si>
    <t>Out-patient services</t>
  </si>
  <si>
    <t>06.2</t>
  </si>
  <si>
    <t>Medical services</t>
  </si>
  <si>
    <t>06.2.1</t>
  </si>
  <si>
    <t>General practice</t>
  </si>
  <si>
    <t>06.2.1.1</t>
  </si>
  <si>
    <t>Specialist practice</t>
  </si>
  <si>
    <t>06.2.1.2</t>
  </si>
  <si>
    <t>Dental services</t>
  </si>
  <si>
    <t>06.2.2</t>
  </si>
  <si>
    <t>06.2.2.0</t>
  </si>
  <si>
    <t>Paramedical services</t>
  </si>
  <si>
    <t>06.2.3</t>
  </si>
  <si>
    <t>Services of medical analysis laboratories and X-ray centres</t>
  </si>
  <si>
    <t>06.2.3.1</t>
  </si>
  <si>
    <t>Thermal-baths, corrective-gymnastic therapy, ambulance services and hire of therapeutic equipment</t>
  </si>
  <si>
    <t>06.2.3.2</t>
  </si>
  <si>
    <t>Other paramedical services</t>
  </si>
  <si>
    <t>06.2.3.9</t>
  </si>
  <si>
    <t>Hospital services</t>
  </si>
  <si>
    <t>06.3</t>
  </si>
  <si>
    <t>06.3.0</t>
  </si>
  <si>
    <t>06.3.0.0</t>
  </si>
  <si>
    <t>TRANSPORT</t>
  </si>
  <si>
    <t>07</t>
  </si>
  <si>
    <t>Purchase of vehicles</t>
  </si>
  <si>
    <t>07.1</t>
  </si>
  <si>
    <t>Motor cars</t>
  </si>
  <si>
    <t>07.1.1</t>
  </si>
  <si>
    <t>New motor cars</t>
  </si>
  <si>
    <t>07.1.1.1</t>
  </si>
  <si>
    <t>Second-hand motor cars</t>
  </si>
  <si>
    <t>07.1.1.2</t>
  </si>
  <si>
    <t>Motor cycles</t>
  </si>
  <si>
    <t>07.1.2</t>
  </si>
  <si>
    <t>07.1.2.0</t>
  </si>
  <si>
    <t>Bicycles</t>
  </si>
  <si>
    <t>07.1.3</t>
  </si>
  <si>
    <t>07.1.3.0</t>
  </si>
  <si>
    <t>Animal drawn vehicles</t>
  </si>
  <si>
    <t>07.1.4</t>
  </si>
  <si>
    <t>07.1.4.0</t>
  </si>
  <si>
    <t>Operation of personal transport equipment</t>
  </si>
  <si>
    <t>07.2</t>
  </si>
  <si>
    <t>Spare parts and accessories for personal transport equipment</t>
  </si>
  <si>
    <t>07.2.1</t>
  </si>
  <si>
    <t>Tyres</t>
  </si>
  <si>
    <t>07.2.1.1</t>
  </si>
  <si>
    <t>Spare parts for personal transport equipment</t>
  </si>
  <si>
    <t>07.2.1.2</t>
  </si>
  <si>
    <t>Accessories for personal transport equipment</t>
  </si>
  <si>
    <t>07.2.1.3</t>
  </si>
  <si>
    <t>Fuels and lubricants for personal transport equipment</t>
  </si>
  <si>
    <t>07.2.2</t>
  </si>
  <si>
    <t>Diesel</t>
  </si>
  <si>
    <t>07.2.2.1</t>
  </si>
  <si>
    <t>Petrol</t>
  </si>
  <si>
    <t>07.2.2.2</t>
  </si>
  <si>
    <t>Other fuels for personal transport equipment</t>
  </si>
  <si>
    <t>07.2.2.3</t>
  </si>
  <si>
    <t>Lubricants</t>
  </si>
  <si>
    <t>07.2.2.4</t>
  </si>
  <si>
    <t>Maintenance and repair of personal transport equipment</t>
  </si>
  <si>
    <t>07.2.3</t>
  </si>
  <si>
    <t>07.2.3.0</t>
  </si>
  <si>
    <t>Other services in respect of personal transport equipment</t>
  </si>
  <si>
    <t>07.2.4</t>
  </si>
  <si>
    <t>Hire of garages, parking spaces and personal transport equipment</t>
  </si>
  <si>
    <t>07.2.4.1</t>
  </si>
  <si>
    <t>Toll facilities and parking meters</t>
  </si>
  <si>
    <t>07.2.4.2</t>
  </si>
  <si>
    <t>Driving lessons, tests, licences and road worthiness tests</t>
  </si>
  <si>
    <t>07.2.4.3</t>
  </si>
  <si>
    <t>Transport services</t>
  </si>
  <si>
    <t>07.3</t>
  </si>
  <si>
    <t>Passenger transport by railway</t>
  </si>
  <si>
    <t>07.3.1</t>
  </si>
  <si>
    <t>Passenger transport by train</t>
  </si>
  <si>
    <t>07.3.1.1</t>
  </si>
  <si>
    <t>Passenger transport by underground and tram</t>
  </si>
  <si>
    <t>07.3.1.2</t>
  </si>
  <si>
    <t>Passenger transport by road</t>
  </si>
  <si>
    <t>07.3.2</t>
  </si>
  <si>
    <t>Passenger transport by bus and coach</t>
  </si>
  <si>
    <t>07.3.2.1</t>
  </si>
  <si>
    <t>Passenger transport by taxi and hired car with driver</t>
  </si>
  <si>
    <t>07.3.2.2</t>
  </si>
  <si>
    <t>Passenger transport by air</t>
  </si>
  <si>
    <t>07.3.3</t>
  </si>
  <si>
    <t>Domestic flights</t>
  </si>
  <si>
    <t>07.3.3.1</t>
  </si>
  <si>
    <t>International flights</t>
  </si>
  <si>
    <t>07.3.3.2</t>
  </si>
  <si>
    <t>Passenger transport by sea and inland waterway</t>
  </si>
  <si>
    <t>07.3.4</t>
  </si>
  <si>
    <t>Passenger transport by sea</t>
  </si>
  <si>
    <t>07.3.4.1</t>
  </si>
  <si>
    <t>Passenger transport by inland waterway</t>
  </si>
  <si>
    <t>07.3.4.2</t>
  </si>
  <si>
    <t>Combined passenger transport</t>
  </si>
  <si>
    <t>07.3.5</t>
  </si>
  <si>
    <t>07.3.5.0</t>
  </si>
  <si>
    <t>Other purchased transport services</t>
  </si>
  <si>
    <t>07.3.6</t>
  </si>
  <si>
    <t>Funicular, cable-car and chair-lift transport</t>
  </si>
  <si>
    <t>07.3.6.1</t>
  </si>
  <si>
    <t>Removal and storage services</t>
  </si>
  <si>
    <t>07.3.6.2</t>
  </si>
  <si>
    <t>Other purchased transport services n.e.c.</t>
  </si>
  <si>
    <t>07.3.6.9</t>
  </si>
  <si>
    <t>COMMUNICATION</t>
  </si>
  <si>
    <t>08</t>
  </si>
  <si>
    <t>Postal services</t>
  </si>
  <si>
    <t>08.1</t>
  </si>
  <si>
    <t>08.1.0</t>
  </si>
  <si>
    <t>Letter handling services</t>
  </si>
  <si>
    <t>08.1.0.1</t>
  </si>
  <si>
    <t>Other postal services</t>
  </si>
  <si>
    <t>08.1.0.9</t>
  </si>
  <si>
    <t>Telephone and telefax equipment</t>
  </si>
  <si>
    <t>08.2</t>
  </si>
  <si>
    <t>08.2.0</t>
  </si>
  <si>
    <t>Fixed telephone equipment</t>
  </si>
  <si>
    <t>08.2.0.1</t>
  </si>
  <si>
    <t>Mobile telephone equipment</t>
  </si>
  <si>
    <t>08.2.0.2</t>
  </si>
  <si>
    <t>Other equipment of telephone and telefax equipment</t>
  </si>
  <si>
    <t>08.2.0.3</t>
  </si>
  <si>
    <t>Repair of telephone or telefax equipment</t>
  </si>
  <si>
    <t>08.2.0.4</t>
  </si>
  <si>
    <t>Telephone and telefax services</t>
  </si>
  <si>
    <t>08.3</t>
  </si>
  <si>
    <t>08.3.0</t>
  </si>
  <si>
    <t>Wired telephone services</t>
  </si>
  <si>
    <t>08.3.0.1</t>
  </si>
  <si>
    <t>Wireless telephone services</t>
  </si>
  <si>
    <t>08.3.0.2</t>
  </si>
  <si>
    <t>Internet access provision services</t>
  </si>
  <si>
    <t>08.3.0.3</t>
  </si>
  <si>
    <t>Bundled telecommunication services</t>
  </si>
  <si>
    <t>08.3.0.4</t>
  </si>
  <si>
    <t>Other information transmission services</t>
  </si>
  <si>
    <t>08.3.0.5</t>
  </si>
  <si>
    <t>RECREATION AND CULTURE</t>
  </si>
  <si>
    <t>09</t>
  </si>
  <si>
    <t>Audio-visual, photographic and information processing equipment</t>
  </si>
  <si>
    <t>09.1</t>
  </si>
  <si>
    <t>Equipment for the reception, recording and reproduction of sound and picture</t>
  </si>
  <si>
    <t>09.1.1</t>
  </si>
  <si>
    <t>Equipment for the reception, recording and reproduction of sound</t>
  </si>
  <si>
    <t>09.1.1.1</t>
  </si>
  <si>
    <t>Equipment for the reception, recording and reproduction of sound and vision</t>
  </si>
  <si>
    <t>09.1.1.2</t>
  </si>
  <si>
    <t>Portable sound and vision devices</t>
  </si>
  <si>
    <t>09.1.1.3</t>
  </si>
  <si>
    <t>Other equipment for the reception, recording and reproduction of sound and picture</t>
  </si>
  <si>
    <t>09.1.1.9</t>
  </si>
  <si>
    <t>Photographic and cinematographic equipment and optical instruments</t>
  </si>
  <si>
    <t>09.1.2</t>
  </si>
  <si>
    <t>Cameras</t>
  </si>
  <si>
    <t>09.1.2.1</t>
  </si>
  <si>
    <t>Accessories for photographic and cinematographic equipment</t>
  </si>
  <si>
    <t>09.1.2.2</t>
  </si>
  <si>
    <t>Optical instruments</t>
  </si>
  <si>
    <t>09.1.2.3</t>
  </si>
  <si>
    <t>Information processing equipment</t>
  </si>
  <si>
    <t>09.1.3</t>
  </si>
  <si>
    <t>Personal computers</t>
  </si>
  <si>
    <t>09.1.3.1</t>
  </si>
  <si>
    <t>Accessories for information processing equipment</t>
  </si>
  <si>
    <t>09.1.3.2</t>
  </si>
  <si>
    <t>Software</t>
  </si>
  <si>
    <t>09.1.3.3</t>
  </si>
  <si>
    <t>Calculators and other information processing equipment</t>
  </si>
  <si>
    <t>09.1.3.4</t>
  </si>
  <si>
    <t>Recording media</t>
  </si>
  <si>
    <t>09.1.4</t>
  </si>
  <si>
    <t>Pre-recorded recording media</t>
  </si>
  <si>
    <t>09.1.4.1</t>
  </si>
  <si>
    <t>Unrecorded recording media</t>
  </si>
  <si>
    <t>09.1.4.2</t>
  </si>
  <si>
    <t>Other recording media</t>
  </si>
  <si>
    <t>09.1.4.9</t>
  </si>
  <si>
    <t>Repair of audio-visual, photographic and information processing equipment</t>
  </si>
  <si>
    <t>09.1.5</t>
  </si>
  <si>
    <t>09.1.5.0</t>
  </si>
  <si>
    <t>Other major durables for recreation and culture</t>
  </si>
  <si>
    <t>09.2</t>
  </si>
  <si>
    <t>Major durables for outdoor recreation</t>
  </si>
  <si>
    <t>09.2.1</t>
  </si>
  <si>
    <t>Camper vans, caravans and trailers</t>
  </si>
  <si>
    <t>09.2.1.1</t>
  </si>
  <si>
    <t>Aeroplanes, microlight aircraft, gliders, hang-gliders and hot-air balloons</t>
  </si>
  <si>
    <t>09.2.1.2</t>
  </si>
  <si>
    <t>Boats, outboard motors and fitting out of boats</t>
  </si>
  <si>
    <t>09.2.1.3</t>
  </si>
  <si>
    <t>Horses, ponies and accessories</t>
  </si>
  <si>
    <t>09.2.1.4</t>
  </si>
  <si>
    <t>Major items for games and sport</t>
  </si>
  <si>
    <t>09.2.1.5</t>
  </si>
  <si>
    <t>Musical instruments and major durables for indoor recreation</t>
  </si>
  <si>
    <t>09.2.2</t>
  </si>
  <si>
    <t>09.2.2.1</t>
  </si>
  <si>
    <t>Major durables for indoor recreation</t>
  </si>
  <si>
    <t>09.2.2.2</t>
  </si>
  <si>
    <t>Maintenance and repair of other major durables for recreation and culture</t>
  </si>
  <si>
    <t>09.2.3</t>
  </si>
  <si>
    <t>09.2.3.0</t>
  </si>
  <si>
    <t>Other recreational items and equipment, gardens and pets</t>
  </si>
  <si>
    <t>09.3</t>
  </si>
  <si>
    <t>Games, toys and hobbies</t>
  </si>
  <si>
    <t>09.3.1</t>
  </si>
  <si>
    <t>Games and hobbies</t>
  </si>
  <si>
    <t>09.3.1.1</t>
  </si>
  <si>
    <t>Toys and celebration articles</t>
  </si>
  <si>
    <t>09.3.1.2</t>
  </si>
  <si>
    <t>Equipment for sport, camping and open-air recreation</t>
  </si>
  <si>
    <t>09.3.2</t>
  </si>
  <si>
    <t>Equipment for sport</t>
  </si>
  <si>
    <t>09.3.2.1</t>
  </si>
  <si>
    <t>Equipment for camping and open-air recreation</t>
  </si>
  <si>
    <t>09.3.2.2</t>
  </si>
  <si>
    <t>Repair of equipment for sport, camping and open-air recreation</t>
  </si>
  <si>
    <t>09.3.2.3</t>
  </si>
  <si>
    <t>Gardens, plants and flowers</t>
  </si>
  <si>
    <t>09.3.3</t>
  </si>
  <si>
    <t>Garden products</t>
  </si>
  <si>
    <t>09.3.3.1</t>
  </si>
  <si>
    <t>Plants and flowers</t>
  </si>
  <si>
    <t>09.3.3.2</t>
  </si>
  <si>
    <t>Pets and related products</t>
  </si>
  <si>
    <t>09.3.4</t>
  </si>
  <si>
    <t>Purchase of pets</t>
  </si>
  <si>
    <t>09.3.4.1</t>
  </si>
  <si>
    <t>Products for pets</t>
  </si>
  <si>
    <t>09.3.4.2</t>
  </si>
  <si>
    <t>Veterinary and other services for pets</t>
  </si>
  <si>
    <t>09.3.5</t>
  </si>
  <si>
    <t>09.3.5.0</t>
  </si>
  <si>
    <t>Recreational and cultural services</t>
  </si>
  <si>
    <t>09.4</t>
  </si>
  <si>
    <t>Recreational and sporting services</t>
  </si>
  <si>
    <t>09.4.1</t>
  </si>
  <si>
    <t>Recreational and sporting services - Attendance</t>
  </si>
  <si>
    <t>09.4.1.1</t>
  </si>
  <si>
    <t>Recreational and sporting services - Participation</t>
  </si>
  <si>
    <t>09.4.1.2</t>
  </si>
  <si>
    <t>Cultural services</t>
  </si>
  <si>
    <t>09.4.2</t>
  </si>
  <si>
    <t>Cinemas, theatres, concerts</t>
  </si>
  <si>
    <t>09.4.2.1</t>
  </si>
  <si>
    <t>Museums, libraries, zoological gardens</t>
  </si>
  <si>
    <t>09.4.2.2</t>
  </si>
  <si>
    <t>Television and radio licence fees, subscriptions</t>
  </si>
  <si>
    <t>09.4.2.3</t>
  </si>
  <si>
    <t>Hire of equipment and accessories for culture</t>
  </si>
  <si>
    <t>09.4.2.4</t>
  </si>
  <si>
    <t>Photographic services</t>
  </si>
  <si>
    <t>09.4.2.5</t>
  </si>
  <si>
    <t>Other cultural services</t>
  </si>
  <si>
    <t>09.4.2.9</t>
  </si>
  <si>
    <t>Games of chance</t>
  </si>
  <si>
    <t>09.4.3</t>
  </si>
  <si>
    <t>09.4.3.0</t>
  </si>
  <si>
    <t>Newspapers, books and stationery</t>
  </si>
  <si>
    <t>09.5</t>
  </si>
  <si>
    <t>09.5.1</t>
  </si>
  <si>
    <t>Fiction books</t>
  </si>
  <si>
    <t>09.5.1.1</t>
  </si>
  <si>
    <t>Educational text books</t>
  </si>
  <si>
    <t>09.5.1.2</t>
  </si>
  <si>
    <t>Other non-fiction books</t>
  </si>
  <si>
    <t>09.5.1.3</t>
  </si>
  <si>
    <t>Binding services and E-book downloads</t>
  </si>
  <si>
    <t>09.5.1.4</t>
  </si>
  <si>
    <t>Newspapers and periodicals</t>
  </si>
  <si>
    <t>09.5.2</t>
  </si>
  <si>
    <t>09.5.2.1</t>
  </si>
  <si>
    <t>Magazines and periodicals</t>
  </si>
  <si>
    <t>09.5.2.2</t>
  </si>
  <si>
    <t>Miscellaneous printed matter</t>
  </si>
  <si>
    <t>09.5.3</t>
  </si>
  <si>
    <t>09.5.3.0</t>
  </si>
  <si>
    <t>Stationery and drawing materials</t>
  </si>
  <si>
    <t>09.5.4</t>
  </si>
  <si>
    <t>Paper products</t>
  </si>
  <si>
    <t>09.5.4.1</t>
  </si>
  <si>
    <t>Other stationery and drawing materials</t>
  </si>
  <si>
    <t>09.5.4.9</t>
  </si>
  <si>
    <t>Package holidays</t>
  </si>
  <si>
    <t>09.6</t>
  </si>
  <si>
    <t>09.6.0</t>
  </si>
  <si>
    <t>Package domestic holidays</t>
  </si>
  <si>
    <t>09.6.0.1</t>
  </si>
  <si>
    <t>Package international holidays</t>
  </si>
  <si>
    <t>09.6.0.2</t>
  </si>
  <si>
    <t>EDUCATION</t>
  </si>
  <si>
    <t>10</t>
  </si>
  <si>
    <t>Pre-primary and primary education</t>
  </si>
  <si>
    <t>10.1</t>
  </si>
  <si>
    <t>10.1.0</t>
  </si>
  <si>
    <t>Pre-primary education</t>
  </si>
  <si>
    <t>10.1.0.1</t>
  </si>
  <si>
    <t>10.1.0.2</t>
  </si>
  <si>
    <t>Secondary education</t>
  </si>
  <si>
    <t>10.2</t>
  </si>
  <si>
    <t>10.2.0</t>
  </si>
  <si>
    <t>10.2.0.0</t>
  </si>
  <si>
    <t>Post-secondary non-tertiary education</t>
  </si>
  <si>
    <t>10.3</t>
  </si>
  <si>
    <t>10.3.0</t>
  </si>
  <si>
    <t>10.3.0.0</t>
  </si>
  <si>
    <t>Tertiary education</t>
  </si>
  <si>
    <t>10.4</t>
  </si>
  <si>
    <t>10.4.0</t>
  </si>
  <si>
    <t>10.4.0.0</t>
  </si>
  <si>
    <t>Education not definable by level</t>
  </si>
  <si>
    <t>10.5</t>
  </si>
  <si>
    <t>10.5.0</t>
  </si>
  <si>
    <t>10.5.0.0</t>
  </si>
  <si>
    <t>RESTAURANTS AND HOTELS</t>
  </si>
  <si>
    <t>11</t>
  </si>
  <si>
    <t>Catering services</t>
  </si>
  <si>
    <t>11.1</t>
  </si>
  <si>
    <t>Restaurants, cafés and the like</t>
  </si>
  <si>
    <t>11.1.1</t>
  </si>
  <si>
    <t>Restaurants, cafés and dancing establishments</t>
  </si>
  <si>
    <t>11.1.1.1</t>
  </si>
  <si>
    <t>Fast food and take away food services</t>
  </si>
  <si>
    <t>11.1.1.2</t>
  </si>
  <si>
    <t>Canteens</t>
  </si>
  <si>
    <t>11.1.2</t>
  </si>
  <si>
    <t>11.1.2.0</t>
  </si>
  <si>
    <t>Accommodation services</t>
  </si>
  <si>
    <t>11.2</t>
  </si>
  <si>
    <t>11.2.0</t>
  </si>
  <si>
    <t>Hotels, motels, inns and similar accommodation services</t>
  </si>
  <si>
    <t>11.2.0.1</t>
  </si>
  <si>
    <t>Holiday centres, camping sites, youth hostels and similar accommodation services</t>
  </si>
  <si>
    <t>11.2.0.2</t>
  </si>
  <si>
    <t>Accommodation services of other establishments</t>
  </si>
  <si>
    <t>11.2.0.3</t>
  </si>
  <si>
    <t>MISCELLANEOUS GOODS AND SERVICES</t>
  </si>
  <si>
    <t>12</t>
  </si>
  <si>
    <t>Personal care</t>
  </si>
  <si>
    <t>12.1</t>
  </si>
  <si>
    <t>Hairdressing salons and personal grooming establishments</t>
  </si>
  <si>
    <t>12.1.1</t>
  </si>
  <si>
    <t>Hairdressing for men and children</t>
  </si>
  <si>
    <t>12.1.1.1</t>
  </si>
  <si>
    <t>Hairdressing for women</t>
  </si>
  <si>
    <t>12.1.1.2</t>
  </si>
  <si>
    <t>Personal grooming treatments</t>
  </si>
  <si>
    <t>12.1.1.3</t>
  </si>
  <si>
    <t>Electric appliances for personal care</t>
  </si>
  <si>
    <t>12.1.2</t>
  </si>
  <si>
    <t>12.1.2.1</t>
  </si>
  <si>
    <t>Repair of electric appliances for personal care</t>
  </si>
  <si>
    <t>12.1.2.2</t>
  </si>
  <si>
    <t>Other appliances, articles and products for personal care</t>
  </si>
  <si>
    <t>12.1.3</t>
  </si>
  <si>
    <t>Non-electrical appliances</t>
  </si>
  <si>
    <t>12.1.3.1</t>
  </si>
  <si>
    <t>Articles for personal hygiene and wellness, esoteric products and beauty products</t>
  </si>
  <si>
    <t>12.1.3.2</t>
  </si>
  <si>
    <t>Prostitution</t>
  </si>
  <si>
    <t>12.2</t>
  </si>
  <si>
    <t>12.2.0</t>
  </si>
  <si>
    <t>12.2.0.0</t>
  </si>
  <si>
    <t>Personal effects n.e.c.</t>
  </si>
  <si>
    <t>12.3</t>
  </si>
  <si>
    <t>Jewellery, clocks and watches</t>
  </si>
  <si>
    <t>12.3.1</t>
  </si>
  <si>
    <t>Jewellery</t>
  </si>
  <si>
    <t>12.3.1.1</t>
  </si>
  <si>
    <t>Clocks and watches</t>
  </si>
  <si>
    <t>12.3.1.2</t>
  </si>
  <si>
    <t>Repair of jewellery, clocks and watches</t>
  </si>
  <si>
    <t>12.3.1.3</t>
  </si>
  <si>
    <t>Other personal effects</t>
  </si>
  <si>
    <t>12.3.2</t>
  </si>
  <si>
    <t>Travel goods</t>
  </si>
  <si>
    <t>12.3.2.1</t>
  </si>
  <si>
    <t>Articles for babies</t>
  </si>
  <si>
    <t>12.3.2.2</t>
  </si>
  <si>
    <t>Repair of other personal effects</t>
  </si>
  <si>
    <t>12.3.2.3</t>
  </si>
  <si>
    <t>Other personal effects n.e.c.</t>
  </si>
  <si>
    <t>12.3.2.9</t>
  </si>
  <si>
    <t>Social protection</t>
  </si>
  <si>
    <t>12.4</t>
  </si>
  <si>
    <t>12.4.0</t>
  </si>
  <si>
    <t>Child care services</t>
  </si>
  <si>
    <t>12.4.0.1</t>
  </si>
  <si>
    <t>Retirement homes for elderly persons and residences for disabled persons</t>
  </si>
  <si>
    <t>12.4.0.2</t>
  </si>
  <si>
    <t>Services to maintain people in their private homes</t>
  </si>
  <si>
    <t>12.4.0.3</t>
  </si>
  <si>
    <t>Counselling</t>
  </si>
  <si>
    <t>12.4.0.4</t>
  </si>
  <si>
    <t>Insurance</t>
  </si>
  <si>
    <t>12.5</t>
  </si>
  <si>
    <t>12.5.1</t>
  </si>
  <si>
    <t>12.5.1.0</t>
  </si>
  <si>
    <t>Insurance connected with the dwelling</t>
  </si>
  <si>
    <t>12.5.2</t>
  </si>
  <si>
    <t>12.5.2.0</t>
  </si>
  <si>
    <t>Insurance connected with health</t>
  </si>
  <si>
    <t>12.5.3</t>
  </si>
  <si>
    <t>Public insurance connected with health</t>
  </si>
  <si>
    <t>12.5.3.1</t>
  </si>
  <si>
    <t>Private insurance connected with health</t>
  </si>
  <si>
    <t>12.5.3.2</t>
  </si>
  <si>
    <t>Insurance connected with transport</t>
  </si>
  <si>
    <t>12.5.4</t>
  </si>
  <si>
    <t>Motor vehicle insurance</t>
  </si>
  <si>
    <t>12.5.4.1</t>
  </si>
  <si>
    <t>Travel insurance</t>
  </si>
  <si>
    <t>12.5.4.2</t>
  </si>
  <si>
    <t>Other insurance</t>
  </si>
  <si>
    <t>12.5.5</t>
  </si>
  <si>
    <t>12.5.5.0</t>
  </si>
  <si>
    <t>Financial services n.e.c.</t>
  </si>
  <si>
    <t>12.6</t>
  </si>
  <si>
    <t>FISIM</t>
  </si>
  <si>
    <t>12.6.1</t>
  </si>
  <si>
    <t>12.6.1.0</t>
  </si>
  <si>
    <t>Other financial services n.e.c.</t>
  </si>
  <si>
    <t>12.6.2</t>
  </si>
  <si>
    <t>Charges by banks and post offices</t>
  </si>
  <si>
    <t>12.6.2.1</t>
  </si>
  <si>
    <t>Fees and service charges of brokers, investment counsellors</t>
  </si>
  <si>
    <t>12.6.2.2</t>
  </si>
  <si>
    <t>Other services n.e.c.</t>
  </si>
  <si>
    <t>12.7</t>
  </si>
  <si>
    <t>12.7.0</t>
  </si>
  <si>
    <t>Administrative fees</t>
  </si>
  <si>
    <t>12.7.0.1</t>
  </si>
  <si>
    <t>Legal services and accountancy</t>
  </si>
  <si>
    <t>12.7.0.2</t>
  </si>
  <si>
    <t>Funeral services</t>
  </si>
  <si>
    <t>12.7.0.3</t>
  </si>
  <si>
    <t>Other fees and services</t>
  </si>
  <si>
    <t>12.7.0.4</t>
  </si>
  <si>
    <t>leaf</t>
  </si>
  <si>
    <t>cott</t>
  </si>
  <si>
    <t>nuts</t>
  </si>
  <si>
    <t>coco</t>
  </si>
  <si>
    <t>rubb</t>
  </si>
  <si>
    <t>ocrp</t>
  </si>
  <si>
    <t>smlr</t>
  </si>
  <si>
    <t>aqua</t>
  </si>
  <si>
    <t>ngas</t>
  </si>
  <si>
    <t>mmll</t>
  </si>
  <si>
    <t>smll</t>
  </si>
  <si>
    <t>rmll</t>
  </si>
  <si>
    <t>wmll</t>
  </si>
  <si>
    <t>yarn</t>
  </si>
  <si>
    <t>rest</t>
  </si>
  <si>
    <t>Total</t>
  </si>
  <si>
    <t>other</t>
  </si>
  <si>
    <t>01.1.7.7</t>
  </si>
  <si>
    <t>01.1.7.8</t>
  </si>
  <si>
    <t>crop</t>
  </si>
  <si>
    <t>cropdesc</t>
  </si>
  <si>
    <t>Fresh Maize</t>
  </si>
  <si>
    <t>Wheat</t>
  </si>
  <si>
    <t>Uburo</t>
  </si>
  <si>
    <t>Soybeans</t>
  </si>
  <si>
    <t>Bean</t>
  </si>
  <si>
    <t>Small weight</t>
  </si>
  <si>
    <t>Peanut</t>
  </si>
  <si>
    <t>Sunflower (ibihwagari)</t>
  </si>
  <si>
    <t>Cassava cooking</t>
  </si>
  <si>
    <t>Cassava  for flour</t>
  </si>
  <si>
    <t>Potato</t>
  </si>
  <si>
    <t>Colocasia</t>
  </si>
  <si>
    <t>Sweet</t>
  </si>
  <si>
    <t>Yam (Amateke)</t>
  </si>
  <si>
    <t>Fresh Beans</t>
  </si>
  <si>
    <t>Green Beans</t>
  </si>
  <si>
    <t>Onions</t>
  </si>
  <si>
    <t>Sweet Pepper</t>
  </si>
  <si>
    <t>Squash or Vegetable marrows</t>
  </si>
  <si>
    <t>Zucchini or cucumber</t>
  </si>
  <si>
    <t>Carrots</t>
  </si>
  <si>
    <t>Lettuce or Laitue</t>
  </si>
  <si>
    <t>Seleri</t>
  </si>
  <si>
    <t>Mushroom or spinach</t>
  </si>
  <si>
    <t>Fresh small weight</t>
  </si>
  <si>
    <t>Green vegetables (Inyabutongo)</t>
  </si>
  <si>
    <t>Imbwija</t>
  </si>
  <si>
    <t>Ibisusa</t>
  </si>
  <si>
    <t>Umushogoro</t>
  </si>
  <si>
    <t>Isogo</t>
  </si>
  <si>
    <t>Other vegetables</t>
  </si>
  <si>
    <t>Muringa</t>
  </si>
  <si>
    <t>Cane sugar</t>
  </si>
  <si>
    <t>Banana fruits</t>
  </si>
  <si>
    <t>Mangoes</t>
  </si>
  <si>
    <t>Papayas or pawpaw</t>
  </si>
  <si>
    <t>Pineapples</t>
  </si>
  <si>
    <t>Guave</t>
  </si>
  <si>
    <t>Orange</t>
  </si>
  <si>
    <t>Mandarins</t>
  </si>
  <si>
    <t>Lemon or citron</t>
  </si>
  <si>
    <t>Pamplemousse</t>
  </si>
  <si>
    <t>Lime or Maracouja</t>
  </si>
  <si>
    <t>Strawberries</t>
  </si>
  <si>
    <t>Coeur de boeuf</t>
  </si>
  <si>
    <t>Others fruits (Ibifenesi)</t>
  </si>
  <si>
    <t>Banana cooking</t>
  </si>
  <si>
    <t>Banana Beer</t>
  </si>
  <si>
    <t>pyre</t>
  </si>
  <si>
    <t>Pyretre (Ibireti)</t>
  </si>
  <si>
    <t>flowers</t>
  </si>
  <si>
    <t>Other (pyrethrum,banana</t>
  </si>
  <si>
    <t>Ibobere</t>
  </si>
  <si>
    <t>Macadamiya</t>
  </si>
  <si>
    <t>Others</t>
  </si>
  <si>
    <t>lvstk</t>
  </si>
  <si>
    <t>lvstkdesc</t>
  </si>
  <si>
    <t>cattle</t>
  </si>
  <si>
    <t>sheep</t>
  </si>
  <si>
    <t>goats</t>
  </si>
  <si>
    <t>pigs</t>
  </si>
  <si>
    <t>rabbits</t>
  </si>
  <si>
    <t>chickens</t>
  </si>
  <si>
    <t>other poultry</t>
  </si>
  <si>
    <t>other livestock</t>
  </si>
  <si>
    <t>curdled or sour milk</t>
  </si>
  <si>
    <t>butter</t>
  </si>
  <si>
    <t>manure</t>
  </si>
  <si>
    <t>meat from animals</t>
  </si>
  <si>
    <t>sector</t>
  </si>
  <si>
    <t>Animal producti</t>
  </si>
  <si>
    <t>Gathering of no</t>
  </si>
  <si>
    <t>Growing of non-</t>
  </si>
  <si>
    <t>Growing of pere</t>
  </si>
  <si>
    <t>Hunting, trappi</t>
  </si>
  <si>
    <t>Logging</t>
  </si>
  <si>
    <t>Mixed farming</t>
  </si>
  <si>
    <t>Plant propagati</t>
  </si>
  <si>
    <t>Silviculture an</t>
  </si>
  <si>
    <t>Support activit</t>
  </si>
  <si>
    <t>Support service</t>
  </si>
  <si>
    <t>Extraction of n</t>
  </si>
  <si>
    <t>Mining and quar</t>
  </si>
  <si>
    <t>Mining of hard</t>
  </si>
  <si>
    <t>Mining of non-f</t>
  </si>
  <si>
    <t>Quarrying of st</t>
  </si>
  <si>
    <t>1 Processing an</t>
  </si>
  <si>
    <t>1610 Sawmilling</t>
  </si>
  <si>
    <t>Casting of meta</t>
  </si>
  <si>
    <t>Distilling, rec</t>
  </si>
  <si>
    <t>Manufacture of</t>
  </si>
  <si>
    <t>Other manufactu</t>
  </si>
  <si>
    <t>Printing and se</t>
  </si>
  <si>
    <t>Processing and</t>
  </si>
  <si>
    <t>Repair of fabri</t>
  </si>
  <si>
    <t>Spinning, weavi</t>
  </si>
  <si>
    <t>Tanning and dre</t>
  </si>
  <si>
    <t>Electric power</t>
  </si>
  <si>
    <t>Steam and air c</t>
  </si>
  <si>
    <t>Materials recov</t>
  </si>
  <si>
    <t>Waste collectio</t>
  </si>
  <si>
    <t>Water collectio</t>
  </si>
  <si>
    <t>Building comple</t>
  </si>
  <si>
    <t>Construction of</t>
  </si>
  <si>
    <t>Demolition and</t>
  </si>
  <si>
    <t>Electrical, plu</t>
  </si>
  <si>
    <t>Other specializ</t>
  </si>
  <si>
    <t>4610 Wholesale</t>
  </si>
  <si>
    <t>4620 Wholesale</t>
  </si>
  <si>
    <t>4630 Wholesale</t>
  </si>
  <si>
    <t>4690 Non-specia</t>
  </si>
  <si>
    <t>4730 Retail sal</t>
  </si>
  <si>
    <t>Maintenance and</t>
  </si>
  <si>
    <t>Retail sale in</t>
  </si>
  <si>
    <t>Retail sale of</t>
  </si>
  <si>
    <t>Retail sale via</t>
  </si>
  <si>
    <t>Retail trade no</t>
  </si>
  <si>
    <t>Sale of motor v</t>
  </si>
  <si>
    <t>Sale, maintenan</t>
  </si>
  <si>
    <t>Wholesale of ho</t>
  </si>
  <si>
    <t>Wholesale of ma</t>
  </si>
  <si>
    <t>Inland water tr</t>
  </si>
  <si>
    <t>Other land tran</t>
  </si>
  <si>
    <t>Passenger air t</t>
  </si>
  <si>
    <t>Postal activiti</t>
  </si>
  <si>
    <t>Sea and coastal</t>
  </si>
  <si>
    <t>Transport via p</t>
  </si>
  <si>
    <t>Transport via r</t>
  </si>
  <si>
    <t>Warehousing and</t>
  </si>
  <si>
    <t>Beverage servin</t>
  </si>
  <si>
    <t>Event catering</t>
  </si>
  <si>
    <t>Other accommoda</t>
  </si>
  <si>
    <t>Restaurants and</t>
  </si>
  <si>
    <t>Short term acco</t>
  </si>
  <si>
    <t>Computer consul</t>
  </si>
  <si>
    <t>Computer progra</t>
  </si>
  <si>
    <t>Motion picture,</t>
  </si>
  <si>
    <t>Other informati</t>
  </si>
  <si>
    <t>Other telecommu</t>
  </si>
  <si>
    <t>Publishing of b</t>
  </si>
  <si>
    <t>Radio broadcast</t>
  </si>
  <si>
    <t>Satellite telec</t>
  </si>
  <si>
    <t>Sound recording</t>
  </si>
  <si>
    <t>Wired telecommu</t>
  </si>
  <si>
    <t>Wireless teleco</t>
  </si>
  <si>
    <t>Activities auxi</t>
  </si>
  <si>
    <t>Activities of h</t>
  </si>
  <si>
    <t>Monetary interm</t>
  </si>
  <si>
    <t>Other financial</t>
  </si>
  <si>
    <t>Trusts, funds a</t>
  </si>
  <si>
    <t>Real estate act</t>
  </si>
  <si>
    <t>Accounting, boo</t>
  </si>
  <si>
    <t>Architectural a</t>
  </si>
  <si>
    <t>Legal activitie</t>
  </si>
  <si>
    <t>Management cons</t>
  </si>
  <si>
    <t>Market research</t>
  </si>
  <si>
    <t>Other professio</t>
  </si>
  <si>
    <t>Photographic ac</t>
  </si>
  <si>
    <t>Research and ex</t>
  </si>
  <si>
    <t>Specialized des</t>
  </si>
  <si>
    <t>Veterinary acti</t>
  </si>
  <si>
    <t>8220 Activities</t>
  </si>
  <si>
    <t>Activities of e</t>
  </si>
  <si>
    <t>Business suppor</t>
  </si>
  <si>
    <t>Cleaning activi</t>
  </si>
  <si>
    <t>Combined facili</t>
  </si>
  <si>
    <t>Investigation a</t>
  </si>
  <si>
    <t>Landscape care</t>
  </si>
  <si>
    <t>Other reservati</t>
  </si>
  <si>
    <t>Private securit</t>
  </si>
  <si>
    <t>Renting and lea</t>
  </si>
  <si>
    <t>Security system</t>
  </si>
  <si>
    <t>Temporary emplo</t>
  </si>
  <si>
    <t>Travel agency a</t>
  </si>
  <si>
    <t>8430 Compulsory</t>
  </si>
  <si>
    <t>Administration</t>
  </si>
  <si>
    <t>Provision of se</t>
  </si>
  <si>
    <t>8530 Higher edu</t>
  </si>
  <si>
    <t>Educational sup</t>
  </si>
  <si>
    <t>Pre-primary and</t>
  </si>
  <si>
    <t>Secondary educa</t>
  </si>
  <si>
    <t>Hospital activi</t>
  </si>
  <si>
    <t>Medical and den</t>
  </si>
  <si>
    <t>Other human hea</t>
  </si>
  <si>
    <t>Other residenti</t>
  </si>
  <si>
    <t>Other social wo</t>
  </si>
  <si>
    <t>Residential car</t>
  </si>
  <si>
    <t>Residential nur</t>
  </si>
  <si>
    <t>Social work act</t>
  </si>
  <si>
    <t>Botanical and z</t>
  </si>
  <si>
    <t>Creative, arts</t>
  </si>
  <si>
    <t>Gambling and be</t>
  </si>
  <si>
    <t>Library and arc</t>
  </si>
  <si>
    <t>Museums activit</t>
  </si>
  <si>
    <t>Other amusement</t>
  </si>
  <si>
    <t>Sports activiti</t>
  </si>
  <si>
    <t>Activities of b</t>
  </si>
  <si>
    <t>Activities of o</t>
  </si>
  <si>
    <t>Activities of t</t>
  </si>
  <si>
    <t>Funeral and rel</t>
  </si>
  <si>
    <t>Hairdressing an</t>
  </si>
  <si>
    <t>Other personal</t>
  </si>
  <si>
    <t>Repair of compu</t>
  </si>
  <si>
    <t>Repair of perso</t>
  </si>
  <si>
    <t>Washing and (dr</t>
  </si>
  <si>
    <t>Undifferentiate</t>
  </si>
  <si>
    <t>Sunflower</t>
  </si>
  <si>
    <t>Strawberriers</t>
  </si>
  <si>
    <t>Carotts</t>
  </si>
  <si>
    <t>Mushroom or spinac</t>
  </si>
  <si>
    <t>Hunting</t>
  </si>
  <si>
    <t>wax</t>
  </si>
  <si>
    <t>Fish</t>
  </si>
  <si>
    <t>Firewood</t>
  </si>
  <si>
    <t>Charcoal</t>
  </si>
  <si>
    <t>Wooden planks</t>
  </si>
  <si>
    <t>Construction timber</t>
  </si>
  <si>
    <t>Hides and skins</t>
  </si>
  <si>
    <t>Grass-fed animals</t>
  </si>
  <si>
    <t>Sorghum (A111)</t>
  </si>
  <si>
    <t>Maize (A112)</t>
  </si>
  <si>
    <t>Wheat (A113)</t>
  </si>
  <si>
    <t>Paddy &amp; husked rice (A116)</t>
  </si>
  <si>
    <t>Other cereals (A119)</t>
  </si>
  <si>
    <t>Irish potatoes (A121)</t>
  </si>
  <si>
    <t>Sweet potatoes (A122)</t>
  </si>
  <si>
    <t>Cassava (A123)</t>
  </si>
  <si>
    <t>Other roots &amp; tubers (A129)</t>
  </si>
  <si>
    <t>abean</t>
  </si>
  <si>
    <t>Dried beans (A131)</t>
  </si>
  <si>
    <t>apeas</t>
  </si>
  <si>
    <t>Peas &amp; other legumes (A132)</t>
  </si>
  <si>
    <t>Other vegetables (A139)</t>
  </si>
  <si>
    <t>abanb</t>
  </si>
  <si>
    <t>Bananas for beer (A141)</t>
  </si>
  <si>
    <t>abanc</t>
  </si>
  <si>
    <t>Bananas for cooking (A142)</t>
  </si>
  <si>
    <t>abans</t>
  </si>
  <si>
    <t>Bananas (sweet) (A143)</t>
  </si>
  <si>
    <t>Other fruit &amp; nuts (A149)</t>
  </si>
  <si>
    <t>Ground nuts (A151)</t>
  </si>
  <si>
    <t>asoya</t>
  </si>
  <si>
    <t>Soya (A152)</t>
  </si>
  <si>
    <t>Other oil seeds (A159)</t>
  </si>
  <si>
    <t>Coffee, not roasted, not decaffeinated (A210)</t>
  </si>
  <si>
    <t>Tea (unprocessed green leaf) (A220)</t>
  </si>
  <si>
    <t>Tobacco, raw (A291)</t>
  </si>
  <si>
    <t>Sugar cane (A292)</t>
  </si>
  <si>
    <t>Pyrethrum (A293)</t>
  </si>
  <si>
    <t>Agricultural products n.e.c. (A299)</t>
  </si>
  <si>
    <t>Bovine cattle, live (A311)</t>
  </si>
  <si>
    <t>Sheep, goats, pigs,live (A312)</t>
  </si>
  <si>
    <t>Poultry, live (A313)</t>
  </si>
  <si>
    <t>Other live animals (A319)</t>
  </si>
  <si>
    <t>Raw milk (A321)</t>
  </si>
  <si>
    <t>Eggs (A322)</t>
  </si>
  <si>
    <t>ahony</t>
  </si>
  <si>
    <t>Natural honey (A323)</t>
  </si>
  <si>
    <t>ahunt</t>
  </si>
  <si>
    <t>Other livestock &amp; hunting products (A329)</t>
  </si>
  <si>
    <t>afuel</t>
  </si>
  <si>
    <t>Fuel wood (A401)</t>
  </si>
  <si>
    <t>achar</t>
  </si>
  <si>
    <t>Charcoal (A402)</t>
  </si>
  <si>
    <t>Other forestry products (A409)</t>
  </si>
  <si>
    <t>Fishery products (A500)</t>
  </si>
  <si>
    <t>Natural gas (B01)</t>
  </si>
  <si>
    <t>amore</t>
  </si>
  <si>
    <t>Metal ores (B03)</t>
  </si>
  <si>
    <t>Quarry &amp; other mining products (B09)</t>
  </si>
  <si>
    <t>Meat and meat products (C11)</t>
  </si>
  <si>
    <t>Prepared and preserved fish (C12)</t>
  </si>
  <si>
    <t>Prepared and preserved vegetables (C13)</t>
  </si>
  <si>
    <t>Animal and vegetable oils and fats (C14)</t>
  </si>
  <si>
    <t>Dairy products (C15)</t>
  </si>
  <si>
    <t>Grain mill products (C16)</t>
  </si>
  <si>
    <t>abake</t>
  </si>
  <si>
    <t>Bakery products (C17)</t>
  </si>
  <si>
    <t>Animal feed &amp; other by-products (C18)</t>
  </si>
  <si>
    <t>Other manufactured food products (C19)</t>
  </si>
  <si>
    <t>aalco</t>
  </si>
  <si>
    <t>Alcoholic drinks (C21)</t>
  </si>
  <si>
    <t>Soft drinks (C22)</t>
  </si>
  <si>
    <t>Tobacco products (C23)</t>
  </si>
  <si>
    <t>Textiles, clothing &amp; leather products (C30)</t>
  </si>
  <si>
    <t>Wood, paper and related products (C41)</t>
  </si>
  <si>
    <t>aprnt</t>
  </si>
  <si>
    <t>Printing and reproduction of recorded media (C42)</t>
  </si>
  <si>
    <t>Coke and refined petroleum products (C51)</t>
  </si>
  <si>
    <t>Chemicals and chemical products (C52)</t>
  </si>
  <si>
    <t>aphar</t>
  </si>
  <si>
    <t>Pharmaceutical products (C53)</t>
  </si>
  <si>
    <t>aprub</t>
  </si>
  <si>
    <t>Rubber and plastics products (C54)</t>
  </si>
  <si>
    <t>Non-metallic mineral products n.e.c. (C61)</t>
  </si>
  <si>
    <t>aceme</t>
  </si>
  <si>
    <t>Manufacture of cement, lime and plaster (C62)</t>
  </si>
  <si>
    <t>aclay</t>
  </si>
  <si>
    <t>Manufacture of clay building materials (C63)</t>
  </si>
  <si>
    <t>Metals &amp; metal products, except machinery and equipment (C72)</t>
  </si>
  <si>
    <t>Machinery and equipment (except transport) (C74)</t>
  </si>
  <si>
    <t>Transport equipment (C76)</t>
  </si>
  <si>
    <t>afurn</t>
  </si>
  <si>
    <t>Furniture (C81)</t>
  </si>
  <si>
    <t>Other manufacturing (C82)</t>
  </si>
  <si>
    <t>arepr</t>
  </si>
  <si>
    <t>Repair and installation of machinery and equipment (C83)</t>
  </si>
  <si>
    <t>Electricity, gas, steam and air conditioning supply (D00)</t>
  </si>
  <si>
    <t>Water collection, treatment and supply: sewrage (E01)</t>
  </si>
  <si>
    <t>awast</t>
  </si>
  <si>
    <t>Waste collection and management (E02)</t>
  </si>
  <si>
    <t>Construction (modern) (F01)</t>
  </si>
  <si>
    <t>acont</t>
  </si>
  <si>
    <t>Construction (traditional) (F02)</t>
  </si>
  <si>
    <t>avehr</t>
  </si>
  <si>
    <t>Maintenance and repair of motor vehicles (G10)</t>
  </si>
  <si>
    <t>aveht</t>
  </si>
  <si>
    <t>Wholesale and retail trade of motor vehicles and motorcycles (G21)</t>
  </si>
  <si>
    <t>atrdw</t>
  </si>
  <si>
    <t>Wholesale trade, except of motor vehicles and motorcycles (G22)</t>
  </si>
  <si>
    <t>atrdr</t>
  </si>
  <si>
    <t>Retail trade, except of motor vehicles and motorcycles (G23)</t>
  </si>
  <si>
    <t>atrnl</t>
  </si>
  <si>
    <t>Land transport (H10)</t>
  </si>
  <si>
    <t>atrna</t>
  </si>
  <si>
    <t>Air transport (H20)</t>
  </si>
  <si>
    <t>atrns</t>
  </si>
  <si>
    <t>Services related to transport (H31)</t>
  </si>
  <si>
    <t>apost</t>
  </si>
  <si>
    <t>Postal and courier activities (H32)</t>
  </si>
  <si>
    <t>Hotels &amp; restaurants (I00)</t>
  </si>
  <si>
    <t>apubl</t>
  </si>
  <si>
    <t>Publishing, video making, programming &amp; broadcasting activities (J10)</t>
  </si>
  <si>
    <t>Telecommunication (J20)</t>
  </si>
  <si>
    <t>ainfo</t>
  </si>
  <si>
    <t>Information technology services (J30)</t>
  </si>
  <si>
    <t>abank</t>
  </si>
  <si>
    <t>Monetary institutions (K01)</t>
  </si>
  <si>
    <t>ainsu</t>
  </si>
  <si>
    <t>Insurance, reinsurance and pension funding, except compulsory social security (K02)</t>
  </si>
  <si>
    <t>aofsv</t>
  </si>
  <si>
    <t>Other financial services (K03)</t>
  </si>
  <si>
    <t>arent</t>
  </si>
  <si>
    <t>Rental value of dwellings (L01)</t>
  </si>
  <si>
    <t>Other real estate activities (L09)</t>
  </si>
  <si>
    <t>alegl</t>
  </si>
  <si>
    <t>Legal, accounting management &amp; head office activities (M01)</t>
  </si>
  <si>
    <t>aenga</t>
  </si>
  <si>
    <t>Architectural and engineering activities (M02)</t>
  </si>
  <si>
    <t>aprod</t>
  </si>
  <si>
    <t>Other professional, scientific and technical activities (M03)</t>
  </si>
  <si>
    <t>atrvl</t>
  </si>
  <si>
    <t>Travel agents and tour operators (N01)</t>
  </si>
  <si>
    <t>aobsv</t>
  </si>
  <si>
    <t>Other administrative and support service activities (N09)</t>
  </si>
  <si>
    <t>Public administration and defence; compulsory social security (O00)</t>
  </si>
  <si>
    <t>Education (P00)</t>
  </si>
  <si>
    <t>Human health activities (Q01)</t>
  </si>
  <si>
    <t>asocw</t>
  </si>
  <si>
    <t>Social work activities (Q02)</t>
  </si>
  <si>
    <t>acult</t>
  </si>
  <si>
    <t>Libraries, archives, museums and other cultural activities (R01)</t>
  </si>
  <si>
    <t>aarts</t>
  </si>
  <si>
    <t>Other arts, entertainment and recreation (R09)</t>
  </si>
  <si>
    <t>Other service activities (S00)</t>
  </si>
  <si>
    <t>adsrv</t>
  </si>
  <si>
    <t>Domestic services (T00)</t>
  </si>
  <si>
    <t>atrdc</t>
  </si>
  <si>
    <t>Travel debits &amp; credits (V00)</t>
  </si>
  <si>
    <t>Others fruits</t>
  </si>
  <si>
    <t>Other pyrethrum,banana leaves</t>
  </si>
  <si>
    <t xml:space="preserve">Green vegetables </t>
  </si>
  <si>
    <t xml:space="preserve">Pyretre </t>
  </si>
  <si>
    <t xml:space="preserve">Yam </t>
  </si>
  <si>
    <t>samdesc2</t>
  </si>
  <si>
    <t>Cattle &gt;=2Years</t>
  </si>
  <si>
    <t>Cattle &lt;2 Years</t>
  </si>
  <si>
    <t>Sheep</t>
  </si>
  <si>
    <t>Goats</t>
  </si>
  <si>
    <t>Pigs</t>
  </si>
  <si>
    <t>Rabbits</t>
  </si>
  <si>
    <t>Chickens</t>
  </si>
  <si>
    <t>Other poultry</t>
  </si>
  <si>
    <t xml:space="preserve">Other animals </t>
  </si>
  <si>
    <t>Manure</t>
  </si>
  <si>
    <t>Curdled or sour milk</t>
  </si>
  <si>
    <t>Meat from animals</t>
  </si>
  <si>
    <t>A: Agriculture, Forestry, and Fishing</t>
  </si>
  <si>
    <t>B: Mining and Quarrying</t>
  </si>
  <si>
    <t>C: Manufacturing</t>
  </si>
  <si>
    <t>D: Electricity, Gas and Air Conditionin</t>
  </si>
  <si>
    <t>E: Water Supply, Gas, and Remediation S</t>
  </si>
  <si>
    <t>F: Construction</t>
  </si>
  <si>
    <t>G: Wholesale and Retail Trade, Repair o</t>
  </si>
  <si>
    <t>H: Transportation and Storage</t>
  </si>
  <si>
    <t>I: Accomodation and Food Service Activi</t>
  </si>
  <si>
    <t>J: Information and Communication</t>
  </si>
  <si>
    <t>K: Financial and Insurance Activities</t>
  </si>
  <si>
    <t>L: Real Estate Activities</t>
  </si>
  <si>
    <t>M: Professional, Scientific, and Techni</t>
  </si>
  <si>
    <t>N: Administrative and Support Service A</t>
  </si>
  <si>
    <t>O: Public Administration and Defence, C</t>
  </si>
  <si>
    <t>P: Education</t>
  </si>
  <si>
    <t>Q: Human Health and Social Work Activit</t>
  </si>
  <si>
    <t>R: Arts, Entertainment, and Recreation</t>
  </si>
  <si>
    <t>S: Other Service Activities</t>
  </si>
  <si>
    <t>T: Activities of Households as Employer</t>
  </si>
  <si>
    <t>U: Activities of Extraterritorial Organ</t>
  </si>
  <si>
    <t>sectordesc</t>
  </si>
  <si>
    <t>order</t>
  </si>
  <si>
    <t>hhdclass0</t>
  </si>
  <si>
    <t>hhd_f1</t>
  </si>
  <si>
    <t>hhd_f2</t>
  </si>
  <si>
    <t>hhd_f3</t>
  </si>
  <si>
    <t>hhd_f4</t>
  </si>
  <si>
    <t>hhd_f5</t>
  </si>
  <si>
    <t>hhd_n1</t>
  </si>
  <si>
    <t>hhd_n2</t>
  </si>
  <si>
    <t>hhd_n3</t>
  </si>
  <si>
    <t>hhd_n4</t>
  </si>
  <si>
    <t>hhd_n5</t>
  </si>
  <si>
    <t>hhd_u1</t>
  </si>
  <si>
    <t>hhd_u2</t>
  </si>
  <si>
    <t>hhd_u3</t>
  </si>
  <si>
    <t>hhd_u4</t>
  </si>
  <si>
    <t>hhd_u5</t>
  </si>
  <si>
    <t>hhd_k1</t>
  </si>
  <si>
    <t>hhd_k2</t>
  </si>
  <si>
    <t>hhd_k3</t>
  </si>
  <si>
    <t>hhd_k4</t>
  </si>
  <si>
    <t>hhd_k5</t>
  </si>
  <si>
    <t>Maize _fresh_</t>
  </si>
  <si>
    <t>Dry maize _grain_</t>
  </si>
  <si>
    <t>Wheat _grain_</t>
  </si>
  <si>
    <t>Corn _flour from Mill_</t>
  </si>
  <si>
    <t>Corn (from factory)</t>
  </si>
  <si>
    <t>Corn _flour from Factory_</t>
  </si>
  <si>
    <t>Sorghum _flour_</t>
  </si>
  <si>
    <t>Wheat _flour_</t>
  </si>
  <si>
    <t>Millet _flour_</t>
  </si>
  <si>
    <t>Fish _fresh / frozen_</t>
  </si>
  <si>
    <t>Small Sized Fish _fresh_</t>
  </si>
  <si>
    <t>Fish _dry / smoked_</t>
  </si>
  <si>
    <t>Small Sized Fish _dry_</t>
  </si>
  <si>
    <t>Butter _local_</t>
  </si>
  <si>
    <t>Butter _imported_</t>
  </si>
  <si>
    <t>Banana fruit _Imineke_</t>
  </si>
  <si>
    <t>Banana - beer _Ikakama/Inkashi_</t>
  </si>
  <si>
    <t>Banana - cooking _Inyamunyo_</t>
  </si>
  <si>
    <t>Orange _local_</t>
  </si>
  <si>
    <t>Orange _imported_</t>
  </si>
  <si>
    <t>Ground nuts _peanuts_</t>
  </si>
  <si>
    <t>Soya _fresh_</t>
  </si>
  <si>
    <t>Soya _dry_</t>
  </si>
  <si>
    <t>Green pea _fresh_</t>
  </si>
  <si>
    <t>Green pea _dry_</t>
  </si>
  <si>
    <t>Amarante _small leafed green_</t>
  </si>
  <si>
    <t>Amarante _large leafed green_</t>
  </si>
  <si>
    <t>Cassava _root_</t>
  </si>
  <si>
    <t>Cassava _fermented_</t>
  </si>
  <si>
    <t>Cassava flour _yasekuwe_</t>
  </si>
  <si>
    <t>Cassava (from mill)</t>
  </si>
  <si>
    <t>Cassava from Mill_</t>
  </si>
  <si>
    <t>Cassava (from factory)</t>
  </si>
  <si>
    <t>Cassava from Factory_</t>
  </si>
  <si>
    <t>Sugar _local_</t>
  </si>
  <si>
    <t>Sugar  _imported_</t>
  </si>
  <si>
    <t>Powdered juice_super dip_</t>
  </si>
  <si>
    <t>Pepper_ground / liquid_</t>
  </si>
  <si>
    <t>Boullion cubes_MAGGI_</t>
  </si>
  <si>
    <t>Coffee _local_</t>
  </si>
  <si>
    <t>Coffee _imported_</t>
  </si>
  <si>
    <t>Tea _local_</t>
  </si>
  <si>
    <t>Tea _imported_</t>
  </si>
  <si>
    <t>Other juices of fruits _local_</t>
  </si>
  <si>
    <t>Other juices of fruits _imported_</t>
  </si>
  <si>
    <t>Sorghum juice_Ubushera_</t>
  </si>
  <si>
    <t>Liqueurs  _local_</t>
  </si>
  <si>
    <t>Liqueurs  _imported_</t>
  </si>
  <si>
    <t>Wine _local_</t>
  </si>
  <si>
    <t>Wine _imported_</t>
  </si>
  <si>
    <t>Local sorghum beer_ikigage_</t>
  </si>
  <si>
    <t>Commercial beer _local_</t>
  </si>
  <si>
    <t>Commercial beer _imported_</t>
  </si>
  <si>
    <t>Shish kebab_Brochette_</t>
  </si>
  <si>
    <t>Construction (wood)</t>
  </si>
  <si>
    <t>save</t>
  </si>
  <si>
    <t>ent</t>
  </si>
  <si>
    <t>hhd</t>
  </si>
  <si>
    <t>hhdclass</t>
  </si>
  <si>
    <t>hhddesc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</si>
</sst>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6" fillId="0" borderId="0" xfId="0" applyFont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1" fillId="4" borderId="0" xfId="0" applyFont="1" applyFill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1" fillId="4" borderId="0" xfId="0" applyFont="1" applyFill="1" applyBorder="1"/>
    <xf numFmtId="0" fontId="1" fillId="4" borderId="5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4" borderId="6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2" fillId="0" borderId="0" xfId="0" applyFont="1"/>
    <xf numFmtId="3" fontId="0" fillId="0" borderId="0" xfId="0" applyNumberFormat="1"/>
    <xf numFmtId="4" fontId="5" fillId="0" borderId="0" xfId="0" applyNumberFormat="1" applyFont="1"/>
    <xf numFmtId="0" fontId="0" fillId="0" borderId="0" xfId="0" applyAlignment="1">
      <alignment horizontal="left" indent="1"/>
    </xf>
    <xf numFmtId="4" fontId="0" fillId="0" borderId="0" xfId="0" applyNumberFormat="1"/>
    <xf numFmtId="0" fontId="0" fillId="0" borderId="0" xfId="0" applyAlignment="1">
      <alignment horizontal="left" indent="2"/>
    </xf>
    <xf numFmtId="0" fontId="8" fillId="0" borderId="0" xfId="0" applyFont="1" applyAlignment="1">
      <alignment horizontal="left" indent="3"/>
    </xf>
    <xf numFmtId="0" fontId="8" fillId="0" borderId="0" xfId="0" applyFont="1"/>
    <xf numFmtId="4" fontId="8" fillId="0" borderId="0" xfId="0" applyNumberFormat="1" applyFont="1"/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 indent="4"/>
    </xf>
    <xf numFmtId="164" fontId="0" fillId="0" borderId="0" xfId="1" applyNumberFormat="1" applyFont="1"/>
    <xf numFmtId="10" fontId="0" fillId="0" borderId="0" xfId="1" applyNumberFormat="1" applyFont="1"/>
    <xf numFmtId="0" fontId="8" fillId="0" borderId="7" xfId="0" applyFont="1" applyBorder="1"/>
    <xf numFmtId="10" fontId="0" fillId="0" borderId="0" xfId="0" applyNumberFormat="1"/>
    <xf numFmtId="2" fontId="0" fillId="0" borderId="0" xfId="1" applyNumberFormat="1" applyFont="1"/>
    <xf numFmtId="2" fontId="0" fillId="0" borderId="0" xfId="0" applyNumberFormat="1"/>
    <xf numFmtId="4" fontId="9" fillId="5" borderId="0" xfId="0" applyNumberFormat="1" applyFont="1" applyFill="1"/>
    <xf numFmtId="0" fontId="9" fillId="5" borderId="0" xfId="0" applyFont="1" applyFill="1"/>
    <xf numFmtId="3" fontId="0" fillId="0" borderId="1" xfId="0" applyNumberFormat="1" applyFont="1" applyBorder="1"/>
    <xf numFmtId="3" fontId="0" fillId="0" borderId="2" xfId="0" applyNumberFormat="1" applyFont="1" applyBorder="1"/>
    <xf numFmtId="0" fontId="0" fillId="0" borderId="3" xfId="0" applyFont="1" applyBorder="1"/>
    <xf numFmtId="3" fontId="0" fillId="0" borderId="4" xfId="0" applyNumberFormat="1" applyFont="1" applyBorder="1"/>
    <xf numFmtId="3" fontId="0" fillId="0" borderId="0" xfId="0" applyNumberFormat="1" applyFont="1" applyBorder="1"/>
    <xf numFmtId="0" fontId="0" fillId="0" borderId="5" xfId="0" applyFont="1" applyBorder="1"/>
    <xf numFmtId="0" fontId="0" fillId="0" borderId="4" xfId="0" applyFont="1" applyBorder="1"/>
    <xf numFmtId="0" fontId="0" fillId="0" borderId="0" xfId="0" applyFont="1" applyBorder="1"/>
    <xf numFmtId="3" fontId="0" fillId="0" borderId="6" xfId="0" applyNumberFormat="1" applyFont="1" applyBorder="1"/>
    <xf numFmtId="0" fontId="0" fillId="0" borderId="7" xfId="0" applyFont="1" applyBorder="1"/>
    <xf numFmtId="0" fontId="0" fillId="0" borderId="8" xfId="0" applyFont="1" applyBorder="1"/>
    <xf numFmtId="3" fontId="0" fillId="0" borderId="1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3" fontId="0" fillId="0" borderId="4" xfId="0" applyNumberFormat="1" applyBorder="1"/>
    <xf numFmtId="3" fontId="0" fillId="0" borderId="0" xfId="0" applyNumberFormat="1" applyBorder="1"/>
    <xf numFmtId="3" fontId="0" fillId="0" borderId="7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8093-2086-4728-B9F8-66FBA5CF71B6}">
  <dimension ref="B6:AI110"/>
  <sheetViews>
    <sheetView tabSelected="1" workbookViewId="0">
      <pane ySplit="6" topLeftCell="A7" activePane="bottomLeft" state="frozen"/>
      <selection pane="bottomLeft" activeCell="I21" sqref="I21"/>
    </sheetView>
  </sheetViews>
  <sheetFormatPr defaultRowHeight="14.5" x14ac:dyDescent="0.35"/>
  <sheetData>
    <row r="6" spans="2:35" x14ac:dyDescent="0.35">
      <c r="B6" t="s">
        <v>383</v>
      </c>
      <c r="C6" t="s">
        <v>391</v>
      </c>
      <c r="D6" t="s">
        <v>2237</v>
      </c>
      <c r="E6" t="s">
        <v>2238</v>
      </c>
      <c r="H6" t="s">
        <v>383</v>
      </c>
      <c r="I6" t="s">
        <v>391</v>
      </c>
      <c r="J6" t="s">
        <v>2294</v>
      </c>
      <c r="K6" t="s">
        <v>2295</v>
      </c>
      <c r="N6" t="s">
        <v>383</v>
      </c>
      <c r="O6" t="s">
        <v>391</v>
      </c>
      <c r="P6" t="s">
        <v>2308</v>
      </c>
      <c r="Q6" t="s">
        <v>2647</v>
      </c>
      <c r="V6" t="s">
        <v>391</v>
      </c>
      <c r="W6" t="s">
        <v>383</v>
      </c>
      <c r="X6" t="s">
        <v>2613</v>
      </c>
      <c r="AC6" t="s">
        <v>2648</v>
      </c>
      <c r="AD6" t="s">
        <v>2649</v>
      </c>
      <c r="AG6" t="s">
        <v>2728</v>
      </c>
      <c r="AH6" t="s">
        <v>2729</v>
      </c>
    </row>
    <row r="7" spans="2:35" x14ac:dyDescent="0.35">
      <c r="B7" t="str">
        <f t="shared" ref="B7:B38" si="0">IF(ISNA(VLOOKUP(C7,$V$7:$W$110,2,0)),"",VLOOKUP(C7,$V$7:$W$110,2,0))</f>
        <v>arice</v>
      </c>
      <c r="C7">
        <v>4</v>
      </c>
      <c r="D7">
        <v>1</v>
      </c>
      <c r="E7" t="s">
        <v>1075</v>
      </c>
      <c r="H7" t="str">
        <f t="shared" ref="H7:H24" si="1">IF(ISNA(VLOOKUP(I7,$V$7:$W$110,2,0)),"",VLOOKUP(I7,$V$7:$W$110,2,0))</f>
        <v>acatt</v>
      </c>
      <c r="I7">
        <v>26</v>
      </c>
      <c r="J7">
        <v>1</v>
      </c>
      <c r="K7" t="s">
        <v>2614</v>
      </c>
      <c r="M7" s="34"/>
      <c r="N7" t="str">
        <f t="shared" ref="N7:N27" si="2">IF(ISNA(VLOOKUP(O7,$V$7:$W$110,2,0)),"",VLOOKUP(O7,$V$7:$W$110,2,0))</f>
        <v>asorg</v>
      </c>
      <c r="O7">
        <v>1</v>
      </c>
      <c r="P7" s="34">
        <v>1</v>
      </c>
      <c r="Q7" t="s">
        <v>2626</v>
      </c>
      <c r="T7" s="34"/>
      <c r="V7" s="52">
        <v>1</v>
      </c>
      <c r="W7" s="53" t="s">
        <v>1163</v>
      </c>
      <c r="X7" s="54" t="s">
        <v>2458</v>
      </c>
      <c r="AC7">
        <v>1</v>
      </c>
      <c r="AD7" t="s">
        <v>2650</v>
      </c>
      <c r="AG7">
        <v>111</v>
      </c>
      <c r="AH7" t="s">
        <v>2650</v>
      </c>
      <c r="AI7" s="34" t="str">
        <f>" "&amp;AG7&amp;" """&amp;AH7&amp;""""</f>
        <v xml:space="preserve"> 111 "hhd_f1"</v>
      </c>
    </row>
    <row r="8" spans="2:35" x14ac:dyDescent="0.35">
      <c r="B8" t="str">
        <f t="shared" si="0"/>
        <v>amaiz</v>
      </c>
      <c r="C8">
        <v>2</v>
      </c>
      <c r="D8" s="34">
        <v>2</v>
      </c>
      <c r="E8" t="s">
        <v>1073</v>
      </c>
      <c r="H8" t="str">
        <f t="shared" si="1"/>
        <v>acatt</v>
      </c>
      <c r="I8">
        <v>26</v>
      </c>
      <c r="J8">
        <v>2</v>
      </c>
      <c r="K8" t="s">
        <v>2615</v>
      </c>
      <c r="M8" s="34"/>
      <c r="N8" t="str">
        <f t="shared" si="2"/>
        <v>angas</v>
      </c>
      <c r="O8">
        <v>38</v>
      </c>
      <c r="P8">
        <v>2</v>
      </c>
      <c r="Q8" t="s">
        <v>2627</v>
      </c>
      <c r="T8" s="34"/>
      <c r="V8" s="55">
        <v>2</v>
      </c>
      <c r="W8" s="56" t="s">
        <v>1161</v>
      </c>
      <c r="X8" s="57" t="s">
        <v>2459</v>
      </c>
      <c r="AC8">
        <v>2</v>
      </c>
      <c r="AD8" t="s">
        <v>2651</v>
      </c>
      <c r="AG8">
        <v>112</v>
      </c>
      <c r="AH8" t="s">
        <v>2651</v>
      </c>
      <c r="AI8" s="34" t="str">
        <f t="shared" ref="AI8:AI26" si="3">" "&amp;AG8&amp;" """&amp;AH8&amp;""""</f>
        <v xml:space="preserve"> 112 "hhd_f2"</v>
      </c>
    </row>
    <row r="9" spans="2:35" x14ac:dyDescent="0.35">
      <c r="B9" t="str">
        <f t="shared" si="0"/>
        <v>asorg</v>
      </c>
      <c r="C9">
        <v>1</v>
      </c>
      <c r="D9" s="34">
        <v>3</v>
      </c>
      <c r="E9" t="s">
        <v>571</v>
      </c>
      <c r="H9" t="str">
        <f t="shared" si="1"/>
        <v>asmlr</v>
      </c>
      <c r="I9">
        <v>27</v>
      </c>
      <c r="J9">
        <v>3</v>
      </c>
      <c r="K9" t="s">
        <v>2616</v>
      </c>
      <c r="M9" s="34"/>
      <c r="N9" t="str">
        <f t="shared" si="2"/>
        <v>ameat</v>
      </c>
      <c r="O9">
        <v>41</v>
      </c>
      <c r="P9" s="34">
        <v>3</v>
      </c>
      <c r="Q9" t="s">
        <v>2628</v>
      </c>
      <c r="V9" s="58">
        <v>3</v>
      </c>
      <c r="W9" s="56" t="s">
        <v>1167</v>
      </c>
      <c r="X9" s="57" t="s">
        <v>2460</v>
      </c>
      <c r="AC9">
        <v>3</v>
      </c>
      <c r="AD9" t="s">
        <v>2652</v>
      </c>
      <c r="AG9" s="34">
        <v>113</v>
      </c>
      <c r="AH9" t="s">
        <v>2652</v>
      </c>
      <c r="AI9" s="34" t="str">
        <f t="shared" si="3"/>
        <v xml:space="preserve"> 113 "hhd_f3"</v>
      </c>
    </row>
    <row r="10" spans="2:35" x14ac:dyDescent="0.35">
      <c r="B10" t="str">
        <f t="shared" si="0"/>
        <v>awhea</v>
      </c>
      <c r="C10">
        <v>3</v>
      </c>
      <c r="D10">
        <v>4</v>
      </c>
      <c r="E10" t="s">
        <v>2240</v>
      </c>
      <c r="H10" t="str">
        <f t="shared" si="1"/>
        <v>asmlr</v>
      </c>
      <c r="I10">
        <v>27</v>
      </c>
      <c r="J10">
        <v>4</v>
      </c>
      <c r="K10" t="s">
        <v>2617</v>
      </c>
      <c r="N10" t="str">
        <f t="shared" si="2"/>
        <v>aelec</v>
      </c>
      <c r="O10">
        <v>69</v>
      </c>
      <c r="P10">
        <v>4</v>
      </c>
      <c r="Q10" t="s">
        <v>2629</v>
      </c>
      <c r="T10" s="34"/>
      <c r="V10" s="55">
        <v>4</v>
      </c>
      <c r="W10" s="59" t="s">
        <v>1165</v>
      </c>
      <c r="X10" s="57" t="s">
        <v>2461</v>
      </c>
      <c r="AC10">
        <v>4</v>
      </c>
      <c r="AD10" t="s">
        <v>2653</v>
      </c>
      <c r="AG10">
        <v>114</v>
      </c>
      <c r="AH10" t="s">
        <v>2653</v>
      </c>
      <c r="AI10" s="34" t="str">
        <f t="shared" si="3"/>
        <v xml:space="preserve"> 114 "hhd_f4"</v>
      </c>
    </row>
    <row r="11" spans="2:35" x14ac:dyDescent="0.35">
      <c r="B11" t="str">
        <f t="shared" si="0"/>
        <v>aocer</v>
      </c>
      <c r="C11">
        <v>5</v>
      </c>
      <c r="D11">
        <v>5</v>
      </c>
      <c r="E11" t="s">
        <v>2241</v>
      </c>
      <c r="H11" t="str">
        <f t="shared" si="1"/>
        <v>asmlr</v>
      </c>
      <c r="I11">
        <v>27</v>
      </c>
      <c r="J11">
        <v>5</v>
      </c>
      <c r="K11" t="s">
        <v>2618</v>
      </c>
      <c r="M11" s="34"/>
      <c r="N11" t="str">
        <f t="shared" si="2"/>
        <v>awatr</v>
      </c>
      <c r="O11">
        <v>70</v>
      </c>
      <c r="P11">
        <v>5</v>
      </c>
      <c r="Q11" t="s">
        <v>2630</v>
      </c>
      <c r="T11" s="34"/>
      <c r="V11" s="55">
        <v>5</v>
      </c>
      <c r="W11" s="56" t="s">
        <v>1169</v>
      </c>
      <c r="X11" s="57" t="s">
        <v>2462</v>
      </c>
      <c r="AC11">
        <v>5</v>
      </c>
      <c r="AD11" t="s">
        <v>2654</v>
      </c>
      <c r="AG11" s="34">
        <v>115</v>
      </c>
      <c r="AH11" t="s">
        <v>2654</v>
      </c>
      <c r="AI11" s="34" t="str">
        <f t="shared" si="3"/>
        <v xml:space="preserve"> 115 "hhd_f5"</v>
      </c>
    </row>
    <row r="12" spans="2:35" x14ac:dyDescent="0.35">
      <c r="B12" t="str">
        <f t="shared" si="0"/>
        <v>aipot</v>
      </c>
      <c r="C12">
        <v>6</v>
      </c>
      <c r="D12" s="34">
        <v>6</v>
      </c>
      <c r="E12" t="s">
        <v>2249</v>
      </c>
      <c r="H12" t="str">
        <f t="shared" si="1"/>
        <v>aoliv</v>
      </c>
      <c r="I12">
        <v>29</v>
      </c>
      <c r="J12">
        <v>6</v>
      </c>
      <c r="K12" t="s">
        <v>2619</v>
      </c>
      <c r="M12" s="34"/>
      <c r="N12" t="str">
        <f t="shared" si="2"/>
        <v>acons</v>
      </c>
      <c r="O12">
        <v>72</v>
      </c>
      <c r="P12" s="34">
        <v>6</v>
      </c>
      <c r="Q12" t="s">
        <v>2631</v>
      </c>
      <c r="T12" s="34"/>
      <c r="V12" s="58">
        <v>6</v>
      </c>
      <c r="W12" s="56" t="s">
        <v>1179</v>
      </c>
      <c r="X12" s="57" t="s">
        <v>2463</v>
      </c>
      <c r="AC12">
        <v>6</v>
      </c>
      <c r="AD12" t="s">
        <v>2655</v>
      </c>
      <c r="AG12">
        <v>121</v>
      </c>
      <c r="AH12" t="s">
        <v>2655</v>
      </c>
      <c r="AI12" s="34" t="str">
        <f t="shared" si="3"/>
        <v xml:space="preserve"> 121 "hhd_n1"</v>
      </c>
    </row>
    <row r="13" spans="2:35" x14ac:dyDescent="0.35">
      <c r="B13" t="str">
        <f t="shared" si="0"/>
        <v>asoya</v>
      </c>
      <c r="C13">
        <v>18</v>
      </c>
      <c r="D13" s="34">
        <v>7</v>
      </c>
      <c r="E13" t="s">
        <v>2242</v>
      </c>
      <c r="H13" t="str">
        <f t="shared" si="1"/>
        <v>apoul</v>
      </c>
      <c r="I13">
        <v>28</v>
      </c>
      <c r="J13">
        <v>7</v>
      </c>
      <c r="K13" t="s">
        <v>2620</v>
      </c>
      <c r="M13" s="34"/>
      <c r="N13" t="str">
        <f t="shared" si="2"/>
        <v>avehr</v>
      </c>
      <c r="O13">
        <v>74</v>
      </c>
      <c r="P13" s="34">
        <v>7</v>
      </c>
      <c r="Q13" t="s">
        <v>2632</v>
      </c>
      <c r="T13" s="34"/>
      <c r="V13" s="55">
        <v>7</v>
      </c>
      <c r="W13" s="56" t="s">
        <v>1181</v>
      </c>
      <c r="X13" s="57" t="s">
        <v>2464</v>
      </c>
      <c r="AC13">
        <v>7</v>
      </c>
      <c r="AD13" t="s">
        <v>2656</v>
      </c>
      <c r="AG13">
        <v>122</v>
      </c>
      <c r="AH13" t="s">
        <v>2656</v>
      </c>
      <c r="AI13" s="34" t="str">
        <f t="shared" si="3"/>
        <v xml:space="preserve"> 122 "hhd_n2"</v>
      </c>
    </row>
    <row r="14" spans="2:35" x14ac:dyDescent="0.35">
      <c r="B14" t="str">
        <f t="shared" si="0"/>
        <v>agnut</v>
      </c>
      <c r="C14">
        <v>17</v>
      </c>
      <c r="D14" s="34">
        <v>8</v>
      </c>
      <c r="E14" t="s">
        <v>2245</v>
      </c>
      <c r="H14" t="str">
        <f t="shared" si="1"/>
        <v>apoul</v>
      </c>
      <c r="I14">
        <v>28</v>
      </c>
      <c r="J14">
        <v>8</v>
      </c>
      <c r="K14" t="s">
        <v>2621</v>
      </c>
      <c r="M14" s="34"/>
      <c r="N14" t="str">
        <f t="shared" si="2"/>
        <v>atrnl</v>
      </c>
      <c r="O14">
        <v>78</v>
      </c>
      <c r="P14" s="34">
        <v>8</v>
      </c>
      <c r="Q14" t="s">
        <v>2633</v>
      </c>
      <c r="V14" s="55">
        <v>8</v>
      </c>
      <c r="W14" s="56" t="s">
        <v>1177</v>
      </c>
      <c r="X14" s="57" t="s">
        <v>2465</v>
      </c>
      <c r="AC14">
        <v>8</v>
      </c>
      <c r="AD14" t="s">
        <v>2657</v>
      </c>
      <c r="AG14" s="34">
        <v>123</v>
      </c>
      <c r="AH14" t="s">
        <v>2657</v>
      </c>
      <c r="AI14" s="34" t="str">
        <f t="shared" si="3"/>
        <v xml:space="preserve"> 123 "hhd_n3"</v>
      </c>
    </row>
    <row r="15" spans="2:35" x14ac:dyDescent="0.35">
      <c r="B15" t="str">
        <f t="shared" si="0"/>
        <v>abean</v>
      </c>
      <c r="C15">
        <v>10</v>
      </c>
      <c r="D15" s="34">
        <v>9</v>
      </c>
      <c r="E15" t="s">
        <v>2243</v>
      </c>
      <c r="H15" t="str">
        <f t="shared" si="1"/>
        <v>aoliv</v>
      </c>
      <c r="I15">
        <v>29</v>
      </c>
      <c r="J15">
        <v>10</v>
      </c>
      <c r="K15" t="s">
        <v>2622</v>
      </c>
      <c r="M15" s="34"/>
      <c r="N15" t="str">
        <f t="shared" si="2"/>
        <v>ahotl</v>
      </c>
      <c r="O15">
        <v>82</v>
      </c>
      <c r="P15">
        <v>9</v>
      </c>
      <c r="Q15" t="s">
        <v>2634</v>
      </c>
      <c r="V15" s="58">
        <v>9</v>
      </c>
      <c r="W15" s="56" t="s">
        <v>1183</v>
      </c>
      <c r="X15" s="57" t="s">
        <v>2466</v>
      </c>
      <c r="AC15">
        <v>9</v>
      </c>
      <c r="AD15" t="s">
        <v>2658</v>
      </c>
      <c r="AG15" s="34">
        <v>124</v>
      </c>
      <c r="AH15" t="s">
        <v>2658</v>
      </c>
      <c r="AI15" s="34" t="str">
        <f t="shared" si="3"/>
        <v xml:space="preserve"> 124 "hhd_n4"</v>
      </c>
    </row>
    <row r="16" spans="2:35" x14ac:dyDescent="0.35">
      <c r="B16" t="str">
        <f t="shared" si="0"/>
        <v>abean</v>
      </c>
      <c r="C16">
        <v>10</v>
      </c>
      <c r="D16" s="34">
        <v>10</v>
      </c>
      <c r="E16" t="s">
        <v>2244</v>
      </c>
      <c r="H16" t="str">
        <f t="shared" si="1"/>
        <v>amilk</v>
      </c>
      <c r="I16" s="34">
        <v>30</v>
      </c>
      <c r="J16" s="34">
        <v>71</v>
      </c>
      <c r="K16" t="s">
        <v>602</v>
      </c>
      <c r="N16" t="str">
        <f t="shared" si="2"/>
        <v>apubl</v>
      </c>
      <c r="O16" s="34">
        <v>83</v>
      </c>
      <c r="P16">
        <v>10</v>
      </c>
      <c r="Q16" t="s">
        <v>2635</v>
      </c>
      <c r="V16" s="55">
        <v>10</v>
      </c>
      <c r="W16" s="56" t="s">
        <v>2467</v>
      </c>
      <c r="X16" s="57" t="s">
        <v>2468</v>
      </c>
      <c r="AC16">
        <v>10</v>
      </c>
      <c r="AD16" t="s">
        <v>2659</v>
      </c>
      <c r="AG16" s="34">
        <v>125</v>
      </c>
      <c r="AH16" t="s">
        <v>2659</v>
      </c>
      <c r="AI16" s="34" t="str">
        <f t="shared" si="3"/>
        <v xml:space="preserve"> 125 "hhd_n5"</v>
      </c>
    </row>
    <row r="17" spans="2:35" x14ac:dyDescent="0.35">
      <c r="B17" t="str">
        <f t="shared" si="0"/>
        <v>aoils</v>
      </c>
      <c r="C17">
        <v>19</v>
      </c>
      <c r="D17" s="34">
        <v>11</v>
      </c>
      <c r="E17" t="s">
        <v>2445</v>
      </c>
      <c r="H17" t="str">
        <f t="shared" si="1"/>
        <v>amilk</v>
      </c>
      <c r="I17" s="34">
        <v>30</v>
      </c>
      <c r="J17" s="34">
        <v>72</v>
      </c>
      <c r="K17" t="s">
        <v>2624</v>
      </c>
      <c r="N17" t="str">
        <f t="shared" si="2"/>
        <v>abank</v>
      </c>
      <c r="O17" s="34">
        <v>86</v>
      </c>
      <c r="P17">
        <v>11</v>
      </c>
      <c r="Q17" t="s">
        <v>2636</v>
      </c>
      <c r="V17" s="55">
        <v>11</v>
      </c>
      <c r="W17" s="56" t="s">
        <v>2469</v>
      </c>
      <c r="X17" s="57" t="s">
        <v>2470</v>
      </c>
      <c r="AC17">
        <v>11</v>
      </c>
      <c r="AD17" t="s">
        <v>2660</v>
      </c>
      <c r="AG17">
        <v>221</v>
      </c>
      <c r="AH17" t="s">
        <v>2660</v>
      </c>
      <c r="AI17" s="34" t="str">
        <f t="shared" si="3"/>
        <v xml:space="preserve"> 221 "hhd_u1"</v>
      </c>
    </row>
    <row r="18" spans="2:35" x14ac:dyDescent="0.35">
      <c r="B18" t="str">
        <f t="shared" si="0"/>
        <v>acoff</v>
      </c>
      <c r="C18">
        <v>20</v>
      </c>
      <c r="D18" s="34">
        <v>12</v>
      </c>
      <c r="E18" t="s">
        <v>1088</v>
      </c>
      <c r="H18" t="str">
        <f t="shared" si="1"/>
        <v>amilk</v>
      </c>
      <c r="I18" s="34">
        <v>30</v>
      </c>
      <c r="J18" s="34">
        <v>73</v>
      </c>
      <c r="K18" t="s">
        <v>1405</v>
      </c>
      <c r="N18" t="str">
        <f t="shared" si="2"/>
        <v>arent</v>
      </c>
      <c r="O18" s="34">
        <v>89</v>
      </c>
      <c r="P18">
        <v>12</v>
      </c>
      <c r="Q18" t="s">
        <v>2637</v>
      </c>
      <c r="V18" s="58">
        <v>12</v>
      </c>
      <c r="W18" s="56" t="s">
        <v>1185</v>
      </c>
      <c r="X18" s="57" t="s">
        <v>2471</v>
      </c>
      <c r="AC18">
        <v>12</v>
      </c>
      <c r="AD18" t="s">
        <v>2661</v>
      </c>
      <c r="AG18">
        <v>222</v>
      </c>
      <c r="AH18" t="s">
        <v>2661</v>
      </c>
      <c r="AI18" s="34" t="str">
        <f t="shared" si="3"/>
        <v xml:space="preserve"> 222 "hhd_u2"</v>
      </c>
    </row>
    <row r="19" spans="2:35" x14ac:dyDescent="0.35">
      <c r="B19" t="str">
        <f t="shared" si="0"/>
        <v>amaiz</v>
      </c>
      <c r="C19">
        <v>2</v>
      </c>
      <c r="D19">
        <v>13</v>
      </c>
      <c r="E19" t="s">
        <v>2239</v>
      </c>
      <c r="H19" t="str">
        <f t="shared" si="1"/>
        <v>amilk</v>
      </c>
      <c r="I19" s="34">
        <v>30</v>
      </c>
      <c r="J19" s="34">
        <v>74</v>
      </c>
      <c r="K19" t="s">
        <v>608</v>
      </c>
      <c r="N19" t="str">
        <f t="shared" si="2"/>
        <v>alegl</v>
      </c>
      <c r="O19" s="34">
        <v>91</v>
      </c>
      <c r="P19">
        <v>13</v>
      </c>
      <c r="Q19" t="s">
        <v>2638</v>
      </c>
      <c r="V19" s="55">
        <v>13</v>
      </c>
      <c r="W19" s="59" t="s">
        <v>2472</v>
      </c>
      <c r="X19" s="57" t="s">
        <v>2473</v>
      </c>
      <c r="AC19">
        <v>13</v>
      </c>
      <c r="AD19" t="s">
        <v>2662</v>
      </c>
      <c r="AG19">
        <v>223</v>
      </c>
      <c r="AH19" t="s">
        <v>2662</v>
      </c>
      <c r="AI19" s="34" t="str">
        <f t="shared" si="3"/>
        <v xml:space="preserve"> 223 "hhd_u3"</v>
      </c>
    </row>
    <row r="20" spans="2:35" x14ac:dyDescent="0.35">
      <c r="B20" t="str">
        <f t="shared" si="0"/>
        <v>acass</v>
      </c>
      <c r="C20">
        <v>8</v>
      </c>
      <c r="D20">
        <v>14</v>
      </c>
      <c r="E20" t="s">
        <v>2247</v>
      </c>
      <c r="H20" t="str">
        <f t="shared" si="1"/>
        <v>aeggs</v>
      </c>
      <c r="I20" s="34">
        <v>31</v>
      </c>
      <c r="J20" s="34">
        <v>75</v>
      </c>
      <c r="K20" t="s">
        <v>596</v>
      </c>
      <c r="N20" t="str">
        <f t="shared" si="2"/>
        <v>atrvl</v>
      </c>
      <c r="O20" s="34">
        <v>94</v>
      </c>
      <c r="P20">
        <v>14</v>
      </c>
      <c r="Q20" t="s">
        <v>2639</v>
      </c>
      <c r="V20" s="55">
        <v>14</v>
      </c>
      <c r="W20" s="56" t="s">
        <v>2474</v>
      </c>
      <c r="X20" s="57" t="s">
        <v>2475</v>
      </c>
      <c r="AC20">
        <v>14</v>
      </c>
      <c r="AD20" t="s">
        <v>2663</v>
      </c>
      <c r="AG20">
        <v>224</v>
      </c>
      <c r="AH20" t="s">
        <v>2663</v>
      </c>
      <c r="AI20" s="34" t="str">
        <f t="shared" si="3"/>
        <v xml:space="preserve"> 224 "hhd_u4"</v>
      </c>
    </row>
    <row r="21" spans="2:35" x14ac:dyDescent="0.35">
      <c r="B21" t="str">
        <f t="shared" si="0"/>
        <v>acass</v>
      </c>
      <c r="C21">
        <v>8</v>
      </c>
      <c r="D21">
        <v>15</v>
      </c>
      <c r="E21" t="s">
        <v>2248</v>
      </c>
      <c r="H21" t="str">
        <f t="shared" si="1"/>
        <v>ahunt</v>
      </c>
      <c r="I21" s="34">
        <v>33</v>
      </c>
      <c r="J21" s="34">
        <v>76</v>
      </c>
      <c r="K21" t="s">
        <v>2623</v>
      </c>
      <c r="N21" t="str">
        <f t="shared" si="2"/>
        <v>apadm</v>
      </c>
      <c r="O21" s="34">
        <v>96</v>
      </c>
      <c r="P21">
        <v>15</v>
      </c>
      <c r="Q21" t="s">
        <v>2640</v>
      </c>
      <c r="V21" s="58">
        <v>15</v>
      </c>
      <c r="W21" s="59" t="s">
        <v>2476</v>
      </c>
      <c r="X21" s="57" t="s">
        <v>2477</v>
      </c>
      <c r="AC21">
        <v>15</v>
      </c>
      <c r="AD21" t="s">
        <v>2664</v>
      </c>
      <c r="AG21">
        <v>225</v>
      </c>
      <c r="AH21" t="s">
        <v>2664</v>
      </c>
      <c r="AI21" s="34" t="str">
        <f t="shared" si="3"/>
        <v xml:space="preserve"> 225 "hhd_u5"</v>
      </c>
    </row>
    <row r="22" spans="2:35" x14ac:dyDescent="0.35">
      <c r="B22" t="str">
        <f t="shared" si="0"/>
        <v>aroot</v>
      </c>
      <c r="C22">
        <v>9</v>
      </c>
      <c r="D22">
        <v>16</v>
      </c>
      <c r="E22" t="s">
        <v>2250</v>
      </c>
      <c r="H22" t="str">
        <f t="shared" si="1"/>
        <v>acatt</v>
      </c>
      <c r="I22" s="34">
        <v>26</v>
      </c>
      <c r="J22" s="34">
        <v>77</v>
      </c>
      <c r="K22" t="s">
        <v>2625</v>
      </c>
      <c r="N22" t="str">
        <f t="shared" si="2"/>
        <v>aeduc</v>
      </c>
      <c r="O22" s="34">
        <v>97</v>
      </c>
      <c r="P22">
        <v>16</v>
      </c>
      <c r="Q22" t="s">
        <v>2641</v>
      </c>
      <c r="V22" s="55">
        <v>16</v>
      </c>
      <c r="W22" s="59" t="s">
        <v>1193</v>
      </c>
      <c r="X22" s="57" t="s">
        <v>2478</v>
      </c>
      <c r="AC22">
        <f>AC21+1</f>
        <v>16</v>
      </c>
      <c r="AD22" t="s">
        <v>2665</v>
      </c>
      <c r="AG22">
        <v>321</v>
      </c>
      <c r="AH22" t="s">
        <v>2665</v>
      </c>
      <c r="AI22" s="34" t="str">
        <f t="shared" si="3"/>
        <v xml:space="preserve"> 321 "hhd_k1"</v>
      </c>
    </row>
    <row r="23" spans="2:35" x14ac:dyDescent="0.35">
      <c r="B23" t="str">
        <f t="shared" si="0"/>
        <v>aspot</v>
      </c>
      <c r="C23">
        <v>7</v>
      </c>
      <c r="D23">
        <v>17</v>
      </c>
      <c r="E23" t="s">
        <v>2251</v>
      </c>
      <c r="H23" t="str">
        <f t="shared" si="1"/>
        <v>asmlr</v>
      </c>
      <c r="I23" s="34">
        <v>27</v>
      </c>
      <c r="J23" s="34">
        <v>78</v>
      </c>
      <c r="K23" t="s">
        <v>615</v>
      </c>
      <c r="N23" t="str">
        <f t="shared" si="2"/>
        <v>aheal</v>
      </c>
      <c r="O23" s="34">
        <v>98</v>
      </c>
      <c r="P23">
        <v>17</v>
      </c>
      <c r="Q23" t="s">
        <v>2642</v>
      </c>
      <c r="R23" s="34"/>
      <c r="V23" s="55">
        <v>17</v>
      </c>
      <c r="W23" s="59" t="s">
        <v>1173</v>
      </c>
      <c r="X23" s="57" t="s">
        <v>2479</v>
      </c>
      <c r="AC23">
        <f t="shared" ref="AC23:AC26" si="4">AC22+1</f>
        <v>17</v>
      </c>
      <c r="AD23" t="s">
        <v>2666</v>
      </c>
      <c r="AG23">
        <v>322</v>
      </c>
      <c r="AH23" t="s">
        <v>2666</v>
      </c>
      <c r="AI23" s="34" t="str">
        <f t="shared" si="3"/>
        <v xml:space="preserve"> 322 "hhd_k2"</v>
      </c>
    </row>
    <row r="24" spans="2:35" x14ac:dyDescent="0.35">
      <c r="B24" t="str">
        <f t="shared" si="0"/>
        <v>aroot</v>
      </c>
      <c r="C24">
        <v>9</v>
      </c>
      <c r="D24">
        <v>18</v>
      </c>
      <c r="E24" t="s">
        <v>2612</v>
      </c>
      <c r="H24" t="str">
        <f t="shared" si="1"/>
        <v>aoliv</v>
      </c>
      <c r="I24" s="34">
        <v>29</v>
      </c>
      <c r="J24" s="34">
        <v>79</v>
      </c>
      <c r="K24" t="s">
        <v>675</v>
      </c>
      <c r="N24" t="str">
        <f t="shared" si="2"/>
        <v>acult</v>
      </c>
      <c r="O24" s="34">
        <v>100</v>
      </c>
      <c r="P24">
        <v>18</v>
      </c>
      <c r="Q24" t="s">
        <v>2643</v>
      </c>
      <c r="R24" s="34"/>
      <c r="V24" s="58">
        <v>18</v>
      </c>
      <c r="W24" s="59" t="s">
        <v>2480</v>
      </c>
      <c r="X24" s="57" t="s">
        <v>2481</v>
      </c>
      <c r="AC24">
        <f t="shared" si="4"/>
        <v>18</v>
      </c>
      <c r="AD24" t="s">
        <v>2667</v>
      </c>
      <c r="AG24">
        <v>323</v>
      </c>
      <c r="AH24" t="s">
        <v>2667</v>
      </c>
      <c r="AI24" s="34" t="str">
        <f t="shared" si="3"/>
        <v xml:space="preserve"> 323 "hhd_k3"</v>
      </c>
    </row>
    <row r="25" spans="2:35" x14ac:dyDescent="0.35">
      <c r="B25" t="str">
        <f t="shared" si="0"/>
        <v>abans</v>
      </c>
      <c r="C25">
        <v>15</v>
      </c>
      <c r="D25">
        <v>19</v>
      </c>
      <c r="E25" t="s">
        <v>2272</v>
      </c>
      <c r="N25" t="str">
        <f t="shared" si="2"/>
        <v>aosrv</v>
      </c>
      <c r="O25" s="34">
        <v>102</v>
      </c>
      <c r="P25">
        <v>19</v>
      </c>
      <c r="Q25" t="s">
        <v>2644</v>
      </c>
      <c r="R25" s="34"/>
      <c r="V25" s="55">
        <v>19</v>
      </c>
      <c r="W25" s="59" t="s">
        <v>1175</v>
      </c>
      <c r="X25" s="57" t="s">
        <v>2482</v>
      </c>
      <c r="AC25">
        <f t="shared" si="4"/>
        <v>19</v>
      </c>
      <c r="AD25" t="s">
        <v>2668</v>
      </c>
      <c r="AG25">
        <v>324</v>
      </c>
      <c r="AH25" t="s">
        <v>2668</v>
      </c>
      <c r="AI25" s="34" t="str">
        <f t="shared" si="3"/>
        <v xml:space="preserve"> 324 "hhd_k4"</v>
      </c>
    </row>
    <row r="26" spans="2:35" x14ac:dyDescent="0.35">
      <c r="B26" t="str">
        <f t="shared" si="0"/>
        <v>abanc</v>
      </c>
      <c r="C26">
        <v>14</v>
      </c>
      <c r="D26">
        <v>20</v>
      </c>
      <c r="E26" t="s">
        <v>2285</v>
      </c>
      <c r="N26" t="str">
        <f t="shared" si="2"/>
        <v>adsrv</v>
      </c>
      <c r="O26" s="34">
        <v>103</v>
      </c>
      <c r="P26" s="34">
        <v>20</v>
      </c>
      <c r="Q26" t="s">
        <v>2645</v>
      </c>
      <c r="R26" s="34"/>
      <c r="V26" s="55">
        <v>20</v>
      </c>
      <c r="W26" s="59" t="s">
        <v>1200</v>
      </c>
      <c r="X26" s="57" t="s">
        <v>2483</v>
      </c>
      <c r="AC26">
        <f t="shared" si="4"/>
        <v>20</v>
      </c>
      <c r="AD26" t="s">
        <v>2669</v>
      </c>
      <c r="AG26">
        <v>325</v>
      </c>
      <c r="AH26" t="s">
        <v>2669</v>
      </c>
      <c r="AI26" s="34" t="str">
        <f t="shared" si="3"/>
        <v xml:space="preserve"> 325 "hhd_k5"</v>
      </c>
    </row>
    <row r="27" spans="2:35" x14ac:dyDescent="0.35">
      <c r="B27" t="str">
        <f t="shared" si="0"/>
        <v>abanb</v>
      </c>
      <c r="C27">
        <v>13</v>
      </c>
      <c r="D27">
        <v>21</v>
      </c>
      <c r="E27" t="s">
        <v>2286</v>
      </c>
      <c r="N27" t="str">
        <f t="shared" si="2"/>
        <v>aosrv</v>
      </c>
      <c r="O27" s="34">
        <v>102</v>
      </c>
      <c r="P27">
        <v>21</v>
      </c>
      <c r="Q27" t="s">
        <v>2646</v>
      </c>
      <c r="R27" s="34"/>
      <c r="V27" s="58">
        <v>21</v>
      </c>
      <c r="W27" s="59" t="s">
        <v>1202</v>
      </c>
      <c r="X27" s="57" t="s">
        <v>2484</v>
      </c>
    </row>
    <row r="28" spans="2:35" x14ac:dyDescent="0.35">
      <c r="B28" t="str">
        <f t="shared" si="0"/>
        <v>afrui</v>
      </c>
      <c r="C28">
        <v>16</v>
      </c>
      <c r="D28">
        <v>22</v>
      </c>
      <c r="E28" t="s">
        <v>2273</v>
      </c>
      <c r="N28" s="34"/>
      <c r="P28" s="34"/>
      <c r="R28" s="34"/>
      <c r="V28" s="55">
        <v>22</v>
      </c>
      <c r="W28" s="59" t="s">
        <v>1189</v>
      </c>
      <c r="X28" s="57" t="s">
        <v>2485</v>
      </c>
      <c r="AG28" s="34"/>
    </row>
    <row r="29" spans="2:35" x14ac:dyDescent="0.35">
      <c r="B29" t="str">
        <f t="shared" si="0"/>
        <v>afrui</v>
      </c>
      <c r="C29">
        <v>16</v>
      </c>
      <c r="D29">
        <v>23</v>
      </c>
      <c r="E29" t="s">
        <v>2274</v>
      </c>
      <c r="P29" s="34"/>
      <c r="R29" s="34"/>
      <c r="V29" s="55">
        <v>23</v>
      </c>
      <c r="W29" s="59" t="s">
        <v>1187</v>
      </c>
      <c r="X29" s="57" t="s">
        <v>2486</v>
      </c>
    </row>
    <row r="30" spans="2:35" x14ac:dyDescent="0.35">
      <c r="B30" t="str">
        <f t="shared" si="0"/>
        <v>afrui</v>
      </c>
      <c r="C30">
        <v>16</v>
      </c>
      <c r="D30">
        <v>24</v>
      </c>
      <c r="E30" t="s">
        <v>621</v>
      </c>
      <c r="P30" s="34"/>
      <c r="R30" s="34"/>
      <c r="V30" s="58">
        <v>24</v>
      </c>
      <c r="W30" s="59" t="s">
        <v>1206</v>
      </c>
      <c r="X30" s="57" t="s">
        <v>2487</v>
      </c>
    </row>
    <row r="31" spans="2:35" x14ac:dyDescent="0.35">
      <c r="B31" t="str">
        <f t="shared" si="0"/>
        <v>afrui</v>
      </c>
      <c r="C31">
        <v>16</v>
      </c>
      <c r="D31">
        <v>25</v>
      </c>
      <c r="E31" t="s">
        <v>2275</v>
      </c>
      <c r="M31" s="34"/>
      <c r="P31" s="34"/>
      <c r="R31" s="34"/>
      <c r="V31" s="60">
        <v>25</v>
      </c>
      <c r="W31" s="61" t="s">
        <v>1209</v>
      </c>
      <c r="X31" s="62" t="s">
        <v>2488</v>
      </c>
    </row>
    <row r="32" spans="2:35" x14ac:dyDescent="0.35">
      <c r="B32" t="str">
        <f t="shared" si="0"/>
        <v>afrui</v>
      </c>
      <c r="C32">
        <v>16</v>
      </c>
      <c r="D32">
        <v>26</v>
      </c>
      <c r="E32" t="s">
        <v>2276</v>
      </c>
      <c r="M32" s="34"/>
      <c r="P32" s="34"/>
      <c r="R32" s="34"/>
      <c r="V32" s="63">
        <v>26</v>
      </c>
      <c r="W32" s="28" t="s">
        <v>1211</v>
      </c>
      <c r="X32" s="29" t="s">
        <v>2489</v>
      </c>
    </row>
    <row r="33" spans="2:24" x14ac:dyDescent="0.35">
      <c r="B33" t="str">
        <f t="shared" si="0"/>
        <v>afrui</v>
      </c>
      <c r="C33">
        <v>16</v>
      </c>
      <c r="D33">
        <v>27</v>
      </c>
      <c r="E33" t="s">
        <v>2277</v>
      </c>
      <c r="M33" s="34"/>
      <c r="P33" s="34"/>
      <c r="R33" s="34"/>
      <c r="V33" s="64">
        <v>27</v>
      </c>
      <c r="W33" s="65" t="s">
        <v>1215</v>
      </c>
      <c r="X33" s="66" t="s">
        <v>2490</v>
      </c>
    </row>
    <row r="34" spans="2:24" x14ac:dyDescent="0.35">
      <c r="B34" t="str">
        <f t="shared" si="0"/>
        <v>afrui</v>
      </c>
      <c r="C34">
        <v>16</v>
      </c>
      <c r="D34">
        <v>28</v>
      </c>
      <c r="E34" t="s">
        <v>2278</v>
      </c>
      <c r="P34" s="34"/>
      <c r="R34" s="34"/>
      <c r="V34" s="67">
        <v>28</v>
      </c>
      <c r="W34" s="65" t="s">
        <v>1217</v>
      </c>
      <c r="X34" s="66" t="s">
        <v>2491</v>
      </c>
    </row>
    <row r="35" spans="2:24" x14ac:dyDescent="0.35">
      <c r="B35" t="str">
        <f t="shared" si="0"/>
        <v>afrui</v>
      </c>
      <c r="C35">
        <v>16</v>
      </c>
      <c r="D35">
        <v>29</v>
      </c>
      <c r="E35" t="s">
        <v>2279</v>
      </c>
      <c r="V35" s="67">
        <v>29</v>
      </c>
      <c r="W35" s="65" t="s">
        <v>1221</v>
      </c>
      <c r="X35" s="66" t="s">
        <v>2492</v>
      </c>
    </row>
    <row r="36" spans="2:24" x14ac:dyDescent="0.35">
      <c r="B36" t="str">
        <f t="shared" si="0"/>
        <v>afrui</v>
      </c>
      <c r="C36">
        <v>16</v>
      </c>
      <c r="D36">
        <v>30</v>
      </c>
      <c r="E36" t="s">
        <v>2280</v>
      </c>
      <c r="M36" s="34"/>
      <c r="V36" s="64">
        <v>30</v>
      </c>
      <c r="W36" s="68" t="s">
        <v>1213</v>
      </c>
      <c r="X36" s="66" t="s">
        <v>2493</v>
      </c>
    </row>
    <row r="37" spans="2:24" x14ac:dyDescent="0.35">
      <c r="B37" t="str">
        <f t="shared" si="0"/>
        <v>afrui</v>
      </c>
      <c r="C37">
        <v>16</v>
      </c>
      <c r="D37">
        <v>31</v>
      </c>
      <c r="E37" t="s">
        <v>2281</v>
      </c>
      <c r="V37" s="67">
        <v>31</v>
      </c>
      <c r="W37" s="65" t="s">
        <v>1219</v>
      </c>
      <c r="X37" s="66" t="s">
        <v>2494</v>
      </c>
    </row>
    <row r="38" spans="2:24" x14ac:dyDescent="0.35">
      <c r="B38" t="str">
        <f t="shared" si="0"/>
        <v>afrui</v>
      </c>
      <c r="C38">
        <v>16</v>
      </c>
      <c r="D38">
        <v>32</v>
      </c>
      <c r="E38" t="s">
        <v>629</v>
      </c>
      <c r="M38" s="34"/>
      <c r="V38" s="67">
        <v>32</v>
      </c>
      <c r="W38" s="68" t="s">
        <v>2495</v>
      </c>
      <c r="X38" s="66" t="s">
        <v>2496</v>
      </c>
    </row>
    <row r="39" spans="2:24" x14ac:dyDescent="0.35">
      <c r="B39" t="str">
        <f t="shared" ref="B39:B70" si="5">IF(ISNA(VLOOKUP(C39,$V$7:$W$110,2,0)),"",VLOOKUP(C39,$V$7:$W$110,2,0))</f>
        <v>afrui</v>
      </c>
      <c r="C39">
        <v>16</v>
      </c>
      <c r="D39">
        <v>33</v>
      </c>
      <c r="E39" t="s">
        <v>2446</v>
      </c>
      <c r="V39" s="24">
        <v>33</v>
      </c>
      <c r="W39" s="25" t="s">
        <v>2497</v>
      </c>
      <c r="X39" s="26" t="s">
        <v>2498</v>
      </c>
    </row>
    <row r="40" spans="2:24" x14ac:dyDescent="0.35">
      <c r="B40" t="str">
        <f t="shared" si="5"/>
        <v>afrui</v>
      </c>
      <c r="C40">
        <v>16</v>
      </c>
      <c r="D40">
        <v>34</v>
      </c>
      <c r="E40" t="s">
        <v>2283</v>
      </c>
      <c r="M40" s="34"/>
      <c r="V40" s="34">
        <v>34</v>
      </c>
      <c r="W40" s="34" t="s">
        <v>2499</v>
      </c>
      <c r="X40" t="s">
        <v>2500</v>
      </c>
    </row>
    <row r="41" spans="2:24" x14ac:dyDescent="0.35">
      <c r="B41" t="str">
        <f t="shared" si="5"/>
        <v>afrui</v>
      </c>
      <c r="C41">
        <v>16</v>
      </c>
      <c r="D41">
        <v>35</v>
      </c>
      <c r="E41" t="s">
        <v>2608</v>
      </c>
      <c r="V41" s="34">
        <v>35</v>
      </c>
      <c r="W41" t="s">
        <v>2501</v>
      </c>
      <c r="X41" t="s">
        <v>2502</v>
      </c>
    </row>
    <row r="42" spans="2:24" x14ac:dyDescent="0.35">
      <c r="B42" t="str">
        <f t="shared" si="5"/>
        <v>afrui</v>
      </c>
      <c r="C42">
        <v>16</v>
      </c>
      <c r="D42">
        <v>36</v>
      </c>
      <c r="E42" t="s">
        <v>632</v>
      </c>
      <c r="M42" s="34"/>
      <c r="V42">
        <v>36</v>
      </c>
      <c r="W42" s="34" t="s">
        <v>1223</v>
      </c>
      <c r="X42" t="s">
        <v>2503</v>
      </c>
    </row>
    <row r="43" spans="2:24" x14ac:dyDescent="0.35">
      <c r="B43" t="str">
        <f t="shared" si="5"/>
        <v>abean</v>
      </c>
      <c r="C43">
        <v>10</v>
      </c>
      <c r="D43">
        <v>37</v>
      </c>
      <c r="E43" t="s">
        <v>2253</v>
      </c>
      <c r="M43" s="34"/>
      <c r="V43" s="34">
        <v>37</v>
      </c>
      <c r="W43" s="34" t="s">
        <v>1225</v>
      </c>
      <c r="X43" t="s">
        <v>2504</v>
      </c>
    </row>
    <row r="44" spans="2:24" x14ac:dyDescent="0.35">
      <c r="B44" t="str">
        <f t="shared" si="5"/>
        <v>abean</v>
      </c>
      <c r="C44">
        <v>10</v>
      </c>
      <c r="D44">
        <v>38</v>
      </c>
      <c r="E44" t="s">
        <v>2254</v>
      </c>
      <c r="V44" s="34">
        <v>38</v>
      </c>
      <c r="W44" t="s">
        <v>1231</v>
      </c>
      <c r="X44" t="s">
        <v>2505</v>
      </c>
    </row>
    <row r="45" spans="2:24" x14ac:dyDescent="0.35">
      <c r="B45" t="str">
        <f t="shared" si="5"/>
        <v>avege</v>
      </c>
      <c r="C45">
        <v>12</v>
      </c>
      <c r="D45">
        <v>39</v>
      </c>
      <c r="E45" t="s">
        <v>644</v>
      </c>
      <c r="V45">
        <v>39</v>
      </c>
      <c r="W45" t="s">
        <v>2506</v>
      </c>
      <c r="X45" t="s">
        <v>2507</v>
      </c>
    </row>
    <row r="46" spans="2:24" x14ac:dyDescent="0.35">
      <c r="B46" t="str">
        <f t="shared" si="5"/>
        <v>avege</v>
      </c>
      <c r="C46">
        <v>12</v>
      </c>
      <c r="D46">
        <v>40</v>
      </c>
      <c r="E46" t="s">
        <v>2255</v>
      </c>
      <c r="V46" s="34">
        <v>40</v>
      </c>
      <c r="W46" t="s">
        <v>1233</v>
      </c>
      <c r="X46" t="s">
        <v>2508</v>
      </c>
    </row>
    <row r="47" spans="2:24" x14ac:dyDescent="0.35">
      <c r="B47" t="str">
        <f t="shared" si="5"/>
        <v>aocrp</v>
      </c>
      <c r="C47">
        <v>25</v>
      </c>
      <c r="D47">
        <v>41</v>
      </c>
      <c r="E47" t="s">
        <v>646</v>
      </c>
      <c r="V47" s="34">
        <v>41</v>
      </c>
      <c r="W47" t="s">
        <v>1235</v>
      </c>
      <c r="X47" t="s">
        <v>2509</v>
      </c>
    </row>
    <row r="48" spans="2:24" x14ac:dyDescent="0.35">
      <c r="B48" t="str">
        <f t="shared" si="5"/>
        <v>aocrp</v>
      </c>
      <c r="C48">
        <v>25</v>
      </c>
      <c r="D48">
        <v>42</v>
      </c>
      <c r="E48" t="s">
        <v>662</v>
      </c>
      <c r="M48" s="34"/>
      <c r="V48">
        <v>42</v>
      </c>
      <c r="W48" s="34" t="s">
        <v>1237</v>
      </c>
      <c r="X48" t="s">
        <v>2510</v>
      </c>
    </row>
    <row r="49" spans="2:24" x14ac:dyDescent="0.35">
      <c r="B49" t="str">
        <f t="shared" si="5"/>
        <v>avege</v>
      </c>
      <c r="C49">
        <v>12</v>
      </c>
      <c r="D49">
        <v>43</v>
      </c>
      <c r="E49" t="s">
        <v>2256</v>
      </c>
      <c r="M49" s="34"/>
      <c r="V49" s="34">
        <v>43</v>
      </c>
      <c r="W49" s="34" t="s">
        <v>1239</v>
      </c>
      <c r="X49" t="s">
        <v>2511</v>
      </c>
    </row>
    <row r="50" spans="2:24" x14ac:dyDescent="0.35">
      <c r="B50" t="str">
        <f t="shared" si="5"/>
        <v>avege</v>
      </c>
      <c r="C50">
        <v>12</v>
      </c>
      <c r="D50">
        <v>44</v>
      </c>
      <c r="E50" t="s">
        <v>2257</v>
      </c>
      <c r="M50" s="34"/>
      <c r="V50" s="34">
        <v>44</v>
      </c>
      <c r="W50" s="34" t="s">
        <v>1241</v>
      </c>
      <c r="X50" t="s">
        <v>2512</v>
      </c>
    </row>
    <row r="51" spans="2:24" x14ac:dyDescent="0.35">
      <c r="B51" t="str">
        <f t="shared" si="5"/>
        <v>avege</v>
      </c>
      <c r="C51">
        <v>12</v>
      </c>
      <c r="D51">
        <v>45</v>
      </c>
      <c r="E51" t="s">
        <v>2258</v>
      </c>
      <c r="M51" s="34"/>
      <c r="V51">
        <v>45</v>
      </c>
      <c r="W51" s="34" t="s">
        <v>1243</v>
      </c>
      <c r="X51" t="s">
        <v>2513</v>
      </c>
    </row>
    <row r="52" spans="2:24" x14ac:dyDescent="0.35">
      <c r="B52" t="str">
        <f t="shared" si="5"/>
        <v>avege</v>
      </c>
      <c r="C52">
        <v>12</v>
      </c>
      <c r="D52">
        <v>46</v>
      </c>
      <c r="E52" t="s">
        <v>649</v>
      </c>
      <c r="M52" s="34"/>
      <c r="V52" s="34">
        <v>46</v>
      </c>
      <c r="W52" s="34" t="s">
        <v>1245</v>
      </c>
      <c r="X52" t="s">
        <v>2514</v>
      </c>
    </row>
    <row r="53" spans="2:24" x14ac:dyDescent="0.35">
      <c r="B53" t="str">
        <f t="shared" si="5"/>
        <v>avege</v>
      </c>
      <c r="C53">
        <v>12</v>
      </c>
      <c r="D53">
        <v>47</v>
      </c>
      <c r="E53" t="s">
        <v>2447</v>
      </c>
      <c r="M53" s="34"/>
      <c r="V53" s="34">
        <v>47</v>
      </c>
      <c r="W53" s="34" t="s">
        <v>2515</v>
      </c>
      <c r="X53" t="s">
        <v>2516</v>
      </c>
    </row>
    <row r="54" spans="2:24" x14ac:dyDescent="0.35">
      <c r="B54" t="str">
        <f t="shared" si="5"/>
        <v>avege</v>
      </c>
      <c r="C54">
        <v>12</v>
      </c>
      <c r="D54">
        <v>48</v>
      </c>
      <c r="E54" t="s">
        <v>651</v>
      </c>
      <c r="M54" s="34"/>
      <c r="V54">
        <v>48</v>
      </c>
      <c r="W54" s="34" t="s">
        <v>1255</v>
      </c>
      <c r="X54" t="s">
        <v>2517</v>
      </c>
    </row>
    <row r="55" spans="2:24" x14ac:dyDescent="0.35">
      <c r="B55" t="str">
        <f t="shared" si="5"/>
        <v>avege</v>
      </c>
      <c r="C55">
        <v>12</v>
      </c>
      <c r="D55">
        <v>49</v>
      </c>
      <c r="E55" t="s">
        <v>658</v>
      </c>
      <c r="M55" s="34"/>
      <c r="V55" s="34">
        <v>49</v>
      </c>
      <c r="W55" s="34" t="s">
        <v>1253</v>
      </c>
      <c r="X55" t="s">
        <v>2518</v>
      </c>
    </row>
    <row r="56" spans="2:24" x14ac:dyDescent="0.35">
      <c r="B56" t="str">
        <f t="shared" si="5"/>
        <v>avege</v>
      </c>
      <c r="C56">
        <v>12</v>
      </c>
      <c r="D56">
        <v>50</v>
      </c>
      <c r="E56" t="s">
        <v>2260</v>
      </c>
      <c r="V56" s="34">
        <v>50</v>
      </c>
      <c r="W56" t="s">
        <v>2519</v>
      </c>
      <c r="X56" t="s">
        <v>2520</v>
      </c>
    </row>
    <row r="57" spans="2:24" x14ac:dyDescent="0.35">
      <c r="B57" t="str">
        <f t="shared" si="5"/>
        <v>avege</v>
      </c>
      <c r="C57">
        <v>12</v>
      </c>
      <c r="D57">
        <v>51</v>
      </c>
      <c r="E57" t="s">
        <v>654</v>
      </c>
      <c r="V57">
        <v>51</v>
      </c>
      <c r="W57" t="s">
        <v>1257</v>
      </c>
      <c r="X57" t="s">
        <v>2521</v>
      </c>
    </row>
    <row r="58" spans="2:24" x14ac:dyDescent="0.35">
      <c r="B58" t="str">
        <f t="shared" si="5"/>
        <v>avege</v>
      </c>
      <c r="C58">
        <v>12</v>
      </c>
      <c r="D58">
        <v>52</v>
      </c>
      <c r="E58" t="s">
        <v>2261</v>
      </c>
      <c r="V58" s="34">
        <v>52</v>
      </c>
      <c r="W58" t="s">
        <v>1259</v>
      </c>
      <c r="X58" t="s">
        <v>2522</v>
      </c>
    </row>
    <row r="59" spans="2:24" x14ac:dyDescent="0.35">
      <c r="B59" t="str">
        <f t="shared" si="5"/>
        <v>avege</v>
      </c>
      <c r="C59">
        <v>12</v>
      </c>
      <c r="D59">
        <v>53</v>
      </c>
      <c r="E59" t="s">
        <v>2448</v>
      </c>
      <c r="M59" s="34"/>
      <c r="V59" s="34">
        <v>53</v>
      </c>
      <c r="W59" s="34" t="s">
        <v>1261</v>
      </c>
      <c r="X59" t="s">
        <v>2523</v>
      </c>
    </row>
    <row r="60" spans="2:24" x14ac:dyDescent="0.35">
      <c r="B60" t="str">
        <f t="shared" si="5"/>
        <v>avege</v>
      </c>
      <c r="C60">
        <v>12</v>
      </c>
      <c r="D60">
        <v>54</v>
      </c>
      <c r="E60" t="s">
        <v>728</v>
      </c>
      <c r="V60">
        <v>54</v>
      </c>
      <c r="W60" t="s">
        <v>1267</v>
      </c>
      <c r="X60" t="s">
        <v>2524</v>
      </c>
    </row>
    <row r="61" spans="2:24" x14ac:dyDescent="0.35">
      <c r="B61" t="str">
        <f t="shared" si="5"/>
        <v>avege</v>
      </c>
      <c r="C61">
        <v>12</v>
      </c>
      <c r="D61">
        <v>55</v>
      </c>
      <c r="E61" t="s">
        <v>2263</v>
      </c>
      <c r="V61" s="34">
        <v>55</v>
      </c>
      <c r="W61" t="s">
        <v>2525</v>
      </c>
      <c r="X61" t="s">
        <v>2526</v>
      </c>
    </row>
    <row r="62" spans="2:24" x14ac:dyDescent="0.35">
      <c r="B62" t="str">
        <f t="shared" si="5"/>
        <v>avege</v>
      </c>
      <c r="C62">
        <v>12</v>
      </c>
      <c r="D62">
        <v>56</v>
      </c>
      <c r="E62" t="s">
        <v>655</v>
      </c>
      <c r="V62" s="34">
        <v>56</v>
      </c>
      <c r="W62" t="s">
        <v>1271</v>
      </c>
      <c r="X62" t="s">
        <v>2527</v>
      </c>
    </row>
    <row r="63" spans="2:24" x14ac:dyDescent="0.35">
      <c r="B63" t="str">
        <f t="shared" si="5"/>
        <v>avege</v>
      </c>
      <c r="C63">
        <v>12</v>
      </c>
      <c r="D63">
        <v>57</v>
      </c>
      <c r="E63" t="s">
        <v>656</v>
      </c>
      <c r="V63">
        <v>57</v>
      </c>
      <c r="W63" t="s">
        <v>1275</v>
      </c>
      <c r="X63" t="s">
        <v>2528</v>
      </c>
    </row>
    <row r="64" spans="2:24" x14ac:dyDescent="0.35">
      <c r="B64" t="str">
        <f t="shared" si="5"/>
        <v>avege</v>
      </c>
      <c r="C64">
        <v>12</v>
      </c>
      <c r="D64">
        <v>58</v>
      </c>
      <c r="E64" t="s">
        <v>2610</v>
      </c>
      <c r="V64" s="34">
        <v>58</v>
      </c>
      <c r="W64" t="s">
        <v>2529</v>
      </c>
      <c r="X64" t="s">
        <v>2530</v>
      </c>
    </row>
    <row r="65" spans="2:24" x14ac:dyDescent="0.35">
      <c r="B65" t="str">
        <f t="shared" si="5"/>
        <v>avege</v>
      </c>
      <c r="C65">
        <v>12</v>
      </c>
      <c r="D65">
        <v>59</v>
      </c>
      <c r="E65" t="s">
        <v>2265</v>
      </c>
      <c r="V65" s="34">
        <v>59</v>
      </c>
      <c r="W65" t="s">
        <v>2531</v>
      </c>
      <c r="X65" t="s">
        <v>2532</v>
      </c>
    </row>
    <row r="66" spans="2:24" x14ac:dyDescent="0.35">
      <c r="B66" t="str">
        <f t="shared" si="5"/>
        <v>avege</v>
      </c>
      <c r="C66">
        <v>12</v>
      </c>
      <c r="D66">
        <v>60</v>
      </c>
      <c r="E66" t="s">
        <v>2266</v>
      </c>
      <c r="V66">
        <v>60</v>
      </c>
      <c r="W66" t="s">
        <v>1277</v>
      </c>
      <c r="X66" t="s">
        <v>2533</v>
      </c>
    </row>
    <row r="67" spans="2:24" x14ac:dyDescent="0.35">
      <c r="B67" t="str">
        <f t="shared" si="5"/>
        <v>avege</v>
      </c>
      <c r="C67">
        <v>12</v>
      </c>
      <c r="D67">
        <v>61</v>
      </c>
      <c r="E67" t="s">
        <v>2267</v>
      </c>
      <c r="V67" s="34">
        <v>61</v>
      </c>
      <c r="W67" t="s">
        <v>2534</v>
      </c>
      <c r="X67" t="s">
        <v>2535</v>
      </c>
    </row>
    <row r="68" spans="2:24" x14ac:dyDescent="0.35">
      <c r="B68" t="str">
        <f t="shared" si="5"/>
        <v>avege</v>
      </c>
      <c r="C68">
        <v>12</v>
      </c>
      <c r="D68">
        <v>62</v>
      </c>
      <c r="E68" t="s">
        <v>2268</v>
      </c>
      <c r="V68" s="34">
        <v>62</v>
      </c>
      <c r="W68" t="s">
        <v>2536</v>
      </c>
      <c r="X68" t="s">
        <v>2537</v>
      </c>
    </row>
    <row r="69" spans="2:24" x14ac:dyDescent="0.35">
      <c r="B69" t="str">
        <f t="shared" si="5"/>
        <v>avege</v>
      </c>
      <c r="C69">
        <v>12</v>
      </c>
      <c r="D69">
        <v>63</v>
      </c>
      <c r="E69" t="s">
        <v>2269</v>
      </c>
      <c r="V69">
        <v>63</v>
      </c>
      <c r="W69" t="s">
        <v>1279</v>
      </c>
      <c r="X69" t="s">
        <v>2538</v>
      </c>
    </row>
    <row r="70" spans="2:24" x14ac:dyDescent="0.35">
      <c r="B70" t="str">
        <f t="shared" si="5"/>
        <v>ateal</v>
      </c>
      <c r="C70">
        <v>21</v>
      </c>
      <c r="D70">
        <v>64</v>
      </c>
      <c r="E70" t="s">
        <v>1467</v>
      </c>
      <c r="V70" s="34">
        <v>64</v>
      </c>
      <c r="W70" t="s">
        <v>1283</v>
      </c>
      <c r="X70" t="s">
        <v>2539</v>
      </c>
    </row>
    <row r="71" spans="2:24" x14ac:dyDescent="0.35">
      <c r="B71" t="str">
        <f t="shared" ref="B71:B102" si="6">IF(ISNA(VLOOKUP(C71,$V$7:$W$110,2,0)),"",VLOOKUP(C71,$V$7:$W$110,2,0))</f>
        <v>asugr</v>
      </c>
      <c r="C71">
        <v>23</v>
      </c>
      <c r="D71">
        <v>65</v>
      </c>
      <c r="E71" t="s">
        <v>2271</v>
      </c>
      <c r="V71" s="34">
        <v>65</v>
      </c>
      <c r="W71" t="s">
        <v>1285</v>
      </c>
      <c r="X71" t="s">
        <v>2540</v>
      </c>
    </row>
    <row r="72" spans="2:24" x14ac:dyDescent="0.35">
      <c r="B72" t="str">
        <f t="shared" si="6"/>
        <v>apyre</v>
      </c>
      <c r="C72">
        <v>24</v>
      </c>
      <c r="D72">
        <v>66</v>
      </c>
      <c r="E72" t="s">
        <v>2611</v>
      </c>
      <c r="V72">
        <v>66</v>
      </c>
      <c r="W72" t="s">
        <v>2541</v>
      </c>
      <c r="X72" t="s">
        <v>2542</v>
      </c>
    </row>
    <row r="73" spans="2:24" x14ac:dyDescent="0.35">
      <c r="B73" t="str">
        <f t="shared" si="6"/>
        <v>afrui</v>
      </c>
      <c r="C73">
        <v>16</v>
      </c>
      <c r="D73">
        <v>68</v>
      </c>
      <c r="E73" t="s">
        <v>2292</v>
      </c>
      <c r="V73" s="34">
        <v>67</v>
      </c>
      <c r="W73" t="s">
        <v>1287</v>
      </c>
      <c r="X73" t="s">
        <v>2543</v>
      </c>
    </row>
    <row r="74" spans="2:24" x14ac:dyDescent="0.35">
      <c r="B74" t="str">
        <f t="shared" si="6"/>
        <v>afrui</v>
      </c>
      <c r="C74">
        <v>16</v>
      </c>
      <c r="D74">
        <v>69</v>
      </c>
      <c r="E74" t="s">
        <v>2270</v>
      </c>
      <c r="V74" s="34">
        <v>68</v>
      </c>
      <c r="W74" t="s">
        <v>2544</v>
      </c>
      <c r="X74" t="s">
        <v>2545</v>
      </c>
    </row>
    <row r="75" spans="2:24" x14ac:dyDescent="0.35">
      <c r="B75" t="str">
        <f t="shared" si="6"/>
        <v>afrui</v>
      </c>
      <c r="C75">
        <v>16</v>
      </c>
      <c r="D75">
        <v>70</v>
      </c>
      <c r="E75" t="s">
        <v>2293</v>
      </c>
      <c r="V75">
        <v>69</v>
      </c>
      <c r="W75" t="s">
        <v>1289</v>
      </c>
      <c r="X75" t="s">
        <v>2546</v>
      </c>
    </row>
    <row r="76" spans="2:24" x14ac:dyDescent="0.35">
      <c r="B76" t="str">
        <f t="shared" si="6"/>
        <v>ahunt</v>
      </c>
      <c r="C76">
        <v>33</v>
      </c>
      <c r="D76">
        <v>101</v>
      </c>
      <c r="E76" t="s">
        <v>2449</v>
      </c>
      <c r="V76" s="34">
        <v>70</v>
      </c>
      <c r="W76" t="s">
        <v>1291</v>
      </c>
      <c r="X76" t="s">
        <v>2547</v>
      </c>
    </row>
    <row r="77" spans="2:24" x14ac:dyDescent="0.35">
      <c r="B77" t="str">
        <f t="shared" si="6"/>
        <v>ahunt</v>
      </c>
      <c r="C77">
        <v>33</v>
      </c>
      <c r="D77">
        <v>102</v>
      </c>
      <c r="E77" t="s">
        <v>655</v>
      </c>
      <c r="V77" s="34">
        <v>71</v>
      </c>
      <c r="W77" t="s">
        <v>2548</v>
      </c>
      <c r="X77" t="s">
        <v>2549</v>
      </c>
    </row>
    <row r="78" spans="2:24" x14ac:dyDescent="0.35">
      <c r="B78" t="str">
        <f t="shared" si="6"/>
        <v>ahunt</v>
      </c>
      <c r="C78">
        <v>33</v>
      </c>
      <c r="D78">
        <v>103</v>
      </c>
      <c r="E78" t="s">
        <v>2450</v>
      </c>
      <c r="V78">
        <v>72</v>
      </c>
      <c r="W78" t="s">
        <v>1293</v>
      </c>
      <c r="X78" t="s">
        <v>2550</v>
      </c>
    </row>
    <row r="79" spans="2:24" x14ac:dyDescent="0.35">
      <c r="B79" t="str">
        <f t="shared" si="6"/>
        <v>afish</v>
      </c>
      <c r="C79">
        <v>37</v>
      </c>
      <c r="D79">
        <v>104</v>
      </c>
      <c r="E79" t="s">
        <v>2451</v>
      </c>
      <c r="V79" s="34">
        <v>73</v>
      </c>
      <c r="W79" t="s">
        <v>2551</v>
      </c>
      <c r="X79" t="s">
        <v>2552</v>
      </c>
    </row>
    <row r="80" spans="2:24" x14ac:dyDescent="0.35">
      <c r="B80" t="str">
        <f t="shared" si="6"/>
        <v>afore</v>
      </c>
      <c r="C80">
        <v>36</v>
      </c>
      <c r="D80">
        <v>105</v>
      </c>
      <c r="E80" t="s">
        <v>2452</v>
      </c>
      <c r="V80" s="34">
        <v>74</v>
      </c>
      <c r="W80" t="s">
        <v>2553</v>
      </c>
      <c r="X80" t="s">
        <v>2554</v>
      </c>
    </row>
    <row r="81" spans="2:24" x14ac:dyDescent="0.35">
      <c r="B81" t="str">
        <f t="shared" si="6"/>
        <v>afore</v>
      </c>
      <c r="C81">
        <v>36</v>
      </c>
      <c r="D81">
        <v>106</v>
      </c>
      <c r="E81" t="s">
        <v>2453</v>
      </c>
      <c r="V81">
        <v>75</v>
      </c>
      <c r="W81" t="s">
        <v>2555</v>
      </c>
      <c r="X81" t="s">
        <v>2556</v>
      </c>
    </row>
    <row r="82" spans="2:24" x14ac:dyDescent="0.35">
      <c r="B82" t="str">
        <f t="shared" si="6"/>
        <v>afore</v>
      </c>
      <c r="C82">
        <v>36</v>
      </c>
      <c r="D82">
        <v>107</v>
      </c>
      <c r="E82" t="s">
        <v>2454</v>
      </c>
      <c r="V82" s="34">
        <v>76</v>
      </c>
      <c r="W82" t="s">
        <v>2557</v>
      </c>
      <c r="X82" t="s">
        <v>2558</v>
      </c>
    </row>
    <row r="83" spans="2:24" x14ac:dyDescent="0.35">
      <c r="B83" t="str">
        <f t="shared" si="6"/>
        <v>afore</v>
      </c>
      <c r="C83">
        <v>36</v>
      </c>
      <c r="D83">
        <v>108</v>
      </c>
      <c r="E83" t="s">
        <v>2455</v>
      </c>
      <c r="V83" s="34">
        <v>77</v>
      </c>
      <c r="W83" t="s">
        <v>2559</v>
      </c>
      <c r="X83" t="s">
        <v>2560</v>
      </c>
    </row>
    <row r="84" spans="2:24" x14ac:dyDescent="0.35">
      <c r="B84" t="str">
        <f t="shared" si="6"/>
        <v>ahunt</v>
      </c>
      <c r="C84">
        <v>33</v>
      </c>
      <c r="D84">
        <v>109</v>
      </c>
      <c r="E84" t="s">
        <v>2456</v>
      </c>
      <c r="V84">
        <v>78</v>
      </c>
      <c r="W84" t="s">
        <v>2561</v>
      </c>
      <c r="X84" t="s">
        <v>2562</v>
      </c>
    </row>
    <row r="85" spans="2:24" x14ac:dyDescent="0.35">
      <c r="B85" t="str">
        <f t="shared" si="6"/>
        <v>aoliv</v>
      </c>
      <c r="C85">
        <v>29</v>
      </c>
      <c r="D85">
        <v>110</v>
      </c>
      <c r="E85" t="s">
        <v>2457</v>
      </c>
      <c r="V85" s="34">
        <v>79</v>
      </c>
      <c r="W85" t="s">
        <v>2563</v>
      </c>
      <c r="X85" t="s">
        <v>2564</v>
      </c>
    </row>
    <row r="86" spans="2:24" x14ac:dyDescent="0.35">
      <c r="B86" t="str">
        <f t="shared" si="6"/>
        <v>aocrp</v>
      </c>
      <c r="C86">
        <v>25</v>
      </c>
      <c r="D86">
        <v>111</v>
      </c>
      <c r="E86" t="s">
        <v>2289</v>
      </c>
      <c r="V86" s="34">
        <v>80</v>
      </c>
      <c r="W86" t="s">
        <v>2565</v>
      </c>
      <c r="X86" t="s">
        <v>2566</v>
      </c>
    </row>
    <row r="87" spans="2:24" x14ac:dyDescent="0.35">
      <c r="B87" t="str">
        <f t="shared" si="6"/>
        <v>apyre</v>
      </c>
      <c r="C87">
        <v>24</v>
      </c>
      <c r="D87">
        <v>112</v>
      </c>
      <c r="E87" t="s">
        <v>2609</v>
      </c>
      <c r="V87">
        <v>81</v>
      </c>
      <c r="W87" t="s">
        <v>2567</v>
      </c>
      <c r="X87" t="s">
        <v>2568</v>
      </c>
    </row>
    <row r="88" spans="2:24" x14ac:dyDescent="0.35">
      <c r="V88" s="34">
        <v>82</v>
      </c>
      <c r="W88" t="s">
        <v>1299</v>
      </c>
      <c r="X88" t="s">
        <v>2569</v>
      </c>
    </row>
    <row r="89" spans="2:24" x14ac:dyDescent="0.35">
      <c r="V89" s="34">
        <v>83</v>
      </c>
      <c r="W89" t="s">
        <v>2570</v>
      </c>
      <c r="X89" t="s">
        <v>2571</v>
      </c>
    </row>
    <row r="90" spans="2:24" x14ac:dyDescent="0.35">
      <c r="V90">
        <v>84</v>
      </c>
      <c r="W90" t="s">
        <v>1301</v>
      </c>
      <c r="X90" t="s">
        <v>2572</v>
      </c>
    </row>
    <row r="91" spans="2:24" x14ac:dyDescent="0.35">
      <c r="V91" s="34">
        <v>85</v>
      </c>
      <c r="W91" t="s">
        <v>2573</v>
      </c>
      <c r="X91" t="s">
        <v>2574</v>
      </c>
    </row>
    <row r="92" spans="2:24" x14ac:dyDescent="0.35">
      <c r="V92" s="34">
        <v>86</v>
      </c>
      <c r="W92" t="s">
        <v>2575</v>
      </c>
      <c r="X92" t="s">
        <v>2576</v>
      </c>
    </row>
    <row r="93" spans="2:24" x14ac:dyDescent="0.35">
      <c r="V93">
        <v>87</v>
      </c>
      <c r="W93" t="s">
        <v>2577</v>
      </c>
      <c r="X93" t="s">
        <v>2578</v>
      </c>
    </row>
    <row r="94" spans="2:24" x14ac:dyDescent="0.35">
      <c r="V94" s="34">
        <v>88</v>
      </c>
      <c r="W94" t="s">
        <v>2579</v>
      </c>
      <c r="X94" t="s">
        <v>2580</v>
      </c>
    </row>
    <row r="95" spans="2:24" x14ac:dyDescent="0.35">
      <c r="V95" s="34">
        <v>89</v>
      </c>
      <c r="W95" t="s">
        <v>2581</v>
      </c>
      <c r="X95" t="s">
        <v>2582</v>
      </c>
    </row>
    <row r="96" spans="2:24" x14ac:dyDescent="0.35">
      <c r="V96">
        <v>90</v>
      </c>
      <c r="W96" t="s">
        <v>1305</v>
      </c>
      <c r="X96" t="s">
        <v>2583</v>
      </c>
    </row>
    <row r="97" spans="22:24" x14ac:dyDescent="0.35">
      <c r="V97" s="34">
        <v>91</v>
      </c>
      <c r="W97" t="s">
        <v>2584</v>
      </c>
      <c r="X97" t="s">
        <v>2585</v>
      </c>
    </row>
    <row r="98" spans="22:24" x14ac:dyDescent="0.35">
      <c r="V98" s="34">
        <v>92</v>
      </c>
      <c r="W98" t="s">
        <v>2586</v>
      </c>
      <c r="X98" t="s">
        <v>2587</v>
      </c>
    </row>
    <row r="99" spans="22:24" x14ac:dyDescent="0.35">
      <c r="V99">
        <v>93</v>
      </c>
      <c r="W99" t="s">
        <v>2588</v>
      </c>
      <c r="X99" t="s">
        <v>2589</v>
      </c>
    </row>
    <row r="100" spans="22:24" x14ac:dyDescent="0.35">
      <c r="V100" s="34">
        <v>94</v>
      </c>
      <c r="W100" t="s">
        <v>2590</v>
      </c>
      <c r="X100" t="s">
        <v>2591</v>
      </c>
    </row>
    <row r="101" spans="22:24" x14ac:dyDescent="0.35">
      <c r="V101" s="34">
        <v>95</v>
      </c>
      <c r="W101" t="s">
        <v>2592</v>
      </c>
      <c r="X101" t="s">
        <v>2593</v>
      </c>
    </row>
    <row r="102" spans="22:24" x14ac:dyDescent="0.35">
      <c r="V102">
        <v>96</v>
      </c>
      <c r="W102" t="s">
        <v>1309</v>
      </c>
      <c r="X102" t="s">
        <v>2594</v>
      </c>
    </row>
    <row r="103" spans="22:24" x14ac:dyDescent="0.35">
      <c r="V103" s="34">
        <v>97</v>
      </c>
      <c r="W103" t="s">
        <v>1311</v>
      </c>
      <c r="X103" t="s">
        <v>2595</v>
      </c>
    </row>
    <row r="104" spans="22:24" x14ac:dyDescent="0.35">
      <c r="V104" s="34">
        <v>98</v>
      </c>
      <c r="W104" t="s">
        <v>1313</v>
      </c>
      <c r="X104" t="s">
        <v>2596</v>
      </c>
    </row>
    <row r="105" spans="22:24" x14ac:dyDescent="0.35">
      <c r="V105">
        <v>99</v>
      </c>
      <c r="W105" t="s">
        <v>2597</v>
      </c>
      <c r="X105" t="s">
        <v>2598</v>
      </c>
    </row>
    <row r="106" spans="22:24" x14ac:dyDescent="0.35">
      <c r="V106" s="34">
        <v>100</v>
      </c>
      <c r="W106" t="s">
        <v>2599</v>
      </c>
      <c r="X106" t="s">
        <v>2600</v>
      </c>
    </row>
    <row r="107" spans="22:24" x14ac:dyDescent="0.35">
      <c r="V107" s="34">
        <v>101</v>
      </c>
      <c r="W107" t="s">
        <v>2601</v>
      </c>
      <c r="X107" t="s">
        <v>2602</v>
      </c>
    </row>
    <row r="108" spans="22:24" x14ac:dyDescent="0.35">
      <c r="V108">
        <v>102</v>
      </c>
      <c r="W108" t="s">
        <v>1315</v>
      </c>
      <c r="X108" t="s">
        <v>2603</v>
      </c>
    </row>
    <row r="109" spans="22:24" x14ac:dyDescent="0.35">
      <c r="V109" s="34">
        <v>103</v>
      </c>
      <c r="W109" t="s">
        <v>2604</v>
      </c>
      <c r="X109" t="s">
        <v>2605</v>
      </c>
    </row>
    <row r="110" spans="22:24" x14ac:dyDescent="0.35">
      <c r="V110" s="34">
        <v>104</v>
      </c>
      <c r="W110" t="s">
        <v>2606</v>
      </c>
      <c r="X110" t="s">
        <v>2607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E30AB-75DD-401D-A376-163CA48C9316}">
  <dimension ref="B2:AM334"/>
  <sheetViews>
    <sheetView topLeftCell="S175" workbookViewId="0">
      <selection activeCell="AG176" sqref="AG176"/>
    </sheetView>
  </sheetViews>
  <sheetFormatPr defaultRowHeight="14.5" x14ac:dyDescent="0.35"/>
  <cols>
    <col min="37" max="37" width="36.26953125" customWidth="1"/>
  </cols>
  <sheetData>
    <row r="2" spans="2:25" x14ac:dyDescent="0.35">
      <c r="B2" t="s">
        <v>384</v>
      </c>
      <c r="K2" t="s">
        <v>391</v>
      </c>
      <c r="L2" t="s">
        <v>383</v>
      </c>
      <c r="M2" t="s">
        <v>384</v>
      </c>
      <c r="N2" t="s">
        <v>385</v>
      </c>
      <c r="V2" t="s">
        <v>391</v>
      </c>
      <c r="W2" t="s">
        <v>383</v>
      </c>
      <c r="X2" t="s">
        <v>384</v>
      </c>
      <c r="Y2" t="s">
        <v>385</v>
      </c>
    </row>
    <row r="3" spans="2:25" x14ac:dyDescent="0.35">
      <c r="B3">
        <v>1</v>
      </c>
      <c r="C3" t="str">
        <f t="shared" ref="C3:C30" si="0">VLOOKUP(B3,$M$3:$N$333,2,0)</f>
        <v>Fabric (cloth) for men</v>
      </c>
      <c r="K3">
        <v>44</v>
      </c>
      <c r="L3" t="s">
        <v>348</v>
      </c>
      <c r="M3">
        <v>1</v>
      </c>
      <c r="N3" t="s">
        <v>406</v>
      </c>
      <c r="V3">
        <v>58</v>
      </c>
      <c r="W3" t="s">
        <v>349</v>
      </c>
      <c r="X3">
        <v>1</v>
      </c>
      <c r="Y3" t="s">
        <v>406</v>
      </c>
    </row>
    <row r="4" spans="2:25" x14ac:dyDescent="0.35">
      <c r="B4">
        <v>2</v>
      </c>
      <c r="C4" t="str">
        <f t="shared" si="0"/>
        <v>Fabric (cloth) for women</v>
      </c>
      <c r="K4">
        <v>44</v>
      </c>
      <c r="L4" t="s">
        <v>348</v>
      </c>
      <c r="M4">
        <v>2</v>
      </c>
      <c r="N4" t="s">
        <v>407</v>
      </c>
      <c r="V4">
        <v>58</v>
      </c>
      <c r="W4" t="s">
        <v>349</v>
      </c>
      <c r="X4">
        <v>2</v>
      </c>
      <c r="Y4" t="s">
        <v>407</v>
      </c>
    </row>
    <row r="5" spans="2:25" x14ac:dyDescent="0.35">
      <c r="B5">
        <v>3</v>
      </c>
      <c r="C5" t="str">
        <f t="shared" si="0"/>
        <v>Wrap around cloth for women(Igitenge)</v>
      </c>
      <c r="K5">
        <v>44</v>
      </c>
      <c r="L5" t="s">
        <v>348</v>
      </c>
      <c r="M5">
        <v>3</v>
      </c>
      <c r="N5" t="s">
        <v>408</v>
      </c>
      <c r="V5">
        <v>59</v>
      </c>
      <c r="W5" t="s">
        <v>348</v>
      </c>
      <c r="X5">
        <v>3</v>
      </c>
      <c r="Y5" t="s">
        <v>408</v>
      </c>
    </row>
    <row r="6" spans="2:25" x14ac:dyDescent="0.35">
      <c r="B6">
        <v>4</v>
      </c>
      <c r="C6" t="str">
        <f t="shared" si="0"/>
        <v>Men's garments</v>
      </c>
      <c r="K6">
        <v>44</v>
      </c>
      <c r="L6" t="s">
        <v>348</v>
      </c>
      <c r="M6">
        <v>4</v>
      </c>
      <c r="N6" t="s">
        <v>409</v>
      </c>
      <c r="V6">
        <v>59</v>
      </c>
      <c r="W6" t="s">
        <v>348</v>
      </c>
      <c r="X6">
        <v>4</v>
      </c>
      <c r="Y6" t="s">
        <v>409</v>
      </c>
    </row>
    <row r="7" spans="2:25" x14ac:dyDescent="0.35">
      <c r="B7">
        <v>5</v>
      </c>
      <c r="C7" t="str">
        <f t="shared" si="0"/>
        <v>Men's tailoring</v>
      </c>
      <c r="K7">
        <v>44</v>
      </c>
      <c r="L7" t="s">
        <v>348</v>
      </c>
      <c r="M7">
        <v>5</v>
      </c>
      <c r="N7" t="s">
        <v>410</v>
      </c>
      <c r="V7">
        <v>59</v>
      </c>
      <c r="W7" t="s">
        <v>348</v>
      </c>
      <c r="X7">
        <v>5</v>
      </c>
      <c r="Y7" t="s">
        <v>410</v>
      </c>
    </row>
    <row r="8" spans="2:25" x14ac:dyDescent="0.35">
      <c r="B8">
        <v>6</v>
      </c>
      <c r="C8" t="str">
        <f t="shared" si="0"/>
        <v>Men's underwear</v>
      </c>
      <c r="K8">
        <v>44</v>
      </c>
      <c r="L8" t="s">
        <v>348</v>
      </c>
      <c r="M8">
        <v>6</v>
      </c>
      <c r="N8" t="s">
        <v>411</v>
      </c>
      <c r="V8">
        <v>59</v>
      </c>
      <c r="W8" t="s">
        <v>348</v>
      </c>
      <c r="X8">
        <v>6</v>
      </c>
      <c r="Y8" t="s">
        <v>411</v>
      </c>
    </row>
    <row r="9" spans="2:25" x14ac:dyDescent="0.35">
      <c r="B9">
        <v>7</v>
      </c>
      <c r="C9" t="str">
        <f t="shared" si="0"/>
        <v>Men's clothing accessories (ties, hats, belts)</v>
      </c>
      <c r="K9">
        <v>44</v>
      </c>
      <c r="L9" t="s">
        <v>348</v>
      </c>
      <c r="M9">
        <v>7</v>
      </c>
      <c r="N9" t="s">
        <v>412</v>
      </c>
      <c r="V9">
        <v>59</v>
      </c>
      <c r="W9" t="s">
        <v>348</v>
      </c>
      <c r="X9">
        <v>7</v>
      </c>
      <c r="Y9" t="s">
        <v>412</v>
      </c>
    </row>
    <row r="10" spans="2:25" x14ac:dyDescent="0.35">
      <c r="B10">
        <v>8</v>
      </c>
      <c r="C10" t="str">
        <f t="shared" si="0"/>
        <v>Women's garments</v>
      </c>
      <c r="K10">
        <v>44</v>
      </c>
      <c r="L10" t="s">
        <v>348</v>
      </c>
      <c r="M10">
        <v>8</v>
      </c>
      <c r="N10" t="s">
        <v>413</v>
      </c>
      <c r="V10">
        <v>59</v>
      </c>
      <c r="W10" t="s">
        <v>348</v>
      </c>
      <c r="X10">
        <v>8</v>
      </c>
      <c r="Y10" t="s">
        <v>413</v>
      </c>
    </row>
    <row r="11" spans="2:25" x14ac:dyDescent="0.35">
      <c r="B11">
        <v>9</v>
      </c>
      <c r="C11" t="str">
        <f t="shared" si="0"/>
        <v>Women's tailoring</v>
      </c>
      <c r="K11">
        <v>44</v>
      </c>
      <c r="L11" t="s">
        <v>348</v>
      </c>
      <c r="M11">
        <v>9</v>
      </c>
      <c r="N11" t="s">
        <v>414</v>
      </c>
      <c r="V11">
        <v>59</v>
      </c>
      <c r="W11" t="s">
        <v>348</v>
      </c>
      <c r="X11">
        <v>9</v>
      </c>
      <c r="Y11" t="s">
        <v>414</v>
      </c>
    </row>
    <row r="12" spans="2:25" x14ac:dyDescent="0.35">
      <c r="B12">
        <v>10</v>
      </c>
      <c r="C12" t="str">
        <f t="shared" si="0"/>
        <v>Women's underwear</v>
      </c>
      <c r="K12">
        <v>44</v>
      </c>
      <c r="L12" t="s">
        <v>348</v>
      </c>
      <c r="M12">
        <v>10</v>
      </c>
      <c r="N12" t="s">
        <v>415</v>
      </c>
      <c r="V12">
        <v>59</v>
      </c>
      <c r="W12" t="s">
        <v>348</v>
      </c>
      <c r="X12">
        <v>10</v>
      </c>
      <c r="Y12" t="s">
        <v>415</v>
      </c>
    </row>
    <row r="13" spans="2:25" x14ac:dyDescent="0.35">
      <c r="B13">
        <v>11</v>
      </c>
      <c r="C13" t="str">
        <f t="shared" si="0"/>
        <v>Women's clothing accessories (scarves, hats, belts)</v>
      </c>
      <c r="K13">
        <v>44</v>
      </c>
      <c r="L13" t="s">
        <v>348</v>
      </c>
      <c r="M13">
        <v>11</v>
      </c>
      <c r="N13" t="s">
        <v>416</v>
      </c>
      <c r="V13">
        <v>59</v>
      </c>
      <c r="W13" t="s">
        <v>348</v>
      </c>
      <c r="X13">
        <v>11</v>
      </c>
      <c r="Y13" t="s">
        <v>416</v>
      </c>
    </row>
    <row r="14" spans="2:25" x14ac:dyDescent="0.35">
      <c r="B14">
        <v>12</v>
      </c>
      <c r="C14" t="str">
        <f t="shared" si="0"/>
        <v>Children's clothing (excluding school uniform)</v>
      </c>
      <c r="K14">
        <v>44</v>
      </c>
      <c r="L14" t="s">
        <v>348</v>
      </c>
      <c r="M14">
        <v>12</v>
      </c>
      <c r="N14" t="s">
        <v>417</v>
      </c>
      <c r="V14">
        <v>59</v>
      </c>
      <c r="W14" t="s">
        <v>348</v>
      </c>
      <c r="X14">
        <v>12</v>
      </c>
      <c r="Y14" t="s">
        <v>417</v>
      </c>
    </row>
    <row r="15" spans="2:25" x14ac:dyDescent="0.35">
      <c r="B15">
        <v>13</v>
      </c>
      <c r="C15" t="str">
        <f t="shared" si="0"/>
        <v>Children's underwear</v>
      </c>
      <c r="K15">
        <v>44</v>
      </c>
      <c r="L15" t="s">
        <v>348</v>
      </c>
      <c r="M15">
        <v>13</v>
      </c>
      <c r="N15" t="s">
        <v>418</v>
      </c>
      <c r="V15">
        <v>59</v>
      </c>
      <c r="W15" t="s">
        <v>348</v>
      </c>
      <c r="X15">
        <v>13</v>
      </c>
      <c r="Y15" t="s">
        <v>418</v>
      </c>
    </row>
    <row r="16" spans="2:25" x14ac:dyDescent="0.35">
      <c r="B16">
        <v>14</v>
      </c>
      <c r="C16" t="str">
        <f t="shared" si="0"/>
        <v>Children's tailoring</v>
      </c>
      <c r="K16">
        <v>44</v>
      </c>
      <c r="L16" t="s">
        <v>348</v>
      </c>
      <c r="M16">
        <v>14</v>
      </c>
      <c r="N16" t="s">
        <v>419</v>
      </c>
      <c r="V16" s="34">
        <v>59</v>
      </c>
      <c r="W16" t="s">
        <v>348</v>
      </c>
      <c r="X16">
        <v>14</v>
      </c>
      <c r="Y16" t="s">
        <v>419</v>
      </c>
    </row>
    <row r="17" spans="2:25" x14ac:dyDescent="0.35">
      <c r="B17">
        <v>15</v>
      </c>
      <c r="C17" t="str">
        <f t="shared" si="0"/>
        <v>Men's footwear</v>
      </c>
      <c r="K17">
        <v>45</v>
      </c>
      <c r="L17" t="s">
        <v>350</v>
      </c>
      <c r="M17">
        <v>15</v>
      </c>
      <c r="N17" t="s">
        <v>420</v>
      </c>
      <c r="V17" s="34">
        <v>60</v>
      </c>
      <c r="W17" t="s">
        <v>350</v>
      </c>
      <c r="X17">
        <v>15</v>
      </c>
      <c r="Y17" t="s">
        <v>420</v>
      </c>
    </row>
    <row r="18" spans="2:25" x14ac:dyDescent="0.35">
      <c r="B18">
        <v>16</v>
      </c>
      <c r="C18" t="str">
        <f t="shared" si="0"/>
        <v>Women's footwear</v>
      </c>
      <c r="K18">
        <v>45</v>
      </c>
      <c r="L18" t="s">
        <v>350</v>
      </c>
      <c r="M18">
        <v>16</v>
      </c>
      <c r="N18" t="s">
        <v>421</v>
      </c>
      <c r="V18" s="34">
        <v>60</v>
      </c>
      <c r="W18" t="s">
        <v>350</v>
      </c>
      <c r="X18">
        <v>16</v>
      </c>
      <c r="Y18" t="s">
        <v>421</v>
      </c>
    </row>
    <row r="19" spans="2:25" x14ac:dyDescent="0.35">
      <c r="B19">
        <v>17</v>
      </c>
      <c r="C19" t="str">
        <f t="shared" si="0"/>
        <v>Children's footwear</v>
      </c>
      <c r="K19">
        <v>45</v>
      </c>
      <c r="L19" t="s">
        <v>350</v>
      </c>
      <c r="M19">
        <v>17</v>
      </c>
      <c r="N19" t="s">
        <v>422</v>
      </c>
      <c r="V19" s="34">
        <v>60</v>
      </c>
      <c r="W19" t="s">
        <v>350</v>
      </c>
      <c r="X19">
        <v>17</v>
      </c>
      <c r="Y19" t="s">
        <v>422</v>
      </c>
    </row>
    <row r="20" spans="2:25" x14ac:dyDescent="0.35">
      <c r="B20">
        <v>18</v>
      </c>
      <c r="C20" t="str">
        <f t="shared" si="0"/>
        <v>Jewelry</v>
      </c>
      <c r="K20">
        <v>56</v>
      </c>
      <c r="L20" t="s">
        <v>351</v>
      </c>
      <c r="M20">
        <v>18</v>
      </c>
      <c r="N20" t="s">
        <v>423</v>
      </c>
      <c r="V20" s="34">
        <v>71</v>
      </c>
      <c r="W20" t="s">
        <v>351</v>
      </c>
      <c r="X20">
        <v>18</v>
      </c>
      <c r="Y20" t="s">
        <v>423</v>
      </c>
    </row>
    <row r="21" spans="2:25" x14ac:dyDescent="0.35">
      <c r="B21">
        <v>19</v>
      </c>
      <c r="C21" t="str">
        <f t="shared" si="0"/>
        <v>Watches (timepiece)</v>
      </c>
      <c r="K21">
        <v>53</v>
      </c>
      <c r="L21" t="s">
        <v>770</v>
      </c>
      <c r="M21">
        <v>19</v>
      </c>
      <c r="N21" t="s">
        <v>424</v>
      </c>
      <c r="V21" s="34">
        <v>71</v>
      </c>
      <c r="W21" t="s">
        <v>351</v>
      </c>
      <c r="X21">
        <v>19</v>
      </c>
      <c r="Y21" t="s">
        <v>424</v>
      </c>
    </row>
    <row r="22" spans="2:25" x14ac:dyDescent="0.35">
      <c r="B22">
        <v>20</v>
      </c>
      <c r="C22" t="str">
        <f t="shared" si="0"/>
        <v>Clocks</v>
      </c>
      <c r="K22">
        <v>53</v>
      </c>
      <c r="L22" t="s">
        <v>770</v>
      </c>
      <c r="M22">
        <v>20</v>
      </c>
      <c r="N22" t="s">
        <v>425</v>
      </c>
      <c r="V22" s="34">
        <v>71</v>
      </c>
      <c r="W22" t="s">
        <v>351</v>
      </c>
      <c r="X22">
        <v>20</v>
      </c>
      <c r="Y22" t="s">
        <v>425</v>
      </c>
    </row>
    <row r="23" spans="2:25" x14ac:dyDescent="0.35">
      <c r="B23">
        <v>21</v>
      </c>
      <c r="C23" t="str">
        <f t="shared" si="0"/>
        <v>Metal/Wooden Case</v>
      </c>
      <c r="K23">
        <v>56</v>
      </c>
      <c r="L23" t="s">
        <v>351</v>
      </c>
      <c r="M23">
        <v>21</v>
      </c>
      <c r="N23" t="s">
        <v>426</v>
      </c>
      <c r="V23" s="34">
        <v>71</v>
      </c>
      <c r="W23" t="s">
        <v>351</v>
      </c>
      <c r="X23">
        <v>21</v>
      </c>
      <c r="Y23" t="s">
        <v>426</v>
      </c>
    </row>
    <row r="24" spans="2:25" x14ac:dyDescent="0.35">
      <c r="B24">
        <v>22</v>
      </c>
      <c r="C24" t="str">
        <f t="shared" si="0"/>
        <v>Suitcases</v>
      </c>
      <c r="K24">
        <v>45</v>
      </c>
      <c r="L24" t="s">
        <v>350</v>
      </c>
      <c r="M24">
        <v>22</v>
      </c>
      <c r="N24" t="s">
        <v>427</v>
      </c>
      <c r="V24" s="34">
        <v>71</v>
      </c>
      <c r="W24" t="s">
        <v>351</v>
      </c>
      <c r="X24">
        <v>22</v>
      </c>
      <c r="Y24" t="s">
        <v>427</v>
      </c>
    </row>
    <row r="25" spans="2:25" x14ac:dyDescent="0.35">
      <c r="B25">
        <v>23</v>
      </c>
      <c r="C25" t="str">
        <f t="shared" si="0"/>
        <v>Travel bags</v>
      </c>
      <c r="K25">
        <v>45</v>
      </c>
      <c r="L25" t="s">
        <v>350</v>
      </c>
      <c r="M25">
        <v>23</v>
      </c>
      <c r="N25" t="s">
        <v>428</v>
      </c>
      <c r="V25" s="34">
        <v>71</v>
      </c>
      <c r="W25" t="s">
        <v>351</v>
      </c>
      <c r="X25">
        <v>23</v>
      </c>
      <c r="Y25" t="s">
        <v>428</v>
      </c>
    </row>
    <row r="26" spans="2:25" x14ac:dyDescent="0.35">
      <c r="B26">
        <v>24</v>
      </c>
      <c r="C26" t="str">
        <f t="shared" si="0"/>
        <v>Hand bags (other than women's handbags)</v>
      </c>
      <c r="K26">
        <v>45</v>
      </c>
      <c r="L26" t="s">
        <v>350</v>
      </c>
      <c r="M26">
        <v>24</v>
      </c>
      <c r="N26" t="s">
        <v>429</v>
      </c>
      <c r="V26" s="34">
        <v>71</v>
      </c>
      <c r="W26" t="s">
        <v>351</v>
      </c>
      <c r="X26">
        <v>24</v>
      </c>
      <c r="Y26" t="s">
        <v>429</v>
      </c>
    </row>
    <row r="27" spans="2:25" x14ac:dyDescent="0.35">
      <c r="B27">
        <v>25</v>
      </c>
      <c r="C27" t="str">
        <f t="shared" si="0"/>
        <v>women's handbags</v>
      </c>
      <c r="K27">
        <v>45</v>
      </c>
      <c r="L27" t="s">
        <v>350</v>
      </c>
      <c r="M27">
        <v>25</v>
      </c>
      <c r="N27" t="s">
        <v>430</v>
      </c>
      <c r="V27" s="34">
        <v>71</v>
      </c>
      <c r="W27" t="s">
        <v>351</v>
      </c>
      <c r="X27">
        <v>25</v>
      </c>
      <c r="Y27" t="s">
        <v>430</v>
      </c>
    </row>
    <row r="28" spans="2:25" x14ac:dyDescent="0.35">
      <c r="B28">
        <v>26</v>
      </c>
      <c r="C28" t="str">
        <f t="shared" si="0"/>
        <v>Other personal effects, e.g. wallet</v>
      </c>
      <c r="K28">
        <v>56</v>
      </c>
      <c r="L28" t="s">
        <v>351</v>
      </c>
      <c r="M28">
        <v>26</v>
      </c>
      <c r="N28" t="s">
        <v>431</v>
      </c>
      <c r="V28" s="34">
        <v>71</v>
      </c>
      <c r="W28" t="s">
        <v>351</v>
      </c>
      <c r="X28">
        <v>26</v>
      </c>
      <c r="Y28" t="s">
        <v>431</v>
      </c>
    </row>
    <row r="29" spans="2:25" x14ac:dyDescent="0.35">
      <c r="B29">
        <v>27</v>
      </c>
      <c r="C29" t="str">
        <f t="shared" si="0"/>
        <v>Umbrellas</v>
      </c>
      <c r="K29">
        <v>56</v>
      </c>
      <c r="L29" t="s">
        <v>351</v>
      </c>
      <c r="M29">
        <v>27</v>
      </c>
      <c r="N29" t="s">
        <v>432</v>
      </c>
      <c r="V29" s="34">
        <v>71</v>
      </c>
      <c r="W29" t="s">
        <v>351</v>
      </c>
      <c r="X29">
        <v>27</v>
      </c>
      <c r="Y29" t="s">
        <v>432</v>
      </c>
    </row>
    <row r="30" spans="2:25" x14ac:dyDescent="0.35">
      <c r="B30">
        <v>28</v>
      </c>
      <c r="C30" t="str">
        <f t="shared" si="0"/>
        <v>Sunglasses</v>
      </c>
      <c r="K30">
        <v>56</v>
      </c>
      <c r="L30" t="s">
        <v>351</v>
      </c>
      <c r="M30">
        <v>28</v>
      </c>
      <c r="N30" t="s">
        <v>433</v>
      </c>
      <c r="V30" s="34">
        <v>71</v>
      </c>
      <c r="W30" t="s">
        <v>351</v>
      </c>
      <c r="X30">
        <v>28</v>
      </c>
      <c r="Y30" t="s">
        <v>433</v>
      </c>
    </row>
    <row r="31" spans="2:25" x14ac:dyDescent="0.35">
      <c r="B31">
        <v>29</v>
      </c>
      <c r="C31" t="s">
        <v>434</v>
      </c>
      <c r="K31">
        <v>60</v>
      </c>
      <c r="L31" t="s">
        <v>352</v>
      </c>
      <c r="M31">
        <v>29</v>
      </c>
      <c r="N31" t="s">
        <v>434</v>
      </c>
      <c r="V31">
        <v>60</v>
      </c>
      <c r="W31" t="s">
        <v>352</v>
      </c>
      <c r="X31">
        <v>29</v>
      </c>
      <c r="Y31" t="s">
        <v>434</v>
      </c>
    </row>
    <row r="32" spans="2:25" x14ac:dyDescent="0.35">
      <c r="B32">
        <v>30</v>
      </c>
      <c r="C32" t="s">
        <v>435</v>
      </c>
      <c r="K32">
        <v>60</v>
      </c>
      <c r="L32" t="s">
        <v>352</v>
      </c>
      <c r="M32">
        <v>30</v>
      </c>
      <c r="N32" t="s">
        <v>435</v>
      </c>
      <c r="V32">
        <v>60</v>
      </c>
      <c r="W32" t="s">
        <v>352</v>
      </c>
      <c r="X32">
        <v>30</v>
      </c>
      <c r="Y32" t="s">
        <v>435</v>
      </c>
    </row>
    <row r="33" spans="2:25" x14ac:dyDescent="0.35">
      <c r="B33">
        <v>31</v>
      </c>
      <c r="C33" t="str">
        <f t="shared" ref="C33:C96" si="1">VLOOKUP(B33,$M$3:$N$333,2,0)</f>
        <v>Mattresses</v>
      </c>
      <c r="K33">
        <v>43</v>
      </c>
      <c r="L33" t="s">
        <v>349</v>
      </c>
      <c r="M33">
        <v>31</v>
      </c>
      <c r="N33" t="s">
        <v>436</v>
      </c>
      <c r="V33" s="34">
        <v>71</v>
      </c>
      <c r="W33" t="s">
        <v>351</v>
      </c>
      <c r="X33">
        <v>31</v>
      </c>
      <c r="Y33" t="s">
        <v>436</v>
      </c>
    </row>
    <row r="34" spans="2:25" x14ac:dyDescent="0.35">
      <c r="B34">
        <v>32</v>
      </c>
      <c r="C34" t="str">
        <f t="shared" si="1"/>
        <v>Rugs, floor coverings, carpets</v>
      </c>
      <c r="K34">
        <v>43</v>
      </c>
      <c r="L34" t="s">
        <v>349</v>
      </c>
      <c r="M34">
        <v>32</v>
      </c>
      <c r="N34" t="s">
        <v>437</v>
      </c>
      <c r="V34" s="34">
        <v>71</v>
      </c>
      <c r="W34" t="s">
        <v>351</v>
      </c>
      <c r="X34">
        <v>32</v>
      </c>
      <c r="Y34" t="s">
        <v>437</v>
      </c>
    </row>
    <row r="35" spans="2:25" x14ac:dyDescent="0.35">
      <c r="B35">
        <v>33</v>
      </c>
      <c r="C35" t="str">
        <f t="shared" si="1"/>
        <v>Mats</v>
      </c>
      <c r="K35">
        <v>43</v>
      </c>
      <c r="L35" t="s">
        <v>349</v>
      </c>
      <c r="M35">
        <v>33</v>
      </c>
      <c r="N35" t="s">
        <v>438</v>
      </c>
      <c r="V35" s="34">
        <v>71</v>
      </c>
      <c r="W35" t="s">
        <v>351</v>
      </c>
      <c r="X35">
        <v>33</v>
      </c>
      <c r="Y35" t="s">
        <v>438</v>
      </c>
    </row>
    <row r="36" spans="2:25" x14ac:dyDescent="0.35">
      <c r="B36">
        <v>34</v>
      </c>
      <c r="C36" t="str">
        <f t="shared" si="1"/>
        <v>Furniture repair</v>
      </c>
      <c r="K36">
        <v>60</v>
      </c>
      <c r="L36" t="s">
        <v>352</v>
      </c>
      <c r="M36">
        <v>34</v>
      </c>
      <c r="N36" t="s">
        <v>439</v>
      </c>
      <c r="V36" s="34">
        <v>71</v>
      </c>
      <c r="W36" t="s">
        <v>351</v>
      </c>
      <c r="X36">
        <v>34</v>
      </c>
      <c r="Y36" t="s">
        <v>439</v>
      </c>
    </row>
    <row r="37" spans="2:25" x14ac:dyDescent="0.35">
      <c r="B37">
        <v>35</v>
      </c>
      <c r="C37" t="str">
        <f t="shared" si="1"/>
        <v>Draperies (curtains)</v>
      </c>
      <c r="K37">
        <v>43</v>
      </c>
      <c r="L37" t="s">
        <v>349</v>
      </c>
      <c r="M37">
        <v>35</v>
      </c>
      <c r="N37" t="s">
        <v>440</v>
      </c>
      <c r="V37" s="34">
        <v>58</v>
      </c>
      <c r="W37" t="s">
        <v>349</v>
      </c>
      <c r="X37">
        <v>35</v>
      </c>
      <c r="Y37" t="s">
        <v>440</v>
      </c>
    </row>
    <row r="38" spans="2:25" x14ac:dyDescent="0.35">
      <c r="B38">
        <v>36</v>
      </c>
      <c r="C38" t="str">
        <f t="shared" si="1"/>
        <v>Bed Pillows</v>
      </c>
      <c r="K38">
        <v>43</v>
      </c>
      <c r="L38" t="s">
        <v>349</v>
      </c>
      <c r="M38">
        <v>36</v>
      </c>
      <c r="N38" t="s">
        <v>441</v>
      </c>
      <c r="V38" s="34">
        <v>58</v>
      </c>
      <c r="W38" t="s">
        <v>349</v>
      </c>
      <c r="X38">
        <v>36</v>
      </c>
      <c r="Y38" t="s">
        <v>441</v>
      </c>
    </row>
    <row r="39" spans="2:25" x14ac:dyDescent="0.35">
      <c r="B39">
        <v>37</v>
      </c>
      <c r="C39" t="str">
        <f t="shared" si="1"/>
        <v>Blanket</v>
      </c>
      <c r="K39">
        <v>43</v>
      </c>
      <c r="L39" t="s">
        <v>349</v>
      </c>
      <c r="M39">
        <v>37</v>
      </c>
      <c r="N39" t="s">
        <v>442</v>
      </c>
      <c r="V39" s="34">
        <v>58</v>
      </c>
      <c r="W39" t="s">
        <v>349</v>
      </c>
      <c r="X39">
        <v>37</v>
      </c>
      <c r="Y39" t="s">
        <v>442</v>
      </c>
    </row>
    <row r="40" spans="2:25" x14ac:dyDescent="0.35">
      <c r="B40">
        <v>38</v>
      </c>
      <c r="C40" t="str">
        <f t="shared" si="1"/>
        <v>Bed Sheets</v>
      </c>
      <c r="K40">
        <v>43</v>
      </c>
      <c r="L40" t="s">
        <v>349</v>
      </c>
      <c r="M40">
        <v>38</v>
      </c>
      <c r="N40" t="s">
        <v>443</v>
      </c>
      <c r="V40" s="34">
        <v>58</v>
      </c>
      <c r="W40" t="s">
        <v>349</v>
      </c>
      <c r="X40">
        <v>38</v>
      </c>
      <c r="Y40" t="s">
        <v>443</v>
      </c>
    </row>
    <row r="41" spans="2:25" x14ac:dyDescent="0.35">
      <c r="B41">
        <v>39</v>
      </c>
      <c r="C41" t="str">
        <f t="shared" si="1"/>
        <v>Mosquito nets</v>
      </c>
      <c r="K41">
        <v>43</v>
      </c>
      <c r="L41" t="s">
        <v>349</v>
      </c>
      <c r="M41">
        <v>39</v>
      </c>
      <c r="N41" t="s">
        <v>444</v>
      </c>
      <c r="V41" s="34">
        <v>58</v>
      </c>
      <c r="W41" t="s">
        <v>349</v>
      </c>
      <c r="X41">
        <v>39</v>
      </c>
      <c r="Y41" t="s">
        <v>444</v>
      </c>
    </row>
    <row r="42" spans="2:25" x14ac:dyDescent="0.35">
      <c r="B42">
        <v>40</v>
      </c>
      <c r="C42" t="str">
        <f t="shared" si="1"/>
        <v>Tablecloth</v>
      </c>
      <c r="K42">
        <v>43</v>
      </c>
      <c r="L42" t="s">
        <v>349</v>
      </c>
      <c r="M42">
        <v>40</v>
      </c>
      <c r="N42" t="s">
        <v>445</v>
      </c>
      <c r="V42" s="34">
        <v>58</v>
      </c>
      <c r="W42" t="s">
        <v>349</v>
      </c>
      <c r="X42">
        <v>40</v>
      </c>
      <c r="Y42" t="s">
        <v>445</v>
      </c>
    </row>
    <row r="43" spans="2:25" x14ac:dyDescent="0.35">
      <c r="B43">
        <v>41</v>
      </c>
      <c r="C43" t="str">
        <f t="shared" si="1"/>
        <v>Dish towel/Rag/Wiper</v>
      </c>
      <c r="K43">
        <v>43</v>
      </c>
      <c r="L43" t="s">
        <v>349</v>
      </c>
      <c r="M43">
        <v>41</v>
      </c>
      <c r="N43" t="s">
        <v>446</v>
      </c>
      <c r="V43" s="34">
        <v>58</v>
      </c>
      <c r="W43" t="s">
        <v>349</v>
      </c>
      <c r="X43">
        <v>41</v>
      </c>
      <c r="Y43" t="s">
        <v>446</v>
      </c>
    </row>
    <row r="44" spans="2:25" x14ac:dyDescent="0.35">
      <c r="B44">
        <v>42</v>
      </c>
      <c r="C44" t="str">
        <f t="shared" si="1"/>
        <v>Cloth for wiping table ware</v>
      </c>
      <c r="K44">
        <v>43</v>
      </c>
      <c r="L44" t="s">
        <v>349</v>
      </c>
      <c r="M44">
        <v>42</v>
      </c>
      <c r="N44" t="s">
        <v>447</v>
      </c>
      <c r="V44" s="34">
        <v>58</v>
      </c>
      <c r="W44" t="s">
        <v>349</v>
      </c>
      <c r="X44">
        <v>42</v>
      </c>
      <c r="Y44" t="s">
        <v>447</v>
      </c>
    </row>
    <row r="45" spans="2:25" x14ac:dyDescent="0.35">
      <c r="B45">
        <v>43</v>
      </c>
      <c r="C45" t="str">
        <f t="shared" si="1"/>
        <v>Other household textiles</v>
      </c>
      <c r="K45">
        <v>43</v>
      </c>
      <c r="L45" t="s">
        <v>349</v>
      </c>
      <c r="M45">
        <v>43</v>
      </c>
      <c r="N45" t="s">
        <v>448</v>
      </c>
      <c r="V45" s="34">
        <v>58</v>
      </c>
      <c r="W45" t="s">
        <v>349</v>
      </c>
      <c r="X45">
        <v>43</v>
      </c>
      <c r="Y45" t="s">
        <v>448</v>
      </c>
    </row>
    <row r="46" spans="2:25" x14ac:dyDescent="0.35">
      <c r="B46">
        <v>44</v>
      </c>
      <c r="C46" t="str">
        <f t="shared" si="1"/>
        <v>Local Energy saving Stove</v>
      </c>
      <c r="K46">
        <v>53</v>
      </c>
      <c r="L46" t="s">
        <v>770</v>
      </c>
      <c r="M46">
        <v>44</v>
      </c>
      <c r="N46" t="s">
        <v>449</v>
      </c>
      <c r="V46" s="34">
        <v>69</v>
      </c>
      <c r="W46" t="s">
        <v>770</v>
      </c>
      <c r="X46">
        <v>44</v>
      </c>
      <c r="Y46" t="s">
        <v>449</v>
      </c>
    </row>
    <row r="47" spans="2:25" x14ac:dyDescent="0.35">
      <c r="B47">
        <v>45</v>
      </c>
      <c r="C47" t="str">
        <f t="shared" si="1"/>
        <v>Other small household appliances (tea kettles etc.)</v>
      </c>
      <c r="K47">
        <v>53</v>
      </c>
      <c r="L47" t="s">
        <v>770</v>
      </c>
      <c r="M47">
        <v>45</v>
      </c>
      <c r="N47" t="s">
        <v>450</v>
      </c>
      <c r="V47" s="34">
        <v>69</v>
      </c>
      <c r="W47" t="s">
        <v>770</v>
      </c>
      <c r="X47">
        <v>45</v>
      </c>
      <c r="Y47" t="s">
        <v>450</v>
      </c>
    </row>
    <row r="48" spans="2:25" x14ac:dyDescent="0.35">
      <c r="B48">
        <v>46</v>
      </c>
      <c r="C48" t="str">
        <f t="shared" si="1"/>
        <v>Torch (flashlight)</v>
      </c>
      <c r="K48">
        <v>53</v>
      </c>
      <c r="L48" t="s">
        <v>770</v>
      </c>
      <c r="M48">
        <v>46</v>
      </c>
      <c r="N48" t="s">
        <v>451</v>
      </c>
      <c r="V48" s="34">
        <v>69</v>
      </c>
      <c r="W48" t="s">
        <v>770</v>
      </c>
      <c r="X48">
        <v>46</v>
      </c>
      <c r="Y48" t="s">
        <v>451</v>
      </c>
    </row>
    <row r="49" spans="2:25" x14ac:dyDescent="0.35">
      <c r="B49">
        <v>47</v>
      </c>
      <c r="C49" t="str">
        <f t="shared" si="1"/>
        <v>Electric clothes iron</v>
      </c>
      <c r="K49">
        <v>53</v>
      </c>
      <c r="L49" t="s">
        <v>770</v>
      </c>
      <c r="M49">
        <v>47</v>
      </c>
      <c r="N49" t="s">
        <v>452</v>
      </c>
      <c r="V49" s="34">
        <v>69</v>
      </c>
      <c r="W49" t="s">
        <v>770</v>
      </c>
      <c r="X49">
        <v>47</v>
      </c>
      <c r="Y49" t="s">
        <v>452</v>
      </c>
    </row>
    <row r="50" spans="2:25" x14ac:dyDescent="0.35">
      <c r="B50">
        <v>48</v>
      </c>
      <c r="C50" t="str">
        <f t="shared" si="1"/>
        <v>Non-electric clothes iron</v>
      </c>
      <c r="K50">
        <v>53</v>
      </c>
      <c r="L50" t="s">
        <v>770</v>
      </c>
      <c r="M50">
        <v>48</v>
      </c>
      <c r="N50" t="s">
        <v>453</v>
      </c>
      <c r="V50" s="34">
        <v>68</v>
      </c>
      <c r="W50" t="s">
        <v>353</v>
      </c>
      <c r="X50">
        <v>48</v>
      </c>
      <c r="Y50" t="s">
        <v>453</v>
      </c>
    </row>
    <row r="51" spans="2:25" x14ac:dyDescent="0.35">
      <c r="B51">
        <v>49</v>
      </c>
      <c r="C51" t="str">
        <f t="shared" si="1"/>
        <v>Repair of household appliances</v>
      </c>
      <c r="K51">
        <v>60</v>
      </c>
      <c r="L51" t="s">
        <v>352</v>
      </c>
      <c r="M51">
        <v>49</v>
      </c>
      <c r="N51" t="s">
        <v>454</v>
      </c>
      <c r="V51" s="34">
        <v>71</v>
      </c>
      <c r="W51" t="s">
        <v>351</v>
      </c>
      <c r="X51">
        <v>49</v>
      </c>
      <c r="Y51" t="s">
        <v>454</v>
      </c>
    </row>
    <row r="52" spans="2:25" x14ac:dyDescent="0.35">
      <c r="B52">
        <v>50</v>
      </c>
      <c r="C52" t="str">
        <f t="shared" si="1"/>
        <v>Dishes (tableware)</v>
      </c>
      <c r="K52">
        <v>56</v>
      </c>
      <c r="L52" t="s">
        <v>351</v>
      </c>
      <c r="M52">
        <v>50</v>
      </c>
      <c r="N52" t="s">
        <v>455</v>
      </c>
      <c r="V52" s="34">
        <v>66</v>
      </c>
      <c r="W52" t="s">
        <v>769</v>
      </c>
      <c r="X52">
        <v>50</v>
      </c>
      <c r="Y52" t="s">
        <v>455</v>
      </c>
    </row>
    <row r="53" spans="2:25" x14ac:dyDescent="0.35">
      <c r="B53">
        <v>51</v>
      </c>
      <c r="C53" t="str">
        <f t="shared" si="1"/>
        <v>Kitchen and domestic utensils(Pots and pans)</v>
      </c>
      <c r="K53">
        <v>56</v>
      </c>
      <c r="L53" t="s">
        <v>351</v>
      </c>
      <c r="M53">
        <v>51</v>
      </c>
      <c r="N53" t="s">
        <v>456</v>
      </c>
      <c r="V53" s="34">
        <v>67</v>
      </c>
      <c r="W53" t="s">
        <v>370</v>
      </c>
      <c r="X53">
        <v>51</v>
      </c>
      <c r="Y53" t="s">
        <v>456</v>
      </c>
    </row>
    <row r="54" spans="2:25" x14ac:dyDescent="0.35">
      <c r="B54">
        <v>52</v>
      </c>
      <c r="C54" t="str">
        <f t="shared" si="1"/>
        <v>Cutlery, flatware and silverware</v>
      </c>
      <c r="K54">
        <v>52</v>
      </c>
      <c r="L54" t="s">
        <v>370</v>
      </c>
      <c r="M54">
        <v>52</v>
      </c>
      <c r="N54" t="s">
        <v>457</v>
      </c>
      <c r="V54" s="34">
        <v>67</v>
      </c>
      <c r="W54" t="s">
        <v>370</v>
      </c>
      <c r="X54">
        <v>52</v>
      </c>
      <c r="Y54" t="s">
        <v>457</v>
      </c>
    </row>
    <row r="55" spans="2:25" x14ac:dyDescent="0.35">
      <c r="B55">
        <v>53</v>
      </c>
      <c r="C55" t="str">
        <f t="shared" si="1"/>
        <v>Other household and garden tools</v>
      </c>
      <c r="K55">
        <v>53</v>
      </c>
      <c r="L55" t="s">
        <v>770</v>
      </c>
      <c r="M55">
        <v>53</v>
      </c>
      <c r="N55" t="s">
        <v>458</v>
      </c>
      <c r="V55" s="34">
        <v>67</v>
      </c>
      <c r="W55" t="s">
        <v>370</v>
      </c>
      <c r="X55">
        <v>53</v>
      </c>
      <c r="Y55" t="s">
        <v>458</v>
      </c>
    </row>
    <row r="56" spans="2:25" x14ac:dyDescent="0.35">
      <c r="B56">
        <v>54</v>
      </c>
      <c r="C56" t="str">
        <f t="shared" si="1"/>
        <v>International travel âbus fares</v>
      </c>
      <c r="K56">
        <v>61</v>
      </c>
      <c r="L56" t="s">
        <v>376</v>
      </c>
      <c r="M56">
        <v>54</v>
      </c>
      <c r="N56" t="s">
        <v>459</v>
      </c>
      <c r="V56" s="34">
        <v>76</v>
      </c>
      <c r="W56" t="s">
        <v>376</v>
      </c>
      <c r="X56">
        <v>54</v>
      </c>
      <c r="Y56" t="s">
        <v>459</v>
      </c>
    </row>
    <row r="57" spans="2:25" x14ac:dyDescent="0.35">
      <c r="B57">
        <v>55</v>
      </c>
      <c r="C57" t="str">
        <f t="shared" si="1"/>
        <v>Aeroplane flights</v>
      </c>
      <c r="K57">
        <v>61</v>
      </c>
      <c r="L57" t="s">
        <v>376</v>
      </c>
      <c r="M57">
        <v>55</v>
      </c>
      <c r="N57" t="s">
        <v>460</v>
      </c>
      <c r="V57" s="34">
        <v>76</v>
      </c>
      <c r="W57" t="s">
        <v>376</v>
      </c>
      <c r="X57">
        <v>55</v>
      </c>
      <c r="Y57" t="s">
        <v>460</v>
      </c>
    </row>
    <row r="58" spans="2:25" x14ac:dyDescent="0.35">
      <c r="B58">
        <v>56</v>
      </c>
      <c r="C58" t="str">
        <f t="shared" si="1"/>
        <v>Motor boat transport</v>
      </c>
      <c r="K58">
        <v>61</v>
      </c>
      <c r="L58" t="s">
        <v>376</v>
      </c>
      <c r="M58">
        <v>56</v>
      </c>
      <c r="N58" t="s">
        <v>461</v>
      </c>
      <c r="V58" s="34">
        <v>76</v>
      </c>
      <c r="W58" t="s">
        <v>376</v>
      </c>
      <c r="X58">
        <v>56</v>
      </c>
      <c r="Y58" t="s">
        <v>461</v>
      </c>
    </row>
    <row r="59" spans="2:25" x14ac:dyDescent="0.35">
      <c r="B59">
        <v>57</v>
      </c>
      <c r="C59" t="str">
        <f t="shared" si="1"/>
        <v>Vehicle/ Motor insurance</v>
      </c>
      <c r="K59">
        <v>64</v>
      </c>
      <c r="L59" t="s">
        <v>378</v>
      </c>
      <c r="M59">
        <v>57</v>
      </c>
      <c r="N59" t="s">
        <v>462</v>
      </c>
      <c r="V59" s="34">
        <v>80</v>
      </c>
      <c r="W59" t="s">
        <v>378</v>
      </c>
      <c r="X59">
        <v>57</v>
      </c>
      <c r="Y59" t="s">
        <v>462</v>
      </c>
    </row>
    <row r="60" spans="2:25" x14ac:dyDescent="0.35">
      <c r="B60">
        <v>58</v>
      </c>
      <c r="C60" t="str">
        <f t="shared" si="1"/>
        <v>Musical instruments</v>
      </c>
      <c r="K60">
        <v>56</v>
      </c>
      <c r="L60" t="s">
        <v>351</v>
      </c>
      <c r="M60">
        <v>58</v>
      </c>
      <c r="N60" t="s">
        <v>463</v>
      </c>
      <c r="V60" s="34">
        <v>71</v>
      </c>
      <c r="W60" t="s">
        <v>351</v>
      </c>
      <c r="X60">
        <v>58</v>
      </c>
      <c r="Y60" t="s">
        <v>463</v>
      </c>
    </row>
    <row r="61" spans="2:25" x14ac:dyDescent="0.35">
      <c r="B61">
        <v>59</v>
      </c>
      <c r="C61" t="str">
        <f t="shared" si="1"/>
        <v>Sporting equipment</v>
      </c>
      <c r="K61">
        <v>56</v>
      </c>
      <c r="L61" t="s">
        <v>351</v>
      </c>
      <c r="M61">
        <v>59</v>
      </c>
      <c r="N61" t="s">
        <v>464</v>
      </c>
      <c r="V61" s="34">
        <v>71</v>
      </c>
      <c r="W61" t="s">
        <v>351</v>
      </c>
      <c r="X61">
        <v>59</v>
      </c>
      <c r="Y61" t="s">
        <v>464</v>
      </c>
    </row>
    <row r="62" spans="2:25" x14ac:dyDescent="0.35">
      <c r="B62">
        <v>60</v>
      </c>
      <c r="C62" t="str">
        <f t="shared" si="1"/>
        <v>Subscription to DSTV, Star times e.t.c</v>
      </c>
      <c r="K62">
        <v>66</v>
      </c>
      <c r="L62" t="s">
        <v>380</v>
      </c>
      <c r="M62">
        <v>60</v>
      </c>
      <c r="N62" t="s">
        <v>465</v>
      </c>
      <c r="V62" s="34">
        <v>82</v>
      </c>
      <c r="W62" t="s">
        <v>380</v>
      </c>
      <c r="X62">
        <v>60</v>
      </c>
      <c r="Y62" t="s">
        <v>465</v>
      </c>
    </row>
    <row r="63" spans="2:25" x14ac:dyDescent="0.35">
      <c r="B63">
        <v>61</v>
      </c>
      <c r="C63" t="str">
        <f t="shared" si="1"/>
        <v>Hotel overnight and hotel services</v>
      </c>
      <c r="K63">
        <v>62</v>
      </c>
      <c r="L63" t="s">
        <v>377</v>
      </c>
      <c r="M63">
        <v>61</v>
      </c>
      <c r="N63" t="s">
        <v>466</v>
      </c>
      <c r="V63" s="34">
        <v>77</v>
      </c>
      <c r="W63" t="s">
        <v>377</v>
      </c>
      <c r="X63">
        <v>61</v>
      </c>
      <c r="Y63" t="s">
        <v>466</v>
      </c>
    </row>
    <row r="64" spans="2:25" x14ac:dyDescent="0.35">
      <c r="B64">
        <v>62</v>
      </c>
      <c r="C64" t="str">
        <f t="shared" si="1"/>
        <v>Spectacles / eye lenses</v>
      </c>
      <c r="K64">
        <v>69</v>
      </c>
      <c r="L64" t="s">
        <v>374</v>
      </c>
      <c r="M64">
        <v>62</v>
      </c>
      <c r="N64" t="s">
        <v>467</v>
      </c>
      <c r="V64" s="34">
        <v>71</v>
      </c>
      <c r="W64" t="s">
        <v>351</v>
      </c>
      <c r="X64">
        <v>62</v>
      </c>
      <c r="Y64" t="s">
        <v>467</v>
      </c>
    </row>
    <row r="65" spans="2:25" x14ac:dyDescent="0.35">
      <c r="B65">
        <v>63</v>
      </c>
      <c r="C65" t="str">
        <f t="shared" si="1"/>
        <v>Dentures</v>
      </c>
      <c r="K65">
        <v>69</v>
      </c>
      <c r="L65" t="s">
        <v>374</v>
      </c>
      <c r="M65">
        <v>63</v>
      </c>
      <c r="N65" t="s">
        <v>468</v>
      </c>
      <c r="V65" s="34">
        <v>71</v>
      </c>
      <c r="W65" t="s">
        <v>351</v>
      </c>
      <c r="X65">
        <v>63</v>
      </c>
      <c r="Y65" t="s">
        <v>468</v>
      </c>
    </row>
    <row r="66" spans="2:25" x14ac:dyDescent="0.35">
      <c r="B66">
        <v>64</v>
      </c>
      <c r="C66" t="str">
        <f t="shared" si="1"/>
        <v>Hearing aids/prosthetic limbs/ disability aids</v>
      </c>
      <c r="K66">
        <v>69</v>
      </c>
      <c r="L66" t="s">
        <v>374</v>
      </c>
      <c r="M66">
        <v>64</v>
      </c>
      <c r="N66" t="s">
        <v>469</v>
      </c>
      <c r="V66" s="34">
        <v>69</v>
      </c>
      <c r="W66" t="s">
        <v>770</v>
      </c>
      <c r="X66">
        <v>64</v>
      </c>
      <c r="Y66" t="s">
        <v>469</v>
      </c>
    </row>
    <row r="67" spans="2:25" x14ac:dyDescent="0.35">
      <c r="B67">
        <v>65</v>
      </c>
      <c r="C67" t="str">
        <f t="shared" si="1"/>
        <v>Hospitalization</v>
      </c>
      <c r="K67">
        <v>69</v>
      </c>
      <c r="L67" t="s">
        <v>374</v>
      </c>
      <c r="M67">
        <v>65</v>
      </c>
      <c r="N67" t="s">
        <v>470</v>
      </c>
      <c r="V67" s="34">
        <v>85</v>
      </c>
      <c r="W67" t="s">
        <v>374</v>
      </c>
      <c r="X67">
        <v>65</v>
      </c>
      <c r="Y67" t="s">
        <v>470</v>
      </c>
    </row>
    <row r="68" spans="2:25" x14ac:dyDescent="0.35">
      <c r="B68">
        <v>66</v>
      </c>
      <c r="C68" t="str">
        <f t="shared" si="1"/>
        <v>Giving birth</v>
      </c>
      <c r="K68">
        <v>69</v>
      </c>
      <c r="L68" t="s">
        <v>374</v>
      </c>
      <c r="M68">
        <v>66</v>
      </c>
      <c r="N68" t="s">
        <v>471</v>
      </c>
      <c r="V68" s="34">
        <v>85</v>
      </c>
      <c r="W68" t="s">
        <v>374</v>
      </c>
      <c r="X68">
        <v>66</v>
      </c>
      <c r="Y68" t="s">
        <v>471</v>
      </c>
    </row>
    <row r="69" spans="2:25" x14ac:dyDescent="0.35">
      <c r="B69">
        <v>67</v>
      </c>
      <c r="C69" t="str">
        <f t="shared" si="1"/>
        <v>Health insurance (Mutuelle,RAMA,MMI, etc.)</v>
      </c>
      <c r="K69">
        <v>64</v>
      </c>
      <c r="L69" t="s">
        <v>378</v>
      </c>
      <c r="M69">
        <v>67</v>
      </c>
      <c r="N69" t="s">
        <v>472</v>
      </c>
      <c r="V69" s="34">
        <v>80</v>
      </c>
      <c r="W69" t="s">
        <v>378</v>
      </c>
      <c r="X69">
        <v>67</v>
      </c>
      <c r="Y69" t="s">
        <v>472</v>
      </c>
    </row>
    <row r="70" spans="2:25" x14ac:dyDescent="0.35">
      <c r="B70">
        <v>68</v>
      </c>
      <c r="C70" t="str">
        <f t="shared" si="1"/>
        <v>Nursery and daycare fees</v>
      </c>
      <c r="K70">
        <v>70</v>
      </c>
      <c r="L70" t="s">
        <v>382</v>
      </c>
      <c r="M70">
        <v>68</v>
      </c>
      <c r="N70" t="s">
        <v>473</v>
      </c>
      <c r="V70" s="34">
        <v>86</v>
      </c>
      <c r="W70" t="s">
        <v>382</v>
      </c>
      <c r="X70">
        <v>68</v>
      </c>
      <c r="Y70" t="s">
        <v>473</v>
      </c>
    </row>
    <row r="71" spans="2:25" x14ac:dyDescent="0.35">
      <c r="B71">
        <v>69</v>
      </c>
      <c r="C71" t="str">
        <f t="shared" si="1"/>
        <v>Issue of administrative (official) documents</v>
      </c>
      <c r="K71" s="25">
        <v>67</v>
      </c>
      <c r="L71" s="25" t="s">
        <v>381</v>
      </c>
      <c r="M71" s="25">
        <v>69</v>
      </c>
      <c r="N71" s="25" t="s">
        <v>474</v>
      </c>
      <c r="V71" s="34">
        <v>83</v>
      </c>
      <c r="W71" t="s">
        <v>381</v>
      </c>
      <c r="X71">
        <v>69</v>
      </c>
      <c r="Y71" t="s">
        <v>474</v>
      </c>
    </row>
    <row r="72" spans="2:25" x14ac:dyDescent="0.35">
      <c r="B72">
        <v>70</v>
      </c>
      <c r="C72" t="str">
        <f t="shared" si="1"/>
        <v>Laundry services (washing clothes &amp; others)</v>
      </c>
      <c r="J72">
        <v>1</v>
      </c>
      <c r="K72">
        <v>70</v>
      </c>
      <c r="L72" t="s">
        <v>382</v>
      </c>
      <c r="M72">
        <v>70</v>
      </c>
      <c r="N72" t="s">
        <v>475</v>
      </c>
      <c r="V72" s="34">
        <v>86</v>
      </c>
      <c r="W72" t="s">
        <v>382</v>
      </c>
      <c r="X72">
        <v>70</v>
      </c>
      <c r="Y72" t="s">
        <v>475</v>
      </c>
    </row>
    <row r="73" spans="2:25" x14ac:dyDescent="0.35">
      <c r="B73">
        <v>71</v>
      </c>
      <c r="C73" t="str">
        <f t="shared" si="1"/>
        <v>Rubbish collection services</v>
      </c>
      <c r="J73">
        <f t="shared" ref="J73:J126" si="2">J72+1</f>
        <v>2</v>
      </c>
      <c r="K73">
        <v>70</v>
      </c>
      <c r="L73" t="s">
        <v>382</v>
      </c>
      <c r="M73">
        <v>71</v>
      </c>
      <c r="N73" t="s">
        <v>476</v>
      </c>
      <c r="V73" s="34">
        <v>86</v>
      </c>
      <c r="W73" t="s">
        <v>382</v>
      </c>
      <c r="X73">
        <v>71</v>
      </c>
      <c r="Y73" t="s">
        <v>476</v>
      </c>
    </row>
    <row r="74" spans="2:25" x14ac:dyDescent="0.35">
      <c r="B74">
        <v>72</v>
      </c>
      <c r="C74" t="str">
        <f t="shared" si="1"/>
        <v>Bleach</v>
      </c>
      <c r="J74">
        <f t="shared" si="2"/>
        <v>3</v>
      </c>
      <c r="K74">
        <v>50</v>
      </c>
      <c r="L74" t="s">
        <v>371</v>
      </c>
      <c r="M74">
        <v>72</v>
      </c>
      <c r="N74" t="s">
        <v>477</v>
      </c>
      <c r="V74" s="34">
        <v>65</v>
      </c>
      <c r="W74" t="s">
        <v>371</v>
      </c>
      <c r="X74">
        <v>72</v>
      </c>
      <c r="Y74" t="s">
        <v>477</v>
      </c>
    </row>
    <row r="75" spans="2:25" x14ac:dyDescent="0.35">
      <c r="B75">
        <v>73</v>
      </c>
      <c r="C75" t="str">
        <f t="shared" si="1"/>
        <v>Disinfectant and cleaners</v>
      </c>
      <c r="J75">
        <f t="shared" si="2"/>
        <v>4</v>
      </c>
      <c r="K75">
        <v>50</v>
      </c>
      <c r="L75" t="s">
        <v>371</v>
      </c>
      <c r="M75">
        <v>73</v>
      </c>
      <c r="N75" t="s">
        <v>478</v>
      </c>
      <c r="V75" s="34">
        <v>65</v>
      </c>
      <c r="W75" t="s">
        <v>371</v>
      </c>
      <c r="X75">
        <v>73</v>
      </c>
      <c r="Y75" t="s">
        <v>478</v>
      </c>
    </row>
    <row r="76" spans="2:25" x14ac:dyDescent="0.35">
      <c r="B76">
        <v>74</v>
      </c>
      <c r="C76" t="str">
        <f t="shared" si="1"/>
        <v>Broom/Brush</v>
      </c>
      <c r="J76">
        <f t="shared" si="2"/>
        <v>5</v>
      </c>
      <c r="K76">
        <v>50</v>
      </c>
      <c r="L76" t="s">
        <v>371</v>
      </c>
      <c r="M76">
        <v>74</v>
      </c>
      <c r="N76" t="s">
        <v>479</v>
      </c>
      <c r="V76" s="34">
        <v>65</v>
      </c>
      <c r="W76" t="s">
        <v>371</v>
      </c>
      <c r="X76">
        <v>74</v>
      </c>
      <c r="Y76" t="s">
        <v>479</v>
      </c>
    </row>
    <row r="77" spans="2:25" x14ac:dyDescent="0.35">
      <c r="B77">
        <v>75</v>
      </c>
      <c r="C77" t="str">
        <f t="shared" si="1"/>
        <v>Shoe brush</v>
      </c>
      <c r="J77">
        <f t="shared" si="2"/>
        <v>6</v>
      </c>
      <c r="K77">
        <v>50</v>
      </c>
      <c r="L77" t="s">
        <v>371</v>
      </c>
      <c r="M77">
        <v>75</v>
      </c>
      <c r="N77" t="s">
        <v>480</v>
      </c>
      <c r="V77" s="34">
        <v>65</v>
      </c>
      <c r="W77" t="s">
        <v>371</v>
      </c>
      <c r="X77">
        <v>75</v>
      </c>
      <c r="Y77" t="s">
        <v>480</v>
      </c>
    </row>
    <row r="78" spans="2:25" x14ac:dyDescent="0.35">
      <c r="B78">
        <v>76</v>
      </c>
      <c r="C78" t="str">
        <f t="shared" si="1"/>
        <v>Shoe polish</v>
      </c>
      <c r="J78">
        <f t="shared" si="2"/>
        <v>7</v>
      </c>
      <c r="K78">
        <v>50</v>
      </c>
      <c r="L78" t="s">
        <v>371</v>
      </c>
      <c r="M78">
        <v>76</v>
      </c>
      <c r="N78" t="s">
        <v>481</v>
      </c>
      <c r="V78" s="34">
        <v>65</v>
      </c>
      <c r="W78" t="s">
        <v>371</v>
      </c>
      <c r="X78">
        <v>76</v>
      </c>
      <c r="Y78" t="s">
        <v>481</v>
      </c>
    </row>
    <row r="79" spans="2:25" x14ac:dyDescent="0.35">
      <c r="B79">
        <v>77</v>
      </c>
      <c r="C79" t="str">
        <f t="shared" si="1"/>
        <v>Other non-durable household goods e.g, sponges, window clean</v>
      </c>
      <c r="J79">
        <f t="shared" si="2"/>
        <v>8</v>
      </c>
      <c r="K79">
        <v>50</v>
      </c>
      <c r="L79" t="s">
        <v>371</v>
      </c>
      <c r="M79">
        <v>77</v>
      </c>
      <c r="N79" t="s">
        <v>482</v>
      </c>
      <c r="V79" s="34">
        <v>65</v>
      </c>
      <c r="W79" t="s">
        <v>371</v>
      </c>
      <c r="X79">
        <v>77</v>
      </c>
      <c r="Y79" t="s">
        <v>482</v>
      </c>
    </row>
    <row r="80" spans="2:25" x14ac:dyDescent="0.35">
      <c r="B80">
        <v>78</v>
      </c>
      <c r="C80" t="str">
        <f t="shared" si="1"/>
        <v>Wages for household (domestic) help</v>
      </c>
      <c r="J80">
        <f t="shared" si="2"/>
        <v>9</v>
      </c>
      <c r="K80">
        <v>70</v>
      </c>
      <c r="L80" t="s">
        <v>382</v>
      </c>
      <c r="M80">
        <v>78</v>
      </c>
      <c r="N80" t="s">
        <v>483</v>
      </c>
      <c r="V80" s="34">
        <v>86</v>
      </c>
      <c r="W80" t="s">
        <v>382</v>
      </c>
      <c r="X80">
        <v>78</v>
      </c>
      <c r="Y80" t="s">
        <v>483</v>
      </c>
    </row>
    <row r="81" spans="2:25" x14ac:dyDescent="0.35">
      <c r="B81">
        <v>79</v>
      </c>
      <c r="C81" t="str">
        <f t="shared" si="1"/>
        <v>Spare  parts of Vehicle</v>
      </c>
      <c r="J81">
        <f t="shared" si="2"/>
        <v>10</v>
      </c>
      <c r="K81">
        <v>55</v>
      </c>
      <c r="L81" t="s">
        <v>771</v>
      </c>
      <c r="M81">
        <v>79</v>
      </c>
      <c r="N81" t="s">
        <v>484</v>
      </c>
      <c r="V81" s="34">
        <v>70</v>
      </c>
      <c r="W81" t="s">
        <v>771</v>
      </c>
      <c r="X81">
        <v>79</v>
      </c>
      <c r="Y81" t="s">
        <v>484</v>
      </c>
    </row>
    <row r="82" spans="2:25" x14ac:dyDescent="0.35">
      <c r="B82">
        <v>80</v>
      </c>
      <c r="C82" t="str">
        <f t="shared" si="1"/>
        <v>Spare parts of motorcycle or bicycle (parts)</v>
      </c>
      <c r="J82">
        <f t="shared" si="2"/>
        <v>11</v>
      </c>
      <c r="K82">
        <v>55</v>
      </c>
      <c r="L82" t="s">
        <v>771</v>
      </c>
      <c r="M82">
        <v>80</v>
      </c>
      <c r="N82" t="s">
        <v>485</v>
      </c>
      <c r="V82" s="34">
        <v>70</v>
      </c>
      <c r="W82" t="s">
        <v>771</v>
      </c>
      <c r="X82">
        <v>80</v>
      </c>
      <c r="Y82" t="s">
        <v>485</v>
      </c>
    </row>
    <row r="83" spans="2:25" x14ac:dyDescent="0.35">
      <c r="B83">
        <v>81</v>
      </c>
      <c r="C83" t="str">
        <f t="shared" si="1"/>
        <v>Vehicle repair (labour)</v>
      </c>
      <c r="J83">
        <f t="shared" si="2"/>
        <v>12</v>
      </c>
      <c r="K83">
        <v>60</v>
      </c>
      <c r="L83" t="s">
        <v>352</v>
      </c>
      <c r="M83">
        <v>81</v>
      </c>
      <c r="N83" t="s">
        <v>486</v>
      </c>
      <c r="V83" s="34">
        <v>75</v>
      </c>
      <c r="W83" t="s">
        <v>352</v>
      </c>
      <c r="X83">
        <v>81</v>
      </c>
      <c r="Y83" t="s">
        <v>486</v>
      </c>
    </row>
    <row r="84" spans="2:25" x14ac:dyDescent="0.35">
      <c r="B84">
        <v>82</v>
      </c>
      <c r="C84" t="str">
        <f t="shared" si="1"/>
        <v>Repair of motorcycle or bicycle (labour)</v>
      </c>
      <c r="J84">
        <f t="shared" si="2"/>
        <v>13</v>
      </c>
      <c r="K84">
        <v>60</v>
      </c>
      <c r="L84" t="s">
        <v>352</v>
      </c>
      <c r="M84">
        <v>82</v>
      </c>
      <c r="N84" t="s">
        <v>487</v>
      </c>
      <c r="V84" s="34">
        <v>75</v>
      </c>
      <c r="W84" t="s">
        <v>352</v>
      </c>
      <c r="X84">
        <v>82</v>
      </c>
      <c r="Y84" t="s">
        <v>487</v>
      </c>
    </row>
    <row r="85" spans="2:25" x14ac:dyDescent="0.35">
      <c r="B85">
        <v>83</v>
      </c>
      <c r="C85" t="str">
        <f t="shared" si="1"/>
        <v>CD and DVD disks</v>
      </c>
      <c r="J85">
        <f t="shared" si="2"/>
        <v>14</v>
      </c>
      <c r="K85">
        <v>56</v>
      </c>
      <c r="L85" t="s">
        <v>351</v>
      </c>
      <c r="M85">
        <v>83</v>
      </c>
      <c r="N85" t="s">
        <v>488</v>
      </c>
      <c r="V85" s="34">
        <v>69</v>
      </c>
      <c r="W85" t="s">
        <v>770</v>
      </c>
      <c r="X85">
        <v>83</v>
      </c>
      <c r="Y85" t="s">
        <v>488</v>
      </c>
    </row>
    <row r="86" spans="2:25" x14ac:dyDescent="0.35">
      <c r="B86">
        <v>84</v>
      </c>
      <c r="C86" t="str">
        <f t="shared" si="1"/>
        <v>Audio video cassettes &amp; internet downloads</v>
      </c>
      <c r="J86">
        <f t="shared" si="2"/>
        <v>15</v>
      </c>
      <c r="K86">
        <v>70</v>
      </c>
      <c r="L86" t="s">
        <v>382</v>
      </c>
      <c r="M86">
        <v>84</v>
      </c>
      <c r="N86" t="s">
        <v>489</v>
      </c>
      <c r="V86" s="34">
        <v>69</v>
      </c>
      <c r="W86" t="s">
        <v>770</v>
      </c>
      <c r="X86">
        <v>84</v>
      </c>
      <c r="Y86" t="s">
        <v>489</v>
      </c>
    </row>
    <row r="87" spans="2:25" x14ac:dyDescent="0.35">
      <c r="B87">
        <v>85</v>
      </c>
      <c r="C87" t="str">
        <f t="shared" si="1"/>
        <v>Film and developing</v>
      </c>
      <c r="J87">
        <f t="shared" si="2"/>
        <v>16</v>
      </c>
      <c r="K87">
        <v>66</v>
      </c>
      <c r="L87" t="s">
        <v>380</v>
      </c>
      <c r="M87">
        <v>85</v>
      </c>
      <c r="N87" t="s">
        <v>490</v>
      </c>
      <c r="V87" s="34">
        <v>82</v>
      </c>
      <c r="W87" t="s">
        <v>380</v>
      </c>
      <c r="X87">
        <v>85</v>
      </c>
      <c r="Y87" t="s">
        <v>490</v>
      </c>
    </row>
    <row r="88" spans="2:25" x14ac:dyDescent="0.35">
      <c r="B88">
        <v>86</v>
      </c>
      <c r="C88" t="str">
        <f t="shared" si="1"/>
        <v>Toys</v>
      </c>
      <c r="J88">
        <f t="shared" si="2"/>
        <v>17</v>
      </c>
      <c r="K88">
        <v>56</v>
      </c>
      <c r="L88" t="s">
        <v>351</v>
      </c>
      <c r="M88">
        <v>86</v>
      </c>
      <c r="N88" t="s">
        <v>491</v>
      </c>
      <c r="V88" s="34">
        <v>71</v>
      </c>
      <c r="W88" t="s">
        <v>351</v>
      </c>
      <c r="X88">
        <v>86</v>
      </c>
      <c r="Y88" t="s">
        <v>491</v>
      </c>
    </row>
    <row r="89" spans="2:25" x14ac:dyDescent="0.35">
      <c r="B89">
        <v>87</v>
      </c>
      <c r="C89" t="str">
        <f t="shared" si="1"/>
        <v>Natural &amp; artificial flowers,foliages&amp; plants</v>
      </c>
      <c r="J89">
        <f t="shared" si="2"/>
        <v>18</v>
      </c>
      <c r="K89">
        <v>19</v>
      </c>
      <c r="L89" t="s">
        <v>757</v>
      </c>
      <c r="M89">
        <v>87</v>
      </c>
      <c r="N89" t="s">
        <v>492</v>
      </c>
      <c r="V89" s="34">
        <v>24</v>
      </c>
      <c r="W89" t="s">
        <v>757</v>
      </c>
      <c r="X89">
        <v>87</v>
      </c>
      <c r="Y89" t="s">
        <v>492</v>
      </c>
    </row>
    <row r="90" spans="2:25" x14ac:dyDescent="0.35">
      <c r="B90">
        <v>88</v>
      </c>
      <c r="C90" t="str">
        <f t="shared" si="1"/>
        <v>Other interior decorations</v>
      </c>
      <c r="J90">
        <f t="shared" si="2"/>
        <v>19</v>
      </c>
      <c r="K90">
        <v>56</v>
      </c>
      <c r="L90" t="s">
        <v>351</v>
      </c>
      <c r="M90">
        <v>88</v>
      </c>
      <c r="N90" t="s">
        <v>493</v>
      </c>
      <c r="V90" s="34">
        <v>71</v>
      </c>
      <c r="W90" t="s">
        <v>351</v>
      </c>
      <c r="X90">
        <v>88</v>
      </c>
      <c r="Y90" t="s">
        <v>493</v>
      </c>
    </row>
    <row r="91" spans="2:25" x14ac:dyDescent="0.35">
      <c r="B91">
        <v>89</v>
      </c>
      <c r="C91" t="str">
        <f t="shared" si="1"/>
        <v>Other recreational or cultural items, (Pets:- cats, dogs, Bi</v>
      </c>
      <c r="J91">
        <f t="shared" si="2"/>
        <v>20</v>
      </c>
      <c r="K91">
        <v>70</v>
      </c>
      <c r="L91" t="s">
        <v>382</v>
      </c>
      <c r="M91">
        <v>89</v>
      </c>
      <c r="N91" t="s">
        <v>494</v>
      </c>
      <c r="V91" s="34">
        <v>86</v>
      </c>
      <c r="W91" t="s">
        <v>382</v>
      </c>
      <c r="X91">
        <v>89</v>
      </c>
      <c r="Y91" t="s">
        <v>494</v>
      </c>
    </row>
    <row r="92" spans="2:25" x14ac:dyDescent="0.35">
      <c r="B92">
        <v>90</v>
      </c>
      <c r="C92" t="str">
        <f t="shared" si="1"/>
        <v>Books</v>
      </c>
      <c r="J92">
        <f t="shared" si="2"/>
        <v>21</v>
      </c>
      <c r="K92">
        <v>47</v>
      </c>
      <c r="L92" t="s">
        <v>767</v>
      </c>
      <c r="M92">
        <v>90</v>
      </c>
      <c r="N92" t="s">
        <v>495</v>
      </c>
      <c r="V92" s="34">
        <v>62</v>
      </c>
      <c r="W92" t="s">
        <v>767</v>
      </c>
      <c r="X92">
        <v>90</v>
      </c>
      <c r="Y92" t="s">
        <v>495</v>
      </c>
    </row>
    <row r="93" spans="2:25" x14ac:dyDescent="0.35">
      <c r="B93">
        <v>91</v>
      </c>
      <c r="C93" t="str">
        <f t="shared" si="1"/>
        <v>Magazines</v>
      </c>
      <c r="J93">
        <f t="shared" si="2"/>
        <v>22</v>
      </c>
      <c r="K93">
        <v>47</v>
      </c>
      <c r="L93" t="s">
        <v>767</v>
      </c>
      <c r="M93">
        <v>91</v>
      </c>
      <c r="N93" t="s">
        <v>496</v>
      </c>
      <c r="V93" s="34">
        <v>62</v>
      </c>
      <c r="W93" t="s">
        <v>767</v>
      </c>
      <c r="X93">
        <v>91</v>
      </c>
      <c r="Y93" t="s">
        <v>496</v>
      </c>
    </row>
    <row r="94" spans="2:25" x14ac:dyDescent="0.35">
      <c r="B94">
        <v>92</v>
      </c>
      <c r="C94" t="str">
        <f t="shared" si="1"/>
        <v>Stationary supplies (stapler, perforator, Folder, etc..)</v>
      </c>
      <c r="J94">
        <f t="shared" si="2"/>
        <v>23</v>
      </c>
      <c r="K94">
        <v>53</v>
      </c>
      <c r="L94" t="s">
        <v>770</v>
      </c>
      <c r="M94">
        <v>92</v>
      </c>
      <c r="N94" t="s">
        <v>497</v>
      </c>
      <c r="V94" s="34">
        <v>62</v>
      </c>
      <c r="W94" t="s">
        <v>767</v>
      </c>
      <c r="X94">
        <v>92</v>
      </c>
      <c r="Y94" t="s">
        <v>497</v>
      </c>
    </row>
    <row r="95" spans="2:25" x14ac:dyDescent="0.35">
      <c r="B95">
        <v>93</v>
      </c>
      <c r="C95" t="str">
        <f t="shared" si="1"/>
        <v>Passport photos</v>
      </c>
      <c r="J95">
        <f t="shared" si="2"/>
        <v>24</v>
      </c>
      <c r="K95">
        <v>66</v>
      </c>
      <c r="L95" t="s">
        <v>380</v>
      </c>
      <c r="M95">
        <v>93</v>
      </c>
      <c r="N95" t="s">
        <v>498</v>
      </c>
      <c r="V95" s="34">
        <v>82</v>
      </c>
      <c r="W95" t="s">
        <v>380</v>
      </c>
      <c r="X95">
        <v>93</v>
      </c>
      <c r="Y95" t="s">
        <v>498</v>
      </c>
    </row>
    <row r="96" spans="2:25" x14ac:dyDescent="0.35">
      <c r="B96">
        <v>94</v>
      </c>
      <c r="C96" t="str">
        <f t="shared" si="1"/>
        <v>Men's haircut (barber)</v>
      </c>
      <c r="J96">
        <f t="shared" si="2"/>
        <v>25</v>
      </c>
      <c r="K96">
        <v>70</v>
      </c>
      <c r="L96" t="s">
        <v>382</v>
      </c>
      <c r="M96">
        <v>94</v>
      </c>
      <c r="N96" t="s">
        <v>499</v>
      </c>
      <c r="V96" s="34">
        <v>86</v>
      </c>
      <c r="W96" t="s">
        <v>382</v>
      </c>
      <c r="X96">
        <v>94</v>
      </c>
      <c r="Y96" t="s">
        <v>499</v>
      </c>
    </row>
    <row r="97" spans="2:25" x14ac:dyDescent="0.35">
      <c r="B97">
        <v>95</v>
      </c>
      <c r="C97" t="str">
        <f t="shared" ref="C97:C160" si="3">VLOOKUP(B97,$M$3:$N$333,2,0)</f>
        <v>Women's haircut (stylist &amp; treatment)</v>
      </c>
      <c r="J97">
        <f t="shared" si="2"/>
        <v>26</v>
      </c>
      <c r="K97">
        <v>70</v>
      </c>
      <c r="L97" t="s">
        <v>382</v>
      </c>
      <c r="M97">
        <v>95</v>
      </c>
      <c r="N97" t="s">
        <v>500</v>
      </c>
      <c r="V97" s="34">
        <v>86</v>
      </c>
      <c r="W97" t="s">
        <v>382</v>
      </c>
      <c r="X97">
        <v>95</v>
      </c>
      <c r="Y97" t="s">
        <v>500</v>
      </c>
    </row>
    <row r="98" spans="2:25" x14ac:dyDescent="0.35">
      <c r="B98">
        <v>96</v>
      </c>
      <c r="C98" t="str">
        <f t="shared" si="3"/>
        <v>Beauty Treatment/Massage(Non-medical)/ Manicure &amp; steam bath</v>
      </c>
      <c r="J98">
        <f t="shared" si="2"/>
        <v>27</v>
      </c>
      <c r="K98">
        <v>70</v>
      </c>
      <c r="L98" t="s">
        <v>382</v>
      </c>
      <c r="M98">
        <v>96</v>
      </c>
      <c r="N98" t="s">
        <v>501</v>
      </c>
      <c r="V98" s="34">
        <v>86</v>
      </c>
      <c r="W98" t="s">
        <v>382</v>
      </c>
      <c r="X98">
        <v>96</v>
      </c>
      <c r="Y98" t="s">
        <v>501</v>
      </c>
    </row>
    <row r="99" spans="2:25" x14ac:dyDescent="0.35">
      <c r="B99">
        <v>97</v>
      </c>
      <c r="C99" t="str">
        <f t="shared" si="3"/>
        <v>Shaving accessories</v>
      </c>
      <c r="J99">
        <f t="shared" si="2"/>
        <v>28</v>
      </c>
      <c r="K99">
        <v>50</v>
      </c>
      <c r="L99" t="s">
        <v>371</v>
      </c>
      <c r="M99">
        <v>97</v>
      </c>
      <c r="N99" t="s">
        <v>502</v>
      </c>
      <c r="V99" s="34">
        <v>71</v>
      </c>
      <c r="W99" t="s">
        <v>351</v>
      </c>
      <c r="X99">
        <v>97</v>
      </c>
      <c r="Y99" t="s">
        <v>502</v>
      </c>
    </row>
    <row r="100" spans="2:25" x14ac:dyDescent="0.35">
      <c r="B100">
        <v>98</v>
      </c>
      <c r="C100" t="str">
        <f t="shared" si="3"/>
        <v>Combs</v>
      </c>
      <c r="J100">
        <f t="shared" si="2"/>
        <v>29</v>
      </c>
      <c r="K100">
        <v>50</v>
      </c>
      <c r="L100" t="s">
        <v>371</v>
      </c>
      <c r="M100">
        <v>98</v>
      </c>
      <c r="N100" t="s">
        <v>503</v>
      </c>
      <c r="V100" s="34">
        <v>71</v>
      </c>
      <c r="W100" t="s">
        <v>351</v>
      </c>
      <c r="X100">
        <v>98</v>
      </c>
      <c r="Y100" t="s">
        <v>503</v>
      </c>
    </row>
    <row r="101" spans="2:25" x14ac:dyDescent="0.35">
      <c r="B101">
        <v>99</v>
      </c>
      <c r="C101" t="str">
        <f t="shared" si="3"/>
        <v>Other personal hygiene products, e.g; razor blades, nail cut</v>
      </c>
      <c r="J101">
        <f t="shared" si="2"/>
        <v>30</v>
      </c>
      <c r="K101">
        <v>50</v>
      </c>
      <c r="L101" t="s">
        <v>371</v>
      </c>
      <c r="M101">
        <v>99</v>
      </c>
      <c r="N101" t="s">
        <v>504</v>
      </c>
      <c r="V101" s="34">
        <v>71</v>
      </c>
      <c r="W101" t="s">
        <v>351</v>
      </c>
      <c r="X101">
        <v>99</v>
      </c>
      <c r="Y101" t="s">
        <v>504</v>
      </c>
    </row>
    <row r="102" spans="2:25" x14ac:dyDescent="0.35">
      <c r="B102">
        <v>100</v>
      </c>
      <c r="C102" t="str">
        <f t="shared" si="3"/>
        <v>Toothpaste (and accessories)</v>
      </c>
      <c r="J102">
        <f t="shared" si="2"/>
        <v>31</v>
      </c>
      <c r="K102">
        <v>50</v>
      </c>
      <c r="L102" t="s">
        <v>371</v>
      </c>
      <c r="M102">
        <v>100</v>
      </c>
      <c r="N102" t="s">
        <v>505</v>
      </c>
      <c r="V102" s="34">
        <v>65</v>
      </c>
      <c r="W102" t="s">
        <v>371</v>
      </c>
      <c r="X102">
        <v>100</v>
      </c>
      <c r="Y102" t="s">
        <v>505</v>
      </c>
    </row>
    <row r="103" spans="2:25" x14ac:dyDescent="0.35">
      <c r="B103">
        <v>101</v>
      </c>
      <c r="C103" t="str">
        <f t="shared" si="3"/>
        <v>Hair products</v>
      </c>
      <c r="J103">
        <f t="shared" si="2"/>
        <v>32</v>
      </c>
      <c r="K103">
        <v>50</v>
      </c>
      <c r="L103" t="s">
        <v>371</v>
      </c>
      <c r="M103">
        <v>101</v>
      </c>
      <c r="N103" t="s">
        <v>506</v>
      </c>
      <c r="V103" s="34">
        <v>65</v>
      </c>
      <c r="W103" t="s">
        <v>371</v>
      </c>
      <c r="X103">
        <v>101</v>
      </c>
      <c r="Y103" t="s">
        <v>506</v>
      </c>
    </row>
    <row r="104" spans="2:25" x14ac:dyDescent="0.35">
      <c r="B104">
        <v>102</v>
      </c>
      <c r="C104" t="str">
        <f t="shared" si="3"/>
        <v>Beauty/cosmetics products</v>
      </c>
      <c r="J104">
        <f t="shared" si="2"/>
        <v>33</v>
      </c>
      <c r="K104">
        <v>50</v>
      </c>
      <c r="L104" t="s">
        <v>371</v>
      </c>
      <c r="M104">
        <v>102</v>
      </c>
      <c r="N104" t="s">
        <v>507</v>
      </c>
      <c r="V104" s="34">
        <v>65</v>
      </c>
      <c r="W104" t="s">
        <v>371</v>
      </c>
      <c r="X104">
        <v>102</v>
      </c>
      <c r="Y104" t="s">
        <v>507</v>
      </c>
    </row>
    <row r="105" spans="2:25" x14ac:dyDescent="0.35">
      <c r="B105">
        <v>103</v>
      </c>
      <c r="C105" t="str">
        <f t="shared" si="3"/>
        <v>Deodorants</v>
      </c>
      <c r="J105">
        <f t="shared" si="2"/>
        <v>34</v>
      </c>
      <c r="K105">
        <v>50</v>
      </c>
      <c r="L105" t="s">
        <v>371</v>
      </c>
      <c r="M105">
        <v>103</v>
      </c>
      <c r="N105" t="s">
        <v>508</v>
      </c>
      <c r="V105" s="34">
        <v>65</v>
      </c>
      <c r="W105" t="s">
        <v>371</v>
      </c>
      <c r="X105">
        <v>103</v>
      </c>
      <c r="Y105" t="s">
        <v>508</v>
      </c>
    </row>
    <row r="106" spans="2:25" x14ac:dyDescent="0.35">
      <c r="B106">
        <v>104</v>
      </c>
      <c r="C106" t="str">
        <f t="shared" si="3"/>
        <v>Sanitary napkins, pampers</v>
      </c>
      <c r="J106">
        <f t="shared" si="2"/>
        <v>35</v>
      </c>
      <c r="K106">
        <v>47</v>
      </c>
      <c r="L106" t="s">
        <v>767</v>
      </c>
      <c r="M106">
        <v>104</v>
      </c>
      <c r="N106" t="s">
        <v>509</v>
      </c>
      <c r="V106" s="34">
        <v>62</v>
      </c>
      <c r="W106" t="s">
        <v>767</v>
      </c>
      <c r="X106">
        <v>104</v>
      </c>
      <c r="Y106" t="s">
        <v>509</v>
      </c>
    </row>
    <row r="107" spans="2:25" x14ac:dyDescent="0.35">
      <c r="B107">
        <v>105</v>
      </c>
      <c r="C107" t="str">
        <f t="shared" si="3"/>
        <v>Postage stamps</v>
      </c>
      <c r="J107">
        <f t="shared" si="2"/>
        <v>36</v>
      </c>
      <c r="K107">
        <v>63</v>
      </c>
      <c r="L107" t="s">
        <v>375</v>
      </c>
      <c r="M107">
        <v>105</v>
      </c>
      <c r="N107" t="s">
        <v>510</v>
      </c>
      <c r="V107" s="34">
        <v>79</v>
      </c>
      <c r="W107" t="s">
        <v>375</v>
      </c>
      <c r="X107">
        <v>105</v>
      </c>
      <c r="Y107" t="s">
        <v>510</v>
      </c>
    </row>
    <row r="108" spans="2:25" x14ac:dyDescent="0.35">
      <c r="B108">
        <v>106</v>
      </c>
      <c r="C108" t="str">
        <f t="shared" si="3"/>
        <v>Rwandatel/MTN fixed line charges</v>
      </c>
      <c r="J108">
        <f t="shared" si="2"/>
        <v>37</v>
      </c>
      <c r="K108">
        <v>63</v>
      </c>
      <c r="L108" t="s">
        <v>375</v>
      </c>
      <c r="M108">
        <v>106</v>
      </c>
      <c r="N108" t="s">
        <v>511</v>
      </c>
      <c r="V108" s="34">
        <v>79</v>
      </c>
      <c r="W108" t="s">
        <v>375</v>
      </c>
      <c r="X108">
        <v>106</v>
      </c>
      <c r="Y108" t="s">
        <v>511</v>
      </c>
    </row>
    <row r="109" spans="2:25" x14ac:dyDescent="0.35">
      <c r="B109">
        <v>107</v>
      </c>
      <c r="C109" t="str">
        <f t="shared" si="3"/>
        <v>Fax and courier services</v>
      </c>
      <c r="J109">
        <f t="shared" si="2"/>
        <v>38</v>
      </c>
      <c r="K109">
        <v>63</v>
      </c>
      <c r="L109" t="s">
        <v>375</v>
      </c>
      <c r="M109">
        <v>107</v>
      </c>
      <c r="N109" t="s">
        <v>512</v>
      </c>
      <c r="V109" s="34">
        <v>79</v>
      </c>
      <c r="W109" t="s">
        <v>375</v>
      </c>
      <c r="X109">
        <v>107</v>
      </c>
      <c r="Y109" t="s">
        <v>512</v>
      </c>
    </row>
    <row r="110" spans="2:25" x14ac:dyDescent="0.35">
      <c r="B110">
        <v>108</v>
      </c>
      <c r="C110" t="str">
        <f t="shared" si="3"/>
        <v>Internet connection subscription (Rwandatel /MTN/TIGO/â¦</v>
      </c>
      <c r="J110">
        <f t="shared" si="2"/>
        <v>39</v>
      </c>
      <c r="K110">
        <v>63</v>
      </c>
      <c r="L110" t="s">
        <v>375</v>
      </c>
      <c r="M110">
        <v>108</v>
      </c>
      <c r="N110" t="s">
        <v>513</v>
      </c>
      <c r="V110" s="34">
        <v>79</v>
      </c>
      <c r="W110" t="s">
        <v>375</v>
      </c>
      <c r="X110">
        <v>108</v>
      </c>
      <c r="Y110" t="s">
        <v>513</v>
      </c>
    </row>
    <row r="111" spans="2:25" x14ac:dyDescent="0.35">
      <c r="B111">
        <v>109</v>
      </c>
      <c r="C111" t="str">
        <f t="shared" si="3"/>
        <v>Security services</v>
      </c>
      <c r="J111">
        <f t="shared" si="2"/>
        <v>40</v>
      </c>
      <c r="K111">
        <v>70</v>
      </c>
      <c r="L111" t="s">
        <v>382</v>
      </c>
      <c r="M111">
        <v>109</v>
      </c>
      <c r="N111" t="s">
        <v>514</v>
      </c>
      <c r="V111" s="34">
        <v>82</v>
      </c>
      <c r="W111" t="s">
        <v>380</v>
      </c>
      <c r="X111">
        <v>109</v>
      </c>
      <c r="Y111" t="s">
        <v>514</v>
      </c>
    </row>
    <row r="112" spans="2:25" x14ac:dyDescent="0.35">
      <c r="B112">
        <v>110</v>
      </c>
      <c r="C112" t="str">
        <f t="shared" si="3"/>
        <v>Photocopies/printing/scanner/other secretarial services</v>
      </c>
      <c r="J112">
        <f t="shared" si="2"/>
        <v>41</v>
      </c>
      <c r="K112">
        <v>66</v>
      </c>
      <c r="L112" t="s">
        <v>380</v>
      </c>
      <c r="M112">
        <v>110</v>
      </c>
      <c r="N112" t="s">
        <v>515</v>
      </c>
      <c r="V112" s="34">
        <v>82</v>
      </c>
      <c r="W112" t="s">
        <v>380</v>
      </c>
      <c r="X112">
        <v>110</v>
      </c>
      <c r="Y112" t="s">
        <v>515</v>
      </c>
    </row>
    <row r="113" spans="2:25" x14ac:dyDescent="0.35">
      <c r="B113">
        <v>111</v>
      </c>
      <c r="C113" t="str">
        <f t="shared" si="3"/>
        <v>Diabetes drugs</v>
      </c>
      <c r="J113">
        <f t="shared" si="2"/>
        <v>42</v>
      </c>
      <c r="K113">
        <v>50</v>
      </c>
      <c r="L113" t="s">
        <v>371</v>
      </c>
      <c r="M113">
        <v>111</v>
      </c>
      <c r="N113" t="s">
        <v>516</v>
      </c>
      <c r="V113" s="34">
        <v>65</v>
      </c>
      <c r="W113" t="s">
        <v>371</v>
      </c>
      <c r="X113">
        <v>111</v>
      </c>
      <c r="Y113" t="s">
        <v>516</v>
      </c>
    </row>
    <row r="114" spans="2:25" x14ac:dyDescent="0.35">
      <c r="B114">
        <v>112</v>
      </c>
      <c r="C114" t="str">
        <f t="shared" si="3"/>
        <v>Heart disease medicines</v>
      </c>
      <c r="J114">
        <f t="shared" si="2"/>
        <v>43</v>
      </c>
      <c r="K114">
        <v>50</v>
      </c>
      <c r="L114" t="s">
        <v>371</v>
      </c>
      <c r="M114">
        <v>112</v>
      </c>
      <c r="N114" t="s">
        <v>517</v>
      </c>
      <c r="V114" s="34">
        <v>65</v>
      </c>
      <c r="W114" t="s">
        <v>371</v>
      </c>
      <c r="X114">
        <v>112</v>
      </c>
      <c r="Y114" t="s">
        <v>517</v>
      </c>
    </row>
    <row r="115" spans="2:25" x14ac:dyDescent="0.35">
      <c r="B115">
        <v>113</v>
      </c>
      <c r="C115" t="str">
        <f t="shared" si="3"/>
        <v>High/low blood pressure drugs</v>
      </c>
      <c r="J115">
        <f t="shared" si="2"/>
        <v>44</v>
      </c>
      <c r="K115">
        <v>50</v>
      </c>
      <c r="L115" t="s">
        <v>371</v>
      </c>
      <c r="M115">
        <v>113</v>
      </c>
      <c r="N115" t="s">
        <v>518</v>
      </c>
      <c r="V115" s="34">
        <v>65</v>
      </c>
      <c r="W115" t="s">
        <v>371</v>
      </c>
      <c r="X115">
        <v>113</v>
      </c>
      <c r="Y115" t="s">
        <v>518</v>
      </c>
    </row>
    <row r="116" spans="2:25" x14ac:dyDescent="0.35">
      <c r="B116">
        <v>114</v>
      </c>
      <c r="C116" t="str">
        <f t="shared" si="3"/>
        <v>Asthma drugs</v>
      </c>
      <c r="J116">
        <f t="shared" si="2"/>
        <v>45</v>
      </c>
      <c r="K116">
        <v>50</v>
      </c>
      <c r="L116" t="s">
        <v>371</v>
      </c>
      <c r="M116">
        <v>114</v>
      </c>
      <c r="N116" t="s">
        <v>519</v>
      </c>
      <c r="V116" s="34">
        <v>65</v>
      </c>
      <c r="W116" t="s">
        <v>371</v>
      </c>
      <c r="X116">
        <v>114</v>
      </c>
      <c r="Y116" t="s">
        <v>519</v>
      </c>
    </row>
    <row r="117" spans="2:25" x14ac:dyDescent="0.35">
      <c r="B117">
        <v>115</v>
      </c>
      <c r="C117" t="str">
        <f t="shared" si="3"/>
        <v>ARV drugs</v>
      </c>
      <c r="J117">
        <f t="shared" si="2"/>
        <v>46</v>
      </c>
      <c r="K117">
        <v>50</v>
      </c>
      <c r="L117" t="s">
        <v>371</v>
      </c>
      <c r="M117">
        <v>115</v>
      </c>
      <c r="N117" t="s">
        <v>520</v>
      </c>
      <c r="V117" s="34">
        <v>65</v>
      </c>
      <c r="W117" t="s">
        <v>371</v>
      </c>
      <c r="X117">
        <v>115</v>
      </c>
      <c r="Y117" t="s">
        <v>520</v>
      </c>
    </row>
    <row r="118" spans="2:25" x14ac:dyDescent="0.35">
      <c r="B118">
        <v>116</v>
      </c>
      <c r="C118" t="str">
        <f t="shared" si="3"/>
        <v>Pain relievers (Aspirin/Paracetamol/Hedex,â¦)</v>
      </c>
      <c r="J118">
        <f t="shared" si="2"/>
        <v>47</v>
      </c>
      <c r="K118">
        <v>50</v>
      </c>
      <c r="L118" t="s">
        <v>371</v>
      </c>
      <c r="M118">
        <v>116</v>
      </c>
      <c r="N118" t="s">
        <v>521</v>
      </c>
      <c r="V118" s="34">
        <v>65</v>
      </c>
      <c r="W118" t="s">
        <v>371</v>
      </c>
      <c r="X118">
        <v>116</v>
      </c>
      <c r="Y118" t="s">
        <v>521</v>
      </c>
    </row>
    <row r="119" spans="2:25" x14ac:dyDescent="0.35">
      <c r="B119">
        <v>117</v>
      </c>
      <c r="C119" t="str">
        <f t="shared" si="3"/>
        <v>Antimalarial drugs</v>
      </c>
      <c r="J119">
        <f t="shared" si="2"/>
        <v>48</v>
      </c>
      <c r="K119">
        <v>50</v>
      </c>
      <c r="L119" t="s">
        <v>371</v>
      </c>
      <c r="M119">
        <v>117</v>
      </c>
      <c r="N119" t="s">
        <v>522</v>
      </c>
      <c r="V119" s="34">
        <v>65</v>
      </c>
      <c r="W119" t="s">
        <v>371</v>
      </c>
      <c r="X119">
        <v>117</v>
      </c>
      <c r="Y119" t="s">
        <v>522</v>
      </c>
    </row>
    <row r="120" spans="2:25" x14ac:dyDescent="0.35">
      <c r="B120">
        <v>118</v>
      </c>
      <c r="C120" t="str">
        <f t="shared" si="3"/>
        <v>Astringents (iodine, alcohol)</v>
      </c>
      <c r="J120">
        <f t="shared" si="2"/>
        <v>49</v>
      </c>
      <c r="K120">
        <v>50</v>
      </c>
      <c r="L120" t="s">
        <v>371</v>
      </c>
      <c r="M120">
        <v>118</v>
      </c>
      <c r="N120" t="s">
        <v>523</v>
      </c>
      <c r="V120" s="34">
        <v>65</v>
      </c>
      <c r="W120" t="s">
        <v>371</v>
      </c>
      <c r="X120">
        <v>118</v>
      </c>
      <c r="Y120" t="s">
        <v>523</v>
      </c>
    </row>
    <row r="121" spans="2:25" x14ac:dyDescent="0.35">
      <c r="B121">
        <v>119</v>
      </c>
      <c r="C121" t="str">
        <f t="shared" si="3"/>
        <v>Worm medicine</v>
      </c>
      <c r="J121">
        <f t="shared" si="2"/>
        <v>50</v>
      </c>
      <c r="K121">
        <v>50</v>
      </c>
      <c r="L121" t="s">
        <v>371</v>
      </c>
      <c r="M121">
        <v>119</v>
      </c>
      <c r="N121" t="s">
        <v>524</v>
      </c>
      <c r="V121" s="34">
        <v>65</v>
      </c>
      <c r="W121" t="s">
        <v>371</v>
      </c>
      <c r="X121">
        <v>119</v>
      </c>
      <c r="Y121" t="s">
        <v>524</v>
      </c>
    </row>
    <row r="122" spans="2:25" x14ac:dyDescent="0.35">
      <c r="B122">
        <v>120</v>
      </c>
      <c r="C122" t="str">
        <f t="shared" si="3"/>
        <v>Contraceptive drugs</v>
      </c>
      <c r="J122">
        <f t="shared" si="2"/>
        <v>51</v>
      </c>
      <c r="K122">
        <v>50</v>
      </c>
      <c r="L122" t="s">
        <v>371</v>
      </c>
      <c r="M122">
        <v>120</v>
      </c>
      <c r="N122" t="s">
        <v>525</v>
      </c>
      <c r="V122" s="34">
        <v>65</v>
      </c>
      <c r="W122" t="s">
        <v>371</v>
      </c>
      <c r="X122">
        <v>120</v>
      </c>
      <c r="Y122" t="s">
        <v>525</v>
      </c>
    </row>
    <row r="123" spans="2:25" x14ac:dyDescent="0.35">
      <c r="B123">
        <v>121</v>
      </c>
      <c r="C123" t="str">
        <f t="shared" si="3"/>
        <v>Other basic/preventive medicines</v>
      </c>
      <c r="J123">
        <f t="shared" si="2"/>
        <v>52</v>
      </c>
      <c r="K123">
        <v>50</v>
      </c>
      <c r="L123" t="s">
        <v>371</v>
      </c>
      <c r="M123">
        <v>121</v>
      </c>
      <c r="N123" t="s">
        <v>526</v>
      </c>
      <c r="V123" s="34">
        <v>65</v>
      </c>
      <c r="W123" t="s">
        <v>371</v>
      </c>
      <c r="X123">
        <v>121</v>
      </c>
      <c r="Y123" t="s">
        <v>526</v>
      </c>
    </row>
    <row r="124" spans="2:25" x14ac:dyDescent="0.35">
      <c r="B124">
        <v>122</v>
      </c>
      <c r="C124" t="str">
        <f t="shared" si="3"/>
        <v>Condoms</v>
      </c>
      <c r="J124">
        <f t="shared" si="2"/>
        <v>53</v>
      </c>
      <c r="K124">
        <v>50</v>
      </c>
      <c r="L124" t="s">
        <v>371</v>
      </c>
      <c r="M124">
        <v>122</v>
      </c>
      <c r="N124" t="s">
        <v>527</v>
      </c>
      <c r="V124" s="34">
        <v>65</v>
      </c>
      <c r="W124" t="s">
        <v>371</v>
      </c>
      <c r="X124">
        <v>122</v>
      </c>
      <c r="Y124" t="s">
        <v>527</v>
      </c>
    </row>
    <row r="125" spans="2:25" x14ac:dyDescent="0.35">
      <c r="B125">
        <v>123</v>
      </c>
      <c r="C125" t="str">
        <f t="shared" si="3"/>
        <v>Medical consultations</v>
      </c>
      <c r="J125">
        <f t="shared" si="2"/>
        <v>54</v>
      </c>
      <c r="K125">
        <v>69</v>
      </c>
      <c r="L125" t="s">
        <v>374</v>
      </c>
      <c r="M125">
        <v>123</v>
      </c>
      <c r="N125" t="s">
        <v>528</v>
      </c>
      <c r="V125" s="34">
        <v>85</v>
      </c>
      <c r="W125" t="s">
        <v>374</v>
      </c>
      <c r="X125">
        <v>123</v>
      </c>
      <c r="Y125" t="s">
        <v>528</v>
      </c>
    </row>
    <row r="126" spans="2:25" x14ac:dyDescent="0.35">
      <c r="B126">
        <v>124</v>
      </c>
      <c r="C126" t="str">
        <f t="shared" si="3"/>
        <v>Medical exams</v>
      </c>
      <c r="J126">
        <f t="shared" si="2"/>
        <v>55</v>
      </c>
      <c r="K126">
        <v>69</v>
      </c>
      <c r="L126" t="s">
        <v>374</v>
      </c>
      <c r="M126">
        <v>124</v>
      </c>
      <c r="N126" t="s">
        <v>529</v>
      </c>
      <c r="V126" s="34">
        <v>85</v>
      </c>
      <c r="W126" t="s">
        <v>374</v>
      </c>
      <c r="X126">
        <v>124</v>
      </c>
      <c r="Y126" t="s">
        <v>529</v>
      </c>
    </row>
    <row r="127" spans="2:25" x14ac:dyDescent="0.35">
      <c r="B127">
        <v>125</v>
      </c>
      <c r="C127" t="str">
        <f t="shared" si="3"/>
        <v>Stadium entry</v>
      </c>
      <c r="J127">
        <v>1</v>
      </c>
      <c r="K127">
        <v>70</v>
      </c>
      <c r="L127" t="s">
        <v>382</v>
      </c>
      <c r="M127">
        <v>125</v>
      </c>
      <c r="N127" t="s">
        <v>531</v>
      </c>
      <c r="V127" s="34">
        <v>86</v>
      </c>
      <c r="W127" t="s">
        <v>382</v>
      </c>
      <c r="X127">
        <v>125</v>
      </c>
      <c r="Y127" t="s">
        <v>531</v>
      </c>
    </row>
    <row r="128" spans="2:25" x14ac:dyDescent="0.35">
      <c r="B128">
        <v>126</v>
      </c>
      <c r="C128" t="str">
        <f t="shared" si="3"/>
        <v>Cinema/movie entry/ Video club</v>
      </c>
      <c r="J128">
        <f t="shared" ref="J128:J163" si="4">J127+1</f>
        <v>2</v>
      </c>
      <c r="K128">
        <v>70</v>
      </c>
      <c r="L128" t="s">
        <v>382</v>
      </c>
      <c r="M128">
        <v>126</v>
      </c>
      <c r="N128" t="s">
        <v>532</v>
      </c>
      <c r="V128" s="34">
        <v>86</v>
      </c>
      <c r="W128" t="s">
        <v>382</v>
      </c>
      <c r="X128">
        <v>126</v>
      </c>
      <c r="Y128" t="s">
        <v>532</v>
      </c>
    </row>
    <row r="129" spans="2:25" x14ac:dyDescent="0.35">
      <c r="B129">
        <v>127</v>
      </c>
      <c r="C129" t="str">
        <f t="shared" si="3"/>
        <v>Dancing</v>
      </c>
      <c r="J129">
        <f t="shared" si="4"/>
        <v>3</v>
      </c>
      <c r="K129">
        <v>70</v>
      </c>
      <c r="L129" t="s">
        <v>382</v>
      </c>
      <c r="M129">
        <v>127</v>
      </c>
      <c r="N129" t="s">
        <v>533</v>
      </c>
      <c r="V129" s="34">
        <v>86</v>
      </c>
      <c r="W129" t="s">
        <v>382</v>
      </c>
      <c r="X129">
        <v>127</v>
      </c>
      <c r="Y129" t="s">
        <v>533</v>
      </c>
    </row>
    <row r="130" spans="2:25" x14ac:dyDescent="0.35">
      <c r="B130">
        <v>128</v>
      </c>
      <c r="C130" t="str">
        <f t="shared" si="3"/>
        <v>Newspapers</v>
      </c>
      <c r="J130">
        <f t="shared" si="4"/>
        <v>4</v>
      </c>
      <c r="K130">
        <v>47</v>
      </c>
      <c r="L130" t="s">
        <v>767</v>
      </c>
      <c r="M130">
        <v>128</v>
      </c>
      <c r="N130" t="s">
        <v>534</v>
      </c>
      <c r="V130" s="34">
        <v>79</v>
      </c>
      <c r="W130" t="s">
        <v>375</v>
      </c>
      <c r="X130">
        <v>128</v>
      </c>
      <c r="Y130" t="s">
        <v>534</v>
      </c>
    </row>
    <row r="131" spans="2:25" x14ac:dyDescent="0.35">
      <c r="B131">
        <v>129</v>
      </c>
      <c r="C131" t="str">
        <f t="shared" si="3"/>
        <v>Stationary (paper, staples, pen, pencil,</v>
      </c>
      <c r="J131">
        <f t="shared" si="4"/>
        <v>5</v>
      </c>
      <c r="K131">
        <v>47</v>
      </c>
      <c r="L131" t="s">
        <v>767</v>
      </c>
      <c r="M131">
        <v>129</v>
      </c>
      <c r="N131" t="s">
        <v>535</v>
      </c>
      <c r="V131" s="34">
        <v>79</v>
      </c>
      <c r="W131" t="s">
        <v>375</v>
      </c>
      <c r="X131">
        <v>129</v>
      </c>
      <c r="Y131" t="s">
        <v>535</v>
      </c>
    </row>
    <row r="132" spans="2:25" x14ac:dyDescent="0.35">
      <c r="B132">
        <v>130</v>
      </c>
      <c r="C132" t="str">
        <f t="shared" si="3"/>
        <v>Laundry soap</v>
      </c>
      <c r="J132">
        <f t="shared" si="4"/>
        <v>6</v>
      </c>
      <c r="K132">
        <v>50</v>
      </c>
      <c r="L132" t="s">
        <v>371</v>
      </c>
      <c r="M132">
        <v>130</v>
      </c>
      <c r="N132" t="s">
        <v>536</v>
      </c>
      <c r="V132" s="34">
        <v>65</v>
      </c>
      <c r="W132" t="s">
        <v>371</v>
      </c>
      <c r="X132">
        <v>130</v>
      </c>
      <c r="Y132" t="s">
        <v>536</v>
      </c>
    </row>
    <row r="133" spans="2:25" x14ac:dyDescent="0.35">
      <c r="B133">
        <v>131</v>
      </c>
      <c r="C133" t="str">
        <f t="shared" si="3"/>
        <v>Bath soap</v>
      </c>
      <c r="J133">
        <f t="shared" si="4"/>
        <v>7</v>
      </c>
      <c r="K133">
        <v>50</v>
      </c>
      <c r="L133" t="s">
        <v>371</v>
      </c>
      <c r="M133">
        <v>131</v>
      </c>
      <c r="N133" t="s">
        <v>537</v>
      </c>
      <c r="V133" s="34">
        <v>65</v>
      </c>
      <c r="W133" t="s">
        <v>371</v>
      </c>
      <c r="X133">
        <v>131</v>
      </c>
      <c r="Y133" t="s">
        <v>537</v>
      </c>
    </row>
    <row r="134" spans="2:25" x14ac:dyDescent="0.35">
      <c r="B134">
        <v>132</v>
      </c>
      <c r="C134" t="str">
        <f t="shared" si="3"/>
        <v>Other soaps and Detergents</v>
      </c>
      <c r="J134">
        <f t="shared" si="4"/>
        <v>8</v>
      </c>
      <c r="K134">
        <v>50</v>
      </c>
      <c r="L134" t="s">
        <v>371</v>
      </c>
      <c r="M134">
        <v>132</v>
      </c>
      <c r="N134" t="s">
        <v>538</v>
      </c>
      <c r="V134" s="34">
        <v>65</v>
      </c>
      <c r="W134" t="s">
        <v>371</v>
      </c>
      <c r="X134">
        <v>132</v>
      </c>
      <c r="Y134" t="s">
        <v>538</v>
      </c>
    </row>
    <row r="135" spans="2:25" x14ac:dyDescent="0.35">
      <c r="B135">
        <v>133</v>
      </c>
      <c r="C135" t="str">
        <f t="shared" si="3"/>
        <v>Insecticides</v>
      </c>
      <c r="J135">
        <f t="shared" si="4"/>
        <v>9</v>
      </c>
      <c r="K135">
        <v>50</v>
      </c>
      <c r="L135" t="s">
        <v>371</v>
      </c>
      <c r="M135">
        <v>133</v>
      </c>
      <c r="N135" t="s">
        <v>539</v>
      </c>
      <c r="V135" s="34">
        <v>64</v>
      </c>
      <c r="W135" t="s">
        <v>768</v>
      </c>
      <c r="X135">
        <v>133</v>
      </c>
      <c r="Y135" t="s">
        <v>539</v>
      </c>
    </row>
    <row r="136" spans="2:25" x14ac:dyDescent="0.35">
      <c r="B136">
        <v>134</v>
      </c>
      <c r="C136" t="str">
        <f t="shared" si="3"/>
        <v>Toilet paper</v>
      </c>
      <c r="J136">
        <f t="shared" si="4"/>
        <v>10</v>
      </c>
      <c r="K136">
        <v>47</v>
      </c>
      <c r="L136" t="s">
        <v>767</v>
      </c>
      <c r="M136">
        <v>134</v>
      </c>
      <c r="N136" t="s">
        <v>540</v>
      </c>
      <c r="V136" s="34">
        <v>62</v>
      </c>
      <c r="W136" t="s">
        <v>767</v>
      </c>
      <c r="X136">
        <v>134</v>
      </c>
      <c r="Y136" t="s">
        <v>540</v>
      </c>
    </row>
    <row r="137" spans="2:25" x14ac:dyDescent="0.35">
      <c r="B137">
        <v>135</v>
      </c>
      <c r="C137" t="str">
        <f t="shared" si="3"/>
        <v>Petrol (Fuel)</v>
      </c>
      <c r="J137">
        <f t="shared" si="4"/>
        <v>11</v>
      </c>
      <c r="K137">
        <v>48</v>
      </c>
      <c r="L137" t="s">
        <v>379</v>
      </c>
      <c r="M137">
        <v>135</v>
      </c>
      <c r="N137" t="s">
        <v>541</v>
      </c>
      <c r="V137" s="34">
        <v>63</v>
      </c>
      <c r="W137" t="s">
        <v>379</v>
      </c>
      <c r="X137">
        <v>135</v>
      </c>
      <c r="Y137" t="s">
        <v>541</v>
      </c>
    </row>
    <row r="138" spans="2:25" x14ac:dyDescent="0.35">
      <c r="B138">
        <v>136</v>
      </c>
      <c r="C138" t="str">
        <f t="shared" si="3"/>
        <v>Diesel (Fuel)</v>
      </c>
      <c r="J138">
        <f t="shared" si="4"/>
        <v>12</v>
      </c>
      <c r="K138">
        <v>48</v>
      </c>
      <c r="L138" t="s">
        <v>379</v>
      </c>
      <c r="M138">
        <v>136</v>
      </c>
      <c r="N138" t="s">
        <v>542</v>
      </c>
      <c r="V138" s="34">
        <v>63</v>
      </c>
      <c r="W138" t="s">
        <v>379</v>
      </c>
      <c r="X138">
        <v>136</v>
      </c>
      <c r="Y138" t="s">
        <v>542</v>
      </c>
    </row>
    <row r="139" spans="2:25" x14ac:dyDescent="0.35">
      <c r="B139">
        <v>137</v>
      </c>
      <c r="C139" t="str">
        <f t="shared" si="3"/>
        <v>Vehicles Lubricants</v>
      </c>
      <c r="J139">
        <f t="shared" si="4"/>
        <v>13</v>
      </c>
      <c r="K139">
        <v>48</v>
      </c>
      <c r="L139" t="s">
        <v>379</v>
      </c>
      <c r="M139">
        <v>137</v>
      </c>
      <c r="N139" t="s">
        <v>543</v>
      </c>
      <c r="V139" s="34">
        <v>63</v>
      </c>
      <c r="W139" t="s">
        <v>379</v>
      </c>
      <c r="X139">
        <v>137</v>
      </c>
      <c r="Y139" t="s">
        <v>543</v>
      </c>
    </row>
    <row r="140" spans="2:25" x14ac:dyDescent="0.35">
      <c r="B140">
        <v>138</v>
      </c>
      <c r="C140" t="str">
        <f t="shared" si="3"/>
        <v>Parking</v>
      </c>
      <c r="J140">
        <f t="shared" si="4"/>
        <v>14</v>
      </c>
      <c r="K140">
        <v>61</v>
      </c>
      <c r="L140" t="s">
        <v>376</v>
      </c>
      <c r="M140">
        <v>138</v>
      </c>
      <c r="N140" t="s">
        <v>544</v>
      </c>
      <c r="V140" s="34">
        <v>76</v>
      </c>
      <c r="W140" t="s">
        <v>376</v>
      </c>
      <c r="X140">
        <v>138</v>
      </c>
      <c r="Y140" t="s">
        <v>544</v>
      </c>
    </row>
    <row r="141" spans="2:25" x14ac:dyDescent="0.35">
      <c r="B141">
        <v>139</v>
      </c>
      <c r="C141" t="str">
        <f t="shared" si="3"/>
        <v>Taxi fees (Voiture)</v>
      </c>
      <c r="J141">
        <f t="shared" si="4"/>
        <v>15</v>
      </c>
      <c r="K141">
        <v>61</v>
      </c>
      <c r="L141" t="s">
        <v>376</v>
      </c>
      <c r="M141">
        <v>139</v>
      </c>
      <c r="N141" t="s">
        <v>545</v>
      </c>
      <c r="V141" s="34">
        <v>76</v>
      </c>
      <c r="W141" t="s">
        <v>376</v>
      </c>
      <c r="X141">
        <v>139</v>
      </c>
      <c r="Y141" t="s">
        <v>545</v>
      </c>
    </row>
    <row r="142" spans="2:25" x14ac:dyDescent="0.35">
      <c r="B142">
        <v>140</v>
      </c>
      <c r="C142" t="str">
        <f t="shared" si="3"/>
        <v>Buses  including Coaster and minibus</v>
      </c>
      <c r="J142">
        <f t="shared" si="4"/>
        <v>16</v>
      </c>
      <c r="K142">
        <v>61</v>
      </c>
      <c r="L142" t="s">
        <v>376</v>
      </c>
      <c r="M142">
        <v>140</v>
      </c>
      <c r="N142" t="s">
        <v>546</v>
      </c>
      <c r="V142" s="34">
        <v>76</v>
      </c>
      <c r="W142" t="s">
        <v>376</v>
      </c>
      <c r="X142">
        <v>140</v>
      </c>
      <c r="Y142" t="s">
        <v>546</v>
      </c>
    </row>
    <row r="143" spans="2:25" x14ac:dyDescent="0.35">
      <c r="B143">
        <v>141</v>
      </c>
      <c r="C143" t="str">
        <f t="shared" si="3"/>
        <v>Motorcycle/Bicycle</v>
      </c>
      <c r="J143">
        <f t="shared" si="4"/>
        <v>17</v>
      </c>
      <c r="K143">
        <v>55</v>
      </c>
      <c r="L143" t="s">
        <v>771</v>
      </c>
      <c r="M143">
        <v>141</v>
      </c>
      <c r="N143" t="s">
        <v>547</v>
      </c>
      <c r="V143" s="34">
        <v>70</v>
      </c>
      <c r="W143" t="s">
        <v>771</v>
      </c>
      <c r="X143">
        <v>141</v>
      </c>
      <c r="Y143" t="s">
        <v>547</v>
      </c>
    </row>
    <row r="144" spans="2:25" x14ac:dyDescent="0.35">
      <c r="B144">
        <v>142</v>
      </c>
      <c r="C144" t="str">
        <f t="shared" si="3"/>
        <v>Other transport, e,g Boats etc</v>
      </c>
      <c r="J144">
        <f t="shared" si="4"/>
        <v>18</v>
      </c>
      <c r="K144">
        <v>61</v>
      </c>
      <c r="L144" t="s">
        <v>376</v>
      </c>
      <c r="M144">
        <v>142</v>
      </c>
      <c r="N144" t="s">
        <v>548</v>
      </c>
      <c r="V144" s="34">
        <v>70</v>
      </c>
      <c r="W144" t="s">
        <v>771</v>
      </c>
      <c r="X144">
        <v>142</v>
      </c>
      <c r="Y144" t="s">
        <v>548</v>
      </c>
    </row>
    <row r="145" spans="2:25" x14ac:dyDescent="0.35">
      <c r="B145">
        <v>143</v>
      </c>
      <c r="C145" t="str">
        <f t="shared" si="3"/>
        <v>Gas (propane)</v>
      </c>
      <c r="J145">
        <f t="shared" si="4"/>
        <v>19</v>
      </c>
      <c r="K145">
        <v>48</v>
      </c>
      <c r="L145" t="s">
        <v>379</v>
      </c>
      <c r="M145">
        <v>143</v>
      </c>
      <c r="N145" t="s">
        <v>549</v>
      </c>
      <c r="V145" s="34">
        <v>63</v>
      </c>
      <c r="W145" t="s">
        <v>379</v>
      </c>
      <c r="X145">
        <v>143</v>
      </c>
      <c r="Y145" t="s">
        <v>549</v>
      </c>
    </row>
    <row r="146" spans="2:25" x14ac:dyDescent="0.35">
      <c r="B146">
        <v>144</v>
      </c>
      <c r="C146" t="str">
        <f t="shared" si="3"/>
        <v>Kerosene</v>
      </c>
      <c r="J146">
        <f t="shared" si="4"/>
        <v>20</v>
      </c>
      <c r="K146">
        <v>48</v>
      </c>
      <c r="L146" t="s">
        <v>379</v>
      </c>
      <c r="M146">
        <v>144</v>
      </c>
      <c r="N146" t="s">
        <v>550</v>
      </c>
      <c r="V146" s="34">
        <v>63</v>
      </c>
      <c r="W146" t="s">
        <v>379</v>
      </c>
      <c r="X146">
        <v>144</v>
      </c>
      <c r="Y146" t="s">
        <v>550</v>
      </c>
    </row>
    <row r="147" spans="2:25" x14ac:dyDescent="0.35">
      <c r="B147">
        <v>145</v>
      </c>
      <c r="C147" t="str">
        <f t="shared" si="3"/>
        <v>Charcoal (cooking)</v>
      </c>
      <c r="J147">
        <f t="shared" si="4"/>
        <v>21</v>
      </c>
      <c r="K147">
        <v>26</v>
      </c>
      <c r="L147" t="s">
        <v>372</v>
      </c>
      <c r="M147">
        <v>145</v>
      </c>
      <c r="N147" t="s">
        <v>551</v>
      </c>
      <c r="V147" s="34">
        <v>33</v>
      </c>
      <c r="W147" t="s">
        <v>372</v>
      </c>
      <c r="X147">
        <v>145</v>
      </c>
      <c r="Y147" t="s">
        <v>551</v>
      </c>
    </row>
    <row r="148" spans="2:25" x14ac:dyDescent="0.35">
      <c r="B148">
        <v>146</v>
      </c>
      <c r="C148" t="str">
        <f t="shared" si="3"/>
        <v>Wood (cooking)</v>
      </c>
      <c r="J148">
        <f t="shared" si="4"/>
        <v>22</v>
      </c>
      <c r="K148">
        <v>26</v>
      </c>
      <c r="L148" t="s">
        <v>372</v>
      </c>
      <c r="M148">
        <v>146</v>
      </c>
      <c r="N148" t="s">
        <v>552</v>
      </c>
      <c r="V148" s="34">
        <v>33</v>
      </c>
      <c r="W148" t="s">
        <v>372</v>
      </c>
      <c r="X148">
        <v>146</v>
      </c>
      <c r="Y148" t="s">
        <v>552</v>
      </c>
    </row>
    <row r="149" spans="2:25" x14ac:dyDescent="0.35">
      <c r="B149">
        <v>147</v>
      </c>
      <c r="C149" t="str">
        <f t="shared" si="3"/>
        <v>Batteries</v>
      </c>
      <c r="J149">
        <f t="shared" si="4"/>
        <v>23</v>
      </c>
      <c r="K149">
        <v>50</v>
      </c>
      <c r="L149" t="s">
        <v>371</v>
      </c>
      <c r="M149">
        <v>147</v>
      </c>
      <c r="N149" t="s">
        <v>553</v>
      </c>
      <c r="V149" s="34">
        <v>65</v>
      </c>
      <c r="W149" t="s">
        <v>371</v>
      </c>
      <c r="X149">
        <v>147</v>
      </c>
      <c r="Y149" t="s">
        <v>553</v>
      </c>
    </row>
    <row r="150" spans="2:25" x14ac:dyDescent="0.35">
      <c r="B150">
        <v>148</v>
      </c>
      <c r="C150" t="str">
        <f t="shared" si="3"/>
        <v>Light bulbs</v>
      </c>
      <c r="J150">
        <f t="shared" si="4"/>
        <v>24</v>
      </c>
      <c r="K150">
        <v>50</v>
      </c>
      <c r="L150" t="s">
        <v>371</v>
      </c>
      <c r="M150">
        <v>148</v>
      </c>
      <c r="N150" t="s">
        <v>554</v>
      </c>
      <c r="V150" s="34">
        <v>65</v>
      </c>
      <c r="W150" t="s">
        <v>371</v>
      </c>
      <c r="X150">
        <v>148</v>
      </c>
      <c r="Y150" t="s">
        <v>554</v>
      </c>
    </row>
    <row r="151" spans="2:25" x14ac:dyDescent="0.35">
      <c r="B151">
        <v>149</v>
      </c>
      <c r="C151" t="str">
        <f t="shared" si="3"/>
        <v>Candle</v>
      </c>
      <c r="J151">
        <f t="shared" si="4"/>
        <v>25</v>
      </c>
      <c r="K151">
        <v>50</v>
      </c>
      <c r="L151" t="s">
        <v>371</v>
      </c>
      <c r="M151">
        <v>149</v>
      </c>
      <c r="N151" t="s">
        <v>555</v>
      </c>
      <c r="V151" s="34">
        <v>65</v>
      </c>
      <c r="W151" t="s">
        <v>371</v>
      </c>
      <c r="X151">
        <v>149</v>
      </c>
      <c r="Y151" t="s">
        <v>555</v>
      </c>
    </row>
    <row r="152" spans="2:25" x14ac:dyDescent="0.35">
      <c r="B152">
        <v>150</v>
      </c>
      <c r="C152" t="str">
        <f t="shared" si="3"/>
        <v>Matches/lighter</v>
      </c>
      <c r="J152">
        <f t="shared" si="4"/>
        <v>26</v>
      </c>
      <c r="K152">
        <v>50</v>
      </c>
      <c r="L152" t="s">
        <v>371</v>
      </c>
      <c r="M152">
        <v>150</v>
      </c>
      <c r="N152" t="s">
        <v>556</v>
      </c>
      <c r="V152" s="34">
        <v>65</v>
      </c>
      <c r="W152" t="s">
        <v>371</v>
      </c>
      <c r="X152">
        <v>150</v>
      </c>
      <c r="Y152" t="s">
        <v>556</v>
      </c>
    </row>
    <row r="153" spans="2:25" x14ac:dyDescent="0.35">
      <c r="B153">
        <v>151</v>
      </c>
      <c r="C153" t="str">
        <f t="shared" si="3"/>
        <v>Fuel for generator</v>
      </c>
      <c r="J153">
        <f t="shared" si="4"/>
        <v>27</v>
      </c>
      <c r="K153">
        <v>48</v>
      </c>
      <c r="L153" t="s">
        <v>379</v>
      </c>
      <c r="M153">
        <v>151</v>
      </c>
      <c r="N153" t="s">
        <v>557</v>
      </c>
      <c r="V153" s="34">
        <v>63</v>
      </c>
      <c r="W153" t="s">
        <v>379</v>
      </c>
      <c r="X153">
        <v>151</v>
      </c>
      <c r="Y153" t="s">
        <v>557</v>
      </c>
    </row>
    <row r="154" spans="2:25" x14ac:dyDescent="0.35">
      <c r="B154">
        <v>152</v>
      </c>
      <c r="C154" t="str">
        <f t="shared" si="3"/>
        <v>Clothing repair</v>
      </c>
      <c r="J154">
        <f t="shared" si="4"/>
        <v>28</v>
      </c>
      <c r="K154">
        <v>60</v>
      </c>
      <c r="L154" t="s">
        <v>352</v>
      </c>
      <c r="M154">
        <v>152</v>
      </c>
      <c r="N154" t="s">
        <v>558</v>
      </c>
      <c r="V154" s="34">
        <v>71</v>
      </c>
      <c r="W154" t="s">
        <v>351</v>
      </c>
      <c r="X154">
        <v>152</v>
      </c>
      <c r="Y154" t="s">
        <v>558</v>
      </c>
    </row>
    <row r="155" spans="2:25" x14ac:dyDescent="0.35">
      <c r="B155">
        <v>153</v>
      </c>
      <c r="C155" t="str">
        <f t="shared" si="3"/>
        <v>Shoes repair</v>
      </c>
      <c r="J155">
        <f t="shared" si="4"/>
        <v>29</v>
      </c>
      <c r="K155">
        <v>60</v>
      </c>
      <c r="L155" t="s">
        <v>352</v>
      </c>
      <c r="M155">
        <v>153</v>
      </c>
      <c r="N155" t="s">
        <v>559</v>
      </c>
      <c r="V155" s="34">
        <v>71</v>
      </c>
      <c r="W155" t="s">
        <v>351</v>
      </c>
      <c r="X155">
        <v>153</v>
      </c>
      <c r="Y155" t="s">
        <v>559</v>
      </c>
    </row>
    <row r="156" spans="2:25" x14ac:dyDescent="0.35">
      <c r="B156">
        <v>154</v>
      </c>
      <c r="C156" t="str">
        <f t="shared" si="3"/>
        <v>Other household repairs, furniture, beds, kitchen</v>
      </c>
      <c r="J156">
        <f t="shared" si="4"/>
        <v>30</v>
      </c>
      <c r="K156">
        <v>60</v>
      </c>
      <c r="L156" t="s">
        <v>352</v>
      </c>
      <c r="M156">
        <v>154</v>
      </c>
      <c r="N156" t="s">
        <v>754</v>
      </c>
      <c r="V156" s="34">
        <v>71</v>
      </c>
      <c r="W156" t="s">
        <v>351</v>
      </c>
      <c r="X156">
        <v>154</v>
      </c>
      <c r="Y156" t="s">
        <v>754</v>
      </c>
    </row>
    <row r="157" spans="2:25" x14ac:dyDescent="0.35">
      <c r="B157">
        <v>155</v>
      </c>
      <c r="C157" t="str">
        <f t="shared" si="3"/>
        <v>Mobile phone battery recharging</v>
      </c>
      <c r="J157">
        <f t="shared" si="4"/>
        <v>31</v>
      </c>
      <c r="K157">
        <v>70</v>
      </c>
      <c r="L157" t="s">
        <v>382</v>
      </c>
      <c r="M157">
        <v>155</v>
      </c>
      <c r="N157" t="s">
        <v>560</v>
      </c>
      <c r="V157" s="34">
        <v>79</v>
      </c>
      <c r="W157" t="s">
        <v>375</v>
      </c>
      <c r="X157">
        <v>155</v>
      </c>
      <c r="Y157" t="s">
        <v>560</v>
      </c>
    </row>
    <row r="158" spans="2:25" x14ac:dyDescent="0.35">
      <c r="B158">
        <v>156</v>
      </c>
      <c r="C158" t="str">
        <f t="shared" si="3"/>
        <v>Airtime (cell phone) cards/Me 2 you</v>
      </c>
      <c r="J158">
        <f t="shared" si="4"/>
        <v>32</v>
      </c>
      <c r="K158">
        <v>70</v>
      </c>
      <c r="L158" t="s">
        <v>382</v>
      </c>
      <c r="M158">
        <v>156</v>
      </c>
      <c r="N158" t="s">
        <v>561</v>
      </c>
      <c r="V158" s="34">
        <v>79</v>
      </c>
      <c r="W158" t="s">
        <v>375</v>
      </c>
      <c r="X158">
        <v>156</v>
      </c>
      <c r="Y158" t="s">
        <v>561</v>
      </c>
    </row>
    <row r="159" spans="2:25" x14ac:dyDescent="0.35">
      <c r="B159">
        <v>157</v>
      </c>
      <c r="C159" t="str">
        <f t="shared" si="3"/>
        <v>Public phone charges</v>
      </c>
      <c r="J159">
        <f t="shared" si="4"/>
        <v>33</v>
      </c>
      <c r="K159">
        <v>70</v>
      </c>
      <c r="L159" t="s">
        <v>382</v>
      </c>
      <c r="M159">
        <v>157</v>
      </c>
      <c r="N159" t="s">
        <v>562</v>
      </c>
      <c r="V159" s="34">
        <v>79</v>
      </c>
      <c r="W159" t="s">
        <v>375</v>
      </c>
      <c r="X159">
        <v>157</v>
      </c>
      <c r="Y159" t="s">
        <v>562</v>
      </c>
    </row>
    <row r="160" spans="2:25" x14ac:dyDescent="0.35">
      <c r="B160">
        <v>158</v>
      </c>
      <c r="C160" t="str">
        <f t="shared" si="3"/>
        <v>Internet cafe</v>
      </c>
      <c r="J160">
        <f t="shared" si="4"/>
        <v>34</v>
      </c>
      <c r="K160">
        <v>70</v>
      </c>
      <c r="L160" t="s">
        <v>382</v>
      </c>
      <c r="M160">
        <v>158</v>
      </c>
      <c r="N160" t="s">
        <v>563</v>
      </c>
      <c r="V160" s="34">
        <v>79</v>
      </c>
      <c r="W160" t="s">
        <v>375</v>
      </c>
      <c r="X160">
        <v>158</v>
      </c>
      <c r="Y160" t="s">
        <v>563</v>
      </c>
    </row>
    <row r="161" spans="2:39" x14ac:dyDescent="0.35">
      <c r="B161">
        <v>159</v>
      </c>
      <c r="C161" t="str">
        <f t="shared" ref="C161:C224" si="5">VLOOKUP(B161,$M$3:$N$333,2,0)</f>
        <v>Dried tobacco leaves</v>
      </c>
      <c r="J161">
        <f t="shared" si="4"/>
        <v>35</v>
      </c>
      <c r="K161">
        <v>13</v>
      </c>
      <c r="L161" t="s">
        <v>388</v>
      </c>
      <c r="M161">
        <v>159</v>
      </c>
      <c r="N161" t="s">
        <v>564</v>
      </c>
      <c r="V161" s="34">
        <v>16</v>
      </c>
      <c r="W161" t="s">
        <v>388</v>
      </c>
      <c r="X161">
        <v>159</v>
      </c>
      <c r="Y161" t="s">
        <v>564</v>
      </c>
    </row>
    <row r="162" spans="2:39" x14ac:dyDescent="0.35">
      <c r="B162">
        <v>160</v>
      </c>
      <c r="C162" t="str">
        <f t="shared" si="5"/>
        <v>Cigarettes</v>
      </c>
      <c r="J162">
        <f t="shared" si="4"/>
        <v>36</v>
      </c>
      <c r="K162">
        <v>42</v>
      </c>
      <c r="L162" t="s">
        <v>387</v>
      </c>
      <c r="M162">
        <v>160</v>
      </c>
      <c r="N162" t="s">
        <v>565</v>
      </c>
      <c r="V162" s="34">
        <v>56</v>
      </c>
      <c r="W162" t="s">
        <v>387</v>
      </c>
      <c r="X162">
        <v>160</v>
      </c>
      <c r="Y162" t="s">
        <v>565</v>
      </c>
    </row>
    <row r="163" spans="2:39" x14ac:dyDescent="0.35">
      <c r="B163">
        <v>161</v>
      </c>
      <c r="C163" t="str">
        <f t="shared" si="5"/>
        <v>Other non-food products</v>
      </c>
      <c r="J163" s="25">
        <f t="shared" si="4"/>
        <v>37</v>
      </c>
      <c r="K163" s="25">
        <v>200</v>
      </c>
      <c r="L163" s="25" t="s">
        <v>398</v>
      </c>
      <c r="M163" s="25">
        <v>161</v>
      </c>
      <c r="N163" s="25" t="s">
        <v>566</v>
      </c>
      <c r="V163" s="34">
        <v>200</v>
      </c>
      <c r="W163" t="s">
        <v>398</v>
      </c>
      <c r="X163">
        <v>161</v>
      </c>
      <c r="Y163" t="s">
        <v>566</v>
      </c>
      <c r="AD163" t="s">
        <v>384</v>
      </c>
      <c r="AE163" t="s">
        <v>1148</v>
      </c>
      <c r="AF163" t="s">
        <v>746</v>
      </c>
      <c r="AG163" t="s">
        <v>385</v>
      </c>
      <c r="AJ163" t="s">
        <v>384</v>
      </c>
      <c r="AK163" t="s">
        <v>385</v>
      </c>
      <c r="AL163" t="s">
        <v>1148</v>
      </c>
      <c r="AM163" t="s">
        <v>746</v>
      </c>
    </row>
    <row r="164" spans="2:39" x14ac:dyDescent="0.35">
      <c r="B164">
        <v>162</v>
      </c>
      <c r="C164" t="str">
        <f t="shared" si="5"/>
        <v>Local rice</v>
      </c>
      <c r="J164">
        <v>1</v>
      </c>
      <c r="K164">
        <v>3</v>
      </c>
      <c r="L164" t="s">
        <v>334</v>
      </c>
      <c r="M164">
        <v>162</v>
      </c>
      <c r="N164" t="s">
        <v>567</v>
      </c>
      <c r="U164">
        <v>1</v>
      </c>
      <c r="V164" s="34">
        <v>3</v>
      </c>
      <c r="W164" t="s">
        <v>334</v>
      </c>
      <c r="X164">
        <v>162</v>
      </c>
      <c r="Y164" t="s">
        <v>567</v>
      </c>
      <c r="AD164">
        <f t="shared" ref="AD164:AD227" si="6">X164</f>
        <v>162</v>
      </c>
      <c r="AE164">
        <v>1</v>
      </c>
      <c r="AF164">
        <v>1</v>
      </c>
      <c r="AG164" s="34" t="s">
        <v>567</v>
      </c>
      <c r="AJ164">
        <v>162</v>
      </c>
      <c r="AK164" t="s">
        <v>567</v>
      </c>
      <c r="AL164">
        <v>1</v>
      </c>
      <c r="AM164">
        <v>1</v>
      </c>
    </row>
    <row r="165" spans="2:39" x14ac:dyDescent="0.35">
      <c r="B165">
        <v>163</v>
      </c>
      <c r="C165" t="str">
        <f t="shared" si="5"/>
        <v>Imported rice</v>
      </c>
      <c r="J165">
        <f t="shared" ref="J165:J228" si="7">J164+1</f>
        <v>2</v>
      </c>
      <c r="K165">
        <v>3</v>
      </c>
      <c r="L165" t="s">
        <v>334</v>
      </c>
      <c r="M165">
        <v>163</v>
      </c>
      <c r="N165" t="s">
        <v>568</v>
      </c>
      <c r="U165">
        <v>2</v>
      </c>
      <c r="V165" s="34">
        <v>47</v>
      </c>
      <c r="W165" t="s">
        <v>2229</v>
      </c>
      <c r="X165">
        <v>163</v>
      </c>
      <c r="Y165" t="s">
        <v>568</v>
      </c>
      <c r="AD165">
        <f t="shared" si="6"/>
        <v>163</v>
      </c>
      <c r="AE165">
        <v>2</v>
      </c>
      <c r="AG165" s="34" t="s">
        <v>568</v>
      </c>
      <c r="AJ165">
        <v>163</v>
      </c>
      <c r="AK165" t="s">
        <v>568</v>
      </c>
      <c r="AL165">
        <v>2</v>
      </c>
    </row>
    <row r="166" spans="2:39" x14ac:dyDescent="0.35">
      <c r="B166">
        <v>164</v>
      </c>
      <c r="C166" t="str">
        <f t="shared" si="5"/>
        <v>Maize (fresh)</v>
      </c>
      <c r="J166">
        <f t="shared" si="7"/>
        <v>3</v>
      </c>
      <c r="K166">
        <v>1</v>
      </c>
      <c r="L166" t="s">
        <v>335</v>
      </c>
      <c r="M166">
        <v>164</v>
      </c>
      <c r="N166" t="s">
        <v>569</v>
      </c>
      <c r="U166">
        <v>3</v>
      </c>
      <c r="V166" s="34">
        <v>1</v>
      </c>
      <c r="W166" t="s">
        <v>335</v>
      </c>
      <c r="X166">
        <v>164</v>
      </c>
      <c r="Y166" t="s">
        <v>569</v>
      </c>
      <c r="AD166">
        <f t="shared" si="6"/>
        <v>164</v>
      </c>
      <c r="AE166">
        <v>3</v>
      </c>
      <c r="AF166">
        <v>2</v>
      </c>
      <c r="AG166" s="34" t="s">
        <v>2670</v>
      </c>
      <c r="AJ166">
        <v>164</v>
      </c>
      <c r="AK166" t="s">
        <v>569</v>
      </c>
      <c r="AL166">
        <v>3</v>
      </c>
      <c r="AM166">
        <v>2</v>
      </c>
    </row>
    <row r="167" spans="2:39" x14ac:dyDescent="0.35">
      <c r="B167">
        <v>165</v>
      </c>
      <c r="C167" t="str">
        <f t="shared" si="5"/>
        <v>Dry maize (grain)</v>
      </c>
      <c r="J167">
        <f t="shared" si="7"/>
        <v>4</v>
      </c>
      <c r="K167">
        <v>1</v>
      </c>
      <c r="L167" t="s">
        <v>335</v>
      </c>
      <c r="M167">
        <v>165</v>
      </c>
      <c r="N167" t="s">
        <v>570</v>
      </c>
      <c r="U167">
        <v>4</v>
      </c>
      <c r="V167" s="34">
        <v>1</v>
      </c>
      <c r="W167" t="s">
        <v>335</v>
      </c>
      <c r="X167">
        <v>165</v>
      </c>
      <c r="Y167" t="s">
        <v>570</v>
      </c>
      <c r="AD167">
        <f t="shared" si="6"/>
        <v>165</v>
      </c>
      <c r="AE167">
        <v>4</v>
      </c>
      <c r="AF167">
        <v>3</v>
      </c>
      <c r="AG167" s="34" t="s">
        <v>2671</v>
      </c>
      <c r="AJ167">
        <v>165</v>
      </c>
      <c r="AK167" t="s">
        <v>570</v>
      </c>
      <c r="AL167">
        <v>4</v>
      </c>
      <c r="AM167">
        <v>3</v>
      </c>
    </row>
    <row r="168" spans="2:39" x14ac:dyDescent="0.35">
      <c r="B168">
        <v>166</v>
      </c>
      <c r="C168" t="str">
        <f t="shared" si="5"/>
        <v>Sorghum</v>
      </c>
      <c r="J168">
        <f t="shared" si="7"/>
        <v>5</v>
      </c>
      <c r="K168">
        <v>2</v>
      </c>
      <c r="L168" t="s">
        <v>337</v>
      </c>
      <c r="M168">
        <v>166</v>
      </c>
      <c r="N168" t="s">
        <v>571</v>
      </c>
      <c r="U168">
        <v>5</v>
      </c>
      <c r="V168" s="34">
        <v>2</v>
      </c>
      <c r="W168" t="s">
        <v>337</v>
      </c>
      <c r="X168">
        <v>166</v>
      </c>
      <c r="Y168" t="s">
        <v>571</v>
      </c>
      <c r="AD168">
        <f t="shared" si="6"/>
        <v>166</v>
      </c>
      <c r="AE168">
        <v>5</v>
      </c>
      <c r="AF168">
        <v>4</v>
      </c>
      <c r="AG168" s="34" t="s">
        <v>571</v>
      </c>
      <c r="AJ168">
        <v>166</v>
      </c>
      <c r="AK168" t="s">
        <v>571</v>
      </c>
      <c r="AL168">
        <v>5</v>
      </c>
      <c r="AM168">
        <v>4</v>
      </c>
    </row>
    <row r="169" spans="2:39" x14ac:dyDescent="0.35">
      <c r="B169">
        <v>167</v>
      </c>
      <c r="C169" t="str">
        <f t="shared" si="5"/>
        <v>Fermented sorghum</v>
      </c>
      <c r="J169">
        <f t="shared" si="7"/>
        <v>6</v>
      </c>
      <c r="K169">
        <v>2</v>
      </c>
      <c r="L169" t="s">
        <v>337</v>
      </c>
      <c r="M169">
        <v>167</v>
      </c>
      <c r="N169" t="s">
        <v>572</v>
      </c>
      <c r="U169">
        <v>6</v>
      </c>
      <c r="V169" s="34">
        <v>2</v>
      </c>
      <c r="W169" t="s">
        <v>337</v>
      </c>
      <c r="X169">
        <v>167</v>
      </c>
      <c r="Y169" t="s">
        <v>572</v>
      </c>
      <c r="AD169">
        <f t="shared" si="6"/>
        <v>167</v>
      </c>
      <c r="AE169">
        <v>6</v>
      </c>
      <c r="AG169" s="34" t="s">
        <v>572</v>
      </c>
      <c r="AJ169">
        <v>167</v>
      </c>
      <c r="AK169" t="s">
        <v>572</v>
      </c>
      <c r="AL169">
        <v>6</v>
      </c>
    </row>
    <row r="170" spans="2:39" x14ac:dyDescent="0.35">
      <c r="B170">
        <v>168</v>
      </c>
      <c r="C170" t="str">
        <f t="shared" si="5"/>
        <v>Wheat (grain)</v>
      </c>
      <c r="J170">
        <f t="shared" si="7"/>
        <v>7</v>
      </c>
      <c r="K170">
        <v>4</v>
      </c>
      <c r="L170" t="s">
        <v>755</v>
      </c>
      <c r="M170">
        <v>168</v>
      </c>
      <c r="N170" t="s">
        <v>573</v>
      </c>
      <c r="U170">
        <v>7</v>
      </c>
      <c r="V170" s="34">
        <v>4</v>
      </c>
      <c r="W170" t="s">
        <v>755</v>
      </c>
      <c r="X170">
        <v>168</v>
      </c>
      <c r="Y170" t="s">
        <v>573</v>
      </c>
      <c r="AD170">
        <f t="shared" si="6"/>
        <v>168</v>
      </c>
      <c r="AE170">
        <v>7</v>
      </c>
      <c r="AF170">
        <v>5</v>
      </c>
      <c r="AG170" s="34" t="s">
        <v>2672</v>
      </c>
      <c r="AJ170">
        <v>168</v>
      </c>
      <c r="AK170" t="s">
        <v>573</v>
      </c>
      <c r="AL170">
        <v>7</v>
      </c>
      <c r="AM170">
        <v>5</v>
      </c>
    </row>
    <row r="171" spans="2:39" x14ac:dyDescent="0.35">
      <c r="B171">
        <v>169</v>
      </c>
      <c r="C171" t="str">
        <f t="shared" si="5"/>
        <v>Other cereals</v>
      </c>
      <c r="J171">
        <f t="shared" si="7"/>
        <v>8</v>
      </c>
      <c r="K171">
        <v>5</v>
      </c>
      <c r="L171" t="s">
        <v>354</v>
      </c>
      <c r="M171">
        <v>169</v>
      </c>
      <c r="N171" t="s">
        <v>574</v>
      </c>
      <c r="U171">
        <v>8</v>
      </c>
      <c r="V171" s="34">
        <v>5</v>
      </c>
      <c r="W171" t="s">
        <v>354</v>
      </c>
      <c r="X171">
        <v>169</v>
      </c>
      <c r="Y171" t="s">
        <v>574</v>
      </c>
      <c r="AD171">
        <f t="shared" si="6"/>
        <v>169</v>
      </c>
      <c r="AE171">
        <v>8</v>
      </c>
      <c r="AF171">
        <v>6</v>
      </c>
      <c r="AG171" s="34" t="s">
        <v>574</v>
      </c>
      <c r="AJ171">
        <v>169</v>
      </c>
      <c r="AK171" t="s">
        <v>574</v>
      </c>
      <c r="AL171">
        <v>8</v>
      </c>
      <c r="AM171">
        <v>6</v>
      </c>
    </row>
    <row r="172" spans="2:39" x14ac:dyDescent="0.35">
      <c r="B172">
        <v>170</v>
      </c>
      <c r="C172" t="str">
        <f t="shared" si="5"/>
        <v>Corn (flour)</v>
      </c>
      <c r="J172">
        <f t="shared" si="7"/>
        <v>9</v>
      </c>
      <c r="K172">
        <v>1</v>
      </c>
      <c r="L172" t="s">
        <v>335</v>
      </c>
      <c r="M172">
        <v>170</v>
      </c>
      <c r="N172" t="s">
        <v>575</v>
      </c>
      <c r="U172">
        <v>9</v>
      </c>
      <c r="V172" s="34">
        <v>45</v>
      </c>
      <c r="W172" t="s">
        <v>2227</v>
      </c>
      <c r="X172">
        <v>170</v>
      </c>
      <c r="Y172" t="s">
        <v>575</v>
      </c>
      <c r="AD172">
        <f t="shared" si="6"/>
        <v>170</v>
      </c>
      <c r="AE172">
        <v>9</v>
      </c>
      <c r="AF172">
        <v>7</v>
      </c>
      <c r="AG172" s="34" t="s">
        <v>2673</v>
      </c>
      <c r="AJ172">
        <v>170</v>
      </c>
      <c r="AK172" t="s">
        <v>575</v>
      </c>
      <c r="AL172">
        <v>9</v>
      </c>
      <c r="AM172">
        <v>7</v>
      </c>
    </row>
    <row r="173" spans="2:39" x14ac:dyDescent="0.35">
      <c r="B173">
        <v>171</v>
      </c>
      <c r="C173" t="str">
        <f t="shared" si="5"/>
        <v>Sorghum (flour)</v>
      </c>
      <c r="J173">
        <f t="shared" si="7"/>
        <v>10</v>
      </c>
      <c r="K173">
        <v>2</v>
      </c>
      <c r="L173" t="s">
        <v>337</v>
      </c>
      <c r="M173">
        <v>171</v>
      </c>
      <c r="N173" t="s">
        <v>576</v>
      </c>
      <c r="U173">
        <v>10</v>
      </c>
      <c r="V173" s="34">
        <v>46</v>
      </c>
      <c r="W173" t="s">
        <v>2227</v>
      </c>
      <c r="X173">
        <v>171</v>
      </c>
      <c r="Y173" s="34" t="s">
        <v>2674</v>
      </c>
      <c r="AD173">
        <f t="shared" si="6"/>
        <v>171</v>
      </c>
      <c r="AE173">
        <v>10</v>
      </c>
      <c r="AG173" s="34" t="s">
        <v>2675</v>
      </c>
      <c r="AJ173">
        <v>171</v>
      </c>
      <c r="AK173" t="s">
        <v>576</v>
      </c>
      <c r="AL173">
        <v>10</v>
      </c>
      <c r="AM173">
        <v>8</v>
      </c>
    </row>
    <row r="174" spans="2:39" x14ac:dyDescent="0.35">
      <c r="B174">
        <v>172</v>
      </c>
      <c r="C174" t="str">
        <f t="shared" si="5"/>
        <v>Wheat (flour)</v>
      </c>
      <c r="J174">
        <f t="shared" si="7"/>
        <v>11</v>
      </c>
      <c r="K174">
        <v>4</v>
      </c>
      <c r="L174" t="s">
        <v>755</v>
      </c>
      <c r="M174">
        <v>172</v>
      </c>
      <c r="N174" t="s">
        <v>577</v>
      </c>
      <c r="U174">
        <v>11</v>
      </c>
      <c r="V174" s="34">
        <v>48</v>
      </c>
      <c r="W174" t="s">
        <v>2228</v>
      </c>
      <c r="X174">
        <v>172</v>
      </c>
      <c r="Y174" t="s">
        <v>576</v>
      </c>
      <c r="AD174">
        <f t="shared" si="6"/>
        <v>172</v>
      </c>
      <c r="AE174">
        <v>11</v>
      </c>
      <c r="AF174">
        <v>8</v>
      </c>
      <c r="AG174" s="34" t="s">
        <v>2676</v>
      </c>
      <c r="AJ174">
        <v>172</v>
      </c>
      <c r="AK174" t="s">
        <v>577</v>
      </c>
      <c r="AL174">
        <v>11</v>
      </c>
      <c r="AM174">
        <v>9</v>
      </c>
    </row>
    <row r="175" spans="2:39" x14ac:dyDescent="0.35">
      <c r="B175">
        <v>173</v>
      </c>
      <c r="C175" t="str">
        <f t="shared" si="5"/>
        <v>Millet (flour)</v>
      </c>
      <c r="J175">
        <f t="shared" si="7"/>
        <v>12</v>
      </c>
      <c r="K175">
        <v>5</v>
      </c>
      <c r="L175" t="s">
        <v>354</v>
      </c>
      <c r="M175">
        <v>173</v>
      </c>
      <c r="N175" t="s">
        <v>578</v>
      </c>
      <c r="U175">
        <v>12</v>
      </c>
      <c r="V175" s="34">
        <v>46</v>
      </c>
      <c r="W175" t="s">
        <v>2230</v>
      </c>
      <c r="X175">
        <v>173</v>
      </c>
      <c r="Y175" t="s">
        <v>577</v>
      </c>
      <c r="AD175">
        <f t="shared" si="6"/>
        <v>173</v>
      </c>
      <c r="AE175">
        <v>12</v>
      </c>
      <c r="AF175">
        <v>9</v>
      </c>
      <c r="AG175" s="34" t="s">
        <v>2677</v>
      </c>
      <c r="AJ175">
        <v>173</v>
      </c>
      <c r="AK175" t="s">
        <v>578</v>
      </c>
      <c r="AL175">
        <v>12</v>
      </c>
      <c r="AM175">
        <v>10</v>
      </c>
    </row>
    <row r="176" spans="2:39" x14ac:dyDescent="0.35">
      <c r="B176">
        <v>174</v>
      </c>
      <c r="C176" t="str">
        <f t="shared" si="5"/>
        <v>Other flour of cereals</v>
      </c>
      <c r="J176">
        <f t="shared" si="7"/>
        <v>13</v>
      </c>
      <c r="K176">
        <v>5</v>
      </c>
      <c r="L176" t="s">
        <v>354</v>
      </c>
      <c r="M176">
        <v>174</v>
      </c>
      <c r="N176" t="s">
        <v>579</v>
      </c>
      <c r="U176">
        <v>13</v>
      </c>
      <c r="V176" s="34">
        <v>49</v>
      </c>
      <c r="W176" t="s">
        <v>2228</v>
      </c>
      <c r="X176">
        <v>174</v>
      </c>
      <c r="Y176" t="s">
        <v>578</v>
      </c>
      <c r="AD176">
        <f t="shared" si="6"/>
        <v>174</v>
      </c>
      <c r="AE176">
        <v>13</v>
      </c>
      <c r="AF176">
        <v>10</v>
      </c>
      <c r="AG176" s="34" t="s">
        <v>2678</v>
      </c>
      <c r="AJ176">
        <v>174</v>
      </c>
      <c r="AK176" t="s">
        <v>579</v>
      </c>
      <c r="AL176">
        <v>13</v>
      </c>
      <c r="AM176">
        <v>11</v>
      </c>
    </row>
    <row r="177" spans="2:39" x14ac:dyDescent="0.35">
      <c r="B177">
        <v>175</v>
      </c>
      <c r="C177" t="str">
        <f t="shared" si="5"/>
        <v>Bread</v>
      </c>
      <c r="J177">
        <f t="shared" si="7"/>
        <v>14</v>
      </c>
      <c r="K177">
        <v>39.299999999999997</v>
      </c>
      <c r="L177" t="s">
        <v>336</v>
      </c>
      <c r="M177">
        <v>175</v>
      </c>
      <c r="N177" t="s">
        <v>580</v>
      </c>
      <c r="U177">
        <v>14</v>
      </c>
      <c r="V177" s="34">
        <v>53</v>
      </c>
      <c r="W177" t="s">
        <v>386</v>
      </c>
      <c r="X177">
        <v>175</v>
      </c>
      <c r="Y177" t="s">
        <v>579</v>
      </c>
      <c r="AD177">
        <f t="shared" si="6"/>
        <v>175</v>
      </c>
      <c r="AE177">
        <v>14</v>
      </c>
      <c r="AF177">
        <v>11</v>
      </c>
      <c r="AG177" s="34" t="s">
        <v>579</v>
      </c>
      <c r="AJ177">
        <v>175</v>
      </c>
      <c r="AK177" t="s">
        <v>580</v>
      </c>
      <c r="AL177">
        <v>14</v>
      </c>
    </row>
    <row r="178" spans="2:39" x14ac:dyDescent="0.35">
      <c r="B178">
        <v>176</v>
      </c>
      <c r="C178" t="str">
        <f t="shared" si="5"/>
        <v>Cakes/Chapati/Mandazi</v>
      </c>
      <c r="J178">
        <f t="shared" si="7"/>
        <v>15</v>
      </c>
      <c r="K178">
        <v>39.299999999999997</v>
      </c>
      <c r="L178" t="s">
        <v>336</v>
      </c>
      <c r="M178">
        <v>176</v>
      </c>
      <c r="N178" t="s">
        <v>581</v>
      </c>
      <c r="U178">
        <v>15</v>
      </c>
      <c r="V178" s="34">
        <v>53</v>
      </c>
      <c r="W178" t="s">
        <v>336</v>
      </c>
      <c r="X178">
        <v>176</v>
      </c>
      <c r="Y178" t="s">
        <v>580</v>
      </c>
      <c r="AD178">
        <f t="shared" si="6"/>
        <v>176</v>
      </c>
      <c r="AE178">
        <v>15</v>
      </c>
      <c r="AG178" s="34" t="s">
        <v>580</v>
      </c>
      <c r="AJ178">
        <v>176</v>
      </c>
      <c r="AK178" t="s">
        <v>581</v>
      </c>
      <c r="AL178">
        <v>15</v>
      </c>
    </row>
    <row r="179" spans="2:39" x14ac:dyDescent="0.35">
      <c r="B179">
        <v>177</v>
      </c>
      <c r="C179" t="str">
        <f t="shared" si="5"/>
        <v>Biscuits</v>
      </c>
      <c r="J179">
        <f t="shared" si="7"/>
        <v>16</v>
      </c>
      <c r="K179">
        <v>39.299999999999997</v>
      </c>
      <c r="L179" t="s">
        <v>336</v>
      </c>
      <c r="M179">
        <v>177</v>
      </c>
      <c r="N179" t="s">
        <v>582</v>
      </c>
      <c r="U179">
        <v>16</v>
      </c>
      <c r="V179" s="34">
        <v>53</v>
      </c>
      <c r="W179" t="s">
        <v>336</v>
      </c>
      <c r="X179">
        <v>177</v>
      </c>
      <c r="Y179" t="s">
        <v>581</v>
      </c>
      <c r="AD179">
        <f t="shared" si="6"/>
        <v>177</v>
      </c>
      <c r="AE179">
        <v>16</v>
      </c>
      <c r="AG179" s="34" t="s">
        <v>581</v>
      </c>
      <c r="AJ179">
        <v>177</v>
      </c>
      <c r="AK179" t="s">
        <v>582</v>
      </c>
      <c r="AL179">
        <v>16</v>
      </c>
    </row>
    <row r="180" spans="2:39" x14ac:dyDescent="0.35">
      <c r="B180">
        <v>178</v>
      </c>
      <c r="C180" t="str">
        <f t="shared" si="5"/>
        <v>Pasta</v>
      </c>
      <c r="J180">
        <f t="shared" si="7"/>
        <v>17</v>
      </c>
      <c r="K180">
        <v>39.299999999999997</v>
      </c>
      <c r="L180" t="s">
        <v>336</v>
      </c>
      <c r="M180">
        <v>178</v>
      </c>
      <c r="N180" t="s">
        <v>583</v>
      </c>
      <c r="U180">
        <v>17</v>
      </c>
      <c r="V180" s="34">
        <v>53</v>
      </c>
      <c r="W180" t="s">
        <v>336</v>
      </c>
      <c r="X180">
        <v>178</v>
      </c>
      <c r="Y180" t="s">
        <v>582</v>
      </c>
      <c r="AD180">
        <f t="shared" si="6"/>
        <v>178</v>
      </c>
      <c r="AE180">
        <v>17</v>
      </c>
      <c r="AG180" s="34" t="s">
        <v>582</v>
      </c>
      <c r="AJ180">
        <v>178</v>
      </c>
      <c r="AK180" t="s">
        <v>583</v>
      </c>
      <c r="AL180">
        <v>17</v>
      </c>
    </row>
    <row r="181" spans="2:39" x14ac:dyDescent="0.35">
      <c r="B181">
        <v>179</v>
      </c>
      <c r="C181" t="str">
        <f t="shared" si="5"/>
        <v>Beef meat</v>
      </c>
      <c r="J181">
        <f t="shared" si="7"/>
        <v>18</v>
      </c>
      <c r="K181">
        <v>32</v>
      </c>
      <c r="L181" t="s">
        <v>341</v>
      </c>
      <c r="M181">
        <v>179</v>
      </c>
      <c r="N181" t="s">
        <v>584</v>
      </c>
      <c r="U181">
        <v>18</v>
      </c>
      <c r="V181" s="34">
        <v>27</v>
      </c>
      <c r="W181" t="s">
        <v>336</v>
      </c>
      <c r="X181">
        <v>179</v>
      </c>
      <c r="Y181" t="s">
        <v>583</v>
      </c>
      <c r="AD181">
        <f t="shared" si="6"/>
        <v>179</v>
      </c>
      <c r="AE181">
        <v>18</v>
      </c>
      <c r="AG181" s="34" t="s">
        <v>583</v>
      </c>
      <c r="AJ181">
        <v>179</v>
      </c>
      <c r="AK181" t="s">
        <v>584</v>
      </c>
      <c r="AL181">
        <v>18</v>
      </c>
      <c r="AM181">
        <v>12</v>
      </c>
    </row>
    <row r="182" spans="2:39" x14ac:dyDescent="0.35">
      <c r="B182">
        <v>180</v>
      </c>
      <c r="C182" t="str">
        <f t="shared" si="5"/>
        <v>Sheep /Mutton / lamb meat</v>
      </c>
      <c r="J182">
        <f t="shared" si="7"/>
        <v>19</v>
      </c>
      <c r="K182">
        <v>32</v>
      </c>
      <c r="L182" t="s">
        <v>341</v>
      </c>
      <c r="M182">
        <v>180</v>
      </c>
      <c r="N182" t="s">
        <v>585</v>
      </c>
      <c r="U182">
        <v>19</v>
      </c>
      <c r="V182" s="34">
        <v>31</v>
      </c>
      <c r="W182" t="s">
        <v>338</v>
      </c>
      <c r="X182">
        <v>180</v>
      </c>
      <c r="Y182" t="s">
        <v>584</v>
      </c>
      <c r="AD182">
        <f t="shared" si="6"/>
        <v>180</v>
      </c>
      <c r="AE182">
        <v>19</v>
      </c>
      <c r="AF182">
        <v>12</v>
      </c>
      <c r="AG182" s="34" t="s">
        <v>584</v>
      </c>
      <c r="AJ182">
        <v>180</v>
      </c>
      <c r="AK182" t="s">
        <v>585</v>
      </c>
      <c r="AL182">
        <v>19</v>
      </c>
      <c r="AM182">
        <v>13</v>
      </c>
    </row>
    <row r="183" spans="2:39" x14ac:dyDescent="0.35">
      <c r="B183">
        <v>181</v>
      </c>
      <c r="C183" t="str">
        <f t="shared" si="5"/>
        <v>Goat meat</v>
      </c>
      <c r="J183">
        <f t="shared" si="7"/>
        <v>20</v>
      </c>
      <c r="K183">
        <v>32</v>
      </c>
      <c r="L183" t="s">
        <v>341</v>
      </c>
      <c r="M183">
        <v>181</v>
      </c>
      <c r="N183" t="s">
        <v>586</v>
      </c>
      <c r="U183">
        <v>20</v>
      </c>
      <c r="V183" s="34">
        <v>31</v>
      </c>
      <c r="W183" t="s">
        <v>2224</v>
      </c>
      <c r="X183">
        <v>181</v>
      </c>
      <c r="Y183" t="s">
        <v>585</v>
      </c>
      <c r="AD183">
        <f t="shared" si="6"/>
        <v>181</v>
      </c>
      <c r="AE183">
        <v>20</v>
      </c>
      <c r="AF183">
        <v>13</v>
      </c>
      <c r="AG183" s="34" t="s">
        <v>585</v>
      </c>
      <c r="AJ183">
        <v>181</v>
      </c>
      <c r="AK183" t="s">
        <v>586</v>
      </c>
      <c r="AL183">
        <v>20</v>
      </c>
      <c r="AM183">
        <v>14</v>
      </c>
    </row>
    <row r="184" spans="2:39" x14ac:dyDescent="0.35">
      <c r="B184">
        <v>182</v>
      </c>
      <c r="C184" t="str">
        <f t="shared" si="5"/>
        <v>Pork meat</v>
      </c>
      <c r="J184">
        <f t="shared" si="7"/>
        <v>21</v>
      </c>
      <c r="K184">
        <v>32</v>
      </c>
      <c r="L184" t="s">
        <v>341</v>
      </c>
      <c r="M184">
        <v>182</v>
      </c>
      <c r="N184" t="s">
        <v>587</v>
      </c>
      <c r="U184">
        <v>21</v>
      </c>
      <c r="V184" s="34">
        <v>32</v>
      </c>
      <c r="W184" t="s">
        <v>2224</v>
      </c>
      <c r="X184">
        <v>182</v>
      </c>
      <c r="Y184" t="s">
        <v>586</v>
      </c>
      <c r="AD184">
        <f t="shared" si="6"/>
        <v>182</v>
      </c>
      <c r="AE184">
        <v>21</v>
      </c>
      <c r="AF184">
        <v>14</v>
      </c>
      <c r="AG184" s="34" t="s">
        <v>586</v>
      </c>
      <c r="AJ184">
        <v>182</v>
      </c>
      <c r="AK184" t="s">
        <v>587</v>
      </c>
      <c r="AL184">
        <v>21</v>
      </c>
      <c r="AM184">
        <v>15</v>
      </c>
    </row>
    <row r="185" spans="2:39" x14ac:dyDescent="0.35">
      <c r="B185">
        <v>183</v>
      </c>
      <c r="C185" t="str">
        <f t="shared" si="5"/>
        <v>Rabbit Meat</v>
      </c>
      <c r="J185">
        <f t="shared" si="7"/>
        <v>22</v>
      </c>
      <c r="K185">
        <v>32</v>
      </c>
      <c r="L185" t="s">
        <v>341</v>
      </c>
      <c r="M185">
        <v>183</v>
      </c>
      <c r="N185" t="s">
        <v>588</v>
      </c>
      <c r="U185">
        <v>22</v>
      </c>
      <c r="V185" s="34">
        <v>32</v>
      </c>
      <c r="W185" t="s">
        <v>759</v>
      </c>
      <c r="X185">
        <v>183</v>
      </c>
      <c r="Y185" t="s">
        <v>587</v>
      </c>
      <c r="AD185">
        <f t="shared" si="6"/>
        <v>183</v>
      </c>
      <c r="AE185">
        <v>22</v>
      </c>
      <c r="AF185">
        <v>15</v>
      </c>
      <c r="AG185" s="34" t="s">
        <v>587</v>
      </c>
      <c r="AJ185">
        <v>183</v>
      </c>
      <c r="AK185" t="s">
        <v>588</v>
      </c>
      <c r="AL185">
        <v>22</v>
      </c>
      <c r="AM185">
        <v>16</v>
      </c>
    </row>
    <row r="186" spans="2:39" x14ac:dyDescent="0.35">
      <c r="B186">
        <v>184</v>
      </c>
      <c r="C186" t="str">
        <f t="shared" si="5"/>
        <v>Wild Meat</v>
      </c>
      <c r="J186">
        <f t="shared" si="7"/>
        <v>23</v>
      </c>
      <c r="K186">
        <v>32</v>
      </c>
      <c r="L186" t="s">
        <v>341</v>
      </c>
      <c r="M186">
        <v>184</v>
      </c>
      <c r="N186" t="s">
        <v>589</v>
      </c>
      <c r="U186">
        <v>23</v>
      </c>
      <c r="V186" s="34">
        <v>32</v>
      </c>
      <c r="W186" t="s">
        <v>759</v>
      </c>
      <c r="X186">
        <v>184</v>
      </c>
      <c r="Y186" t="s">
        <v>588</v>
      </c>
      <c r="AD186">
        <f t="shared" si="6"/>
        <v>184</v>
      </c>
      <c r="AE186">
        <v>23</v>
      </c>
      <c r="AF186">
        <v>16</v>
      </c>
      <c r="AG186" s="34" t="s">
        <v>588</v>
      </c>
      <c r="AJ186">
        <v>184</v>
      </c>
      <c r="AK186" t="s">
        <v>589</v>
      </c>
      <c r="AL186">
        <v>23</v>
      </c>
      <c r="AM186">
        <v>17</v>
      </c>
    </row>
    <row r="187" spans="2:39" x14ac:dyDescent="0.35">
      <c r="B187">
        <v>185</v>
      </c>
      <c r="C187" t="str">
        <f t="shared" si="5"/>
        <v>Other Meats</v>
      </c>
      <c r="J187">
        <f t="shared" si="7"/>
        <v>24</v>
      </c>
      <c r="K187">
        <v>32</v>
      </c>
      <c r="L187" t="s">
        <v>341</v>
      </c>
      <c r="M187">
        <v>185</v>
      </c>
      <c r="N187" t="s">
        <v>590</v>
      </c>
      <c r="U187">
        <v>24</v>
      </c>
      <c r="V187" s="34">
        <v>32</v>
      </c>
      <c r="W187" t="s">
        <v>759</v>
      </c>
      <c r="X187">
        <v>185</v>
      </c>
      <c r="Y187" t="s">
        <v>589</v>
      </c>
      <c r="AD187">
        <f t="shared" si="6"/>
        <v>185</v>
      </c>
      <c r="AE187">
        <v>24</v>
      </c>
      <c r="AF187">
        <v>17</v>
      </c>
      <c r="AG187" s="34" t="s">
        <v>589</v>
      </c>
      <c r="AJ187">
        <v>185</v>
      </c>
      <c r="AK187" t="s">
        <v>590</v>
      </c>
      <c r="AL187">
        <v>24</v>
      </c>
      <c r="AM187">
        <v>18</v>
      </c>
    </row>
    <row r="188" spans="2:39" x14ac:dyDescent="0.35">
      <c r="B188">
        <v>186</v>
      </c>
      <c r="C188" t="str">
        <f t="shared" si="5"/>
        <v>Sausages, bacon, ham  etc</v>
      </c>
      <c r="J188">
        <f t="shared" si="7"/>
        <v>25</v>
      </c>
      <c r="K188">
        <v>32</v>
      </c>
      <c r="L188" t="s">
        <v>341</v>
      </c>
      <c r="M188">
        <v>186</v>
      </c>
      <c r="N188" t="s">
        <v>591</v>
      </c>
      <c r="U188">
        <v>25</v>
      </c>
      <c r="V188" s="34">
        <v>40</v>
      </c>
      <c r="W188" t="s">
        <v>759</v>
      </c>
      <c r="X188">
        <v>186</v>
      </c>
      <c r="Y188" t="s">
        <v>590</v>
      </c>
      <c r="AD188">
        <f t="shared" si="6"/>
        <v>186</v>
      </c>
      <c r="AE188">
        <v>25</v>
      </c>
      <c r="AF188">
        <v>18</v>
      </c>
      <c r="AG188" s="34" t="s">
        <v>590</v>
      </c>
      <c r="AJ188">
        <v>186</v>
      </c>
      <c r="AK188" t="s">
        <v>591</v>
      </c>
      <c r="AL188">
        <v>25</v>
      </c>
    </row>
    <row r="189" spans="2:39" x14ac:dyDescent="0.35">
      <c r="B189">
        <v>187</v>
      </c>
      <c r="C189" t="str">
        <f t="shared" si="5"/>
        <v>Preserved/canned meat</v>
      </c>
      <c r="J189">
        <f t="shared" si="7"/>
        <v>26</v>
      </c>
      <c r="K189">
        <v>32</v>
      </c>
      <c r="L189" t="s">
        <v>341</v>
      </c>
      <c r="M189">
        <v>187</v>
      </c>
      <c r="N189" t="s">
        <v>592</v>
      </c>
      <c r="U189">
        <v>26</v>
      </c>
      <c r="V189" s="34">
        <v>40</v>
      </c>
      <c r="W189" t="s">
        <v>341</v>
      </c>
      <c r="X189">
        <v>187</v>
      </c>
      <c r="Y189" t="s">
        <v>591</v>
      </c>
      <c r="AD189">
        <f t="shared" si="6"/>
        <v>187</v>
      </c>
      <c r="AE189">
        <v>26</v>
      </c>
      <c r="AG189" s="34" t="s">
        <v>591</v>
      </c>
      <c r="AJ189">
        <v>187</v>
      </c>
      <c r="AK189" t="s">
        <v>592</v>
      </c>
      <c r="AL189">
        <v>26</v>
      </c>
    </row>
    <row r="190" spans="2:39" x14ac:dyDescent="0.35">
      <c r="B190">
        <v>188</v>
      </c>
      <c r="C190" t="str">
        <f t="shared" si="5"/>
        <v>Chicken live</v>
      </c>
      <c r="J190">
        <f t="shared" si="7"/>
        <v>27</v>
      </c>
      <c r="K190">
        <v>24.1</v>
      </c>
      <c r="L190" t="s">
        <v>339</v>
      </c>
      <c r="M190">
        <v>188</v>
      </c>
      <c r="N190" t="s">
        <v>593</v>
      </c>
      <c r="U190">
        <v>27</v>
      </c>
      <c r="V190" s="34">
        <v>29</v>
      </c>
      <c r="W190" t="s">
        <v>341</v>
      </c>
      <c r="X190">
        <v>188</v>
      </c>
      <c r="Y190" t="s">
        <v>592</v>
      </c>
      <c r="AD190">
        <f t="shared" si="6"/>
        <v>188</v>
      </c>
      <c r="AE190">
        <v>27</v>
      </c>
      <c r="AG190" s="34" t="s">
        <v>592</v>
      </c>
      <c r="AJ190">
        <v>188</v>
      </c>
      <c r="AK190" t="s">
        <v>593</v>
      </c>
      <c r="AL190">
        <v>27</v>
      </c>
      <c r="AM190">
        <v>19</v>
      </c>
    </row>
    <row r="191" spans="2:39" x14ac:dyDescent="0.35">
      <c r="B191">
        <v>189</v>
      </c>
      <c r="C191" t="str">
        <f t="shared" si="5"/>
        <v>Frozen chicken</v>
      </c>
      <c r="J191">
        <f t="shared" si="7"/>
        <v>28</v>
      </c>
      <c r="K191">
        <v>32</v>
      </c>
      <c r="L191" t="s">
        <v>341</v>
      </c>
      <c r="M191">
        <v>189</v>
      </c>
      <c r="N191" t="s">
        <v>594</v>
      </c>
      <c r="U191">
        <v>28</v>
      </c>
      <c r="V191" s="34">
        <v>29</v>
      </c>
      <c r="W191" t="s">
        <v>339</v>
      </c>
      <c r="X191">
        <v>189</v>
      </c>
      <c r="Y191" t="s">
        <v>593</v>
      </c>
      <c r="AD191">
        <f t="shared" si="6"/>
        <v>189</v>
      </c>
      <c r="AE191">
        <v>28</v>
      </c>
      <c r="AF191">
        <v>19</v>
      </c>
      <c r="AG191" s="34" t="s">
        <v>593</v>
      </c>
      <c r="AJ191">
        <v>189</v>
      </c>
      <c r="AK191" t="s">
        <v>594</v>
      </c>
      <c r="AL191">
        <v>28</v>
      </c>
    </row>
    <row r="192" spans="2:39" x14ac:dyDescent="0.35">
      <c r="B192">
        <v>190</v>
      </c>
      <c r="C192" t="str">
        <f t="shared" si="5"/>
        <v>Other domestic poultries eg ducks</v>
      </c>
      <c r="J192">
        <f t="shared" si="7"/>
        <v>29</v>
      </c>
      <c r="K192">
        <v>24.1</v>
      </c>
      <c r="L192" t="s">
        <v>339</v>
      </c>
      <c r="M192">
        <v>190</v>
      </c>
      <c r="N192" t="s">
        <v>595</v>
      </c>
      <c r="U192">
        <v>29</v>
      </c>
      <c r="V192" s="34">
        <v>29</v>
      </c>
      <c r="W192" t="s">
        <v>339</v>
      </c>
      <c r="X192">
        <v>190</v>
      </c>
      <c r="Y192" t="s">
        <v>594</v>
      </c>
      <c r="AD192">
        <f t="shared" si="6"/>
        <v>190</v>
      </c>
      <c r="AE192">
        <v>29</v>
      </c>
      <c r="AG192" s="34" t="s">
        <v>594</v>
      </c>
      <c r="AJ192">
        <v>190</v>
      </c>
      <c r="AK192" t="s">
        <v>595</v>
      </c>
      <c r="AL192">
        <v>29</v>
      </c>
      <c r="AM192">
        <v>20</v>
      </c>
    </row>
    <row r="193" spans="2:39" x14ac:dyDescent="0.35">
      <c r="B193">
        <v>191</v>
      </c>
      <c r="C193" t="str">
        <f t="shared" si="5"/>
        <v>Eggs</v>
      </c>
      <c r="J193">
        <f t="shared" si="7"/>
        <v>30</v>
      </c>
      <c r="K193">
        <v>24.2</v>
      </c>
      <c r="L193" t="s">
        <v>20</v>
      </c>
      <c r="M193">
        <v>191</v>
      </c>
      <c r="N193" t="s">
        <v>596</v>
      </c>
      <c r="U193">
        <v>30</v>
      </c>
      <c r="V193" s="34">
        <v>30</v>
      </c>
      <c r="W193" t="s">
        <v>339</v>
      </c>
      <c r="X193">
        <v>191</v>
      </c>
      <c r="Y193" t="s">
        <v>595</v>
      </c>
      <c r="AD193">
        <f t="shared" si="6"/>
        <v>191</v>
      </c>
      <c r="AE193">
        <v>30</v>
      </c>
      <c r="AF193">
        <v>20</v>
      </c>
      <c r="AG193" s="34" t="s">
        <v>595</v>
      </c>
      <c r="AJ193">
        <v>191</v>
      </c>
      <c r="AK193" t="s">
        <v>596</v>
      </c>
      <c r="AL193">
        <v>30</v>
      </c>
      <c r="AM193">
        <v>21</v>
      </c>
    </row>
    <row r="194" spans="2:39" x14ac:dyDescent="0.35">
      <c r="B194">
        <v>192</v>
      </c>
      <c r="C194" t="str">
        <f t="shared" si="5"/>
        <v>Fish (fresh / frozen)</v>
      </c>
      <c r="J194">
        <f t="shared" si="7"/>
        <v>31</v>
      </c>
      <c r="K194">
        <v>33</v>
      </c>
      <c r="L194" t="s">
        <v>763</v>
      </c>
      <c r="M194">
        <v>192</v>
      </c>
      <c r="N194" t="s">
        <v>597</v>
      </c>
      <c r="U194">
        <v>31</v>
      </c>
      <c r="V194" s="34">
        <v>34</v>
      </c>
      <c r="W194" t="s">
        <v>20</v>
      </c>
      <c r="X194">
        <v>192</v>
      </c>
      <c r="Y194" t="s">
        <v>596</v>
      </c>
      <c r="AD194">
        <f t="shared" si="6"/>
        <v>192</v>
      </c>
      <c r="AE194">
        <v>31</v>
      </c>
      <c r="AF194">
        <v>21</v>
      </c>
      <c r="AG194" s="34" t="s">
        <v>596</v>
      </c>
      <c r="AJ194">
        <v>192</v>
      </c>
      <c r="AK194" t="s">
        <v>597</v>
      </c>
      <c r="AL194">
        <v>31</v>
      </c>
      <c r="AM194">
        <v>22</v>
      </c>
    </row>
    <row r="195" spans="2:39" x14ac:dyDescent="0.35">
      <c r="B195">
        <v>193</v>
      </c>
      <c r="C195" t="str">
        <f t="shared" si="5"/>
        <v>Small Sized Fish (fresh)</v>
      </c>
      <c r="J195">
        <f t="shared" si="7"/>
        <v>32</v>
      </c>
      <c r="K195">
        <v>33</v>
      </c>
      <c r="L195" t="s">
        <v>763</v>
      </c>
      <c r="M195">
        <v>193</v>
      </c>
      <c r="N195" t="s">
        <v>598</v>
      </c>
      <c r="U195">
        <v>32</v>
      </c>
      <c r="V195" s="34">
        <v>34</v>
      </c>
      <c r="W195" t="s">
        <v>2225</v>
      </c>
      <c r="X195">
        <v>193</v>
      </c>
      <c r="Y195" t="s">
        <v>597</v>
      </c>
      <c r="AD195">
        <f t="shared" si="6"/>
        <v>193</v>
      </c>
      <c r="AE195">
        <v>32</v>
      </c>
      <c r="AF195">
        <v>22</v>
      </c>
      <c r="AG195" s="34" t="s">
        <v>2679</v>
      </c>
      <c r="AJ195">
        <v>193</v>
      </c>
      <c r="AK195" t="s">
        <v>598</v>
      </c>
      <c r="AL195">
        <v>32</v>
      </c>
    </row>
    <row r="196" spans="2:39" x14ac:dyDescent="0.35">
      <c r="B196">
        <v>194</v>
      </c>
      <c r="C196" t="str">
        <f t="shared" si="5"/>
        <v>Fish (dry / smoked)</v>
      </c>
      <c r="J196">
        <f t="shared" si="7"/>
        <v>33</v>
      </c>
      <c r="K196">
        <v>33</v>
      </c>
      <c r="L196" t="s">
        <v>763</v>
      </c>
      <c r="M196">
        <v>194</v>
      </c>
      <c r="N196" t="s">
        <v>599</v>
      </c>
      <c r="U196">
        <v>33</v>
      </c>
      <c r="V196" s="34">
        <v>41</v>
      </c>
      <c r="W196" t="s">
        <v>2225</v>
      </c>
      <c r="X196">
        <v>194</v>
      </c>
      <c r="Y196" t="s">
        <v>598</v>
      </c>
      <c r="AD196">
        <f t="shared" si="6"/>
        <v>194</v>
      </c>
      <c r="AE196">
        <v>33</v>
      </c>
      <c r="AG196" s="34" t="s">
        <v>2680</v>
      </c>
      <c r="AJ196">
        <v>194</v>
      </c>
      <c r="AK196" t="s">
        <v>599</v>
      </c>
      <c r="AL196">
        <v>33</v>
      </c>
      <c r="AM196">
        <v>23</v>
      </c>
    </row>
    <row r="197" spans="2:39" x14ac:dyDescent="0.35">
      <c r="B197">
        <v>195</v>
      </c>
      <c r="C197" t="str">
        <f t="shared" si="5"/>
        <v>Small Sized Fish (dry)</v>
      </c>
      <c r="J197">
        <f t="shared" si="7"/>
        <v>34</v>
      </c>
      <c r="K197">
        <v>33</v>
      </c>
      <c r="L197" t="s">
        <v>763</v>
      </c>
      <c r="M197">
        <v>195</v>
      </c>
      <c r="N197" t="s">
        <v>600</v>
      </c>
      <c r="U197">
        <v>34</v>
      </c>
      <c r="V197" s="34">
        <v>41</v>
      </c>
      <c r="W197" t="s">
        <v>763</v>
      </c>
      <c r="X197">
        <v>195</v>
      </c>
      <c r="Y197" t="s">
        <v>599</v>
      </c>
      <c r="AD197">
        <f t="shared" si="6"/>
        <v>195</v>
      </c>
      <c r="AE197">
        <v>34</v>
      </c>
      <c r="AF197">
        <v>23</v>
      </c>
      <c r="AG197" s="34" t="s">
        <v>2681</v>
      </c>
      <c r="AJ197">
        <v>195</v>
      </c>
      <c r="AK197" t="s">
        <v>600</v>
      </c>
      <c r="AL197">
        <v>34</v>
      </c>
    </row>
    <row r="198" spans="2:39" x14ac:dyDescent="0.35">
      <c r="B198">
        <v>196</v>
      </c>
      <c r="C198" t="str">
        <f t="shared" si="5"/>
        <v>Preserved/canned fish</v>
      </c>
      <c r="J198">
        <f t="shared" si="7"/>
        <v>35</v>
      </c>
      <c r="K198">
        <v>33</v>
      </c>
      <c r="L198" t="s">
        <v>763</v>
      </c>
      <c r="M198">
        <v>196</v>
      </c>
      <c r="N198" t="s">
        <v>601</v>
      </c>
      <c r="U198">
        <v>35</v>
      </c>
      <c r="V198" s="34">
        <v>41</v>
      </c>
      <c r="W198" t="s">
        <v>763</v>
      </c>
      <c r="X198">
        <v>196</v>
      </c>
      <c r="Y198" t="s">
        <v>600</v>
      </c>
      <c r="AD198">
        <f t="shared" si="6"/>
        <v>196</v>
      </c>
      <c r="AE198">
        <v>35</v>
      </c>
      <c r="AG198" s="34" t="s">
        <v>2682</v>
      </c>
      <c r="AJ198">
        <v>196</v>
      </c>
      <c r="AK198" t="s">
        <v>601</v>
      </c>
      <c r="AL198">
        <v>35</v>
      </c>
    </row>
    <row r="199" spans="2:39" x14ac:dyDescent="0.35">
      <c r="B199">
        <v>197</v>
      </c>
      <c r="C199" t="str">
        <f t="shared" si="5"/>
        <v>Fresh milk</v>
      </c>
      <c r="J199">
        <f t="shared" si="7"/>
        <v>36</v>
      </c>
      <c r="K199">
        <v>22</v>
      </c>
      <c r="L199" t="s">
        <v>758</v>
      </c>
      <c r="M199">
        <v>197</v>
      </c>
      <c r="N199" t="s">
        <v>602</v>
      </c>
      <c r="U199">
        <v>36</v>
      </c>
      <c r="V199" s="34">
        <v>28</v>
      </c>
      <c r="W199" t="s">
        <v>763</v>
      </c>
      <c r="X199">
        <v>197</v>
      </c>
      <c r="Y199" t="s">
        <v>601</v>
      </c>
      <c r="AD199">
        <f t="shared" si="6"/>
        <v>197</v>
      </c>
      <c r="AE199">
        <v>36</v>
      </c>
      <c r="AG199" s="34" t="s">
        <v>601</v>
      </c>
      <c r="AJ199">
        <v>197</v>
      </c>
      <c r="AK199" t="s">
        <v>602</v>
      </c>
      <c r="AL199">
        <v>36</v>
      </c>
      <c r="AM199">
        <v>24</v>
      </c>
    </row>
    <row r="200" spans="2:39" x14ac:dyDescent="0.35">
      <c r="B200">
        <v>198</v>
      </c>
      <c r="C200" t="str">
        <f t="shared" si="5"/>
        <v>Curdled Milk</v>
      </c>
      <c r="J200">
        <f t="shared" si="7"/>
        <v>37</v>
      </c>
      <c r="K200">
        <v>22</v>
      </c>
      <c r="L200" t="s">
        <v>758</v>
      </c>
      <c r="M200">
        <v>198</v>
      </c>
      <c r="N200" t="s">
        <v>603</v>
      </c>
      <c r="U200">
        <v>37</v>
      </c>
      <c r="V200" s="34">
        <v>28</v>
      </c>
      <c r="W200" t="s">
        <v>758</v>
      </c>
      <c r="X200">
        <v>198</v>
      </c>
      <c r="Y200" t="s">
        <v>602</v>
      </c>
      <c r="AD200">
        <f t="shared" si="6"/>
        <v>198</v>
      </c>
      <c r="AE200">
        <v>37</v>
      </c>
      <c r="AF200">
        <v>24</v>
      </c>
      <c r="AG200" s="34" t="s">
        <v>602</v>
      </c>
      <c r="AJ200">
        <v>198</v>
      </c>
      <c r="AK200" t="s">
        <v>603</v>
      </c>
      <c r="AL200">
        <v>37</v>
      </c>
      <c r="AM200">
        <v>25</v>
      </c>
    </row>
    <row r="201" spans="2:39" x14ac:dyDescent="0.35">
      <c r="B201">
        <v>199</v>
      </c>
      <c r="C201" t="str">
        <f t="shared" si="5"/>
        <v>Condensed milk unsweetened</v>
      </c>
      <c r="J201">
        <f t="shared" si="7"/>
        <v>38</v>
      </c>
      <c r="K201">
        <v>36</v>
      </c>
      <c r="L201" t="s">
        <v>765</v>
      </c>
      <c r="M201">
        <v>199</v>
      </c>
      <c r="N201" t="s">
        <v>604</v>
      </c>
      <c r="U201">
        <v>38</v>
      </c>
      <c r="V201" s="34">
        <v>42</v>
      </c>
      <c r="W201" t="s">
        <v>758</v>
      </c>
      <c r="X201">
        <v>199</v>
      </c>
      <c r="Y201" t="s">
        <v>603</v>
      </c>
      <c r="AD201">
        <f t="shared" si="6"/>
        <v>199</v>
      </c>
      <c r="AE201">
        <v>38</v>
      </c>
      <c r="AF201">
        <v>25</v>
      </c>
      <c r="AG201" s="34" t="s">
        <v>603</v>
      </c>
      <c r="AJ201">
        <v>199</v>
      </c>
      <c r="AK201" t="s">
        <v>604</v>
      </c>
      <c r="AL201">
        <v>38</v>
      </c>
    </row>
    <row r="202" spans="2:39" x14ac:dyDescent="0.35">
      <c r="B202">
        <v>200</v>
      </c>
      <c r="C202" t="str">
        <f t="shared" si="5"/>
        <v>Milk powder</v>
      </c>
      <c r="J202">
        <f t="shared" si="7"/>
        <v>39</v>
      </c>
      <c r="K202">
        <v>36</v>
      </c>
      <c r="L202" t="s">
        <v>765</v>
      </c>
      <c r="M202">
        <v>200</v>
      </c>
      <c r="N202" t="s">
        <v>605</v>
      </c>
      <c r="U202">
        <v>39</v>
      </c>
      <c r="V202" s="34">
        <v>42</v>
      </c>
      <c r="W202" t="s">
        <v>765</v>
      </c>
      <c r="X202">
        <v>200</v>
      </c>
      <c r="Y202" t="s">
        <v>604</v>
      </c>
      <c r="AD202">
        <f t="shared" si="6"/>
        <v>200</v>
      </c>
      <c r="AE202">
        <v>39</v>
      </c>
      <c r="AG202" s="34" t="s">
        <v>604</v>
      </c>
      <c r="AJ202">
        <v>200</v>
      </c>
      <c r="AK202" t="s">
        <v>605</v>
      </c>
      <c r="AL202">
        <v>39</v>
      </c>
    </row>
    <row r="203" spans="2:39" x14ac:dyDescent="0.35">
      <c r="B203">
        <v>201</v>
      </c>
      <c r="C203" t="str">
        <f t="shared" si="5"/>
        <v>Yogurt</v>
      </c>
      <c r="J203">
        <f t="shared" si="7"/>
        <v>40</v>
      </c>
      <c r="K203">
        <v>36</v>
      </c>
      <c r="L203" t="s">
        <v>765</v>
      </c>
      <c r="M203">
        <v>201</v>
      </c>
      <c r="N203" t="s">
        <v>606</v>
      </c>
      <c r="U203">
        <v>40</v>
      </c>
      <c r="V203" s="34">
        <v>42</v>
      </c>
      <c r="W203" t="s">
        <v>765</v>
      </c>
      <c r="X203">
        <v>201</v>
      </c>
      <c r="Y203" t="s">
        <v>605</v>
      </c>
      <c r="AD203">
        <f t="shared" si="6"/>
        <v>201</v>
      </c>
      <c r="AE203">
        <v>40</v>
      </c>
      <c r="AG203" s="34" t="s">
        <v>605</v>
      </c>
      <c r="AJ203">
        <v>201</v>
      </c>
      <c r="AK203" t="s">
        <v>606</v>
      </c>
      <c r="AL203">
        <v>40</v>
      </c>
    </row>
    <row r="204" spans="2:39" x14ac:dyDescent="0.35">
      <c r="B204">
        <v>202</v>
      </c>
      <c r="C204" t="str">
        <f t="shared" si="5"/>
        <v>Ice cream</v>
      </c>
      <c r="J204">
        <f t="shared" si="7"/>
        <v>41</v>
      </c>
      <c r="K204">
        <v>36</v>
      </c>
      <c r="L204" t="s">
        <v>765</v>
      </c>
      <c r="M204">
        <v>202</v>
      </c>
      <c r="N204" t="s">
        <v>607</v>
      </c>
      <c r="U204">
        <v>41</v>
      </c>
      <c r="V204" s="34">
        <v>42</v>
      </c>
      <c r="W204" t="s">
        <v>765</v>
      </c>
      <c r="X204">
        <v>202</v>
      </c>
      <c r="Y204" t="s">
        <v>606</v>
      </c>
      <c r="AD204">
        <f t="shared" si="6"/>
        <v>202</v>
      </c>
      <c r="AE204">
        <v>41</v>
      </c>
      <c r="AG204" s="34" t="s">
        <v>606</v>
      </c>
      <c r="AJ204">
        <v>202</v>
      </c>
      <c r="AK204" t="s">
        <v>607</v>
      </c>
      <c r="AL204">
        <v>41</v>
      </c>
    </row>
    <row r="205" spans="2:39" x14ac:dyDescent="0.35">
      <c r="B205">
        <v>203</v>
      </c>
      <c r="C205" t="str">
        <f t="shared" si="5"/>
        <v>Cheese</v>
      </c>
      <c r="J205">
        <f t="shared" si="7"/>
        <v>42</v>
      </c>
      <c r="K205">
        <v>36</v>
      </c>
      <c r="L205" t="s">
        <v>765</v>
      </c>
      <c r="M205">
        <v>203</v>
      </c>
      <c r="N205" t="s">
        <v>608</v>
      </c>
      <c r="U205">
        <v>42</v>
      </c>
      <c r="V205" s="34">
        <v>42</v>
      </c>
      <c r="W205" t="s">
        <v>765</v>
      </c>
      <c r="X205">
        <v>203</v>
      </c>
      <c r="Y205" t="s">
        <v>607</v>
      </c>
      <c r="AD205">
        <f t="shared" si="6"/>
        <v>203</v>
      </c>
      <c r="AE205">
        <v>42</v>
      </c>
      <c r="AG205" s="34" t="s">
        <v>607</v>
      </c>
      <c r="AJ205">
        <v>203</v>
      </c>
      <c r="AK205" t="s">
        <v>608</v>
      </c>
      <c r="AL205">
        <v>42</v>
      </c>
      <c r="AM205">
        <v>26</v>
      </c>
    </row>
    <row r="206" spans="2:39" x14ac:dyDescent="0.35">
      <c r="B206">
        <v>204</v>
      </c>
      <c r="C206" t="str">
        <f t="shared" si="5"/>
        <v>Butter (local)</v>
      </c>
      <c r="J206">
        <f t="shared" si="7"/>
        <v>43</v>
      </c>
      <c r="K206">
        <v>36</v>
      </c>
      <c r="L206" t="s">
        <v>765</v>
      </c>
      <c r="M206">
        <v>204</v>
      </c>
      <c r="N206" t="s">
        <v>609</v>
      </c>
      <c r="U206">
        <v>43</v>
      </c>
      <c r="V206" s="34">
        <v>44</v>
      </c>
      <c r="W206" t="s">
        <v>765</v>
      </c>
      <c r="X206">
        <v>204</v>
      </c>
      <c r="Y206" t="s">
        <v>608</v>
      </c>
      <c r="AD206">
        <f t="shared" si="6"/>
        <v>204</v>
      </c>
      <c r="AE206">
        <v>43</v>
      </c>
      <c r="AF206">
        <v>26</v>
      </c>
      <c r="AG206" s="34" t="s">
        <v>608</v>
      </c>
      <c r="AJ206">
        <v>204</v>
      </c>
      <c r="AK206" t="s">
        <v>609</v>
      </c>
      <c r="AL206">
        <v>43</v>
      </c>
      <c r="AM206">
        <v>28</v>
      </c>
    </row>
    <row r="207" spans="2:39" x14ac:dyDescent="0.35">
      <c r="B207">
        <v>205</v>
      </c>
      <c r="C207" t="str">
        <f t="shared" si="5"/>
        <v>Butter not used in cooking</v>
      </c>
      <c r="J207">
        <f t="shared" si="7"/>
        <v>44</v>
      </c>
      <c r="K207">
        <v>36</v>
      </c>
      <c r="L207" t="s">
        <v>765</v>
      </c>
      <c r="M207">
        <v>205</v>
      </c>
      <c r="N207" t="s">
        <v>732</v>
      </c>
      <c r="U207">
        <v>44</v>
      </c>
      <c r="V207" s="34">
        <v>44</v>
      </c>
      <c r="W207" t="s">
        <v>342</v>
      </c>
      <c r="X207">
        <v>205</v>
      </c>
      <c r="Y207" t="s">
        <v>609</v>
      </c>
      <c r="AD207">
        <f t="shared" si="6"/>
        <v>205</v>
      </c>
      <c r="AE207">
        <v>44</v>
      </c>
      <c r="AF207">
        <v>27</v>
      </c>
      <c r="AG207" s="34" t="s">
        <v>2683</v>
      </c>
      <c r="AJ207">
        <v>205</v>
      </c>
      <c r="AK207" t="s">
        <v>732</v>
      </c>
      <c r="AM207">
        <v>27</v>
      </c>
    </row>
    <row r="208" spans="2:39" x14ac:dyDescent="0.35">
      <c r="B208">
        <v>206</v>
      </c>
      <c r="C208" t="str">
        <f t="shared" si="5"/>
        <v>Butter (imported)</v>
      </c>
      <c r="J208">
        <f t="shared" si="7"/>
        <v>45</v>
      </c>
      <c r="K208">
        <v>36</v>
      </c>
      <c r="L208" t="s">
        <v>765</v>
      </c>
      <c r="M208">
        <v>206</v>
      </c>
      <c r="N208" t="s">
        <v>610</v>
      </c>
      <c r="U208">
        <v>45</v>
      </c>
      <c r="V208" s="34">
        <v>44</v>
      </c>
      <c r="W208" t="s">
        <v>342</v>
      </c>
      <c r="X208">
        <v>206</v>
      </c>
      <c r="Y208" t="s">
        <v>610</v>
      </c>
      <c r="AD208">
        <f t="shared" si="6"/>
        <v>206</v>
      </c>
      <c r="AE208">
        <v>45</v>
      </c>
      <c r="AG208" s="34" t="s">
        <v>2684</v>
      </c>
      <c r="AJ208">
        <v>206</v>
      </c>
      <c r="AK208" t="s">
        <v>610</v>
      </c>
      <c r="AL208">
        <v>44</v>
      </c>
    </row>
    <row r="209" spans="2:39" x14ac:dyDescent="0.35">
      <c r="B209">
        <v>207</v>
      </c>
      <c r="C209" t="str">
        <f t="shared" si="5"/>
        <v>Margarine</v>
      </c>
      <c r="J209">
        <f t="shared" si="7"/>
        <v>46</v>
      </c>
      <c r="K209">
        <v>35</v>
      </c>
      <c r="L209" t="s">
        <v>342</v>
      </c>
      <c r="M209">
        <v>207</v>
      </c>
      <c r="N209" t="s">
        <v>611</v>
      </c>
      <c r="U209">
        <v>46</v>
      </c>
      <c r="V209" s="34">
        <v>44</v>
      </c>
      <c r="W209" t="s">
        <v>342</v>
      </c>
      <c r="X209">
        <v>207</v>
      </c>
      <c r="Y209" t="s">
        <v>611</v>
      </c>
      <c r="AD209">
        <f t="shared" si="6"/>
        <v>207</v>
      </c>
      <c r="AE209">
        <v>47</v>
      </c>
      <c r="AG209" s="34" t="s">
        <v>611</v>
      </c>
      <c r="AJ209">
        <v>207</v>
      </c>
      <c r="AK209" t="s">
        <v>611</v>
      </c>
      <c r="AL209">
        <v>45</v>
      </c>
    </row>
    <row r="210" spans="2:39" x14ac:dyDescent="0.35">
      <c r="B210">
        <v>208</v>
      </c>
      <c r="C210" t="str">
        <f t="shared" si="5"/>
        <v>Peanut oil</v>
      </c>
      <c r="J210">
        <f t="shared" si="7"/>
        <v>47</v>
      </c>
      <c r="K210">
        <v>35</v>
      </c>
      <c r="L210" t="s">
        <v>342</v>
      </c>
      <c r="M210">
        <v>208</v>
      </c>
      <c r="N210" t="s">
        <v>612</v>
      </c>
      <c r="U210">
        <v>47</v>
      </c>
      <c r="V210" s="34">
        <v>44</v>
      </c>
      <c r="W210" t="s">
        <v>342</v>
      </c>
      <c r="X210">
        <v>208</v>
      </c>
      <c r="Y210" t="s">
        <v>612</v>
      </c>
      <c r="AD210">
        <f t="shared" si="6"/>
        <v>208</v>
      </c>
      <c r="AE210">
        <v>48</v>
      </c>
      <c r="AG210" s="34" t="s">
        <v>612</v>
      </c>
      <c r="AJ210">
        <v>208</v>
      </c>
      <c r="AK210" t="s">
        <v>612</v>
      </c>
      <c r="AL210">
        <v>46</v>
      </c>
    </row>
    <row r="211" spans="2:39" x14ac:dyDescent="0.35">
      <c r="B211">
        <v>209</v>
      </c>
      <c r="C211" t="str">
        <f t="shared" si="5"/>
        <v>Palm oil</v>
      </c>
      <c r="J211">
        <f t="shared" si="7"/>
        <v>48</v>
      </c>
      <c r="K211">
        <v>35</v>
      </c>
      <c r="L211" t="s">
        <v>342</v>
      </c>
      <c r="M211">
        <v>209</v>
      </c>
      <c r="N211" t="s">
        <v>613</v>
      </c>
      <c r="U211">
        <v>48</v>
      </c>
      <c r="V211" s="34">
        <v>44</v>
      </c>
      <c r="W211" t="s">
        <v>342</v>
      </c>
      <c r="X211">
        <v>209</v>
      </c>
      <c r="Y211" t="s">
        <v>613</v>
      </c>
      <c r="AD211">
        <f t="shared" si="6"/>
        <v>209</v>
      </c>
      <c r="AE211">
        <v>49</v>
      </c>
      <c r="AG211" s="34" t="s">
        <v>613</v>
      </c>
      <c r="AJ211">
        <v>209</v>
      </c>
      <c r="AK211" t="s">
        <v>613</v>
      </c>
      <c r="AL211">
        <v>47</v>
      </c>
    </row>
    <row r="212" spans="2:39" x14ac:dyDescent="0.35">
      <c r="B212">
        <v>210</v>
      </c>
      <c r="C212" t="str">
        <f t="shared" si="5"/>
        <v>Other plant oils</v>
      </c>
      <c r="J212">
        <f t="shared" si="7"/>
        <v>49</v>
      </c>
      <c r="K212">
        <v>35</v>
      </c>
      <c r="L212" t="s">
        <v>342</v>
      </c>
      <c r="M212">
        <v>210</v>
      </c>
      <c r="N212" t="s">
        <v>614</v>
      </c>
      <c r="U212">
        <v>49</v>
      </c>
      <c r="V212" s="34">
        <v>44</v>
      </c>
      <c r="W212" t="s">
        <v>342</v>
      </c>
      <c r="X212">
        <v>210</v>
      </c>
      <c r="Y212" t="s">
        <v>614</v>
      </c>
      <c r="AD212">
        <f t="shared" si="6"/>
        <v>210</v>
      </c>
      <c r="AE212">
        <v>50</v>
      </c>
      <c r="AF212">
        <v>28</v>
      </c>
      <c r="AG212" s="34" t="s">
        <v>614</v>
      </c>
      <c r="AJ212">
        <v>210</v>
      </c>
      <c r="AK212" t="s">
        <v>614</v>
      </c>
      <c r="AL212">
        <v>48</v>
      </c>
    </row>
    <row r="213" spans="2:39" x14ac:dyDescent="0.35">
      <c r="B213">
        <v>211</v>
      </c>
      <c r="C213" t="str">
        <f t="shared" si="5"/>
        <v>Lard of pork</v>
      </c>
      <c r="J213">
        <f t="shared" si="7"/>
        <v>50</v>
      </c>
      <c r="K213">
        <v>35</v>
      </c>
      <c r="L213" t="s">
        <v>342</v>
      </c>
      <c r="M213">
        <v>211</v>
      </c>
      <c r="N213" t="s">
        <v>615</v>
      </c>
      <c r="U213">
        <v>50</v>
      </c>
      <c r="V213" s="34">
        <v>44</v>
      </c>
      <c r="W213" t="s">
        <v>342</v>
      </c>
      <c r="X213">
        <v>211</v>
      </c>
      <c r="Y213" t="s">
        <v>615</v>
      </c>
      <c r="AD213">
        <f t="shared" si="6"/>
        <v>211</v>
      </c>
      <c r="AE213">
        <v>51</v>
      </c>
      <c r="AF213">
        <v>29</v>
      </c>
      <c r="AG213" s="34" t="s">
        <v>615</v>
      </c>
      <c r="AJ213">
        <v>211</v>
      </c>
      <c r="AK213" t="s">
        <v>615</v>
      </c>
      <c r="AL213">
        <v>49</v>
      </c>
      <c r="AM213">
        <v>30</v>
      </c>
    </row>
    <row r="214" spans="2:39" x14ac:dyDescent="0.35">
      <c r="B214">
        <v>212</v>
      </c>
      <c r="C214" t="str">
        <f t="shared" si="5"/>
        <v>Other animal  fats</v>
      </c>
      <c r="J214">
        <f t="shared" si="7"/>
        <v>51</v>
      </c>
      <c r="K214">
        <v>35</v>
      </c>
      <c r="L214" t="s">
        <v>342</v>
      </c>
      <c r="M214">
        <v>212</v>
      </c>
      <c r="N214" t="s">
        <v>734</v>
      </c>
      <c r="U214">
        <v>51</v>
      </c>
      <c r="V214" s="34">
        <v>44</v>
      </c>
      <c r="W214" t="s">
        <v>1319</v>
      </c>
      <c r="X214">
        <v>212</v>
      </c>
      <c r="Y214" t="s">
        <v>616</v>
      </c>
      <c r="AD214">
        <f t="shared" si="6"/>
        <v>212</v>
      </c>
      <c r="AE214">
        <v>53</v>
      </c>
      <c r="AF214">
        <v>30</v>
      </c>
      <c r="AG214" s="34" t="s">
        <v>2685</v>
      </c>
      <c r="AJ214">
        <v>212</v>
      </c>
      <c r="AK214" t="s">
        <v>734</v>
      </c>
      <c r="AM214">
        <v>29</v>
      </c>
    </row>
    <row r="215" spans="2:39" x14ac:dyDescent="0.35">
      <c r="B215">
        <v>213</v>
      </c>
      <c r="C215" t="str">
        <f t="shared" si="5"/>
        <v>Banana fruit (Imineke)</v>
      </c>
      <c r="J215">
        <f t="shared" si="7"/>
        <v>52</v>
      </c>
      <c r="K215">
        <v>15.2</v>
      </c>
      <c r="L215" t="s">
        <v>1319</v>
      </c>
      <c r="M215">
        <v>213</v>
      </c>
      <c r="N215" t="s">
        <v>616</v>
      </c>
      <c r="U215">
        <v>52</v>
      </c>
      <c r="V215" s="34">
        <v>19</v>
      </c>
      <c r="W215" t="s">
        <v>1319</v>
      </c>
      <c r="X215">
        <v>213</v>
      </c>
      <c r="Y215" t="s">
        <v>617</v>
      </c>
      <c r="AD215">
        <f t="shared" si="6"/>
        <v>213</v>
      </c>
      <c r="AE215">
        <v>54</v>
      </c>
      <c r="AF215">
        <v>31</v>
      </c>
      <c r="AG215" s="34" t="s">
        <v>2686</v>
      </c>
      <c r="AJ215">
        <v>213</v>
      </c>
      <c r="AK215" t="s">
        <v>616</v>
      </c>
      <c r="AL215">
        <v>50</v>
      </c>
      <c r="AM215">
        <v>31</v>
      </c>
    </row>
    <row r="216" spans="2:39" x14ac:dyDescent="0.35">
      <c r="B216">
        <v>214</v>
      </c>
      <c r="C216" t="str">
        <f t="shared" si="5"/>
        <v>Banana - beer (Ikakama/Inkashi)</v>
      </c>
      <c r="J216">
        <f t="shared" si="7"/>
        <v>53</v>
      </c>
      <c r="K216">
        <v>15.2</v>
      </c>
      <c r="L216" t="s">
        <v>1319</v>
      </c>
      <c r="M216">
        <v>214</v>
      </c>
      <c r="N216" t="s">
        <v>617</v>
      </c>
      <c r="U216">
        <v>53</v>
      </c>
      <c r="V216" s="34">
        <v>19</v>
      </c>
      <c r="W216" t="s">
        <v>1319</v>
      </c>
      <c r="X216">
        <v>214</v>
      </c>
      <c r="Y216" t="s">
        <v>618</v>
      </c>
      <c r="AD216">
        <f t="shared" si="6"/>
        <v>214</v>
      </c>
      <c r="AE216">
        <v>55</v>
      </c>
      <c r="AF216">
        <v>32</v>
      </c>
      <c r="AG216" s="34" t="s">
        <v>2687</v>
      </c>
      <c r="AJ216">
        <v>214</v>
      </c>
      <c r="AK216" t="s">
        <v>617</v>
      </c>
      <c r="AL216">
        <v>51</v>
      </c>
      <c r="AM216">
        <v>32</v>
      </c>
    </row>
    <row r="217" spans="2:39" x14ac:dyDescent="0.35">
      <c r="B217">
        <v>215</v>
      </c>
      <c r="C217" t="str">
        <f t="shared" si="5"/>
        <v>Banana - cooking (Inyamunyo)</v>
      </c>
      <c r="J217">
        <f t="shared" si="7"/>
        <v>54</v>
      </c>
      <c r="K217">
        <v>15.2</v>
      </c>
      <c r="L217" t="s">
        <v>1319</v>
      </c>
      <c r="M217">
        <v>215</v>
      </c>
      <c r="N217" t="s">
        <v>618</v>
      </c>
      <c r="U217">
        <v>54</v>
      </c>
      <c r="V217" s="34">
        <v>19</v>
      </c>
      <c r="W217" t="s">
        <v>331</v>
      </c>
      <c r="X217">
        <v>215</v>
      </c>
      <c r="Y217" t="s">
        <v>619</v>
      </c>
      <c r="AD217">
        <f t="shared" si="6"/>
        <v>215</v>
      </c>
      <c r="AE217">
        <v>56</v>
      </c>
      <c r="AF217">
        <v>33</v>
      </c>
      <c r="AG217" s="34" t="s">
        <v>619</v>
      </c>
      <c r="AJ217">
        <v>215</v>
      </c>
      <c r="AK217" t="s">
        <v>618</v>
      </c>
      <c r="AL217">
        <v>52</v>
      </c>
      <c r="AM217">
        <v>33</v>
      </c>
    </row>
    <row r="218" spans="2:39" x14ac:dyDescent="0.35">
      <c r="B218">
        <v>216</v>
      </c>
      <c r="C218" t="str">
        <f t="shared" si="5"/>
        <v>Mangos</v>
      </c>
      <c r="J218">
        <f t="shared" si="7"/>
        <v>55</v>
      </c>
      <c r="K218">
        <v>15.1</v>
      </c>
      <c r="L218" t="s">
        <v>331</v>
      </c>
      <c r="M218">
        <v>216</v>
      </c>
      <c r="N218" t="s">
        <v>619</v>
      </c>
      <c r="U218">
        <v>55</v>
      </c>
      <c r="V218" s="34">
        <v>20</v>
      </c>
      <c r="W218" t="s">
        <v>331</v>
      </c>
      <c r="X218">
        <v>216</v>
      </c>
      <c r="Y218" t="s">
        <v>620</v>
      </c>
      <c r="AD218">
        <f t="shared" si="6"/>
        <v>216</v>
      </c>
      <c r="AE218">
        <v>57</v>
      </c>
      <c r="AF218">
        <v>34</v>
      </c>
      <c r="AG218" s="34" t="s">
        <v>620</v>
      </c>
      <c r="AJ218">
        <v>216</v>
      </c>
      <c r="AK218" t="s">
        <v>619</v>
      </c>
      <c r="AL218">
        <v>53</v>
      </c>
      <c r="AM218">
        <v>34</v>
      </c>
    </row>
    <row r="219" spans="2:39" x14ac:dyDescent="0.35">
      <c r="B219">
        <v>217</v>
      </c>
      <c r="C219" t="str">
        <f t="shared" si="5"/>
        <v>Papayas</v>
      </c>
      <c r="J219">
        <f t="shared" si="7"/>
        <v>56</v>
      </c>
      <c r="K219">
        <v>15.1</v>
      </c>
      <c r="L219" t="s">
        <v>331</v>
      </c>
      <c r="M219">
        <v>217</v>
      </c>
      <c r="N219" t="s">
        <v>620</v>
      </c>
      <c r="U219">
        <v>56</v>
      </c>
      <c r="V219" s="34">
        <v>20</v>
      </c>
      <c r="W219" t="s">
        <v>331</v>
      </c>
      <c r="X219">
        <v>217</v>
      </c>
      <c r="Y219" t="s">
        <v>621</v>
      </c>
      <c r="AD219">
        <f t="shared" si="6"/>
        <v>217</v>
      </c>
      <c r="AE219">
        <v>58</v>
      </c>
      <c r="AF219">
        <v>35</v>
      </c>
      <c r="AG219" s="34" t="s">
        <v>621</v>
      </c>
      <c r="AJ219">
        <v>217</v>
      </c>
      <c r="AK219" t="s">
        <v>620</v>
      </c>
      <c r="AL219">
        <v>54</v>
      </c>
      <c r="AM219">
        <v>35</v>
      </c>
    </row>
    <row r="220" spans="2:39" x14ac:dyDescent="0.35">
      <c r="B220">
        <v>218</v>
      </c>
      <c r="C220" t="str">
        <f t="shared" si="5"/>
        <v>Avocado</v>
      </c>
      <c r="J220">
        <f t="shared" si="7"/>
        <v>57</v>
      </c>
      <c r="K220">
        <v>15.1</v>
      </c>
      <c r="L220" t="s">
        <v>331</v>
      </c>
      <c r="M220">
        <v>218</v>
      </c>
      <c r="N220" t="s">
        <v>621</v>
      </c>
      <c r="U220">
        <v>57</v>
      </c>
      <c r="V220" s="34">
        <v>20</v>
      </c>
      <c r="W220" t="s">
        <v>331</v>
      </c>
      <c r="X220">
        <v>218</v>
      </c>
      <c r="Y220" t="s">
        <v>622</v>
      </c>
      <c r="AD220">
        <f t="shared" si="6"/>
        <v>218</v>
      </c>
      <c r="AE220">
        <v>59</v>
      </c>
      <c r="AF220">
        <v>36</v>
      </c>
      <c r="AG220" s="34" t="s">
        <v>622</v>
      </c>
      <c r="AJ220">
        <v>218</v>
      </c>
      <c r="AK220" t="s">
        <v>621</v>
      </c>
      <c r="AL220">
        <v>55</v>
      </c>
      <c r="AM220">
        <v>36</v>
      </c>
    </row>
    <row r="221" spans="2:39" x14ac:dyDescent="0.35">
      <c r="B221">
        <v>219</v>
      </c>
      <c r="C221" t="str">
        <f t="shared" si="5"/>
        <v>Pineapple</v>
      </c>
      <c r="J221">
        <f t="shared" si="7"/>
        <v>58</v>
      </c>
      <c r="K221">
        <v>15.1</v>
      </c>
      <c r="L221" t="s">
        <v>331</v>
      </c>
      <c r="M221">
        <v>219</v>
      </c>
      <c r="N221" t="s">
        <v>622</v>
      </c>
      <c r="U221">
        <v>58</v>
      </c>
      <c r="V221" s="34">
        <v>20</v>
      </c>
      <c r="W221" t="s">
        <v>331</v>
      </c>
      <c r="X221">
        <v>219</v>
      </c>
      <c r="Y221" t="s">
        <v>623</v>
      </c>
      <c r="AD221">
        <f t="shared" si="6"/>
        <v>219</v>
      </c>
      <c r="AE221">
        <v>60</v>
      </c>
      <c r="AF221">
        <v>37</v>
      </c>
      <c r="AG221" s="34" t="s">
        <v>623</v>
      </c>
      <c r="AJ221">
        <v>219</v>
      </c>
      <c r="AK221" t="s">
        <v>622</v>
      </c>
      <c r="AL221">
        <v>56</v>
      </c>
      <c r="AM221">
        <v>37</v>
      </c>
    </row>
    <row r="222" spans="2:39" x14ac:dyDescent="0.35">
      <c r="B222">
        <v>220</v>
      </c>
      <c r="C222" t="str">
        <f t="shared" si="5"/>
        <v>Guava</v>
      </c>
      <c r="J222">
        <f t="shared" si="7"/>
        <v>59</v>
      </c>
      <c r="K222">
        <v>15.1</v>
      </c>
      <c r="L222" t="s">
        <v>331</v>
      </c>
      <c r="M222">
        <v>220</v>
      </c>
      <c r="N222" t="s">
        <v>623</v>
      </c>
      <c r="U222">
        <v>59</v>
      </c>
      <c r="V222" s="34">
        <v>20</v>
      </c>
      <c r="W222" t="s">
        <v>331</v>
      </c>
      <c r="X222">
        <v>220</v>
      </c>
      <c r="Y222" t="s">
        <v>624</v>
      </c>
      <c r="AD222">
        <f t="shared" si="6"/>
        <v>220</v>
      </c>
      <c r="AE222">
        <v>61</v>
      </c>
      <c r="AF222">
        <v>38</v>
      </c>
      <c r="AG222" s="34" t="s">
        <v>2688</v>
      </c>
      <c r="AJ222">
        <v>220</v>
      </c>
      <c r="AK222" t="s">
        <v>623</v>
      </c>
      <c r="AL222">
        <v>57</v>
      </c>
      <c r="AM222">
        <v>38</v>
      </c>
    </row>
    <row r="223" spans="2:39" x14ac:dyDescent="0.35">
      <c r="B223">
        <v>221</v>
      </c>
      <c r="C223" t="str">
        <f t="shared" si="5"/>
        <v>Orange (local)</v>
      </c>
      <c r="J223">
        <f t="shared" si="7"/>
        <v>60</v>
      </c>
      <c r="K223">
        <v>15.1</v>
      </c>
      <c r="L223" t="s">
        <v>331</v>
      </c>
      <c r="M223">
        <v>221</v>
      </c>
      <c r="N223" t="s">
        <v>624</v>
      </c>
      <c r="U223">
        <v>60</v>
      </c>
      <c r="V223" s="34">
        <v>20</v>
      </c>
      <c r="W223" t="s">
        <v>331</v>
      </c>
      <c r="X223">
        <v>221</v>
      </c>
      <c r="Y223" t="s">
        <v>625</v>
      </c>
      <c r="AD223">
        <f t="shared" si="6"/>
        <v>221</v>
      </c>
      <c r="AE223">
        <v>62</v>
      </c>
      <c r="AG223" s="34" t="s">
        <v>2689</v>
      </c>
      <c r="AJ223">
        <v>221</v>
      </c>
      <c r="AK223" t="s">
        <v>624</v>
      </c>
      <c r="AL223">
        <v>58</v>
      </c>
      <c r="AM223">
        <v>39</v>
      </c>
    </row>
    <row r="224" spans="2:39" x14ac:dyDescent="0.35">
      <c r="B224">
        <v>222</v>
      </c>
      <c r="C224" t="str">
        <f t="shared" si="5"/>
        <v xml:space="preserve"> </v>
      </c>
      <c r="J224">
        <f t="shared" si="7"/>
        <v>61</v>
      </c>
      <c r="K224">
        <v>15.1</v>
      </c>
      <c r="L224" t="s">
        <v>331</v>
      </c>
      <c r="M224">
        <v>222</v>
      </c>
      <c r="N224" t="s">
        <v>355</v>
      </c>
      <c r="U224">
        <v>61</v>
      </c>
      <c r="V224" s="34">
        <v>20</v>
      </c>
      <c r="W224" t="s">
        <v>331</v>
      </c>
      <c r="X224">
        <v>222</v>
      </c>
      <c r="Y224" t="s">
        <v>626</v>
      </c>
      <c r="AD224">
        <f t="shared" si="6"/>
        <v>222</v>
      </c>
      <c r="AE224">
        <v>63</v>
      </c>
      <c r="AF224">
        <v>39</v>
      </c>
      <c r="AG224" s="34" t="s">
        <v>626</v>
      </c>
      <c r="AJ224">
        <v>222</v>
      </c>
      <c r="AK224" t="s">
        <v>625</v>
      </c>
      <c r="AL224">
        <v>59</v>
      </c>
    </row>
    <row r="225" spans="2:39" x14ac:dyDescent="0.35">
      <c r="B225">
        <v>223</v>
      </c>
      <c r="C225" t="str">
        <f t="shared" ref="C225:C288" si="8">VLOOKUP(B225,$M$3:$N$333,2,0)</f>
        <v>Tangerine</v>
      </c>
      <c r="J225">
        <f t="shared" si="7"/>
        <v>62</v>
      </c>
      <c r="K225">
        <v>15.1</v>
      </c>
      <c r="L225" t="s">
        <v>331</v>
      </c>
      <c r="M225">
        <v>223</v>
      </c>
      <c r="N225" t="s">
        <v>626</v>
      </c>
      <c r="U225">
        <v>62</v>
      </c>
      <c r="V225" s="34">
        <v>20</v>
      </c>
      <c r="W225" t="s">
        <v>331</v>
      </c>
      <c r="X225">
        <v>223</v>
      </c>
      <c r="Y225" t="s">
        <v>627</v>
      </c>
      <c r="AD225">
        <f t="shared" si="6"/>
        <v>223</v>
      </c>
      <c r="AE225">
        <v>64</v>
      </c>
      <c r="AF225">
        <v>40</v>
      </c>
      <c r="AG225" s="34" t="s">
        <v>627</v>
      </c>
      <c r="AJ225">
        <v>223</v>
      </c>
      <c r="AK225" t="s">
        <v>626</v>
      </c>
      <c r="AL225">
        <v>60</v>
      </c>
      <c r="AM225">
        <v>40</v>
      </c>
    </row>
    <row r="226" spans="2:39" x14ac:dyDescent="0.35">
      <c r="B226">
        <v>224</v>
      </c>
      <c r="C226" t="str">
        <f t="shared" si="8"/>
        <v>Citron - Lemon</v>
      </c>
      <c r="J226">
        <f t="shared" si="7"/>
        <v>63</v>
      </c>
      <c r="K226">
        <v>15.1</v>
      </c>
      <c r="L226" t="s">
        <v>331</v>
      </c>
      <c r="M226">
        <v>224</v>
      </c>
      <c r="N226" t="s">
        <v>627</v>
      </c>
      <c r="U226">
        <v>63</v>
      </c>
      <c r="V226" s="34">
        <v>20</v>
      </c>
      <c r="W226" t="s">
        <v>331</v>
      </c>
      <c r="X226">
        <v>224</v>
      </c>
      <c r="Y226" t="s">
        <v>628</v>
      </c>
      <c r="AD226">
        <f t="shared" si="6"/>
        <v>224</v>
      </c>
      <c r="AE226">
        <v>65</v>
      </c>
      <c r="AF226">
        <v>41</v>
      </c>
      <c r="AG226" s="34" t="s">
        <v>628</v>
      </c>
      <c r="AJ226">
        <v>224</v>
      </c>
      <c r="AK226" t="s">
        <v>627</v>
      </c>
      <c r="AL226">
        <v>61</v>
      </c>
      <c r="AM226">
        <v>41</v>
      </c>
    </row>
    <row r="227" spans="2:39" x14ac:dyDescent="0.35">
      <c r="B227">
        <v>225</v>
      </c>
      <c r="C227" t="str">
        <f t="shared" si="8"/>
        <v>Passion Fruit</v>
      </c>
      <c r="J227">
        <f t="shared" si="7"/>
        <v>64</v>
      </c>
      <c r="K227">
        <v>15.1</v>
      </c>
      <c r="L227" t="s">
        <v>331</v>
      </c>
      <c r="M227">
        <v>225</v>
      </c>
      <c r="N227" t="s">
        <v>628</v>
      </c>
      <c r="U227">
        <v>64</v>
      </c>
      <c r="V227" s="34">
        <v>20</v>
      </c>
      <c r="W227" t="s">
        <v>331</v>
      </c>
      <c r="X227">
        <v>225</v>
      </c>
      <c r="Y227" t="s">
        <v>629</v>
      </c>
      <c r="AD227">
        <f t="shared" si="6"/>
        <v>225</v>
      </c>
      <c r="AE227">
        <v>66</v>
      </c>
      <c r="AF227">
        <v>42</v>
      </c>
      <c r="AG227" s="34" t="s">
        <v>629</v>
      </c>
      <c r="AJ227">
        <v>225</v>
      </c>
      <c r="AK227" t="s">
        <v>628</v>
      </c>
      <c r="AL227">
        <v>62</v>
      </c>
      <c r="AM227">
        <v>42</v>
      </c>
    </row>
    <row r="228" spans="2:39" x14ac:dyDescent="0.35">
      <c r="B228">
        <v>226</v>
      </c>
      <c r="C228" t="str">
        <f t="shared" si="8"/>
        <v>Plums</v>
      </c>
      <c r="J228">
        <f t="shared" si="7"/>
        <v>65</v>
      </c>
      <c r="K228">
        <v>15.1</v>
      </c>
      <c r="L228" t="s">
        <v>331</v>
      </c>
      <c r="M228">
        <v>226</v>
      </c>
      <c r="N228" t="s">
        <v>629</v>
      </c>
      <c r="U228">
        <v>65</v>
      </c>
      <c r="V228" s="34">
        <v>20</v>
      </c>
      <c r="W228" t="s">
        <v>331</v>
      </c>
      <c r="X228">
        <v>226</v>
      </c>
      <c r="Y228" t="s">
        <v>630</v>
      </c>
      <c r="AD228">
        <f t="shared" ref="AD228:AD291" si="9">X228</f>
        <v>226</v>
      </c>
      <c r="AE228">
        <v>67</v>
      </c>
      <c r="AF228">
        <v>43</v>
      </c>
      <c r="AG228" s="34" t="s">
        <v>630</v>
      </c>
      <c r="AJ228">
        <v>226</v>
      </c>
      <c r="AK228" t="s">
        <v>629</v>
      </c>
      <c r="AL228">
        <v>63</v>
      </c>
      <c r="AM228">
        <v>43</v>
      </c>
    </row>
    <row r="229" spans="2:39" x14ac:dyDescent="0.35">
      <c r="B229">
        <v>227</v>
      </c>
      <c r="C229" t="str">
        <f t="shared" si="8"/>
        <v>Berries</v>
      </c>
      <c r="J229">
        <f t="shared" ref="J229:J292" si="10">J228+1</f>
        <v>66</v>
      </c>
      <c r="K229">
        <v>15.1</v>
      </c>
      <c r="L229" t="s">
        <v>331</v>
      </c>
      <c r="M229">
        <v>227</v>
      </c>
      <c r="N229" t="s">
        <v>630</v>
      </c>
      <c r="U229">
        <v>66</v>
      </c>
      <c r="V229" s="34">
        <v>20</v>
      </c>
      <c r="W229" t="s">
        <v>331</v>
      </c>
      <c r="X229">
        <v>227</v>
      </c>
      <c r="Y229" t="s">
        <v>631</v>
      </c>
      <c r="AD229">
        <f t="shared" si="9"/>
        <v>227</v>
      </c>
      <c r="AE229">
        <v>68</v>
      </c>
      <c r="AG229" s="34" t="s">
        <v>631</v>
      </c>
      <c r="AJ229">
        <v>227</v>
      </c>
      <c r="AK229" t="s">
        <v>630</v>
      </c>
      <c r="AL229">
        <v>64</v>
      </c>
      <c r="AM229">
        <v>44</v>
      </c>
    </row>
    <row r="230" spans="2:39" x14ac:dyDescent="0.35">
      <c r="B230">
        <v>228</v>
      </c>
      <c r="C230" t="str">
        <f t="shared" si="8"/>
        <v>Apples</v>
      </c>
      <c r="J230">
        <f t="shared" si="10"/>
        <v>67</v>
      </c>
      <c r="K230">
        <v>15.1</v>
      </c>
      <c r="L230" t="s">
        <v>331</v>
      </c>
      <c r="M230">
        <v>228</v>
      </c>
      <c r="N230" t="s">
        <v>631</v>
      </c>
      <c r="U230">
        <v>67</v>
      </c>
      <c r="V230" s="34">
        <v>20</v>
      </c>
      <c r="W230" t="s">
        <v>331</v>
      </c>
      <c r="X230">
        <v>228</v>
      </c>
      <c r="Y230" t="s">
        <v>632</v>
      </c>
      <c r="AD230">
        <f t="shared" si="9"/>
        <v>228</v>
      </c>
      <c r="AE230">
        <v>69</v>
      </c>
      <c r="AF230">
        <v>44</v>
      </c>
      <c r="AG230" s="34" t="s">
        <v>632</v>
      </c>
      <c r="AJ230">
        <v>228</v>
      </c>
      <c r="AK230" t="s">
        <v>631</v>
      </c>
      <c r="AL230">
        <v>65</v>
      </c>
    </row>
    <row r="231" spans="2:39" x14ac:dyDescent="0.35">
      <c r="B231">
        <v>229</v>
      </c>
      <c r="C231" t="str">
        <f t="shared" si="8"/>
        <v>Other fruits</v>
      </c>
      <c r="J231">
        <f t="shared" si="10"/>
        <v>68</v>
      </c>
      <c r="K231">
        <v>15.1</v>
      </c>
      <c r="L231" t="s">
        <v>331</v>
      </c>
      <c r="M231">
        <v>229</v>
      </c>
      <c r="N231" t="s">
        <v>632</v>
      </c>
      <c r="U231">
        <v>68</v>
      </c>
      <c r="V231" s="34">
        <v>20</v>
      </c>
      <c r="W231" t="s">
        <v>356</v>
      </c>
      <c r="X231">
        <v>229</v>
      </c>
      <c r="Y231" t="s">
        <v>633</v>
      </c>
      <c r="AD231">
        <f t="shared" si="9"/>
        <v>229</v>
      </c>
      <c r="AE231">
        <v>70</v>
      </c>
      <c r="AF231">
        <v>45</v>
      </c>
      <c r="AG231" s="34" t="s">
        <v>633</v>
      </c>
      <c r="AJ231">
        <v>229</v>
      </c>
      <c r="AK231" t="s">
        <v>632</v>
      </c>
      <c r="AL231">
        <v>66</v>
      </c>
      <c r="AM231">
        <v>45</v>
      </c>
    </row>
    <row r="232" spans="2:39" x14ac:dyDescent="0.35">
      <c r="B232">
        <v>230</v>
      </c>
      <c r="C232" t="str">
        <f t="shared" si="8"/>
        <v>Soya Flour</v>
      </c>
      <c r="J232">
        <f t="shared" si="10"/>
        <v>69</v>
      </c>
      <c r="K232">
        <v>6</v>
      </c>
      <c r="L232" t="s">
        <v>344</v>
      </c>
      <c r="M232">
        <v>230</v>
      </c>
      <c r="N232" t="s">
        <v>633</v>
      </c>
      <c r="U232">
        <v>69</v>
      </c>
      <c r="V232" s="34">
        <v>8</v>
      </c>
      <c r="W232" t="s">
        <v>345</v>
      </c>
      <c r="X232">
        <v>230</v>
      </c>
      <c r="Y232" t="s">
        <v>634</v>
      </c>
      <c r="AD232">
        <f t="shared" si="9"/>
        <v>230</v>
      </c>
      <c r="AE232">
        <v>71</v>
      </c>
      <c r="AF232">
        <v>46</v>
      </c>
      <c r="AG232" s="34" t="s">
        <v>634</v>
      </c>
      <c r="AJ232">
        <v>230</v>
      </c>
      <c r="AK232" t="s">
        <v>633</v>
      </c>
      <c r="AL232">
        <v>67</v>
      </c>
      <c r="AM232">
        <v>46</v>
      </c>
    </row>
    <row r="233" spans="2:39" x14ac:dyDescent="0.35">
      <c r="B233">
        <v>231</v>
      </c>
      <c r="C233" t="str">
        <f t="shared" si="8"/>
        <v>Groundnut flour</v>
      </c>
      <c r="J233">
        <f t="shared" si="10"/>
        <v>70</v>
      </c>
      <c r="K233">
        <v>7</v>
      </c>
      <c r="L233" t="s">
        <v>345</v>
      </c>
      <c r="M233">
        <v>231</v>
      </c>
      <c r="N233" t="s">
        <v>634</v>
      </c>
      <c r="U233">
        <v>70</v>
      </c>
      <c r="V233" s="34">
        <v>7</v>
      </c>
      <c r="W233" t="s">
        <v>345</v>
      </c>
      <c r="X233">
        <v>231</v>
      </c>
      <c r="Y233" t="s">
        <v>635</v>
      </c>
      <c r="AD233">
        <f t="shared" si="9"/>
        <v>231</v>
      </c>
      <c r="AE233">
        <v>72</v>
      </c>
      <c r="AF233">
        <v>48</v>
      </c>
      <c r="AG233" s="34" t="s">
        <v>2690</v>
      </c>
      <c r="AJ233">
        <v>231</v>
      </c>
      <c r="AK233" t="s">
        <v>634</v>
      </c>
      <c r="AL233">
        <v>68</v>
      </c>
      <c r="AM233">
        <v>47</v>
      </c>
    </row>
    <row r="234" spans="2:39" x14ac:dyDescent="0.35">
      <c r="B234">
        <v>232</v>
      </c>
      <c r="C234" t="str">
        <f t="shared" si="8"/>
        <v>Ground nuts (peanuts)</v>
      </c>
      <c r="J234">
        <f t="shared" si="10"/>
        <v>71</v>
      </c>
      <c r="K234">
        <v>7</v>
      </c>
      <c r="L234" t="s">
        <v>345</v>
      </c>
      <c r="M234">
        <v>232</v>
      </c>
      <c r="N234" t="s">
        <v>635</v>
      </c>
      <c r="U234">
        <v>71</v>
      </c>
      <c r="V234" s="34">
        <v>7</v>
      </c>
      <c r="W234" t="s">
        <v>345</v>
      </c>
      <c r="X234">
        <v>232</v>
      </c>
      <c r="Y234" t="s">
        <v>636</v>
      </c>
      <c r="AD234">
        <f t="shared" si="9"/>
        <v>232</v>
      </c>
      <c r="AE234">
        <v>73</v>
      </c>
      <c r="AG234" s="34" t="s">
        <v>636</v>
      </c>
      <c r="AJ234">
        <v>232</v>
      </c>
      <c r="AK234" t="s">
        <v>635</v>
      </c>
      <c r="AL234">
        <v>69</v>
      </c>
      <c r="AM234">
        <v>48</v>
      </c>
    </row>
    <row r="235" spans="2:39" x14ac:dyDescent="0.35">
      <c r="B235">
        <v>233</v>
      </c>
      <c r="C235" t="str">
        <f t="shared" si="8"/>
        <v>Grilled ground nuts</v>
      </c>
      <c r="J235">
        <f t="shared" si="10"/>
        <v>72</v>
      </c>
      <c r="K235">
        <v>7</v>
      </c>
      <c r="L235" t="s">
        <v>345</v>
      </c>
      <c r="M235">
        <v>233</v>
      </c>
      <c r="N235" t="s">
        <v>636</v>
      </c>
      <c r="U235">
        <v>72</v>
      </c>
      <c r="V235" s="34">
        <v>7</v>
      </c>
      <c r="W235" t="s">
        <v>344</v>
      </c>
      <c r="X235">
        <v>233</v>
      </c>
      <c r="Y235" t="s">
        <v>637</v>
      </c>
      <c r="AD235">
        <f t="shared" si="9"/>
        <v>233</v>
      </c>
      <c r="AE235">
        <v>74</v>
      </c>
      <c r="AF235">
        <v>49</v>
      </c>
      <c r="AG235" s="34" t="s">
        <v>637</v>
      </c>
      <c r="AJ235">
        <v>233</v>
      </c>
      <c r="AK235" t="s">
        <v>636</v>
      </c>
      <c r="AL235">
        <v>70</v>
      </c>
      <c r="AM235">
        <v>49</v>
      </c>
    </row>
    <row r="236" spans="2:39" x14ac:dyDescent="0.35">
      <c r="B236">
        <v>234</v>
      </c>
      <c r="C236" t="str">
        <f t="shared" si="8"/>
        <v>String bean</v>
      </c>
      <c r="J236">
        <f t="shared" si="10"/>
        <v>73</v>
      </c>
      <c r="K236">
        <v>11</v>
      </c>
      <c r="L236" t="s">
        <v>343</v>
      </c>
      <c r="M236">
        <v>234</v>
      </c>
      <c r="N236" t="s">
        <v>637</v>
      </c>
      <c r="U236">
        <v>73</v>
      </c>
      <c r="V236" s="34">
        <v>6</v>
      </c>
      <c r="W236" t="s">
        <v>344</v>
      </c>
      <c r="X236">
        <v>234</v>
      </c>
      <c r="Y236" t="s">
        <v>638</v>
      </c>
      <c r="AD236">
        <f t="shared" si="9"/>
        <v>234</v>
      </c>
      <c r="AE236">
        <v>75</v>
      </c>
      <c r="AF236">
        <v>50</v>
      </c>
      <c r="AG236" s="34" t="s">
        <v>638</v>
      </c>
      <c r="AJ236">
        <v>234</v>
      </c>
      <c r="AK236" t="s">
        <v>637</v>
      </c>
      <c r="AL236">
        <v>71</v>
      </c>
      <c r="AM236">
        <v>50</v>
      </c>
    </row>
    <row r="237" spans="2:39" x14ac:dyDescent="0.35">
      <c r="B237">
        <v>235</v>
      </c>
      <c r="C237" t="str">
        <f t="shared" si="8"/>
        <v>Fresh bean</v>
      </c>
      <c r="J237">
        <f t="shared" si="10"/>
        <v>74</v>
      </c>
      <c r="K237">
        <v>11</v>
      </c>
      <c r="L237" t="s">
        <v>343</v>
      </c>
      <c r="M237">
        <v>235</v>
      </c>
      <c r="N237" t="s">
        <v>638</v>
      </c>
      <c r="U237">
        <v>74</v>
      </c>
      <c r="V237" s="34">
        <v>6</v>
      </c>
      <c r="W237" t="s">
        <v>344</v>
      </c>
      <c r="X237">
        <v>235</v>
      </c>
      <c r="Y237" t="s">
        <v>639</v>
      </c>
      <c r="AD237">
        <f t="shared" si="9"/>
        <v>235</v>
      </c>
      <c r="AE237">
        <v>76</v>
      </c>
      <c r="AF237">
        <v>51</v>
      </c>
      <c r="AG237" s="34" t="s">
        <v>639</v>
      </c>
      <c r="AJ237">
        <v>235</v>
      </c>
      <c r="AK237" t="s">
        <v>638</v>
      </c>
      <c r="AL237">
        <v>72</v>
      </c>
      <c r="AM237">
        <v>51</v>
      </c>
    </row>
    <row r="238" spans="2:39" x14ac:dyDescent="0.35">
      <c r="B238">
        <v>236</v>
      </c>
      <c r="C238" t="str">
        <f t="shared" si="8"/>
        <v>Dry beans</v>
      </c>
      <c r="J238">
        <f t="shared" si="10"/>
        <v>75</v>
      </c>
      <c r="K238">
        <v>6</v>
      </c>
      <c r="L238" t="s">
        <v>344</v>
      </c>
      <c r="M238">
        <v>236</v>
      </c>
      <c r="N238" t="s">
        <v>639</v>
      </c>
      <c r="U238">
        <v>75</v>
      </c>
      <c r="V238" s="34">
        <v>6</v>
      </c>
      <c r="W238" t="s">
        <v>356</v>
      </c>
      <c r="X238">
        <v>236</v>
      </c>
      <c r="Y238" t="s">
        <v>640</v>
      </c>
      <c r="AD238">
        <f t="shared" si="9"/>
        <v>236</v>
      </c>
      <c r="AE238">
        <v>77</v>
      </c>
      <c r="AF238">
        <v>52</v>
      </c>
      <c r="AG238" s="34" t="s">
        <v>2691</v>
      </c>
      <c r="AJ238">
        <v>236</v>
      </c>
      <c r="AK238" t="s">
        <v>639</v>
      </c>
      <c r="AL238">
        <v>73</v>
      </c>
      <c r="AM238">
        <v>52</v>
      </c>
    </row>
    <row r="239" spans="2:39" x14ac:dyDescent="0.35">
      <c r="B239">
        <v>237</v>
      </c>
      <c r="C239" t="str">
        <f t="shared" si="8"/>
        <v>Soya (fresh)</v>
      </c>
      <c r="J239">
        <f t="shared" si="10"/>
        <v>76</v>
      </c>
      <c r="K239">
        <v>11</v>
      </c>
      <c r="L239" t="s">
        <v>343</v>
      </c>
      <c r="M239">
        <v>237</v>
      </c>
      <c r="N239" t="s">
        <v>640</v>
      </c>
      <c r="U239">
        <v>76</v>
      </c>
      <c r="V239" s="34">
        <v>8</v>
      </c>
      <c r="W239" t="s">
        <v>356</v>
      </c>
      <c r="X239">
        <v>237</v>
      </c>
      <c r="Y239" t="s">
        <v>641</v>
      </c>
      <c r="AD239">
        <f t="shared" si="9"/>
        <v>237</v>
      </c>
      <c r="AE239">
        <v>78</v>
      </c>
      <c r="AF239">
        <v>53</v>
      </c>
      <c r="AG239" s="34" t="s">
        <v>2692</v>
      </c>
      <c r="AJ239">
        <v>237</v>
      </c>
      <c r="AK239" t="s">
        <v>640</v>
      </c>
      <c r="AL239">
        <v>74</v>
      </c>
      <c r="AM239">
        <v>53</v>
      </c>
    </row>
    <row r="240" spans="2:39" x14ac:dyDescent="0.35">
      <c r="B240">
        <v>238</v>
      </c>
      <c r="C240" t="str">
        <f t="shared" si="8"/>
        <v>Soya (dry)</v>
      </c>
      <c r="J240">
        <f t="shared" si="10"/>
        <v>77</v>
      </c>
      <c r="K240">
        <v>6</v>
      </c>
      <c r="L240" t="s">
        <v>344</v>
      </c>
      <c r="M240">
        <v>238</v>
      </c>
      <c r="N240" t="s">
        <v>641</v>
      </c>
      <c r="U240">
        <v>77</v>
      </c>
      <c r="V240" s="34">
        <v>8</v>
      </c>
      <c r="W240" t="s">
        <v>344</v>
      </c>
      <c r="X240">
        <v>238</v>
      </c>
      <c r="Y240" t="s">
        <v>642</v>
      </c>
      <c r="AD240">
        <f t="shared" si="9"/>
        <v>238</v>
      </c>
      <c r="AE240">
        <v>79</v>
      </c>
      <c r="AF240">
        <v>54</v>
      </c>
      <c r="AG240" s="34" t="s">
        <v>2693</v>
      </c>
      <c r="AJ240">
        <v>238</v>
      </c>
      <c r="AK240" t="s">
        <v>641</v>
      </c>
      <c r="AL240">
        <v>75</v>
      </c>
      <c r="AM240">
        <v>54</v>
      </c>
    </row>
    <row r="241" spans="2:39" x14ac:dyDescent="0.35">
      <c r="B241">
        <v>239</v>
      </c>
      <c r="C241" t="str">
        <f t="shared" si="8"/>
        <v>Green pea (fresh)</v>
      </c>
      <c r="J241">
        <f t="shared" si="10"/>
        <v>78</v>
      </c>
      <c r="K241">
        <v>11</v>
      </c>
      <c r="L241" t="s">
        <v>343</v>
      </c>
      <c r="M241">
        <v>239</v>
      </c>
      <c r="N241" t="s">
        <v>642</v>
      </c>
      <c r="U241">
        <v>78</v>
      </c>
      <c r="V241" s="34">
        <v>6</v>
      </c>
      <c r="W241" t="s">
        <v>344</v>
      </c>
      <c r="X241">
        <v>239</v>
      </c>
      <c r="Y241" t="s">
        <v>643</v>
      </c>
      <c r="AD241">
        <f t="shared" si="9"/>
        <v>239</v>
      </c>
      <c r="AE241">
        <v>80</v>
      </c>
      <c r="AF241">
        <v>55</v>
      </c>
      <c r="AG241" s="34" t="s">
        <v>2694</v>
      </c>
      <c r="AJ241">
        <v>239</v>
      </c>
      <c r="AK241" t="s">
        <v>642</v>
      </c>
      <c r="AL241">
        <v>76</v>
      </c>
      <c r="AM241">
        <v>55</v>
      </c>
    </row>
    <row r="242" spans="2:39" x14ac:dyDescent="0.35">
      <c r="B242">
        <v>240</v>
      </c>
      <c r="C242" t="str">
        <f t="shared" si="8"/>
        <v>Green pea (dry)</v>
      </c>
      <c r="J242">
        <f t="shared" si="10"/>
        <v>79</v>
      </c>
      <c r="K242">
        <v>6</v>
      </c>
      <c r="L242" t="s">
        <v>344</v>
      </c>
      <c r="M242">
        <v>240</v>
      </c>
      <c r="N242" t="s">
        <v>643</v>
      </c>
      <c r="U242">
        <v>79</v>
      </c>
      <c r="V242" s="34">
        <v>6</v>
      </c>
      <c r="W242" t="s">
        <v>343</v>
      </c>
      <c r="X242">
        <v>240</v>
      </c>
      <c r="Y242" t="s">
        <v>644</v>
      </c>
      <c r="AD242">
        <f t="shared" si="9"/>
        <v>240</v>
      </c>
      <c r="AE242">
        <v>81</v>
      </c>
      <c r="AF242">
        <v>56</v>
      </c>
      <c r="AG242" s="34" t="s">
        <v>644</v>
      </c>
      <c r="AJ242">
        <v>240</v>
      </c>
      <c r="AK242" t="s">
        <v>643</v>
      </c>
      <c r="AL242">
        <v>77</v>
      </c>
      <c r="AM242">
        <v>56</v>
      </c>
    </row>
    <row r="243" spans="2:39" x14ac:dyDescent="0.35">
      <c r="B243">
        <v>241</v>
      </c>
      <c r="C243" t="str">
        <f t="shared" si="8"/>
        <v>Tomato</v>
      </c>
      <c r="J243">
        <f t="shared" si="10"/>
        <v>80</v>
      </c>
      <c r="K243">
        <v>11</v>
      </c>
      <c r="L243" t="s">
        <v>343</v>
      </c>
      <c r="M243">
        <v>241</v>
      </c>
      <c r="N243" t="s">
        <v>644</v>
      </c>
      <c r="U243">
        <v>80</v>
      </c>
      <c r="V243" s="34">
        <v>14</v>
      </c>
      <c r="W243" t="s">
        <v>343</v>
      </c>
      <c r="X243">
        <v>241</v>
      </c>
      <c r="Y243" t="s">
        <v>645</v>
      </c>
      <c r="AD243">
        <f t="shared" si="9"/>
        <v>241</v>
      </c>
      <c r="AE243">
        <v>82</v>
      </c>
      <c r="AF243">
        <v>57</v>
      </c>
      <c r="AG243" s="34" t="s">
        <v>645</v>
      </c>
      <c r="AJ243">
        <v>241</v>
      </c>
      <c r="AK243" t="s">
        <v>644</v>
      </c>
      <c r="AL243">
        <v>78</v>
      </c>
      <c r="AM243">
        <v>57</v>
      </c>
    </row>
    <row r="244" spans="2:39" x14ac:dyDescent="0.35">
      <c r="B244">
        <v>242</v>
      </c>
      <c r="C244" t="str">
        <f t="shared" si="8"/>
        <v>Onion</v>
      </c>
      <c r="J244">
        <f t="shared" si="10"/>
        <v>81</v>
      </c>
      <c r="K244">
        <v>11</v>
      </c>
      <c r="L244" t="s">
        <v>343</v>
      </c>
      <c r="M244">
        <v>242</v>
      </c>
      <c r="N244" t="s">
        <v>645</v>
      </c>
      <c r="U244">
        <v>81</v>
      </c>
      <c r="V244" s="34">
        <v>14</v>
      </c>
      <c r="W244" t="s">
        <v>343</v>
      </c>
      <c r="X244">
        <v>242</v>
      </c>
      <c r="Y244" t="s">
        <v>646</v>
      </c>
      <c r="AD244">
        <f t="shared" si="9"/>
        <v>242</v>
      </c>
      <c r="AE244">
        <v>83</v>
      </c>
      <c r="AF244">
        <v>58</v>
      </c>
      <c r="AG244" s="34" t="s">
        <v>646</v>
      </c>
      <c r="AJ244">
        <v>242</v>
      </c>
      <c r="AK244" t="s">
        <v>645</v>
      </c>
      <c r="AL244">
        <v>79</v>
      </c>
      <c r="AM244">
        <v>58</v>
      </c>
    </row>
    <row r="245" spans="2:39" x14ac:dyDescent="0.35">
      <c r="B245">
        <v>243</v>
      </c>
      <c r="C245" t="str">
        <f t="shared" si="8"/>
        <v>Garlic</v>
      </c>
      <c r="J245">
        <f t="shared" si="10"/>
        <v>82</v>
      </c>
      <c r="K245">
        <v>11</v>
      </c>
      <c r="L245" t="s">
        <v>343</v>
      </c>
      <c r="M245">
        <v>243</v>
      </c>
      <c r="N245" t="s">
        <v>646</v>
      </c>
      <c r="U245">
        <v>82</v>
      </c>
      <c r="V245" s="34">
        <v>14</v>
      </c>
      <c r="W245" t="s">
        <v>2218</v>
      </c>
      <c r="X245">
        <v>243</v>
      </c>
      <c r="Y245" t="s">
        <v>647</v>
      </c>
      <c r="AD245">
        <f t="shared" si="9"/>
        <v>243</v>
      </c>
      <c r="AE245">
        <v>84</v>
      </c>
      <c r="AF245">
        <v>59</v>
      </c>
      <c r="AG245" s="34" t="s">
        <v>647</v>
      </c>
      <c r="AJ245">
        <v>243</v>
      </c>
      <c r="AK245" t="s">
        <v>646</v>
      </c>
      <c r="AL245">
        <v>80</v>
      </c>
      <c r="AM245">
        <v>59</v>
      </c>
    </row>
    <row r="246" spans="2:39" x14ac:dyDescent="0.35">
      <c r="B246">
        <v>244</v>
      </c>
      <c r="C246" t="str">
        <f t="shared" si="8"/>
        <v>Pumpkin</v>
      </c>
      <c r="J246">
        <f t="shared" si="10"/>
        <v>83</v>
      </c>
      <c r="K246">
        <v>11</v>
      </c>
      <c r="L246" t="s">
        <v>343</v>
      </c>
      <c r="M246">
        <v>244</v>
      </c>
      <c r="N246" t="s">
        <v>647</v>
      </c>
      <c r="U246">
        <v>83</v>
      </c>
      <c r="V246" s="34">
        <v>13</v>
      </c>
      <c r="W246" t="s">
        <v>2218</v>
      </c>
      <c r="X246">
        <v>244</v>
      </c>
      <c r="Y246" t="s">
        <v>648</v>
      </c>
      <c r="AD246">
        <f t="shared" si="9"/>
        <v>244</v>
      </c>
      <c r="AE246">
        <v>85</v>
      </c>
      <c r="AF246">
        <v>60</v>
      </c>
      <c r="AG246" s="34" t="s">
        <v>648</v>
      </c>
      <c r="AJ246">
        <v>244</v>
      </c>
      <c r="AK246" t="s">
        <v>647</v>
      </c>
      <c r="AL246">
        <v>81</v>
      </c>
      <c r="AM246">
        <v>60</v>
      </c>
    </row>
    <row r="247" spans="2:39" x14ac:dyDescent="0.35">
      <c r="B247">
        <v>245</v>
      </c>
      <c r="C247" t="str">
        <f t="shared" si="8"/>
        <v>Cucumber</v>
      </c>
      <c r="J247">
        <f t="shared" si="10"/>
        <v>84</v>
      </c>
      <c r="K247">
        <v>11</v>
      </c>
      <c r="L247" t="s">
        <v>343</v>
      </c>
      <c r="M247">
        <v>245</v>
      </c>
      <c r="N247" t="s">
        <v>648</v>
      </c>
      <c r="U247">
        <v>84</v>
      </c>
      <c r="V247" s="34">
        <v>13</v>
      </c>
      <c r="W247" t="s">
        <v>2218</v>
      </c>
      <c r="X247">
        <v>245</v>
      </c>
      <c r="Y247" t="s">
        <v>649</v>
      </c>
      <c r="AD247">
        <f t="shared" si="9"/>
        <v>245</v>
      </c>
      <c r="AE247">
        <v>86</v>
      </c>
      <c r="AF247">
        <v>61</v>
      </c>
      <c r="AG247" s="34" t="s">
        <v>649</v>
      </c>
      <c r="AJ247">
        <v>245</v>
      </c>
      <c r="AK247" t="s">
        <v>648</v>
      </c>
      <c r="AL247">
        <v>82</v>
      </c>
      <c r="AM247">
        <v>61</v>
      </c>
    </row>
    <row r="248" spans="2:39" x14ac:dyDescent="0.35">
      <c r="B248">
        <v>246</v>
      </c>
      <c r="C248" t="str">
        <f t="shared" si="8"/>
        <v>Eggplant</v>
      </c>
      <c r="J248">
        <f t="shared" si="10"/>
        <v>85</v>
      </c>
      <c r="K248">
        <v>11</v>
      </c>
      <c r="L248" t="s">
        <v>343</v>
      </c>
      <c r="M248">
        <v>246</v>
      </c>
      <c r="N248" t="s">
        <v>649</v>
      </c>
      <c r="U248">
        <v>85</v>
      </c>
      <c r="V248" s="34">
        <v>13</v>
      </c>
      <c r="W248" t="s">
        <v>343</v>
      </c>
      <c r="X248">
        <v>246</v>
      </c>
      <c r="Y248" t="s">
        <v>650</v>
      </c>
      <c r="AD248">
        <f t="shared" si="9"/>
        <v>246</v>
      </c>
      <c r="AE248">
        <v>87</v>
      </c>
      <c r="AF248">
        <v>62</v>
      </c>
      <c r="AG248" s="34" t="s">
        <v>650</v>
      </c>
      <c r="AJ248">
        <v>246</v>
      </c>
      <c r="AK248" t="s">
        <v>649</v>
      </c>
      <c r="AL248">
        <v>83</v>
      </c>
      <c r="AM248">
        <v>62</v>
      </c>
    </row>
    <row r="249" spans="2:39" x14ac:dyDescent="0.35">
      <c r="B249">
        <v>247</v>
      </c>
      <c r="C249" t="str">
        <f t="shared" si="8"/>
        <v>Carrot</v>
      </c>
      <c r="J249">
        <f t="shared" si="10"/>
        <v>86</v>
      </c>
      <c r="K249">
        <v>11</v>
      </c>
      <c r="L249" t="s">
        <v>343</v>
      </c>
      <c r="M249">
        <v>247</v>
      </c>
      <c r="N249" t="s">
        <v>650</v>
      </c>
      <c r="U249">
        <v>86</v>
      </c>
      <c r="V249" s="34">
        <v>14</v>
      </c>
      <c r="W249" t="s">
        <v>2218</v>
      </c>
      <c r="X249">
        <v>247</v>
      </c>
      <c r="Y249" t="s">
        <v>651</v>
      </c>
      <c r="AD249">
        <f t="shared" si="9"/>
        <v>247</v>
      </c>
      <c r="AE249">
        <v>88</v>
      </c>
      <c r="AF249">
        <v>63</v>
      </c>
      <c r="AG249" s="34" t="s">
        <v>651</v>
      </c>
      <c r="AJ249">
        <v>247</v>
      </c>
      <c r="AK249" t="s">
        <v>650</v>
      </c>
      <c r="AL249">
        <v>84</v>
      </c>
      <c r="AM249">
        <v>63</v>
      </c>
    </row>
    <row r="250" spans="2:39" x14ac:dyDescent="0.35">
      <c r="B250">
        <v>248</v>
      </c>
      <c r="C250" t="str">
        <f t="shared" si="8"/>
        <v>Leeks</v>
      </c>
      <c r="J250">
        <f t="shared" si="10"/>
        <v>87</v>
      </c>
      <c r="K250">
        <v>11</v>
      </c>
      <c r="L250" t="s">
        <v>343</v>
      </c>
      <c r="M250">
        <v>248</v>
      </c>
      <c r="N250" t="s">
        <v>651</v>
      </c>
      <c r="U250">
        <v>87</v>
      </c>
      <c r="V250" s="34">
        <v>13</v>
      </c>
      <c r="W250" t="s">
        <v>2218</v>
      </c>
      <c r="X250">
        <v>248</v>
      </c>
      <c r="Y250" t="s">
        <v>652</v>
      </c>
      <c r="AD250">
        <f t="shared" si="9"/>
        <v>248</v>
      </c>
      <c r="AE250">
        <v>89</v>
      </c>
      <c r="AF250">
        <v>64</v>
      </c>
      <c r="AG250" s="34" t="s">
        <v>652</v>
      </c>
      <c r="AJ250">
        <v>248</v>
      </c>
      <c r="AK250" t="s">
        <v>651</v>
      </c>
      <c r="AL250">
        <v>85</v>
      </c>
      <c r="AM250">
        <v>64</v>
      </c>
    </row>
    <row r="251" spans="2:39" x14ac:dyDescent="0.35">
      <c r="B251">
        <v>249</v>
      </c>
      <c r="C251" t="str">
        <f t="shared" si="8"/>
        <v>Lettuce</v>
      </c>
      <c r="J251">
        <f t="shared" si="10"/>
        <v>88</v>
      </c>
      <c r="K251">
        <v>11</v>
      </c>
      <c r="L251" t="s">
        <v>343</v>
      </c>
      <c r="M251">
        <v>249</v>
      </c>
      <c r="N251" t="s">
        <v>652</v>
      </c>
      <c r="U251">
        <v>88</v>
      </c>
      <c r="V251" s="34">
        <v>13</v>
      </c>
      <c r="W251" t="s">
        <v>2218</v>
      </c>
      <c r="X251">
        <v>249</v>
      </c>
      <c r="Y251" t="s">
        <v>653</v>
      </c>
      <c r="AD251">
        <f t="shared" si="9"/>
        <v>249</v>
      </c>
      <c r="AE251">
        <v>90</v>
      </c>
      <c r="AF251">
        <v>65</v>
      </c>
      <c r="AG251" s="34" t="s">
        <v>653</v>
      </c>
      <c r="AJ251">
        <v>249</v>
      </c>
      <c r="AK251" t="s">
        <v>652</v>
      </c>
      <c r="AL251">
        <v>86</v>
      </c>
      <c r="AM251">
        <v>65</v>
      </c>
    </row>
    <row r="252" spans="2:39" x14ac:dyDescent="0.35">
      <c r="B252">
        <v>250</v>
      </c>
      <c r="C252" t="str">
        <f t="shared" si="8"/>
        <v>Celery</v>
      </c>
      <c r="J252">
        <f t="shared" si="10"/>
        <v>89</v>
      </c>
      <c r="K252">
        <v>11</v>
      </c>
      <c r="L252" t="s">
        <v>343</v>
      </c>
      <c r="M252">
        <v>250</v>
      </c>
      <c r="N252" t="s">
        <v>653</v>
      </c>
      <c r="U252">
        <v>89</v>
      </c>
      <c r="V252" s="34">
        <v>13</v>
      </c>
      <c r="W252" t="s">
        <v>2218</v>
      </c>
      <c r="X252">
        <v>250</v>
      </c>
      <c r="Y252" t="s">
        <v>654</v>
      </c>
      <c r="AD252">
        <f t="shared" si="9"/>
        <v>250</v>
      </c>
      <c r="AE252">
        <v>91</v>
      </c>
      <c r="AF252">
        <v>66</v>
      </c>
      <c r="AG252" s="34" t="s">
        <v>654</v>
      </c>
      <c r="AJ252">
        <v>250</v>
      </c>
      <c r="AK252" t="s">
        <v>653</v>
      </c>
      <c r="AL252">
        <v>87</v>
      </c>
      <c r="AM252">
        <v>66</v>
      </c>
    </row>
    <row r="253" spans="2:39" x14ac:dyDescent="0.35">
      <c r="B253">
        <v>251</v>
      </c>
      <c r="C253" t="str">
        <f t="shared" si="8"/>
        <v>Parsley</v>
      </c>
      <c r="J253">
        <f t="shared" si="10"/>
        <v>90</v>
      </c>
      <c r="K253">
        <v>11</v>
      </c>
      <c r="L253" t="s">
        <v>343</v>
      </c>
      <c r="M253">
        <v>251</v>
      </c>
      <c r="N253" t="s">
        <v>654</v>
      </c>
      <c r="U253">
        <v>90</v>
      </c>
      <c r="V253" s="34">
        <v>13</v>
      </c>
      <c r="W253" t="s">
        <v>343</v>
      </c>
      <c r="X253">
        <v>251</v>
      </c>
      <c r="Y253" t="s">
        <v>655</v>
      </c>
      <c r="AD253">
        <f t="shared" si="9"/>
        <v>251</v>
      </c>
      <c r="AE253">
        <v>92</v>
      </c>
      <c r="AF253">
        <v>67</v>
      </c>
      <c r="AG253" s="34" t="s">
        <v>655</v>
      </c>
      <c r="AJ253">
        <v>251</v>
      </c>
      <c r="AK253" t="s">
        <v>654</v>
      </c>
      <c r="AL253">
        <v>88</v>
      </c>
      <c r="AM253">
        <v>67</v>
      </c>
    </row>
    <row r="254" spans="2:39" x14ac:dyDescent="0.35">
      <c r="B254">
        <v>252</v>
      </c>
      <c r="C254" t="str">
        <f t="shared" si="8"/>
        <v>Mushrooms</v>
      </c>
      <c r="J254">
        <f t="shared" si="10"/>
        <v>91</v>
      </c>
      <c r="K254">
        <v>11</v>
      </c>
      <c r="L254" t="s">
        <v>343</v>
      </c>
      <c r="M254">
        <v>252</v>
      </c>
      <c r="N254" t="s">
        <v>655</v>
      </c>
      <c r="U254">
        <v>91</v>
      </c>
      <c r="V254" s="34">
        <v>14</v>
      </c>
      <c r="W254" t="s">
        <v>2218</v>
      </c>
      <c r="X254">
        <v>252</v>
      </c>
      <c r="Y254" t="s">
        <v>656</v>
      </c>
      <c r="AD254">
        <f t="shared" si="9"/>
        <v>252</v>
      </c>
      <c r="AE254">
        <v>93</v>
      </c>
      <c r="AF254">
        <v>68</v>
      </c>
      <c r="AG254" s="34" t="s">
        <v>656</v>
      </c>
      <c r="AJ254">
        <v>252</v>
      </c>
      <c r="AK254" t="s">
        <v>655</v>
      </c>
      <c r="AL254">
        <v>89</v>
      </c>
      <c r="AM254">
        <v>68</v>
      </c>
    </row>
    <row r="255" spans="2:39" x14ac:dyDescent="0.35">
      <c r="B255">
        <v>253</v>
      </c>
      <c r="C255" t="str">
        <f t="shared" si="8"/>
        <v>Cassava leaves</v>
      </c>
      <c r="J255">
        <f t="shared" si="10"/>
        <v>92</v>
      </c>
      <c r="K255">
        <v>11</v>
      </c>
      <c r="L255" t="s">
        <v>343</v>
      </c>
      <c r="M255">
        <v>253</v>
      </c>
      <c r="N255" t="s">
        <v>656</v>
      </c>
      <c r="U255">
        <v>92</v>
      </c>
      <c r="V255" s="34">
        <v>13</v>
      </c>
      <c r="W255" t="s">
        <v>2218</v>
      </c>
      <c r="X255">
        <v>253</v>
      </c>
      <c r="Y255" t="s">
        <v>657</v>
      </c>
      <c r="AD255">
        <f t="shared" si="9"/>
        <v>253</v>
      </c>
      <c r="AE255">
        <v>94</v>
      </c>
      <c r="AF255">
        <v>69</v>
      </c>
      <c r="AG255" s="34" t="s">
        <v>2695</v>
      </c>
      <c r="AJ255">
        <v>253</v>
      </c>
      <c r="AK255" t="s">
        <v>656</v>
      </c>
      <c r="AL255">
        <v>90</v>
      </c>
      <c r="AM255">
        <v>69</v>
      </c>
    </row>
    <row r="256" spans="2:39" x14ac:dyDescent="0.35">
      <c r="B256">
        <v>254</v>
      </c>
      <c r="C256" t="str">
        <f t="shared" si="8"/>
        <v>Amarante (small leafed green)</v>
      </c>
      <c r="J256">
        <f t="shared" si="10"/>
        <v>93</v>
      </c>
      <c r="K256">
        <v>11</v>
      </c>
      <c r="L256" t="s">
        <v>343</v>
      </c>
      <c r="M256">
        <v>254</v>
      </c>
      <c r="N256" t="s">
        <v>657</v>
      </c>
      <c r="U256">
        <v>93</v>
      </c>
      <c r="V256" s="34">
        <v>13</v>
      </c>
      <c r="W256" t="s">
        <v>2218</v>
      </c>
      <c r="X256">
        <v>254</v>
      </c>
      <c r="Y256" t="s">
        <v>658</v>
      </c>
      <c r="AD256">
        <f t="shared" si="9"/>
        <v>254</v>
      </c>
      <c r="AE256">
        <v>95</v>
      </c>
      <c r="AF256">
        <v>70</v>
      </c>
      <c r="AG256" s="34" t="s">
        <v>658</v>
      </c>
      <c r="AJ256">
        <v>254</v>
      </c>
      <c r="AK256" t="s">
        <v>657</v>
      </c>
      <c r="AL256">
        <v>91</v>
      </c>
      <c r="AM256">
        <v>70</v>
      </c>
    </row>
    <row r="257" spans="2:39" x14ac:dyDescent="0.35">
      <c r="B257">
        <v>255</v>
      </c>
      <c r="C257" t="str">
        <f t="shared" si="8"/>
        <v>Cabbages</v>
      </c>
      <c r="J257">
        <f t="shared" si="10"/>
        <v>94</v>
      </c>
      <c r="K257">
        <v>11</v>
      </c>
      <c r="L257" t="s">
        <v>343</v>
      </c>
      <c r="M257">
        <v>255</v>
      </c>
      <c r="N257" t="s">
        <v>658</v>
      </c>
      <c r="U257">
        <v>94</v>
      </c>
      <c r="V257" s="34">
        <v>13</v>
      </c>
      <c r="W257" t="s">
        <v>2218</v>
      </c>
      <c r="X257">
        <v>255</v>
      </c>
      <c r="Y257" t="s">
        <v>659</v>
      </c>
      <c r="AD257">
        <f t="shared" si="9"/>
        <v>255</v>
      </c>
      <c r="AE257">
        <v>96</v>
      </c>
      <c r="AF257">
        <v>71</v>
      </c>
      <c r="AG257" s="34" t="s">
        <v>659</v>
      </c>
      <c r="AJ257">
        <v>255</v>
      </c>
      <c r="AK257" t="s">
        <v>658</v>
      </c>
      <c r="AL257">
        <v>92</v>
      </c>
      <c r="AM257">
        <v>71</v>
      </c>
    </row>
    <row r="258" spans="2:39" x14ac:dyDescent="0.35">
      <c r="B258">
        <v>256</v>
      </c>
      <c r="C258" t="str">
        <f t="shared" si="8"/>
        <v>Spinach</v>
      </c>
      <c r="J258">
        <f t="shared" si="10"/>
        <v>95</v>
      </c>
      <c r="K258">
        <v>11</v>
      </c>
      <c r="L258" t="s">
        <v>343</v>
      </c>
      <c r="M258">
        <v>256</v>
      </c>
      <c r="N258" t="s">
        <v>659</v>
      </c>
      <c r="U258">
        <v>95</v>
      </c>
      <c r="V258" s="34">
        <v>13</v>
      </c>
      <c r="W258" t="s">
        <v>2218</v>
      </c>
      <c r="X258">
        <v>256</v>
      </c>
      <c r="Y258" t="s">
        <v>660</v>
      </c>
      <c r="AD258">
        <f t="shared" si="9"/>
        <v>256</v>
      </c>
      <c r="AE258">
        <v>97</v>
      </c>
      <c r="AF258">
        <v>72</v>
      </c>
      <c r="AG258" s="34" t="s">
        <v>2696</v>
      </c>
      <c r="AJ258">
        <v>256</v>
      </c>
      <c r="AK258" t="s">
        <v>659</v>
      </c>
      <c r="AL258">
        <v>93</v>
      </c>
      <c r="AM258">
        <v>72</v>
      </c>
    </row>
    <row r="259" spans="2:39" x14ac:dyDescent="0.35">
      <c r="B259">
        <v>257</v>
      </c>
      <c r="C259" t="str">
        <f t="shared" si="8"/>
        <v>Amarante (large leafed green)</v>
      </c>
      <c r="J259">
        <f t="shared" si="10"/>
        <v>96</v>
      </c>
      <c r="K259">
        <v>11</v>
      </c>
      <c r="L259" t="s">
        <v>343</v>
      </c>
      <c r="M259">
        <v>257</v>
      </c>
      <c r="N259" t="s">
        <v>660</v>
      </c>
      <c r="U259">
        <v>96</v>
      </c>
      <c r="V259" s="34">
        <v>13</v>
      </c>
      <c r="W259" t="s">
        <v>2218</v>
      </c>
      <c r="X259">
        <v>257</v>
      </c>
      <c r="Y259" t="s">
        <v>661</v>
      </c>
      <c r="AD259">
        <f t="shared" si="9"/>
        <v>257</v>
      </c>
      <c r="AE259">
        <v>98</v>
      </c>
      <c r="AF259">
        <v>73</v>
      </c>
      <c r="AG259" s="34" t="s">
        <v>661</v>
      </c>
      <c r="AJ259">
        <v>257</v>
      </c>
      <c r="AK259" t="s">
        <v>660</v>
      </c>
      <c r="AL259">
        <v>94</v>
      </c>
      <c r="AM259">
        <v>73</v>
      </c>
    </row>
    <row r="260" spans="2:39" x14ac:dyDescent="0.35">
      <c r="B260">
        <v>258</v>
      </c>
      <c r="C260" t="str">
        <f t="shared" si="8"/>
        <v>Other Vegetables</v>
      </c>
      <c r="J260">
        <f t="shared" si="10"/>
        <v>97</v>
      </c>
      <c r="K260">
        <v>11</v>
      </c>
      <c r="L260" t="s">
        <v>343</v>
      </c>
      <c r="M260">
        <v>258</v>
      </c>
      <c r="N260" t="s">
        <v>661</v>
      </c>
      <c r="U260">
        <v>97</v>
      </c>
      <c r="V260" s="34">
        <v>13</v>
      </c>
      <c r="W260" t="s">
        <v>343</v>
      </c>
      <c r="X260">
        <v>258</v>
      </c>
      <c r="Y260" t="s">
        <v>662</v>
      </c>
      <c r="AD260">
        <f t="shared" si="9"/>
        <v>258</v>
      </c>
      <c r="AE260">
        <v>99</v>
      </c>
      <c r="AF260">
        <v>75</v>
      </c>
      <c r="AG260" s="34" t="s">
        <v>662</v>
      </c>
      <c r="AJ260">
        <v>258</v>
      </c>
      <c r="AK260" t="s">
        <v>661</v>
      </c>
      <c r="AL260">
        <v>95</v>
      </c>
      <c r="AM260">
        <v>74</v>
      </c>
    </row>
    <row r="261" spans="2:39" x14ac:dyDescent="0.35">
      <c r="B261">
        <v>259</v>
      </c>
      <c r="C261" t="str">
        <f t="shared" si="8"/>
        <v>Pepper</v>
      </c>
      <c r="J261">
        <f t="shared" si="10"/>
        <v>98</v>
      </c>
      <c r="K261">
        <v>11</v>
      </c>
      <c r="L261" t="s">
        <v>343</v>
      </c>
      <c r="M261">
        <v>259</v>
      </c>
      <c r="N261" t="s">
        <v>662</v>
      </c>
      <c r="U261">
        <v>98</v>
      </c>
      <c r="V261" s="34">
        <v>14</v>
      </c>
      <c r="W261" t="s">
        <v>1317</v>
      </c>
      <c r="X261">
        <v>259</v>
      </c>
      <c r="Y261" t="s">
        <v>663</v>
      </c>
      <c r="AD261">
        <f t="shared" si="9"/>
        <v>259</v>
      </c>
      <c r="AE261">
        <v>100</v>
      </c>
      <c r="AF261">
        <v>76</v>
      </c>
      <c r="AG261" s="34" t="s">
        <v>663</v>
      </c>
      <c r="AJ261">
        <v>259</v>
      </c>
      <c r="AK261" t="s">
        <v>662</v>
      </c>
      <c r="AL261">
        <v>96</v>
      </c>
      <c r="AM261">
        <v>76</v>
      </c>
    </row>
    <row r="262" spans="2:39" x14ac:dyDescent="0.35">
      <c r="B262">
        <v>260</v>
      </c>
      <c r="C262" t="str">
        <f t="shared" si="8"/>
        <v>Ibishayote</v>
      </c>
      <c r="J262">
        <f t="shared" si="10"/>
        <v>99</v>
      </c>
      <c r="K262">
        <v>11</v>
      </c>
      <c r="L262" t="s">
        <v>343</v>
      </c>
      <c r="M262">
        <v>260</v>
      </c>
      <c r="N262" t="s">
        <v>728</v>
      </c>
      <c r="U262">
        <v>99</v>
      </c>
      <c r="V262" s="34">
        <v>13</v>
      </c>
      <c r="W262" t="s">
        <v>1318</v>
      </c>
      <c r="X262">
        <v>260</v>
      </c>
      <c r="Y262" t="s">
        <v>664</v>
      </c>
      <c r="AD262">
        <f t="shared" si="9"/>
        <v>260</v>
      </c>
      <c r="AE262">
        <v>101</v>
      </c>
      <c r="AF262">
        <v>77</v>
      </c>
      <c r="AG262" s="34" t="s">
        <v>664</v>
      </c>
      <c r="AJ262">
        <v>260</v>
      </c>
      <c r="AK262" t="s">
        <v>728</v>
      </c>
      <c r="AM262">
        <v>75</v>
      </c>
    </row>
    <row r="263" spans="2:39" x14ac:dyDescent="0.35">
      <c r="B263">
        <v>261</v>
      </c>
      <c r="C263" t="str">
        <f t="shared" si="8"/>
        <v>Irish Potato</v>
      </c>
      <c r="J263">
        <f t="shared" si="10"/>
        <v>100</v>
      </c>
      <c r="K263">
        <v>10.1</v>
      </c>
      <c r="L263" t="s">
        <v>1317</v>
      </c>
      <c r="M263">
        <v>261</v>
      </c>
      <c r="N263" t="s">
        <v>663</v>
      </c>
      <c r="U263">
        <v>100</v>
      </c>
      <c r="V263" s="34">
        <v>10</v>
      </c>
      <c r="W263" t="s">
        <v>333</v>
      </c>
      <c r="X263">
        <v>261</v>
      </c>
      <c r="Y263" t="s">
        <v>665</v>
      </c>
      <c r="AD263">
        <f t="shared" si="9"/>
        <v>261</v>
      </c>
      <c r="AE263">
        <v>102</v>
      </c>
      <c r="AF263">
        <v>78</v>
      </c>
      <c r="AG263" s="34" t="s">
        <v>2697</v>
      </c>
      <c r="AJ263">
        <v>261</v>
      </c>
      <c r="AK263" t="s">
        <v>663</v>
      </c>
      <c r="AL263">
        <v>97</v>
      </c>
      <c r="AM263">
        <v>77</v>
      </c>
    </row>
    <row r="264" spans="2:39" x14ac:dyDescent="0.35">
      <c r="B264">
        <v>262</v>
      </c>
      <c r="C264" t="str">
        <f t="shared" si="8"/>
        <v>Sweet potato</v>
      </c>
      <c r="J264">
        <f t="shared" si="10"/>
        <v>101</v>
      </c>
      <c r="K264">
        <v>10.199999999999999</v>
      </c>
      <c r="L264" t="s">
        <v>1318</v>
      </c>
      <c r="M264">
        <v>262</v>
      </c>
      <c r="N264" t="s">
        <v>664</v>
      </c>
      <c r="U264">
        <v>101</v>
      </c>
      <c r="V264" s="34">
        <v>11</v>
      </c>
      <c r="W264" t="s">
        <v>332</v>
      </c>
      <c r="X264">
        <v>262</v>
      </c>
      <c r="Y264" t="s">
        <v>666</v>
      </c>
      <c r="AD264">
        <f t="shared" si="9"/>
        <v>262</v>
      </c>
      <c r="AE264">
        <v>103</v>
      </c>
      <c r="AF264">
        <v>79</v>
      </c>
      <c r="AG264" s="34" t="s">
        <v>666</v>
      </c>
      <c r="AJ264">
        <v>262</v>
      </c>
      <c r="AK264" t="s">
        <v>664</v>
      </c>
      <c r="AL264">
        <v>98</v>
      </c>
      <c r="AM264">
        <v>78</v>
      </c>
    </row>
    <row r="265" spans="2:39" x14ac:dyDescent="0.35">
      <c r="B265">
        <v>263</v>
      </c>
      <c r="C265" t="str">
        <f t="shared" si="8"/>
        <v>Cassava (root)</v>
      </c>
      <c r="J265">
        <f t="shared" si="10"/>
        <v>102</v>
      </c>
      <c r="K265">
        <v>9</v>
      </c>
      <c r="L265" t="s">
        <v>333</v>
      </c>
      <c r="M265">
        <v>263</v>
      </c>
      <c r="N265" t="s">
        <v>665</v>
      </c>
      <c r="U265">
        <v>102</v>
      </c>
      <c r="V265" s="34">
        <v>9</v>
      </c>
      <c r="W265" t="s">
        <v>332</v>
      </c>
      <c r="X265">
        <v>263</v>
      </c>
      <c r="Y265" t="s">
        <v>667</v>
      </c>
      <c r="AD265">
        <f t="shared" si="9"/>
        <v>263</v>
      </c>
      <c r="AE265">
        <v>104</v>
      </c>
      <c r="AF265">
        <v>80</v>
      </c>
      <c r="AG265" s="34" t="s">
        <v>667</v>
      </c>
      <c r="AJ265">
        <v>263</v>
      </c>
      <c r="AK265" t="s">
        <v>665</v>
      </c>
      <c r="AL265">
        <v>99</v>
      </c>
      <c r="AM265">
        <v>79</v>
      </c>
    </row>
    <row r="266" spans="2:39" x14ac:dyDescent="0.35">
      <c r="B266">
        <v>264</v>
      </c>
      <c r="C266" t="str">
        <f t="shared" si="8"/>
        <v>Tarot/amateke</v>
      </c>
      <c r="J266">
        <f t="shared" si="10"/>
        <v>103</v>
      </c>
      <c r="K266">
        <v>10.3</v>
      </c>
      <c r="L266" t="s">
        <v>332</v>
      </c>
      <c r="M266">
        <v>264</v>
      </c>
      <c r="N266" t="s">
        <v>666</v>
      </c>
      <c r="U266">
        <v>103</v>
      </c>
      <c r="V266" s="34">
        <v>12</v>
      </c>
      <c r="W266" t="s">
        <v>332</v>
      </c>
      <c r="X266">
        <v>264</v>
      </c>
      <c r="Y266" t="s">
        <v>668</v>
      </c>
      <c r="AD266">
        <f t="shared" si="9"/>
        <v>264</v>
      </c>
      <c r="AE266">
        <v>105</v>
      </c>
      <c r="AF266">
        <v>81</v>
      </c>
      <c r="AG266" s="34" t="s">
        <v>668</v>
      </c>
      <c r="AJ266">
        <v>264</v>
      </c>
      <c r="AK266" t="s">
        <v>666</v>
      </c>
      <c r="AL266">
        <v>100</v>
      </c>
      <c r="AM266">
        <v>80</v>
      </c>
    </row>
    <row r="267" spans="2:39" x14ac:dyDescent="0.35">
      <c r="B267">
        <v>265</v>
      </c>
      <c r="C267" t="str">
        <f t="shared" si="8"/>
        <v>Yams/Ibikoro</v>
      </c>
      <c r="J267">
        <f t="shared" si="10"/>
        <v>104</v>
      </c>
      <c r="K267">
        <v>10.3</v>
      </c>
      <c r="L267" t="s">
        <v>332</v>
      </c>
      <c r="M267">
        <v>265</v>
      </c>
      <c r="N267" t="s">
        <v>667</v>
      </c>
      <c r="U267">
        <v>104</v>
      </c>
      <c r="V267" s="34">
        <v>12</v>
      </c>
      <c r="W267" t="s">
        <v>333</v>
      </c>
      <c r="X267">
        <v>265</v>
      </c>
      <c r="Y267" t="s">
        <v>669</v>
      </c>
      <c r="AD267">
        <f t="shared" si="9"/>
        <v>265</v>
      </c>
      <c r="AE267">
        <v>106</v>
      </c>
      <c r="AF267">
        <v>82</v>
      </c>
      <c r="AG267" s="34" t="s">
        <v>2698</v>
      </c>
      <c r="AJ267">
        <v>265</v>
      </c>
      <c r="AK267" t="s">
        <v>667</v>
      </c>
      <c r="AL267">
        <v>101</v>
      </c>
      <c r="AM267">
        <v>81</v>
      </c>
    </row>
    <row r="268" spans="2:39" x14ac:dyDescent="0.35">
      <c r="B268">
        <v>266</v>
      </c>
      <c r="C268" t="str">
        <f t="shared" si="8"/>
        <v>Other tubers</v>
      </c>
      <c r="J268">
        <f t="shared" si="10"/>
        <v>105</v>
      </c>
      <c r="K268">
        <v>10.3</v>
      </c>
      <c r="L268" t="s">
        <v>332</v>
      </c>
      <c r="M268">
        <v>266</v>
      </c>
      <c r="N268" t="s">
        <v>668</v>
      </c>
      <c r="U268">
        <v>105</v>
      </c>
      <c r="V268" s="34">
        <v>12</v>
      </c>
      <c r="W268" t="s">
        <v>333</v>
      </c>
      <c r="X268">
        <v>266</v>
      </c>
      <c r="Y268" t="s">
        <v>670</v>
      </c>
      <c r="AD268">
        <f t="shared" si="9"/>
        <v>266</v>
      </c>
      <c r="AE268">
        <v>107</v>
      </c>
      <c r="AF268">
        <v>84</v>
      </c>
      <c r="AG268" s="34" t="s">
        <v>2699</v>
      </c>
      <c r="AJ268">
        <v>266</v>
      </c>
      <c r="AK268" t="s">
        <v>668</v>
      </c>
      <c r="AL268">
        <v>102</v>
      </c>
      <c r="AM268">
        <v>82</v>
      </c>
    </row>
    <row r="269" spans="2:39" x14ac:dyDescent="0.35">
      <c r="B269">
        <v>267</v>
      </c>
      <c r="C269" t="str">
        <f t="shared" si="8"/>
        <v>Cassava (fermented)</v>
      </c>
      <c r="J269">
        <f t="shared" si="10"/>
        <v>106</v>
      </c>
      <c r="K269">
        <v>9</v>
      </c>
      <c r="L269" t="s">
        <v>333</v>
      </c>
      <c r="M269">
        <v>267</v>
      </c>
      <c r="N269" t="s">
        <v>669</v>
      </c>
      <c r="U269">
        <v>106</v>
      </c>
      <c r="V269" s="34">
        <v>9</v>
      </c>
      <c r="W269" t="s">
        <v>333</v>
      </c>
      <c r="X269">
        <v>267</v>
      </c>
      <c r="Y269" t="s">
        <v>2700</v>
      </c>
      <c r="AD269">
        <f t="shared" si="9"/>
        <v>267</v>
      </c>
      <c r="AE269">
        <v>108</v>
      </c>
      <c r="AF269">
        <v>85</v>
      </c>
      <c r="AG269" s="34" t="s">
        <v>2701</v>
      </c>
      <c r="AJ269">
        <v>267</v>
      </c>
      <c r="AK269" t="s">
        <v>669</v>
      </c>
      <c r="AL269">
        <v>103</v>
      </c>
      <c r="AM269">
        <v>83</v>
      </c>
    </row>
    <row r="270" spans="2:39" x14ac:dyDescent="0.35">
      <c r="B270">
        <v>268</v>
      </c>
      <c r="C270" t="str">
        <f t="shared" si="8"/>
        <v>Cassava (flour)</v>
      </c>
      <c r="J270">
        <f t="shared" si="10"/>
        <v>107</v>
      </c>
      <c r="K270">
        <v>9</v>
      </c>
      <c r="L270" t="s">
        <v>333</v>
      </c>
      <c r="M270">
        <v>268</v>
      </c>
      <c r="N270" t="s">
        <v>670</v>
      </c>
      <c r="U270">
        <v>107</v>
      </c>
      <c r="V270" s="34">
        <v>9</v>
      </c>
      <c r="W270" t="s">
        <v>333</v>
      </c>
      <c r="X270">
        <v>268</v>
      </c>
      <c r="Y270" t="s">
        <v>2702</v>
      </c>
      <c r="AD270">
        <f t="shared" si="9"/>
        <v>268</v>
      </c>
      <c r="AE270">
        <v>109</v>
      </c>
      <c r="AG270" s="34" t="s">
        <v>2703</v>
      </c>
      <c r="AJ270">
        <v>268</v>
      </c>
      <c r="AK270" t="s">
        <v>670</v>
      </c>
      <c r="AL270">
        <v>104</v>
      </c>
      <c r="AM270">
        <v>84</v>
      </c>
    </row>
    <row r="271" spans="2:39" x14ac:dyDescent="0.35">
      <c r="B271">
        <v>269</v>
      </c>
      <c r="C271" t="str">
        <f t="shared" si="8"/>
        <v>Sugar (local)</v>
      </c>
      <c r="J271">
        <f t="shared" si="10"/>
        <v>108</v>
      </c>
      <c r="K271">
        <v>38</v>
      </c>
      <c r="L271" t="s">
        <v>346</v>
      </c>
      <c r="M271">
        <v>269</v>
      </c>
      <c r="N271" t="s">
        <v>671</v>
      </c>
      <c r="U271">
        <v>108</v>
      </c>
      <c r="V271" s="34">
        <v>50</v>
      </c>
      <c r="W271" t="s">
        <v>346</v>
      </c>
      <c r="X271">
        <v>269</v>
      </c>
      <c r="Y271" t="s">
        <v>671</v>
      </c>
      <c r="AD271">
        <f t="shared" si="9"/>
        <v>269</v>
      </c>
      <c r="AE271">
        <v>110</v>
      </c>
      <c r="AG271" s="34" t="s">
        <v>2704</v>
      </c>
      <c r="AJ271">
        <v>269</v>
      </c>
      <c r="AK271" t="s">
        <v>671</v>
      </c>
      <c r="AL271">
        <v>105</v>
      </c>
      <c r="AM271">
        <v>85</v>
      </c>
    </row>
    <row r="272" spans="2:39" x14ac:dyDescent="0.35">
      <c r="B272">
        <v>270</v>
      </c>
      <c r="C272" t="str">
        <f t="shared" si="8"/>
        <v>Sugar  (imported)</v>
      </c>
      <c r="J272">
        <f t="shared" si="10"/>
        <v>109</v>
      </c>
      <c r="K272">
        <v>38</v>
      </c>
      <c r="L272" t="s">
        <v>346</v>
      </c>
      <c r="M272">
        <v>270</v>
      </c>
      <c r="N272" t="s">
        <v>672</v>
      </c>
      <c r="U272">
        <v>109</v>
      </c>
      <c r="V272" s="34">
        <v>50</v>
      </c>
      <c r="W272" t="s">
        <v>346</v>
      </c>
      <c r="X272">
        <v>270</v>
      </c>
      <c r="Y272" t="s">
        <v>672</v>
      </c>
      <c r="AD272">
        <f t="shared" si="9"/>
        <v>270</v>
      </c>
      <c r="AE272">
        <v>111</v>
      </c>
      <c r="AG272" s="34" t="s">
        <v>2705</v>
      </c>
      <c r="AJ272">
        <v>270</v>
      </c>
      <c r="AK272" t="s">
        <v>672</v>
      </c>
      <c r="AL272">
        <v>106</v>
      </c>
    </row>
    <row r="273" spans="2:39" x14ac:dyDescent="0.35">
      <c r="B273">
        <v>271</v>
      </c>
      <c r="C273" t="str">
        <f t="shared" si="8"/>
        <v>Sugarcane</v>
      </c>
      <c r="J273">
        <f t="shared" si="10"/>
        <v>110</v>
      </c>
      <c r="K273">
        <v>12</v>
      </c>
      <c r="L273" t="s">
        <v>357</v>
      </c>
      <c r="M273">
        <v>271</v>
      </c>
      <c r="N273" t="s">
        <v>673</v>
      </c>
      <c r="U273">
        <v>110</v>
      </c>
      <c r="V273" s="34">
        <v>15</v>
      </c>
      <c r="W273" t="s">
        <v>357</v>
      </c>
      <c r="X273">
        <v>271</v>
      </c>
      <c r="Y273" t="s">
        <v>673</v>
      </c>
      <c r="AD273">
        <f t="shared" si="9"/>
        <v>271</v>
      </c>
      <c r="AE273">
        <v>112</v>
      </c>
      <c r="AF273">
        <v>86</v>
      </c>
      <c r="AG273" s="34" t="s">
        <v>673</v>
      </c>
      <c r="AJ273">
        <v>271</v>
      </c>
      <c r="AK273" t="s">
        <v>673</v>
      </c>
      <c r="AL273">
        <v>107</v>
      </c>
    </row>
    <row r="274" spans="2:39" x14ac:dyDescent="0.35">
      <c r="B274">
        <v>272</v>
      </c>
      <c r="C274" t="str">
        <f t="shared" si="8"/>
        <v>Jam, marmalade</v>
      </c>
      <c r="J274">
        <f t="shared" si="10"/>
        <v>111</v>
      </c>
      <c r="K274">
        <v>39.299999999999997</v>
      </c>
      <c r="L274" t="s">
        <v>336</v>
      </c>
      <c r="M274">
        <v>272</v>
      </c>
      <c r="N274" t="s">
        <v>674</v>
      </c>
      <c r="U274">
        <v>111</v>
      </c>
      <c r="V274" s="34">
        <v>53</v>
      </c>
      <c r="W274" t="s">
        <v>336</v>
      </c>
      <c r="X274">
        <v>272</v>
      </c>
      <c r="Y274" t="s">
        <v>674</v>
      </c>
      <c r="AD274">
        <f t="shared" si="9"/>
        <v>272</v>
      </c>
      <c r="AE274">
        <v>113</v>
      </c>
      <c r="AG274" s="34" t="s">
        <v>674</v>
      </c>
      <c r="AJ274">
        <v>272</v>
      </c>
      <c r="AK274" t="s">
        <v>674</v>
      </c>
      <c r="AL274">
        <v>108</v>
      </c>
    </row>
    <row r="275" spans="2:39" x14ac:dyDescent="0.35">
      <c r="B275">
        <v>273</v>
      </c>
      <c r="C275" t="str">
        <f t="shared" si="8"/>
        <v>Honey</v>
      </c>
      <c r="J275">
        <f t="shared" si="10"/>
        <v>112</v>
      </c>
      <c r="K275">
        <v>39.299999999999997</v>
      </c>
      <c r="L275" t="s">
        <v>336</v>
      </c>
      <c r="M275">
        <v>273</v>
      </c>
      <c r="N275" t="s">
        <v>675</v>
      </c>
      <c r="U275">
        <v>112</v>
      </c>
      <c r="V275" s="34">
        <v>53</v>
      </c>
      <c r="W275" t="s">
        <v>336</v>
      </c>
      <c r="X275">
        <v>273</v>
      </c>
      <c r="Y275" t="s">
        <v>675</v>
      </c>
      <c r="AD275">
        <f t="shared" si="9"/>
        <v>273</v>
      </c>
      <c r="AE275">
        <v>114</v>
      </c>
      <c r="AF275">
        <v>87</v>
      </c>
      <c r="AG275" s="34" t="s">
        <v>675</v>
      </c>
      <c r="AJ275">
        <v>273</v>
      </c>
      <c r="AK275" t="s">
        <v>675</v>
      </c>
      <c r="AL275">
        <v>109</v>
      </c>
      <c r="AM275">
        <v>86</v>
      </c>
    </row>
    <row r="276" spans="2:39" x14ac:dyDescent="0.35">
      <c r="B276">
        <v>274</v>
      </c>
      <c r="C276" t="str">
        <f t="shared" si="8"/>
        <v>Chocolate</v>
      </c>
      <c r="J276">
        <f t="shared" si="10"/>
        <v>113</v>
      </c>
      <c r="K276">
        <v>39.299999999999997</v>
      </c>
      <c r="L276" t="s">
        <v>336</v>
      </c>
      <c r="M276">
        <v>274</v>
      </c>
      <c r="N276" t="s">
        <v>676</v>
      </c>
      <c r="U276">
        <v>113</v>
      </c>
      <c r="V276" s="34">
        <v>53</v>
      </c>
      <c r="W276" t="s">
        <v>336</v>
      </c>
      <c r="X276">
        <v>274</v>
      </c>
      <c r="Y276" t="s">
        <v>676</v>
      </c>
      <c r="AD276">
        <f t="shared" si="9"/>
        <v>274</v>
      </c>
      <c r="AE276">
        <v>115</v>
      </c>
      <c r="AG276" s="34" t="s">
        <v>676</v>
      </c>
      <c r="AJ276">
        <v>274</v>
      </c>
      <c r="AK276" t="s">
        <v>676</v>
      </c>
      <c r="AL276">
        <v>110</v>
      </c>
    </row>
    <row r="277" spans="2:39" x14ac:dyDescent="0.35">
      <c r="B277">
        <v>275</v>
      </c>
      <c r="C277" t="str">
        <f t="shared" si="8"/>
        <v>Candy / Gum</v>
      </c>
      <c r="J277">
        <f t="shared" si="10"/>
        <v>114</v>
      </c>
      <c r="K277">
        <v>39.299999999999997</v>
      </c>
      <c r="L277" t="s">
        <v>336</v>
      </c>
      <c r="M277">
        <v>275</v>
      </c>
      <c r="N277" t="s">
        <v>677</v>
      </c>
      <c r="U277">
        <v>114</v>
      </c>
      <c r="V277" s="34">
        <v>53</v>
      </c>
      <c r="W277" t="s">
        <v>336</v>
      </c>
      <c r="X277">
        <v>275</v>
      </c>
      <c r="Y277" t="s">
        <v>677</v>
      </c>
      <c r="AD277">
        <f t="shared" si="9"/>
        <v>275</v>
      </c>
      <c r="AE277">
        <v>116</v>
      </c>
      <c r="AG277" s="34" t="s">
        <v>677</v>
      </c>
      <c r="AJ277">
        <v>275</v>
      </c>
      <c r="AK277" t="s">
        <v>677</v>
      </c>
      <c r="AL277">
        <v>111</v>
      </c>
    </row>
    <row r="278" spans="2:39" x14ac:dyDescent="0.35">
      <c r="B278">
        <v>276</v>
      </c>
      <c r="C278" t="str">
        <f t="shared" si="8"/>
        <v>Powdered juice(super dip)</v>
      </c>
      <c r="J278">
        <f t="shared" si="10"/>
        <v>115</v>
      </c>
      <c r="K278">
        <v>39.299999999999997</v>
      </c>
      <c r="L278" t="s">
        <v>336</v>
      </c>
      <c r="M278">
        <v>276</v>
      </c>
      <c r="N278" t="s">
        <v>678</v>
      </c>
      <c r="U278">
        <v>115</v>
      </c>
      <c r="V278" s="34">
        <v>53</v>
      </c>
      <c r="W278" t="s">
        <v>336</v>
      </c>
      <c r="X278">
        <v>276</v>
      </c>
      <c r="Y278" t="s">
        <v>678</v>
      </c>
      <c r="AD278">
        <f t="shared" si="9"/>
        <v>276</v>
      </c>
      <c r="AE278">
        <v>117</v>
      </c>
      <c r="AG278" s="34" t="s">
        <v>2706</v>
      </c>
      <c r="AJ278">
        <v>276</v>
      </c>
      <c r="AK278" t="s">
        <v>678</v>
      </c>
      <c r="AL278">
        <v>112</v>
      </c>
    </row>
    <row r="279" spans="2:39" x14ac:dyDescent="0.35">
      <c r="B279">
        <v>277</v>
      </c>
      <c r="C279" t="str">
        <f t="shared" si="8"/>
        <v>Salt</v>
      </c>
      <c r="J279">
        <f t="shared" si="10"/>
        <v>116</v>
      </c>
      <c r="K279">
        <v>39.299999999999997</v>
      </c>
      <c r="L279" t="s">
        <v>336</v>
      </c>
      <c r="M279">
        <v>277</v>
      </c>
      <c r="N279" t="s">
        <v>679</v>
      </c>
      <c r="U279">
        <v>116</v>
      </c>
      <c r="V279" s="34">
        <v>53</v>
      </c>
      <c r="W279" t="s">
        <v>336</v>
      </c>
      <c r="X279">
        <v>277</v>
      </c>
      <c r="Y279" t="s">
        <v>679</v>
      </c>
      <c r="AD279">
        <f t="shared" si="9"/>
        <v>277</v>
      </c>
      <c r="AE279">
        <v>118</v>
      </c>
      <c r="AG279" s="34" t="s">
        <v>679</v>
      </c>
      <c r="AJ279">
        <v>277</v>
      </c>
      <c r="AK279" t="s">
        <v>679</v>
      </c>
      <c r="AL279">
        <v>113</v>
      </c>
    </row>
    <row r="280" spans="2:39" x14ac:dyDescent="0.35">
      <c r="B280">
        <v>278</v>
      </c>
      <c r="C280" t="str">
        <f t="shared" si="8"/>
        <v>Pepper(ground / liquid)</v>
      </c>
      <c r="J280">
        <f t="shared" si="10"/>
        <v>117</v>
      </c>
      <c r="K280">
        <v>39.299999999999997</v>
      </c>
      <c r="L280" t="s">
        <v>336</v>
      </c>
      <c r="M280">
        <v>278</v>
      </c>
      <c r="N280" t="s">
        <v>680</v>
      </c>
      <c r="U280">
        <v>117</v>
      </c>
      <c r="V280" s="34">
        <v>53</v>
      </c>
      <c r="W280" t="s">
        <v>336</v>
      </c>
      <c r="X280">
        <v>278</v>
      </c>
      <c r="Y280" t="s">
        <v>680</v>
      </c>
      <c r="AD280">
        <f t="shared" si="9"/>
        <v>278</v>
      </c>
      <c r="AE280">
        <v>119</v>
      </c>
      <c r="AF280">
        <v>88</v>
      </c>
      <c r="AG280" s="34" t="s">
        <v>2707</v>
      </c>
      <c r="AJ280">
        <v>278</v>
      </c>
      <c r="AK280" t="s">
        <v>680</v>
      </c>
      <c r="AL280">
        <v>114</v>
      </c>
      <c r="AM280">
        <v>87</v>
      </c>
    </row>
    <row r="281" spans="2:39" x14ac:dyDescent="0.35">
      <c r="B281">
        <v>279</v>
      </c>
      <c r="C281" t="str">
        <f t="shared" si="8"/>
        <v>Vinegar</v>
      </c>
      <c r="J281">
        <f t="shared" si="10"/>
        <v>118</v>
      </c>
      <c r="K281">
        <v>39.299999999999997</v>
      </c>
      <c r="L281" t="s">
        <v>336</v>
      </c>
      <c r="M281">
        <v>279</v>
      </c>
      <c r="N281" t="s">
        <v>681</v>
      </c>
      <c r="U281">
        <v>118</v>
      </c>
      <c r="V281" s="34">
        <v>53</v>
      </c>
      <c r="W281" t="s">
        <v>336</v>
      </c>
      <c r="X281">
        <v>279</v>
      </c>
      <c r="Y281" t="s">
        <v>681</v>
      </c>
      <c r="AD281">
        <f t="shared" si="9"/>
        <v>279</v>
      </c>
      <c r="AE281">
        <v>120</v>
      </c>
      <c r="AG281" s="34" t="s">
        <v>681</v>
      </c>
      <c r="AJ281">
        <v>279</v>
      </c>
      <c r="AK281" t="s">
        <v>681</v>
      </c>
      <c r="AL281">
        <v>115</v>
      </c>
    </row>
    <row r="282" spans="2:39" x14ac:dyDescent="0.35">
      <c r="B282">
        <v>280</v>
      </c>
      <c r="C282" t="str">
        <f t="shared" si="8"/>
        <v>Mayonnaise</v>
      </c>
      <c r="J282">
        <f t="shared" si="10"/>
        <v>119</v>
      </c>
      <c r="K282">
        <v>39.299999999999997</v>
      </c>
      <c r="L282" t="s">
        <v>336</v>
      </c>
      <c r="M282">
        <v>280</v>
      </c>
      <c r="N282" t="s">
        <v>682</v>
      </c>
      <c r="U282">
        <v>119</v>
      </c>
      <c r="V282" s="34">
        <v>53</v>
      </c>
      <c r="W282" t="s">
        <v>336</v>
      </c>
      <c r="X282">
        <v>280</v>
      </c>
      <c r="Y282" t="s">
        <v>682</v>
      </c>
      <c r="AD282">
        <f t="shared" si="9"/>
        <v>280</v>
      </c>
      <c r="AE282">
        <v>121</v>
      </c>
      <c r="AG282" s="34" t="s">
        <v>682</v>
      </c>
      <c r="AJ282">
        <v>280</v>
      </c>
      <c r="AK282" t="s">
        <v>682</v>
      </c>
      <c r="AL282">
        <v>116</v>
      </c>
    </row>
    <row r="283" spans="2:39" x14ac:dyDescent="0.35">
      <c r="B283">
        <v>281</v>
      </c>
      <c r="C283" t="str">
        <f t="shared" si="8"/>
        <v>Tomato concentrate</v>
      </c>
      <c r="J283">
        <f t="shared" si="10"/>
        <v>120</v>
      </c>
      <c r="K283">
        <v>39.299999999999997</v>
      </c>
      <c r="L283" t="s">
        <v>336</v>
      </c>
      <c r="M283">
        <v>281</v>
      </c>
      <c r="N283" t="s">
        <v>683</v>
      </c>
      <c r="U283">
        <v>120</v>
      </c>
      <c r="V283" s="34">
        <v>43</v>
      </c>
      <c r="W283" t="s">
        <v>764</v>
      </c>
      <c r="X283">
        <v>281</v>
      </c>
      <c r="Y283" t="s">
        <v>683</v>
      </c>
      <c r="AD283">
        <f t="shared" si="9"/>
        <v>281</v>
      </c>
      <c r="AE283">
        <v>122</v>
      </c>
      <c r="AG283" s="34" t="s">
        <v>683</v>
      </c>
      <c r="AJ283">
        <v>281</v>
      </c>
      <c r="AK283" t="s">
        <v>683</v>
      </c>
      <c r="AL283">
        <v>117</v>
      </c>
    </row>
    <row r="284" spans="2:39" x14ac:dyDescent="0.35">
      <c r="B284">
        <v>282</v>
      </c>
      <c r="C284" t="str">
        <f t="shared" si="8"/>
        <v>Pepper-raw</v>
      </c>
      <c r="J284">
        <f t="shared" si="10"/>
        <v>121</v>
      </c>
      <c r="K284">
        <v>39.299999999999997</v>
      </c>
      <c r="L284" t="s">
        <v>336</v>
      </c>
      <c r="M284">
        <v>282</v>
      </c>
      <c r="N284" t="s">
        <v>684</v>
      </c>
      <c r="U284">
        <v>121</v>
      </c>
      <c r="V284" s="34">
        <v>43</v>
      </c>
      <c r="W284" t="s">
        <v>764</v>
      </c>
      <c r="X284">
        <v>282</v>
      </c>
      <c r="Y284" t="s">
        <v>684</v>
      </c>
      <c r="AD284">
        <f t="shared" si="9"/>
        <v>282</v>
      </c>
      <c r="AE284">
        <v>123</v>
      </c>
      <c r="AF284">
        <v>89</v>
      </c>
      <c r="AG284" s="34" t="s">
        <v>684</v>
      </c>
      <c r="AJ284">
        <v>282</v>
      </c>
      <c r="AK284" t="s">
        <v>684</v>
      </c>
      <c r="AL284">
        <v>118</v>
      </c>
      <c r="AM284">
        <v>88</v>
      </c>
    </row>
    <row r="285" spans="2:39" x14ac:dyDescent="0.35">
      <c r="B285">
        <v>283</v>
      </c>
      <c r="C285" t="str">
        <f t="shared" si="8"/>
        <v>Boullion cubes(MAGGI)</v>
      </c>
      <c r="J285">
        <f t="shared" si="10"/>
        <v>122</v>
      </c>
      <c r="K285">
        <v>39.299999999999997</v>
      </c>
      <c r="L285" t="s">
        <v>336</v>
      </c>
      <c r="M285">
        <v>283</v>
      </c>
      <c r="N285" t="s">
        <v>685</v>
      </c>
      <c r="U285">
        <v>122</v>
      </c>
      <c r="V285" s="34">
        <v>53</v>
      </c>
      <c r="W285" t="s">
        <v>336</v>
      </c>
      <c r="X285">
        <v>283</v>
      </c>
      <c r="Y285" t="s">
        <v>685</v>
      </c>
      <c r="AD285">
        <f t="shared" si="9"/>
        <v>283</v>
      </c>
      <c r="AE285">
        <v>124</v>
      </c>
      <c r="AG285" s="34" t="s">
        <v>2708</v>
      </c>
      <c r="AJ285">
        <v>283</v>
      </c>
      <c r="AK285" t="s">
        <v>685</v>
      </c>
      <c r="AL285">
        <v>119</v>
      </c>
    </row>
    <row r="286" spans="2:39" x14ac:dyDescent="0.35">
      <c r="B286">
        <v>284</v>
      </c>
      <c r="C286" t="str">
        <f t="shared" si="8"/>
        <v>Baby food</v>
      </c>
      <c r="J286">
        <f t="shared" si="10"/>
        <v>123</v>
      </c>
      <c r="K286">
        <v>39.299999999999997</v>
      </c>
      <c r="L286" t="s">
        <v>336</v>
      </c>
      <c r="M286">
        <v>284</v>
      </c>
      <c r="N286" t="s">
        <v>686</v>
      </c>
      <c r="U286">
        <v>123</v>
      </c>
      <c r="V286" s="34">
        <v>53</v>
      </c>
      <c r="W286" t="s">
        <v>336</v>
      </c>
      <c r="X286">
        <v>284</v>
      </c>
      <c r="Y286" t="s">
        <v>686</v>
      </c>
      <c r="AD286">
        <f t="shared" si="9"/>
        <v>284</v>
      </c>
      <c r="AE286">
        <v>125</v>
      </c>
      <c r="AG286" s="34" t="s">
        <v>686</v>
      </c>
      <c r="AJ286">
        <v>284</v>
      </c>
      <c r="AK286" t="s">
        <v>686</v>
      </c>
      <c r="AL286">
        <v>120</v>
      </c>
    </row>
    <row r="287" spans="2:39" x14ac:dyDescent="0.35">
      <c r="B287">
        <v>285</v>
      </c>
      <c r="C287" t="str">
        <f t="shared" si="8"/>
        <v>Other food items</v>
      </c>
      <c r="J287">
        <f t="shared" si="10"/>
        <v>124</v>
      </c>
      <c r="K287">
        <v>39.299999999999997</v>
      </c>
      <c r="L287" t="s">
        <v>336</v>
      </c>
      <c r="M287">
        <v>285</v>
      </c>
      <c r="N287" t="s">
        <v>687</v>
      </c>
      <c r="U287">
        <v>124</v>
      </c>
      <c r="V287" s="34">
        <v>53</v>
      </c>
      <c r="W287" t="s">
        <v>336</v>
      </c>
      <c r="X287">
        <v>285</v>
      </c>
      <c r="Y287" t="s">
        <v>687</v>
      </c>
      <c r="AD287">
        <f t="shared" si="9"/>
        <v>285</v>
      </c>
      <c r="AE287">
        <v>126</v>
      </c>
      <c r="AG287" s="34" t="s">
        <v>687</v>
      </c>
      <c r="AJ287">
        <v>285</v>
      </c>
      <c r="AK287" t="s">
        <v>687</v>
      </c>
      <c r="AL287">
        <v>121</v>
      </c>
    </row>
    <row r="288" spans="2:39" x14ac:dyDescent="0.35">
      <c r="B288">
        <v>286</v>
      </c>
      <c r="C288" t="str">
        <f t="shared" si="8"/>
        <v>Coffee (local)</v>
      </c>
      <c r="J288">
        <f t="shared" si="10"/>
        <v>125</v>
      </c>
      <c r="K288">
        <v>17</v>
      </c>
      <c r="L288" t="s">
        <v>362</v>
      </c>
      <c r="M288">
        <v>286</v>
      </c>
      <c r="N288" t="s">
        <v>688</v>
      </c>
      <c r="U288">
        <v>125</v>
      </c>
      <c r="V288" s="34">
        <v>51</v>
      </c>
      <c r="W288" t="s">
        <v>1320</v>
      </c>
      <c r="X288">
        <v>286</v>
      </c>
      <c r="Y288" t="s">
        <v>688</v>
      </c>
      <c r="AD288">
        <f t="shared" si="9"/>
        <v>286</v>
      </c>
      <c r="AE288">
        <v>127</v>
      </c>
      <c r="AF288">
        <v>90</v>
      </c>
      <c r="AG288" s="34" t="s">
        <v>2709</v>
      </c>
      <c r="AJ288">
        <v>286</v>
      </c>
      <c r="AK288" t="s">
        <v>688</v>
      </c>
      <c r="AL288">
        <v>122</v>
      </c>
      <c r="AM288">
        <v>89</v>
      </c>
    </row>
    <row r="289" spans="2:39" x14ac:dyDescent="0.35">
      <c r="B289">
        <v>287</v>
      </c>
      <c r="C289" t="str">
        <f t="shared" ref="C289:C333" si="11">VLOOKUP(B289,$M$3:$N$333,2,0)</f>
        <v>Coffee (imported)</v>
      </c>
      <c r="J289">
        <f t="shared" si="10"/>
        <v>126</v>
      </c>
      <c r="K289">
        <v>39.1</v>
      </c>
      <c r="L289" t="s">
        <v>1320</v>
      </c>
      <c r="M289">
        <v>287</v>
      </c>
      <c r="N289" t="s">
        <v>689</v>
      </c>
      <c r="U289">
        <v>126</v>
      </c>
      <c r="V289" s="34">
        <v>51</v>
      </c>
      <c r="W289" t="s">
        <v>1320</v>
      </c>
      <c r="X289">
        <v>287</v>
      </c>
      <c r="Y289" t="s">
        <v>689</v>
      </c>
      <c r="AD289">
        <f t="shared" si="9"/>
        <v>287</v>
      </c>
      <c r="AE289">
        <v>128</v>
      </c>
      <c r="AG289" s="34" t="s">
        <v>2710</v>
      </c>
      <c r="AJ289">
        <v>287</v>
      </c>
      <c r="AK289" t="s">
        <v>689</v>
      </c>
      <c r="AL289">
        <v>123</v>
      </c>
    </row>
    <row r="290" spans="2:39" x14ac:dyDescent="0.35">
      <c r="B290">
        <v>288</v>
      </c>
      <c r="C290" t="str">
        <f t="shared" si="11"/>
        <v>Tea (local)</v>
      </c>
      <c r="J290">
        <f t="shared" si="10"/>
        <v>127</v>
      </c>
      <c r="K290">
        <v>18</v>
      </c>
      <c r="L290" t="s">
        <v>756</v>
      </c>
      <c r="M290">
        <v>288</v>
      </c>
      <c r="N290" t="s">
        <v>690</v>
      </c>
      <c r="U290">
        <v>127</v>
      </c>
      <c r="V290" s="34">
        <v>52</v>
      </c>
      <c r="W290" t="s">
        <v>1321</v>
      </c>
      <c r="X290">
        <v>288</v>
      </c>
      <c r="Y290" t="s">
        <v>690</v>
      </c>
      <c r="AD290">
        <f t="shared" si="9"/>
        <v>288</v>
      </c>
      <c r="AE290">
        <v>129</v>
      </c>
      <c r="AF290">
        <v>91</v>
      </c>
      <c r="AG290" s="34" t="s">
        <v>2711</v>
      </c>
      <c r="AJ290">
        <v>288</v>
      </c>
      <c r="AK290" t="s">
        <v>690</v>
      </c>
      <c r="AL290">
        <v>124</v>
      </c>
      <c r="AM290">
        <v>90</v>
      </c>
    </row>
    <row r="291" spans="2:39" x14ac:dyDescent="0.35">
      <c r="B291">
        <v>289</v>
      </c>
      <c r="C291" t="str">
        <f t="shared" si="11"/>
        <v>Tea (imported)</v>
      </c>
      <c r="J291">
        <f t="shared" si="10"/>
        <v>128</v>
      </c>
      <c r="K291">
        <v>39.200000000000003</v>
      </c>
      <c r="L291" t="s">
        <v>1321</v>
      </c>
      <c r="M291">
        <v>289</v>
      </c>
      <c r="N291" t="s">
        <v>691</v>
      </c>
      <c r="U291">
        <v>128</v>
      </c>
      <c r="V291" s="34">
        <v>52</v>
      </c>
      <c r="W291" t="s">
        <v>1321</v>
      </c>
      <c r="X291">
        <v>289</v>
      </c>
      <c r="Y291" t="s">
        <v>691</v>
      </c>
      <c r="AD291">
        <f t="shared" si="9"/>
        <v>289</v>
      </c>
      <c r="AE291">
        <v>130</v>
      </c>
      <c r="AG291" s="34" t="s">
        <v>2712</v>
      </c>
      <c r="AJ291">
        <v>289</v>
      </c>
      <c r="AK291" t="s">
        <v>691</v>
      </c>
      <c r="AL291">
        <v>125</v>
      </c>
    </row>
    <row r="292" spans="2:39" x14ac:dyDescent="0.35">
      <c r="B292">
        <v>290</v>
      </c>
      <c r="C292" t="str">
        <f t="shared" si="11"/>
        <v>Cocoa and powdered drinking chocolate</v>
      </c>
      <c r="J292">
        <f t="shared" si="10"/>
        <v>129</v>
      </c>
      <c r="K292">
        <v>39.299999999999997</v>
      </c>
      <c r="L292" t="s">
        <v>336</v>
      </c>
      <c r="M292">
        <v>290</v>
      </c>
      <c r="N292" t="s">
        <v>692</v>
      </c>
      <c r="U292">
        <v>129</v>
      </c>
      <c r="V292" s="34">
        <v>53</v>
      </c>
      <c r="W292" t="s">
        <v>336</v>
      </c>
      <c r="X292">
        <v>290</v>
      </c>
      <c r="Y292" t="s">
        <v>692</v>
      </c>
      <c r="AD292">
        <f t="shared" ref="AD292:AD310" si="12">X292</f>
        <v>290</v>
      </c>
      <c r="AE292">
        <v>131</v>
      </c>
      <c r="AG292" s="34" t="s">
        <v>692</v>
      </c>
      <c r="AJ292">
        <v>290</v>
      </c>
      <c r="AK292" t="s">
        <v>692</v>
      </c>
      <c r="AL292">
        <v>126</v>
      </c>
    </row>
    <row r="293" spans="2:39" x14ac:dyDescent="0.35">
      <c r="B293">
        <v>291</v>
      </c>
      <c r="C293" t="str">
        <f t="shared" si="11"/>
        <v>Mineral water</v>
      </c>
      <c r="J293">
        <f t="shared" ref="J293:J314" si="13">J292+1</f>
        <v>130</v>
      </c>
      <c r="K293">
        <v>41</v>
      </c>
      <c r="L293" t="s">
        <v>347</v>
      </c>
      <c r="M293">
        <v>291</v>
      </c>
      <c r="N293" t="s">
        <v>693</v>
      </c>
      <c r="U293">
        <v>130</v>
      </c>
      <c r="V293" s="34">
        <v>55</v>
      </c>
      <c r="W293" t="s">
        <v>347</v>
      </c>
      <c r="X293">
        <v>291</v>
      </c>
      <c r="Y293" t="s">
        <v>693</v>
      </c>
      <c r="AD293">
        <f t="shared" si="12"/>
        <v>291</v>
      </c>
      <c r="AE293">
        <v>132</v>
      </c>
      <c r="AG293" s="34" t="s">
        <v>693</v>
      </c>
      <c r="AJ293">
        <v>291</v>
      </c>
      <c r="AK293" t="s">
        <v>693</v>
      </c>
      <c r="AL293">
        <v>127</v>
      </c>
    </row>
    <row r="294" spans="2:39" x14ac:dyDescent="0.35">
      <c r="B294">
        <v>292</v>
      </c>
      <c r="C294" t="str">
        <f t="shared" si="11"/>
        <v>Carbonated Soft Drinks</v>
      </c>
      <c r="J294">
        <f t="shared" si="13"/>
        <v>131</v>
      </c>
      <c r="K294">
        <v>41</v>
      </c>
      <c r="L294" t="s">
        <v>347</v>
      </c>
      <c r="M294">
        <v>292</v>
      </c>
      <c r="N294" t="s">
        <v>694</v>
      </c>
      <c r="U294">
        <v>131</v>
      </c>
      <c r="V294" s="34">
        <v>55</v>
      </c>
      <c r="W294" t="s">
        <v>347</v>
      </c>
      <c r="X294">
        <v>292</v>
      </c>
      <c r="Y294" t="s">
        <v>694</v>
      </c>
      <c r="AD294">
        <f t="shared" si="12"/>
        <v>292</v>
      </c>
      <c r="AE294">
        <v>133</v>
      </c>
      <c r="AG294" s="34" t="s">
        <v>694</v>
      </c>
      <c r="AJ294">
        <v>292</v>
      </c>
      <c r="AK294" t="s">
        <v>694</v>
      </c>
      <c r="AL294">
        <v>128</v>
      </c>
    </row>
    <row r="295" spans="2:39" x14ac:dyDescent="0.35">
      <c r="B295">
        <v>293</v>
      </c>
      <c r="C295" t="str">
        <f t="shared" si="11"/>
        <v>Local banana juice</v>
      </c>
      <c r="J295">
        <f t="shared" si="13"/>
        <v>132</v>
      </c>
      <c r="K295">
        <v>41</v>
      </c>
      <c r="L295" t="s">
        <v>347</v>
      </c>
      <c r="M295">
        <v>293</v>
      </c>
      <c r="N295" t="s">
        <v>695</v>
      </c>
      <c r="U295">
        <v>132</v>
      </c>
      <c r="V295" s="34">
        <v>55</v>
      </c>
      <c r="W295" t="s">
        <v>347</v>
      </c>
      <c r="X295">
        <v>293</v>
      </c>
      <c r="Y295" t="s">
        <v>695</v>
      </c>
      <c r="AD295">
        <f t="shared" si="12"/>
        <v>293</v>
      </c>
      <c r="AE295">
        <v>134</v>
      </c>
      <c r="AF295">
        <v>92</v>
      </c>
      <c r="AG295" s="34" t="s">
        <v>695</v>
      </c>
      <c r="AJ295">
        <v>293</v>
      </c>
      <c r="AK295" t="s">
        <v>695</v>
      </c>
      <c r="AL295">
        <v>129</v>
      </c>
      <c r="AM295">
        <v>91</v>
      </c>
    </row>
    <row r="296" spans="2:39" x14ac:dyDescent="0.35">
      <c r="B296">
        <v>294</v>
      </c>
      <c r="C296" t="str">
        <f t="shared" si="11"/>
        <v>Passion fruit juice</v>
      </c>
      <c r="J296">
        <f t="shared" si="13"/>
        <v>133</v>
      </c>
      <c r="K296">
        <v>41</v>
      </c>
      <c r="L296" t="s">
        <v>347</v>
      </c>
      <c r="M296">
        <v>294</v>
      </c>
      <c r="N296" t="s">
        <v>696</v>
      </c>
      <c r="U296">
        <v>133</v>
      </c>
      <c r="V296" s="34">
        <v>55</v>
      </c>
      <c r="W296" t="s">
        <v>347</v>
      </c>
      <c r="X296">
        <v>294</v>
      </c>
      <c r="Y296" t="s">
        <v>696</v>
      </c>
      <c r="AD296">
        <f t="shared" si="12"/>
        <v>294</v>
      </c>
      <c r="AE296">
        <v>135</v>
      </c>
      <c r="AF296">
        <v>93</v>
      </c>
      <c r="AG296" s="34" t="s">
        <v>696</v>
      </c>
      <c r="AJ296">
        <v>294</v>
      </c>
      <c r="AK296" t="s">
        <v>696</v>
      </c>
      <c r="AL296">
        <v>130</v>
      </c>
      <c r="AM296">
        <v>92</v>
      </c>
    </row>
    <row r="297" spans="2:39" x14ac:dyDescent="0.35">
      <c r="B297">
        <v>295</v>
      </c>
      <c r="C297" t="str">
        <f t="shared" si="11"/>
        <v>Other juices of fruits (local)</v>
      </c>
      <c r="J297">
        <f t="shared" si="13"/>
        <v>134</v>
      </c>
      <c r="K297">
        <v>41</v>
      </c>
      <c r="L297" t="s">
        <v>347</v>
      </c>
      <c r="M297">
        <v>295</v>
      </c>
      <c r="N297" t="s">
        <v>697</v>
      </c>
      <c r="U297">
        <v>134</v>
      </c>
      <c r="V297" s="34">
        <v>55</v>
      </c>
      <c r="W297" t="s">
        <v>347</v>
      </c>
      <c r="X297">
        <v>295</v>
      </c>
      <c r="Y297" t="s">
        <v>697</v>
      </c>
      <c r="AD297">
        <f t="shared" si="12"/>
        <v>295</v>
      </c>
      <c r="AE297">
        <v>136</v>
      </c>
      <c r="AF297">
        <v>94</v>
      </c>
      <c r="AG297" s="34" t="s">
        <v>2713</v>
      </c>
      <c r="AJ297">
        <v>295</v>
      </c>
      <c r="AK297" t="s">
        <v>697</v>
      </c>
      <c r="AL297">
        <v>131</v>
      </c>
      <c r="AM297">
        <v>93</v>
      </c>
    </row>
    <row r="298" spans="2:39" x14ac:dyDescent="0.35">
      <c r="B298">
        <v>296</v>
      </c>
      <c r="C298" t="str">
        <f t="shared" si="11"/>
        <v>Other juices of fruits (imported)</v>
      </c>
      <c r="J298">
        <f t="shared" si="13"/>
        <v>135</v>
      </c>
      <c r="K298">
        <v>41</v>
      </c>
      <c r="L298" t="s">
        <v>347</v>
      </c>
      <c r="M298">
        <v>296</v>
      </c>
      <c r="N298" t="s">
        <v>698</v>
      </c>
      <c r="U298">
        <v>135</v>
      </c>
      <c r="V298" s="34">
        <v>55</v>
      </c>
      <c r="W298" t="s">
        <v>347</v>
      </c>
      <c r="X298">
        <v>296</v>
      </c>
      <c r="Y298" t="s">
        <v>698</v>
      </c>
      <c r="AD298">
        <f t="shared" si="12"/>
        <v>296</v>
      </c>
      <c r="AE298">
        <v>137</v>
      </c>
      <c r="AG298" s="34" t="s">
        <v>2714</v>
      </c>
      <c r="AJ298">
        <v>296</v>
      </c>
      <c r="AK298" t="s">
        <v>698</v>
      </c>
      <c r="AL298">
        <v>132</v>
      </c>
    </row>
    <row r="299" spans="2:39" x14ac:dyDescent="0.35">
      <c r="B299">
        <v>297</v>
      </c>
      <c r="C299" t="str">
        <f t="shared" si="11"/>
        <v>Sorghum juice(Ubushera)</v>
      </c>
      <c r="J299">
        <f t="shared" si="13"/>
        <v>136</v>
      </c>
      <c r="K299">
        <v>41</v>
      </c>
      <c r="L299" t="s">
        <v>347</v>
      </c>
      <c r="M299">
        <v>297</v>
      </c>
      <c r="N299" t="s">
        <v>699</v>
      </c>
      <c r="U299">
        <v>136</v>
      </c>
      <c r="V299" s="34">
        <v>55</v>
      </c>
      <c r="W299" t="s">
        <v>347</v>
      </c>
      <c r="X299">
        <v>297</v>
      </c>
      <c r="Y299" t="s">
        <v>699</v>
      </c>
      <c r="AD299">
        <f t="shared" si="12"/>
        <v>297</v>
      </c>
      <c r="AE299">
        <v>138</v>
      </c>
      <c r="AF299">
        <v>95</v>
      </c>
      <c r="AG299" s="34" t="s">
        <v>2715</v>
      </c>
      <c r="AJ299">
        <v>297</v>
      </c>
      <c r="AK299" t="s">
        <v>699</v>
      </c>
      <c r="AL299">
        <v>133</v>
      </c>
      <c r="AM299">
        <v>94</v>
      </c>
    </row>
    <row r="300" spans="2:39" x14ac:dyDescent="0.35">
      <c r="B300">
        <v>298</v>
      </c>
      <c r="C300" t="str">
        <f t="shared" si="11"/>
        <v>Liqueurs  (local)</v>
      </c>
      <c r="J300">
        <f t="shared" si="13"/>
        <v>137</v>
      </c>
      <c r="K300">
        <v>41</v>
      </c>
      <c r="L300" t="s">
        <v>347</v>
      </c>
      <c r="M300">
        <v>298</v>
      </c>
      <c r="N300" t="s">
        <v>700</v>
      </c>
      <c r="U300">
        <v>137</v>
      </c>
      <c r="V300" s="34">
        <v>55</v>
      </c>
      <c r="W300" t="s">
        <v>347</v>
      </c>
      <c r="X300">
        <v>298</v>
      </c>
      <c r="Y300" t="s">
        <v>700</v>
      </c>
      <c r="AD300">
        <f t="shared" si="12"/>
        <v>298</v>
      </c>
      <c r="AE300">
        <v>139</v>
      </c>
      <c r="AG300" s="34" t="s">
        <v>2716</v>
      </c>
      <c r="AJ300">
        <v>298</v>
      </c>
      <c r="AK300" t="s">
        <v>700</v>
      </c>
      <c r="AL300">
        <v>134</v>
      </c>
    </row>
    <row r="301" spans="2:39" x14ac:dyDescent="0.35">
      <c r="B301">
        <v>299</v>
      </c>
      <c r="C301" t="str">
        <f t="shared" si="11"/>
        <v>Liqueurs  (imported)</v>
      </c>
      <c r="J301">
        <f t="shared" si="13"/>
        <v>138</v>
      </c>
      <c r="K301">
        <v>41</v>
      </c>
      <c r="L301" t="s">
        <v>347</v>
      </c>
      <c r="M301">
        <v>299</v>
      </c>
      <c r="N301" t="s">
        <v>701</v>
      </c>
      <c r="U301">
        <v>138</v>
      </c>
      <c r="V301" s="34">
        <v>55</v>
      </c>
      <c r="W301" t="s">
        <v>347</v>
      </c>
      <c r="X301">
        <v>299</v>
      </c>
      <c r="Y301" t="s">
        <v>701</v>
      </c>
      <c r="AD301">
        <f t="shared" si="12"/>
        <v>299</v>
      </c>
      <c r="AE301">
        <v>140</v>
      </c>
      <c r="AG301" s="34" t="s">
        <v>2717</v>
      </c>
      <c r="AJ301">
        <v>299</v>
      </c>
      <c r="AK301" t="s">
        <v>701</v>
      </c>
      <c r="AL301">
        <v>135</v>
      </c>
    </row>
    <row r="302" spans="2:39" x14ac:dyDescent="0.35">
      <c r="B302">
        <v>300</v>
      </c>
      <c r="C302" t="str">
        <f t="shared" si="11"/>
        <v>Wine (local)</v>
      </c>
      <c r="J302">
        <f t="shared" si="13"/>
        <v>139</v>
      </c>
      <c r="K302">
        <v>41</v>
      </c>
      <c r="L302" t="s">
        <v>347</v>
      </c>
      <c r="M302">
        <v>300</v>
      </c>
      <c r="N302" t="s">
        <v>702</v>
      </c>
      <c r="U302">
        <v>139</v>
      </c>
      <c r="V302" s="34">
        <v>55</v>
      </c>
      <c r="W302" t="s">
        <v>347</v>
      </c>
      <c r="X302">
        <v>300</v>
      </c>
      <c r="Y302" t="s">
        <v>702</v>
      </c>
      <c r="AD302">
        <f t="shared" si="12"/>
        <v>300</v>
      </c>
      <c r="AE302">
        <v>141</v>
      </c>
      <c r="AG302" s="34" t="s">
        <v>2718</v>
      </c>
      <c r="AJ302">
        <v>300</v>
      </c>
      <c r="AK302" t="s">
        <v>702</v>
      </c>
      <c r="AL302">
        <v>136</v>
      </c>
    </row>
    <row r="303" spans="2:39" x14ac:dyDescent="0.35">
      <c r="B303">
        <v>301</v>
      </c>
      <c r="C303" t="str">
        <f t="shared" si="11"/>
        <v>Wine (imported)</v>
      </c>
      <c r="J303">
        <f t="shared" si="13"/>
        <v>140</v>
      </c>
      <c r="K303">
        <v>41</v>
      </c>
      <c r="L303" t="s">
        <v>347</v>
      </c>
      <c r="M303">
        <v>301</v>
      </c>
      <c r="N303" t="s">
        <v>703</v>
      </c>
      <c r="U303">
        <v>140</v>
      </c>
      <c r="V303" s="34">
        <v>55</v>
      </c>
      <c r="W303" t="s">
        <v>347</v>
      </c>
      <c r="X303">
        <v>301</v>
      </c>
      <c r="Y303" t="s">
        <v>703</v>
      </c>
      <c r="AD303">
        <f t="shared" si="12"/>
        <v>301</v>
      </c>
      <c r="AE303">
        <v>142</v>
      </c>
      <c r="AG303" s="34" t="s">
        <v>2719</v>
      </c>
      <c r="AJ303">
        <v>301</v>
      </c>
      <c r="AK303" t="s">
        <v>703</v>
      </c>
      <c r="AL303">
        <v>137</v>
      </c>
    </row>
    <row r="304" spans="2:39" x14ac:dyDescent="0.35">
      <c r="B304">
        <v>302</v>
      </c>
      <c r="C304" t="str">
        <f t="shared" si="11"/>
        <v>Local Banana beer</v>
      </c>
      <c r="J304">
        <f t="shared" si="13"/>
        <v>141</v>
      </c>
      <c r="K304">
        <v>41</v>
      </c>
      <c r="L304" t="s">
        <v>347</v>
      </c>
      <c r="M304">
        <v>302</v>
      </c>
      <c r="N304" t="s">
        <v>704</v>
      </c>
      <c r="U304">
        <v>141</v>
      </c>
      <c r="V304" s="34">
        <v>55</v>
      </c>
      <c r="W304" t="s">
        <v>347</v>
      </c>
      <c r="X304">
        <v>302</v>
      </c>
      <c r="Y304" t="s">
        <v>704</v>
      </c>
      <c r="AD304">
        <f t="shared" si="12"/>
        <v>302</v>
      </c>
      <c r="AE304">
        <v>143</v>
      </c>
      <c r="AF304">
        <v>96</v>
      </c>
      <c r="AG304" s="34" t="s">
        <v>704</v>
      </c>
      <c r="AJ304">
        <v>302</v>
      </c>
      <c r="AK304" t="s">
        <v>704</v>
      </c>
      <c r="AL304">
        <v>138</v>
      </c>
      <c r="AM304">
        <v>95</v>
      </c>
    </row>
    <row r="305" spans="2:39" x14ac:dyDescent="0.35">
      <c r="B305">
        <v>303</v>
      </c>
      <c r="C305" t="str">
        <f t="shared" si="11"/>
        <v>Local sorghum beer(ikigage)</v>
      </c>
      <c r="J305">
        <f t="shared" si="13"/>
        <v>142</v>
      </c>
      <c r="K305">
        <v>41</v>
      </c>
      <c r="L305" t="s">
        <v>347</v>
      </c>
      <c r="M305">
        <v>303</v>
      </c>
      <c r="N305" t="s">
        <v>705</v>
      </c>
      <c r="U305">
        <v>142</v>
      </c>
      <c r="V305" s="34">
        <v>55</v>
      </c>
      <c r="W305" t="s">
        <v>347</v>
      </c>
      <c r="X305">
        <v>303</v>
      </c>
      <c r="Y305" t="s">
        <v>705</v>
      </c>
      <c r="AD305">
        <f t="shared" si="12"/>
        <v>303</v>
      </c>
      <c r="AE305">
        <v>144</v>
      </c>
      <c r="AF305">
        <v>97</v>
      </c>
      <c r="AG305" s="34" t="s">
        <v>2720</v>
      </c>
      <c r="AJ305">
        <v>303</v>
      </c>
      <c r="AK305" t="s">
        <v>705</v>
      </c>
      <c r="AL305">
        <v>139</v>
      </c>
      <c r="AM305">
        <v>96</v>
      </c>
    </row>
    <row r="306" spans="2:39" x14ac:dyDescent="0.35">
      <c r="B306">
        <v>304</v>
      </c>
      <c r="C306" t="str">
        <f t="shared" si="11"/>
        <v>Other local beer</v>
      </c>
      <c r="J306">
        <f t="shared" si="13"/>
        <v>143</v>
      </c>
      <c r="K306">
        <v>41</v>
      </c>
      <c r="L306" t="s">
        <v>347</v>
      </c>
      <c r="M306">
        <v>304</v>
      </c>
      <c r="N306" t="s">
        <v>706</v>
      </c>
      <c r="U306">
        <v>143</v>
      </c>
      <c r="V306" s="34">
        <v>55</v>
      </c>
      <c r="W306" t="s">
        <v>347</v>
      </c>
      <c r="X306">
        <v>304</v>
      </c>
      <c r="Y306" t="s">
        <v>706</v>
      </c>
      <c r="AD306">
        <f t="shared" si="12"/>
        <v>304</v>
      </c>
      <c r="AE306">
        <v>145</v>
      </c>
      <c r="AF306">
        <v>98</v>
      </c>
      <c r="AG306" s="34" t="s">
        <v>706</v>
      </c>
      <c r="AJ306">
        <v>304</v>
      </c>
      <c r="AK306" t="s">
        <v>706</v>
      </c>
      <c r="AL306">
        <v>140</v>
      </c>
      <c r="AM306">
        <v>97</v>
      </c>
    </row>
    <row r="307" spans="2:39" x14ac:dyDescent="0.35">
      <c r="B307">
        <v>305</v>
      </c>
      <c r="C307" t="str">
        <f t="shared" si="11"/>
        <v>Commercial beer (local)</v>
      </c>
      <c r="J307">
        <f t="shared" si="13"/>
        <v>144</v>
      </c>
      <c r="K307">
        <v>41</v>
      </c>
      <c r="L307" t="s">
        <v>347</v>
      </c>
      <c r="M307">
        <v>305</v>
      </c>
      <c r="N307" t="s">
        <v>707</v>
      </c>
      <c r="U307">
        <v>144</v>
      </c>
      <c r="V307" s="34">
        <v>55</v>
      </c>
      <c r="W307" t="s">
        <v>347</v>
      </c>
      <c r="X307">
        <v>305</v>
      </c>
      <c r="Y307" t="s">
        <v>707</v>
      </c>
      <c r="AD307">
        <f t="shared" si="12"/>
        <v>305</v>
      </c>
      <c r="AE307">
        <v>146</v>
      </c>
      <c r="AG307" s="34" t="s">
        <v>2721</v>
      </c>
      <c r="AJ307">
        <v>305</v>
      </c>
      <c r="AK307" t="s">
        <v>707</v>
      </c>
      <c r="AL307">
        <v>141</v>
      </c>
    </row>
    <row r="308" spans="2:39" x14ac:dyDescent="0.35">
      <c r="B308">
        <v>306</v>
      </c>
      <c r="C308" t="str">
        <f t="shared" si="11"/>
        <v>Commercial beer (imported)</v>
      </c>
      <c r="J308">
        <f t="shared" si="13"/>
        <v>145</v>
      </c>
      <c r="K308">
        <v>41</v>
      </c>
      <c r="L308" t="s">
        <v>347</v>
      </c>
      <c r="M308">
        <v>306</v>
      </c>
      <c r="N308" t="s">
        <v>708</v>
      </c>
      <c r="U308">
        <v>145</v>
      </c>
      <c r="V308" s="34">
        <v>55</v>
      </c>
      <c r="W308" t="s">
        <v>347</v>
      </c>
      <c r="X308">
        <v>306</v>
      </c>
      <c r="Y308" t="s">
        <v>708</v>
      </c>
      <c r="AD308">
        <f t="shared" si="12"/>
        <v>306</v>
      </c>
      <c r="AE308">
        <v>147</v>
      </c>
      <c r="AG308" s="34" t="s">
        <v>2722</v>
      </c>
      <c r="AJ308">
        <v>306</v>
      </c>
      <c r="AK308" t="s">
        <v>708</v>
      </c>
      <c r="AL308">
        <v>142</v>
      </c>
    </row>
    <row r="309" spans="2:39" x14ac:dyDescent="0.35">
      <c r="B309">
        <v>307</v>
      </c>
      <c r="C309" t="str">
        <f t="shared" si="11"/>
        <v>Shish kebab(Brochette)</v>
      </c>
      <c r="J309">
        <f t="shared" si="13"/>
        <v>146</v>
      </c>
      <c r="K309">
        <v>62</v>
      </c>
      <c r="L309" t="s">
        <v>377</v>
      </c>
      <c r="M309">
        <v>307</v>
      </c>
      <c r="N309" t="s">
        <v>709</v>
      </c>
      <c r="U309">
        <v>146</v>
      </c>
      <c r="V309" s="34">
        <v>78</v>
      </c>
      <c r="W309" t="s">
        <v>2232</v>
      </c>
      <c r="X309">
        <v>307</v>
      </c>
      <c r="Y309" t="s">
        <v>709</v>
      </c>
      <c r="AD309">
        <f t="shared" si="12"/>
        <v>307</v>
      </c>
      <c r="AE309">
        <v>148</v>
      </c>
      <c r="AG309" s="34" t="s">
        <v>2723</v>
      </c>
      <c r="AJ309">
        <v>307</v>
      </c>
      <c r="AK309" t="s">
        <v>709</v>
      </c>
      <c r="AL309">
        <v>143</v>
      </c>
    </row>
    <row r="310" spans="2:39" x14ac:dyDescent="0.35">
      <c r="B310">
        <v>308</v>
      </c>
      <c r="C310" t="str">
        <f t="shared" si="11"/>
        <v>Chicken / fish grilled</v>
      </c>
      <c r="J310">
        <f t="shared" si="13"/>
        <v>147</v>
      </c>
      <c r="K310">
        <v>62</v>
      </c>
      <c r="L310" t="s">
        <v>377</v>
      </c>
      <c r="M310">
        <v>308</v>
      </c>
      <c r="N310" t="s">
        <v>710</v>
      </c>
      <c r="U310">
        <v>147</v>
      </c>
      <c r="V310" s="69">
        <v>78</v>
      </c>
      <c r="W310" s="25" t="s">
        <v>2232</v>
      </c>
      <c r="X310" s="25">
        <v>308</v>
      </c>
      <c r="Y310" s="25" t="s">
        <v>710</v>
      </c>
      <c r="AD310">
        <f t="shared" si="12"/>
        <v>308</v>
      </c>
      <c r="AE310">
        <v>149</v>
      </c>
      <c r="AG310" s="34" t="s">
        <v>710</v>
      </c>
      <c r="AJ310">
        <v>308</v>
      </c>
      <c r="AK310" t="s">
        <v>710</v>
      </c>
      <c r="AL310">
        <v>144</v>
      </c>
    </row>
    <row r="311" spans="2:39" x14ac:dyDescent="0.35">
      <c r="B311">
        <v>309</v>
      </c>
      <c r="C311" t="str">
        <f t="shared" si="11"/>
        <v>Bar and restaurant foods</v>
      </c>
      <c r="J311">
        <f t="shared" si="13"/>
        <v>148</v>
      </c>
      <c r="K311">
        <v>62</v>
      </c>
      <c r="L311" t="s">
        <v>377</v>
      </c>
      <c r="M311">
        <v>309</v>
      </c>
      <c r="N311" t="s">
        <v>711</v>
      </c>
      <c r="U311">
        <v>148</v>
      </c>
      <c r="V311" s="34">
        <v>78</v>
      </c>
      <c r="W311" t="s">
        <v>2232</v>
      </c>
      <c r="X311">
        <v>309</v>
      </c>
      <c r="Y311" t="s">
        <v>711</v>
      </c>
      <c r="AD311">
        <v>309</v>
      </c>
      <c r="AE311">
        <v>150</v>
      </c>
      <c r="AG311" t="s">
        <v>711</v>
      </c>
      <c r="AJ311">
        <v>309</v>
      </c>
      <c r="AK311" t="s">
        <v>711</v>
      </c>
      <c r="AL311">
        <v>145</v>
      </c>
    </row>
    <row r="312" spans="2:39" x14ac:dyDescent="0.35">
      <c r="B312">
        <v>310</v>
      </c>
      <c r="C312" t="str">
        <f t="shared" si="11"/>
        <v>Bar and restaurant drinks</v>
      </c>
      <c r="J312">
        <f t="shared" si="13"/>
        <v>149</v>
      </c>
      <c r="K312">
        <v>62</v>
      </c>
      <c r="L312" t="s">
        <v>377</v>
      </c>
      <c r="M312">
        <v>310</v>
      </c>
      <c r="N312" t="s">
        <v>712</v>
      </c>
      <c r="U312">
        <v>149</v>
      </c>
      <c r="V312" s="34">
        <v>78</v>
      </c>
      <c r="W312" t="s">
        <v>2232</v>
      </c>
      <c r="X312">
        <v>310</v>
      </c>
      <c r="Y312" t="s">
        <v>712</v>
      </c>
      <c r="AD312">
        <v>310</v>
      </c>
      <c r="AE312">
        <v>151</v>
      </c>
      <c r="AG312" t="s">
        <v>712</v>
      </c>
      <c r="AJ312">
        <v>310</v>
      </c>
      <c r="AK312" t="s">
        <v>712</v>
      </c>
      <c r="AL312">
        <v>146</v>
      </c>
    </row>
    <row r="313" spans="2:39" x14ac:dyDescent="0.35">
      <c r="B313">
        <v>311</v>
      </c>
      <c r="C313" t="str">
        <f t="shared" si="11"/>
        <v>Other meals and drinks purchased outside the household</v>
      </c>
      <c r="J313">
        <f t="shared" si="13"/>
        <v>150</v>
      </c>
      <c r="K313">
        <v>62</v>
      </c>
      <c r="L313" t="s">
        <v>377</v>
      </c>
      <c r="M313">
        <v>311</v>
      </c>
      <c r="N313" t="s">
        <v>727</v>
      </c>
      <c r="U313">
        <v>150</v>
      </c>
      <c r="V313" s="34">
        <v>78</v>
      </c>
      <c r="W313" t="s">
        <v>2232</v>
      </c>
      <c r="X313">
        <v>311</v>
      </c>
      <c r="Y313" t="s">
        <v>727</v>
      </c>
      <c r="AD313">
        <v>311</v>
      </c>
      <c r="AE313">
        <v>152</v>
      </c>
      <c r="AG313" t="s">
        <v>727</v>
      </c>
      <c r="AJ313">
        <v>311</v>
      </c>
      <c r="AK313" t="s">
        <v>727</v>
      </c>
      <c r="AL313">
        <v>147</v>
      </c>
    </row>
    <row r="314" spans="2:39" x14ac:dyDescent="0.35">
      <c r="B314">
        <v>312</v>
      </c>
      <c r="C314" t="str">
        <f t="shared" si="11"/>
        <v>Dried tobacco leaves</v>
      </c>
      <c r="J314">
        <f t="shared" si="13"/>
        <v>151</v>
      </c>
      <c r="K314">
        <v>13</v>
      </c>
      <c r="L314" t="s">
        <v>388</v>
      </c>
      <c r="M314">
        <v>312</v>
      </c>
      <c r="N314" t="s">
        <v>564</v>
      </c>
      <c r="U314">
        <v>151</v>
      </c>
      <c r="V314" s="69">
        <v>56</v>
      </c>
      <c r="W314" s="25" t="s">
        <v>387</v>
      </c>
      <c r="X314" s="25">
        <v>312</v>
      </c>
      <c r="Y314" s="25" t="s">
        <v>564</v>
      </c>
      <c r="AD314">
        <v>312</v>
      </c>
      <c r="AF314">
        <v>99</v>
      </c>
      <c r="AG314" t="s">
        <v>564</v>
      </c>
      <c r="AJ314">
        <v>312</v>
      </c>
      <c r="AK314" t="s">
        <v>564</v>
      </c>
      <c r="AM314">
        <v>98</v>
      </c>
    </row>
    <row r="315" spans="2:39" x14ac:dyDescent="0.35">
      <c r="B315">
        <v>313</v>
      </c>
      <c r="C315" t="str">
        <f t="shared" si="11"/>
        <v>Taxes on property</v>
      </c>
      <c r="J315" t="s">
        <v>779</v>
      </c>
      <c r="K315">
        <v>400</v>
      </c>
      <c r="L315" t="s">
        <v>1152</v>
      </c>
      <c r="M315">
        <v>313</v>
      </c>
      <c r="N315" t="s">
        <v>725</v>
      </c>
      <c r="U315">
        <v>1</v>
      </c>
      <c r="V315" s="34">
        <v>400</v>
      </c>
      <c r="W315" t="s">
        <v>1152</v>
      </c>
      <c r="X315">
        <v>313</v>
      </c>
      <c r="Y315" t="s">
        <v>725</v>
      </c>
      <c r="AD315">
        <v>326</v>
      </c>
      <c r="AF315">
        <v>100</v>
      </c>
      <c r="AG315" s="34" t="s">
        <v>2724</v>
      </c>
    </row>
    <row r="316" spans="2:39" x14ac:dyDescent="0.35">
      <c r="B316">
        <v>314</v>
      </c>
      <c r="C316" t="str">
        <f t="shared" si="11"/>
        <v>Other taxes/Duties</v>
      </c>
      <c r="J316" t="s">
        <v>779</v>
      </c>
      <c r="K316">
        <v>400</v>
      </c>
      <c r="L316" t="s">
        <v>1152</v>
      </c>
      <c r="M316">
        <v>314</v>
      </c>
      <c r="N316" t="s">
        <v>724</v>
      </c>
      <c r="U316">
        <v>2</v>
      </c>
      <c r="V316" s="34">
        <v>400</v>
      </c>
      <c r="W316" t="s">
        <v>1152</v>
      </c>
      <c r="X316">
        <v>314</v>
      </c>
      <c r="Y316" t="s">
        <v>724</v>
      </c>
      <c r="AD316">
        <v>145</v>
      </c>
      <c r="AF316">
        <v>101</v>
      </c>
      <c r="AG316" s="34" t="s">
        <v>551</v>
      </c>
    </row>
    <row r="317" spans="2:39" x14ac:dyDescent="0.35">
      <c r="B317">
        <v>315</v>
      </c>
      <c r="C317" t="str">
        <f t="shared" si="11"/>
        <v>Contributions to mutual aid or developmental</v>
      </c>
      <c r="J317" t="s">
        <v>779</v>
      </c>
      <c r="K317">
        <v>70</v>
      </c>
      <c r="L317" t="s">
        <v>382</v>
      </c>
      <c r="M317">
        <v>315</v>
      </c>
      <c r="N317" t="s">
        <v>723</v>
      </c>
      <c r="U317">
        <v>3</v>
      </c>
      <c r="V317" s="34">
        <v>600</v>
      </c>
      <c r="W317" t="s">
        <v>2725</v>
      </c>
      <c r="X317">
        <v>315</v>
      </c>
      <c r="Y317" t="s">
        <v>723</v>
      </c>
      <c r="AD317">
        <v>146</v>
      </c>
      <c r="AF317">
        <v>102</v>
      </c>
      <c r="AG317" s="34" t="s">
        <v>552</v>
      </c>
    </row>
    <row r="318" spans="2:39" x14ac:dyDescent="0.35">
      <c r="B318">
        <v>316</v>
      </c>
      <c r="C318" t="str">
        <f t="shared" si="11"/>
        <v>Charitable works</v>
      </c>
      <c r="J318" t="s">
        <v>779</v>
      </c>
      <c r="K318">
        <v>70</v>
      </c>
      <c r="L318" t="s">
        <v>382</v>
      </c>
      <c r="M318">
        <v>316</v>
      </c>
      <c r="N318" t="s">
        <v>722</v>
      </c>
      <c r="U318">
        <v>4</v>
      </c>
      <c r="V318" s="34">
        <v>86</v>
      </c>
      <c r="W318" t="s">
        <v>382</v>
      </c>
      <c r="X318">
        <v>316</v>
      </c>
      <c r="Y318" t="s">
        <v>722</v>
      </c>
    </row>
    <row r="319" spans="2:39" x14ac:dyDescent="0.35">
      <c r="B319">
        <v>317</v>
      </c>
      <c r="C319" t="str">
        <f t="shared" si="11"/>
        <v>Gifts and donations</v>
      </c>
      <c r="J319" t="s">
        <v>779</v>
      </c>
      <c r="K319">
        <v>70</v>
      </c>
      <c r="L319" t="s">
        <v>382</v>
      </c>
      <c r="M319">
        <v>317</v>
      </c>
      <c r="N319" t="s">
        <v>721</v>
      </c>
      <c r="U319">
        <v>5</v>
      </c>
      <c r="V319" s="34">
        <v>700</v>
      </c>
      <c r="W319" t="s">
        <v>2726</v>
      </c>
      <c r="X319">
        <v>317</v>
      </c>
      <c r="Y319" t="s">
        <v>721</v>
      </c>
    </row>
    <row r="320" spans="2:39" x14ac:dyDescent="0.35">
      <c r="B320">
        <v>318</v>
      </c>
      <c r="C320" t="str">
        <f t="shared" si="11"/>
        <v>Weddings/Introduction own HH</v>
      </c>
      <c r="J320" t="s">
        <v>779</v>
      </c>
      <c r="K320">
        <v>70</v>
      </c>
      <c r="L320" t="s">
        <v>382</v>
      </c>
      <c r="M320">
        <v>318</v>
      </c>
      <c r="N320" t="s">
        <v>720</v>
      </c>
      <c r="U320">
        <v>6</v>
      </c>
      <c r="V320" s="34">
        <v>86</v>
      </c>
      <c r="W320" t="s">
        <v>382</v>
      </c>
      <c r="X320">
        <v>318</v>
      </c>
      <c r="Y320" t="s">
        <v>720</v>
      </c>
    </row>
    <row r="321" spans="2:25" x14ac:dyDescent="0.35">
      <c r="B321">
        <v>319</v>
      </c>
      <c r="C321" t="str">
        <f t="shared" si="11"/>
        <v>Contribution to other HH's wedding</v>
      </c>
      <c r="J321" t="s">
        <v>779</v>
      </c>
      <c r="K321">
        <v>70</v>
      </c>
      <c r="L321" t="s">
        <v>382</v>
      </c>
      <c r="M321">
        <v>319</v>
      </c>
      <c r="N321" t="s">
        <v>719</v>
      </c>
      <c r="U321">
        <v>7</v>
      </c>
      <c r="V321" s="34">
        <v>500</v>
      </c>
      <c r="W321" t="s">
        <v>2727</v>
      </c>
      <c r="X321">
        <v>319</v>
      </c>
      <c r="Y321" t="s">
        <v>719</v>
      </c>
    </row>
    <row r="322" spans="2:25" x14ac:dyDescent="0.35">
      <c r="B322">
        <v>320</v>
      </c>
      <c r="C322" t="str">
        <f t="shared" si="11"/>
        <v>Baptism</v>
      </c>
      <c r="J322" t="s">
        <v>779</v>
      </c>
      <c r="K322">
        <v>70</v>
      </c>
      <c r="L322" t="s">
        <v>382</v>
      </c>
      <c r="M322">
        <v>320</v>
      </c>
      <c r="N322" t="s">
        <v>718</v>
      </c>
      <c r="U322">
        <v>8</v>
      </c>
      <c r="V322" s="34">
        <v>86</v>
      </c>
      <c r="W322" t="s">
        <v>382</v>
      </c>
      <c r="X322">
        <v>320</v>
      </c>
      <c r="Y322" t="s">
        <v>718</v>
      </c>
    </row>
    <row r="323" spans="2:25" x14ac:dyDescent="0.35">
      <c r="B323">
        <v>321</v>
      </c>
      <c r="C323" t="str">
        <f t="shared" si="11"/>
        <v>Death (funeral)</v>
      </c>
      <c r="J323" t="s">
        <v>779</v>
      </c>
      <c r="K323">
        <v>70</v>
      </c>
      <c r="L323" t="s">
        <v>382</v>
      </c>
      <c r="M323">
        <v>321</v>
      </c>
      <c r="N323" t="s">
        <v>717</v>
      </c>
      <c r="U323">
        <v>9</v>
      </c>
      <c r="V323" s="34">
        <v>86</v>
      </c>
      <c r="W323" t="s">
        <v>382</v>
      </c>
      <c r="X323">
        <v>321</v>
      </c>
      <c r="Y323" t="s">
        <v>717</v>
      </c>
    </row>
    <row r="324" spans="2:25" x14ac:dyDescent="0.35">
      <c r="B324">
        <v>322</v>
      </c>
      <c r="C324" t="str">
        <f t="shared" si="11"/>
        <v>Religious festivals</v>
      </c>
      <c r="J324" t="s">
        <v>779</v>
      </c>
      <c r="K324">
        <v>70</v>
      </c>
      <c r="L324" t="s">
        <v>382</v>
      </c>
      <c r="M324">
        <v>322</v>
      </c>
      <c r="N324" t="s">
        <v>716</v>
      </c>
      <c r="U324">
        <v>10</v>
      </c>
      <c r="V324" s="34">
        <v>86</v>
      </c>
      <c r="W324" t="s">
        <v>382</v>
      </c>
      <c r="X324">
        <v>322</v>
      </c>
      <c r="Y324" t="s">
        <v>716</v>
      </c>
    </row>
    <row r="325" spans="2:25" x14ac:dyDescent="0.35">
      <c r="B325">
        <v>323</v>
      </c>
      <c r="C325" t="str">
        <f t="shared" si="11"/>
        <v>Offering and tythes</v>
      </c>
      <c r="J325" t="s">
        <v>779</v>
      </c>
      <c r="K325">
        <v>70</v>
      </c>
      <c r="L325" t="s">
        <v>382</v>
      </c>
      <c r="M325">
        <v>323</v>
      </c>
      <c r="N325" t="s">
        <v>715</v>
      </c>
      <c r="U325">
        <v>11</v>
      </c>
      <c r="V325" s="34">
        <v>700</v>
      </c>
      <c r="W325" t="s">
        <v>2726</v>
      </c>
      <c r="X325">
        <v>323</v>
      </c>
      <c r="Y325" t="s">
        <v>715</v>
      </c>
    </row>
    <row r="326" spans="2:25" x14ac:dyDescent="0.35">
      <c r="B326">
        <v>324</v>
      </c>
      <c r="C326" t="str">
        <f t="shared" si="11"/>
        <v>Other ceremonies</v>
      </c>
      <c r="J326" t="s">
        <v>779</v>
      </c>
      <c r="K326">
        <v>70</v>
      </c>
      <c r="L326" t="s">
        <v>382</v>
      </c>
      <c r="M326">
        <v>324</v>
      </c>
      <c r="N326" t="s">
        <v>714</v>
      </c>
      <c r="U326">
        <v>12</v>
      </c>
      <c r="V326" s="34">
        <v>86</v>
      </c>
      <c r="W326" t="s">
        <v>382</v>
      </c>
      <c r="X326">
        <v>324</v>
      </c>
      <c r="Y326" t="s">
        <v>714</v>
      </c>
    </row>
    <row r="327" spans="2:25" x14ac:dyDescent="0.35">
      <c r="B327">
        <v>325</v>
      </c>
      <c r="C327" t="str">
        <f t="shared" si="11"/>
        <v>Other expenditures</v>
      </c>
      <c r="J327" t="s">
        <v>779</v>
      </c>
      <c r="K327">
        <v>200</v>
      </c>
      <c r="L327" t="s">
        <v>398</v>
      </c>
      <c r="M327">
        <v>325</v>
      </c>
      <c r="N327" t="s">
        <v>713</v>
      </c>
      <c r="U327">
        <v>13</v>
      </c>
      <c r="V327" s="34">
        <v>200</v>
      </c>
      <c r="W327" t="s">
        <v>398</v>
      </c>
      <c r="X327">
        <v>325</v>
      </c>
      <c r="Y327" t="s">
        <v>713</v>
      </c>
    </row>
    <row r="328" spans="2:25" x14ac:dyDescent="0.35">
      <c r="B328">
        <v>400</v>
      </c>
      <c r="C328" t="e">
        <f t="shared" si="11"/>
        <v>#N/A</v>
      </c>
      <c r="J328" t="s">
        <v>779</v>
      </c>
      <c r="K328">
        <v>70</v>
      </c>
      <c r="L328" t="s">
        <v>382</v>
      </c>
      <c r="M328">
        <v>326</v>
      </c>
      <c r="N328" t="s">
        <v>1155</v>
      </c>
      <c r="V328" s="69">
        <v>40</v>
      </c>
      <c r="W328" s="25" t="s">
        <v>372</v>
      </c>
      <c r="X328" s="25">
        <v>326</v>
      </c>
      <c r="Y328" s="25" t="s">
        <v>551</v>
      </c>
    </row>
    <row r="329" spans="2:25" x14ac:dyDescent="0.35">
      <c r="B329">
        <v>500</v>
      </c>
      <c r="C329" t="str">
        <f t="shared" si="11"/>
        <v>Education section 2</v>
      </c>
      <c r="K329">
        <v>68</v>
      </c>
      <c r="L329" t="s">
        <v>392</v>
      </c>
      <c r="M329">
        <v>500</v>
      </c>
      <c r="N329" t="s">
        <v>395</v>
      </c>
      <c r="V329" s="34">
        <v>300</v>
      </c>
      <c r="W329" t="s">
        <v>1334</v>
      </c>
      <c r="X329">
        <v>400</v>
      </c>
      <c r="Y329" t="s">
        <v>1333</v>
      </c>
    </row>
    <row r="330" spans="2:25" x14ac:dyDescent="0.35">
      <c r="B330">
        <v>600</v>
      </c>
      <c r="C330" t="str">
        <f t="shared" si="11"/>
        <v>Rent - Imputed rent section 5</v>
      </c>
      <c r="K330">
        <v>65</v>
      </c>
      <c r="L330" t="s">
        <v>397</v>
      </c>
      <c r="M330">
        <v>600</v>
      </c>
      <c r="N330" t="s">
        <v>403</v>
      </c>
      <c r="V330" s="34">
        <v>84</v>
      </c>
      <c r="W330" t="s">
        <v>392</v>
      </c>
      <c r="X330">
        <v>500</v>
      </c>
      <c r="Y330" t="s">
        <v>395</v>
      </c>
    </row>
    <row r="331" spans="2:25" x14ac:dyDescent="0.35">
      <c r="B331">
        <v>700</v>
      </c>
      <c r="C331" t="str">
        <f t="shared" si="11"/>
        <v>House maintainance, extension, construction</v>
      </c>
      <c r="K331">
        <v>60</v>
      </c>
      <c r="L331" t="s">
        <v>352</v>
      </c>
      <c r="M331">
        <v>700</v>
      </c>
      <c r="N331" t="s">
        <v>1150</v>
      </c>
      <c r="V331" s="34">
        <v>81</v>
      </c>
      <c r="W331" t="s">
        <v>397</v>
      </c>
      <c r="X331">
        <v>600</v>
      </c>
      <c r="Y331" t="s">
        <v>403</v>
      </c>
    </row>
    <row r="332" spans="2:25" x14ac:dyDescent="0.35">
      <c r="B332">
        <v>800</v>
      </c>
      <c r="C332" t="str">
        <f t="shared" si="11"/>
        <v>Electricity section 5</v>
      </c>
      <c r="K332">
        <v>57</v>
      </c>
      <c r="L332" t="s">
        <v>401</v>
      </c>
      <c r="M332">
        <v>800</v>
      </c>
      <c r="N332" t="s">
        <v>396</v>
      </c>
      <c r="V332" s="34">
        <v>600</v>
      </c>
      <c r="W332" t="s">
        <v>2725</v>
      </c>
      <c r="X332">
        <v>700</v>
      </c>
      <c r="Y332" t="s">
        <v>1150</v>
      </c>
    </row>
    <row r="333" spans="2:25" x14ac:dyDescent="0.35">
      <c r="B333">
        <v>900</v>
      </c>
      <c r="C333" t="str">
        <f t="shared" si="11"/>
        <v>Water section 5</v>
      </c>
      <c r="K333">
        <v>58</v>
      </c>
      <c r="L333" t="s">
        <v>400</v>
      </c>
      <c r="M333">
        <v>900</v>
      </c>
      <c r="N333" t="s">
        <v>1151</v>
      </c>
      <c r="V333" s="34">
        <v>72</v>
      </c>
      <c r="W333" t="s">
        <v>401</v>
      </c>
      <c r="X333">
        <v>800</v>
      </c>
      <c r="Y333" t="s">
        <v>396</v>
      </c>
    </row>
    <row r="334" spans="2:25" x14ac:dyDescent="0.35">
      <c r="V334" s="34">
        <v>73</v>
      </c>
      <c r="W334" t="s">
        <v>400</v>
      </c>
      <c r="X334">
        <v>900</v>
      </c>
      <c r="Y334" t="s">
        <v>1151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AE155"/>
  <sheetViews>
    <sheetView zoomScale="85" zoomScaleNormal="85" workbookViewId="0">
      <selection activeCell="B1" sqref="B1"/>
    </sheetView>
  </sheetViews>
  <sheetFormatPr defaultRowHeight="14.5" x14ac:dyDescent="0.35"/>
  <sheetData>
    <row r="6" spans="4:23" x14ac:dyDescent="0.35">
      <c r="D6" t="s">
        <v>391</v>
      </c>
      <c r="E6" t="s">
        <v>383</v>
      </c>
      <c r="F6" t="s">
        <v>391</v>
      </c>
      <c r="G6" t="s">
        <v>383</v>
      </c>
      <c r="H6" t="s">
        <v>2237</v>
      </c>
      <c r="I6" t="s">
        <v>2238</v>
      </c>
      <c r="S6" t="s">
        <v>391</v>
      </c>
      <c r="T6" t="s">
        <v>383</v>
      </c>
      <c r="U6" t="s">
        <v>391</v>
      </c>
      <c r="V6" t="s">
        <v>383</v>
      </c>
      <c r="W6" t="s">
        <v>2308</v>
      </c>
    </row>
    <row r="7" spans="4:23" x14ac:dyDescent="0.35">
      <c r="D7">
        <v>1</v>
      </c>
      <c r="E7" t="s">
        <v>335</v>
      </c>
      <c r="F7">
        <v>1</v>
      </c>
      <c r="G7" t="str">
        <f>VLOOKUP(F7,$N$7:$O$92,2,0)</f>
        <v>maiz</v>
      </c>
      <c r="H7">
        <v>2</v>
      </c>
      <c r="I7" t="s">
        <v>1073</v>
      </c>
      <c r="N7">
        <v>1</v>
      </c>
      <c r="O7" t="s">
        <v>335</v>
      </c>
      <c r="S7">
        <v>1</v>
      </c>
      <c r="T7" t="s">
        <v>335</v>
      </c>
      <c r="U7">
        <v>1</v>
      </c>
      <c r="V7" t="str">
        <f>VLOOKUP(U7,$N$7:$O$92,2,0)</f>
        <v>maiz</v>
      </c>
      <c r="W7" t="s">
        <v>2309</v>
      </c>
    </row>
    <row r="8" spans="4:23" x14ac:dyDescent="0.35">
      <c r="D8">
        <v>1</v>
      </c>
      <c r="E8" t="s">
        <v>335</v>
      </c>
      <c r="F8">
        <v>1</v>
      </c>
      <c r="G8" t="str">
        <f t="shared" ref="G8:G71" si="0">VLOOKUP(F8,$N$7:$O$92,2,0)</f>
        <v>maiz</v>
      </c>
      <c r="H8">
        <v>13</v>
      </c>
      <c r="I8" t="s">
        <v>2239</v>
      </c>
      <c r="N8">
        <v>2</v>
      </c>
      <c r="O8" t="s">
        <v>337</v>
      </c>
      <c r="S8">
        <v>27</v>
      </c>
      <c r="T8" t="s">
        <v>340</v>
      </c>
      <c r="U8">
        <v>34</v>
      </c>
      <c r="V8" t="str">
        <f t="shared" ref="V8:V71" si="1">VLOOKUP(U8,$N$7:$O$92,2,0)</f>
        <v>aqua</v>
      </c>
      <c r="W8" t="s">
        <v>785</v>
      </c>
    </row>
    <row r="9" spans="4:23" x14ac:dyDescent="0.35">
      <c r="D9">
        <v>2</v>
      </c>
      <c r="E9" t="s">
        <v>337</v>
      </c>
      <c r="F9">
        <v>2</v>
      </c>
      <c r="G9" t="str">
        <f t="shared" si="0"/>
        <v>sorg</v>
      </c>
      <c r="H9">
        <v>3</v>
      </c>
      <c r="I9" t="s">
        <v>571</v>
      </c>
      <c r="N9">
        <v>3</v>
      </c>
      <c r="O9" t="s">
        <v>334</v>
      </c>
      <c r="S9">
        <v>27</v>
      </c>
      <c r="T9" t="s">
        <v>340</v>
      </c>
      <c r="U9">
        <v>35</v>
      </c>
      <c r="V9" t="str">
        <f t="shared" si="1"/>
        <v>fish</v>
      </c>
      <c r="W9" t="s">
        <v>784</v>
      </c>
    </row>
    <row r="10" spans="4:23" x14ac:dyDescent="0.35">
      <c r="D10">
        <v>3</v>
      </c>
      <c r="E10" t="s">
        <v>334</v>
      </c>
      <c r="F10">
        <v>3</v>
      </c>
      <c r="G10" t="str">
        <f t="shared" si="0"/>
        <v>rice</v>
      </c>
      <c r="H10">
        <v>1</v>
      </c>
      <c r="I10" t="s">
        <v>1075</v>
      </c>
      <c r="N10">
        <v>4</v>
      </c>
      <c r="O10" t="s">
        <v>755</v>
      </c>
      <c r="S10">
        <v>26</v>
      </c>
      <c r="T10" t="s">
        <v>372</v>
      </c>
      <c r="U10">
        <v>33</v>
      </c>
      <c r="V10" t="str">
        <f t="shared" si="1"/>
        <v>fore</v>
      </c>
      <c r="W10" t="s">
        <v>2310</v>
      </c>
    </row>
    <row r="11" spans="4:23" x14ac:dyDescent="0.35">
      <c r="D11">
        <v>4</v>
      </c>
      <c r="E11" t="s">
        <v>755</v>
      </c>
      <c r="F11">
        <v>4</v>
      </c>
      <c r="G11" t="str">
        <f t="shared" si="0"/>
        <v>whea</v>
      </c>
      <c r="H11">
        <v>4</v>
      </c>
      <c r="I11" t="s">
        <v>2240</v>
      </c>
      <c r="N11">
        <v>5</v>
      </c>
      <c r="O11" t="s">
        <v>354</v>
      </c>
      <c r="S11">
        <v>20.2</v>
      </c>
      <c r="T11" t="s">
        <v>2223</v>
      </c>
      <c r="U11">
        <v>26</v>
      </c>
      <c r="V11" t="str">
        <f t="shared" si="1"/>
        <v>ocrp</v>
      </c>
      <c r="W11" t="s">
        <v>2311</v>
      </c>
    </row>
    <row r="12" spans="4:23" x14ac:dyDescent="0.35">
      <c r="D12">
        <v>5</v>
      </c>
      <c r="E12" t="s">
        <v>354</v>
      </c>
      <c r="F12">
        <v>5</v>
      </c>
      <c r="G12" t="str">
        <f t="shared" si="0"/>
        <v>ocer</v>
      </c>
      <c r="H12">
        <v>5</v>
      </c>
      <c r="I12" t="s">
        <v>2241</v>
      </c>
      <c r="N12">
        <v>6</v>
      </c>
      <c r="O12" t="s">
        <v>344</v>
      </c>
      <c r="S12">
        <v>20.100000000000001</v>
      </c>
      <c r="T12" t="s">
        <v>2287</v>
      </c>
      <c r="U12">
        <v>26</v>
      </c>
      <c r="V12" t="str">
        <f t="shared" si="1"/>
        <v>ocrp</v>
      </c>
      <c r="W12" t="s">
        <v>2312</v>
      </c>
    </row>
    <row r="13" spans="4:23" x14ac:dyDescent="0.35">
      <c r="D13">
        <v>6</v>
      </c>
      <c r="E13" t="s">
        <v>344</v>
      </c>
      <c r="F13">
        <v>6</v>
      </c>
      <c r="G13" t="str">
        <f t="shared" si="0"/>
        <v>puls</v>
      </c>
      <c r="H13">
        <v>7</v>
      </c>
      <c r="I13" t="s">
        <v>2242</v>
      </c>
      <c r="N13">
        <v>7</v>
      </c>
      <c r="O13" t="s">
        <v>345</v>
      </c>
      <c r="S13">
        <v>25</v>
      </c>
      <c r="T13" t="s">
        <v>759</v>
      </c>
      <c r="U13">
        <v>32</v>
      </c>
      <c r="V13" t="str">
        <f t="shared" si="1"/>
        <v>oliv</v>
      </c>
      <c r="W13" t="s">
        <v>2313</v>
      </c>
    </row>
    <row r="14" spans="4:23" x14ac:dyDescent="0.35">
      <c r="D14">
        <v>6</v>
      </c>
      <c r="E14" t="s">
        <v>344</v>
      </c>
      <c r="F14">
        <v>6</v>
      </c>
      <c r="G14" t="str">
        <f t="shared" si="0"/>
        <v>puls</v>
      </c>
      <c r="H14">
        <v>9</v>
      </c>
      <c r="I14" t="s">
        <v>2243</v>
      </c>
      <c r="N14">
        <v>8</v>
      </c>
      <c r="O14" t="s">
        <v>356</v>
      </c>
      <c r="S14">
        <v>26</v>
      </c>
      <c r="T14" t="s">
        <v>372</v>
      </c>
      <c r="U14">
        <v>33</v>
      </c>
      <c r="V14" t="str">
        <f t="shared" si="1"/>
        <v>fore</v>
      </c>
      <c r="W14" t="s">
        <v>2314</v>
      </c>
    </row>
    <row r="15" spans="4:23" x14ac:dyDescent="0.35">
      <c r="D15">
        <v>6</v>
      </c>
      <c r="E15" t="s">
        <v>344</v>
      </c>
      <c r="F15">
        <v>6</v>
      </c>
      <c r="G15" t="str">
        <f t="shared" si="0"/>
        <v>puls</v>
      </c>
      <c r="H15">
        <v>10</v>
      </c>
      <c r="I15" t="s">
        <v>2244</v>
      </c>
      <c r="N15">
        <v>9</v>
      </c>
      <c r="O15" t="s">
        <v>333</v>
      </c>
      <c r="T15" t="s">
        <v>780</v>
      </c>
      <c r="V15" t="s">
        <v>780</v>
      </c>
      <c r="W15" t="s">
        <v>2315</v>
      </c>
    </row>
    <row r="16" spans="4:23" x14ac:dyDescent="0.35">
      <c r="D16">
        <v>7</v>
      </c>
      <c r="E16" t="s">
        <v>345</v>
      </c>
      <c r="F16">
        <v>7</v>
      </c>
      <c r="G16" t="str">
        <f t="shared" si="0"/>
        <v>gnut</v>
      </c>
      <c r="H16">
        <v>8</v>
      </c>
      <c r="I16" t="s">
        <v>2245</v>
      </c>
      <c r="N16">
        <v>10</v>
      </c>
      <c r="O16" t="s">
        <v>1317</v>
      </c>
      <c r="S16">
        <v>19</v>
      </c>
      <c r="T16" t="s">
        <v>757</v>
      </c>
      <c r="U16">
        <v>24</v>
      </c>
      <c r="V16" t="str">
        <f t="shared" si="1"/>
        <v>flwr</v>
      </c>
      <c r="W16" t="s">
        <v>2316</v>
      </c>
    </row>
    <row r="17" spans="4:23" x14ac:dyDescent="0.35">
      <c r="D17">
        <v>8</v>
      </c>
      <c r="E17" t="s">
        <v>356</v>
      </c>
      <c r="F17">
        <v>8</v>
      </c>
      <c r="G17" t="str">
        <f t="shared" si="0"/>
        <v>oils</v>
      </c>
      <c r="H17">
        <v>11</v>
      </c>
      <c r="I17" t="s">
        <v>2246</v>
      </c>
      <c r="N17">
        <v>11</v>
      </c>
      <c r="O17" t="s">
        <v>1318</v>
      </c>
      <c r="S17">
        <v>26</v>
      </c>
      <c r="T17" t="s">
        <v>372</v>
      </c>
      <c r="U17">
        <v>33</v>
      </c>
      <c r="V17" t="str">
        <f t="shared" si="1"/>
        <v>fore</v>
      </c>
      <c r="W17" t="s">
        <v>2317</v>
      </c>
    </row>
    <row r="18" spans="4:23" x14ac:dyDescent="0.35">
      <c r="D18">
        <v>9</v>
      </c>
      <c r="E18" t="s">
        <v>333</v>
      </c>
      <c r="F18">
        <v>9</v>
      </c>
      <c r="G18" t="str">
        <f t="shared" si="0"/>
        <v>cass</v>
      </c>
      <c r="H18">
        <v>14</v>
      </c>
      <c r="I18" t="s">
        <v>2247</v>
      </c>
      <c r="N18">
        <v>12</v>
      </c>
      <c r="O18" t="s">
        <v>332</v>
      </c>
      <c r="S18">
        <v>20.2</v>
      </c>
      <c r="T18" t="s">
        <v>2223</v>
      </c>
      <c r="U18">
        <v>26</v>
      </c>
      <c r="V18" t="str">
        <f t="shared" si="1"/>
        <v>ocrp</v>
      </c>
      <c r="W18" t="s">
        <v>2318</v>
      </c>
    </row>
    <row r="19" spans="4:23" x14ac:dyDescent="0.35">
      <c r="D19">
        <v>9</v>
      </c>
      <c r="E19" t="s">
        <v>333</v>
      </c>
      <c r="F19">
        <v>9</v>
      </c>
      <c r="G19" t="str">
        <f t="shared" si="0"/>
        <v>cass</v>
      </c>
      <c r="H19">
        <v>15</v>
      </c>
      <c r="I19" t="s">
        <v>2248</v>
      </c>
      <c r="N19">
        <v>13</v>
      </c>
      <c r="O19" t="s">
        <v>2218</v>
      </c>
      <c r="S19">
        <v>26</v>
      </c>
      <c r="T19" t="s">
        <v>372</v>
      </c>
      <c r="U19">
        <v>33</v>
      </c>
      <c r="V19" t="str">
        <f t="shared" si="1"/>
        <v>fore</v>
      </c>
      <c r="W19" t="s">
        <v>2319</v>
      </c>
    </row>
    <row r="20" spans="4:23" x14ac:dyDescent="0.35">
      <c r="D20">
        <v>10.1</v>
      </c>
      <c r="E20" t="s">
        <v>1317</v>
      </c>
      <c r="F20">
        <v>10</v>
      </c>
      <c r="G20" t="str">
        <f t="shared" si="0"/>
        <v>ipot</v>
      </c>
      <c r="H20">
        <v>6</v>
      </c>
      <c r="I20" t="s">
        <v>2249</v>
      </c>
      <c r="N20">
        <v>14</v>
      </c>
      <c r="O20" t="s">
        <v>343</v>
      </c>
      <c r="S20">
        <v>30</v>
      </c>
      <c r="T20" t="s">
        <v>2226</v>
      </c>
      <c r="U20">
        <v>38</v>
      </c>
      <c r="V20" t="str">
        <f t="shared" si="1"/>
        <v>ngas</v>
      </c>
      <c r="W20" t="s">
        <v>2320</v>
      </c>
    </row>
    <row r="21" spans="4:23" x14ac:dyDescent="0.35">
      <c r="D21">
        <v>10.3</v>
      </c>
      <c r="E21" t="s">
        <v>332</v>
      </c>
      <c r="F21">
        <v>12</v>
      </c>
      <c r="G21" t="str">
        <f t="shared" si="0"/>
        <v>root</v>
      </c>
      <c r="H21">
        <v>16</v>
      </c>
      <c r="I21" t="s">
        <v>2250</v>
      </c>
      <c r="N21">
        <v>15</v>
      </c>
      <c r="O21" t="s">
        <v>357</v>
      </c>
      <c r="S21">
        <v>31</v>
      </c>
      <c r="T21" t="s">
        <v>762</v>
      </c>
      <c r="U21">
        <v>39</v>
      </c>
      <c r="V21" t="str">
        <f t="shared" si="1"/>
        <v>omin</v>
      </c>
      <c r="W21" t="s">
        <v>2321</v>
      </c>
    </row>
    <row r="22" spans="4:23" x14ac:dyDescent="0.35">
      <c r="D22">
        <v>10.199999999999999</v>
      </c>
      <c r="E22" t="s">
        <v>1318</v>
      </c>
      <c r="F22">
        <v>11</v>
      </c>
      <c r="G22" t="str">
        <f t="shared" si="0"/>
        <v>spot</v>
      </c>
      <c r="H22">
        <v>17</v>
      </c>
      <c r="I22" t="s">
        <v>2251</v>
      </c>
      <c r="N22">
        <v>16</v>
      </c>
      <c r="O22" t="s">
        <v>388</v>
      </c>
      <c r="S22">
        <v>28</v>
      </c>
      <c r="T22" t="s">
        <v>760</v>
      </c>
      <c r="U22">
        <v>36</v>
      </c>
      <c r="V22" t="str">
        <f t="shared" si="1"/>
        <v>coal</v>
      </c>
      <c r="W22" t="s">
        <v>2322</v>
      </c>
    </row>
    <row r="23" spans="4:23" x14ac:dyDescent="0.35">
      <c r="D23">
        <v>10.3</v>
      </c>
      <c r="E23" t="s">
        <v>332</v>
      </c>
      <c r="F23">
        <v>12</v>
      </c>
      <c r="G23" t="str">
        <f t="shared" si="0"/>
        <v>root</v>
      </c>
      <c r="H23">
        <v>18</v>
      </c>
      <c r="I23" t="s">
        <v>2252</v>
      </c>
      <c r="N23">
        <v>17</v>
      </c>
      <c r="O23" t="s">
        <v>2219</v>
      </c>
      <c r="S23">
        <v>31</v>
      </c>
      <c r="T23" t="s">
        <v>762</v>
      </c>
      <c r="U23">
        <v>39</v>
      </c>
      <c r="V23" t="str">
        <f t="shared" si="1"/>
        <v>omin</v>
      </c>
      <c r="W23" t="s">
        <v>2323</v>
      </c>
    </row>
    <row r="24" spans="4:23" x14ac:dyDescent="0.35">
      <c r="D24">
        <v>11</v>
      </c>
      <c r="E24" t="s">
        <v>343</v>
      </c>
      <c r="F24">
        <v>13</v>
      </c>
      <c r="G24" t="str">
        <f t="shared" si="0"/>
        <v>leaf</v>
      </c>
      <c r="H24">
        <v>37</v>
      </c>
      <c r="I24" t="s">
        <v>2253</v>
      </c>
      <c r="N24">
        <v>18</v>
      </c>
      <c r="O24" t="s">
        <v>2220</v>
      </c>
      <c r="S24">
        <v>31</v>
      </c>
      <c r="T24" t="s">
        <v>762</v>
      </c>
      <c r="U24">
        <v>39</v>
      </c>
      <c r="V24" t="str">
        <f t="shared" si="1"/>
        <v>omin</v>
      </c>
      <c r="W24" t="s">
        <v>2324</v>
      </c>
    </row>
    <row r="25" spans="4:23" x14ac:dyDescent="0.35">
      <c r="D25">
        <v>11</v>
      </c>
      <c r="E25" t="s">
        <v>343</v>
      </c>
      <c r="F25">
        <v>13</v>
      </c>
      <c r="G25" t="str">
        <f t="shared" si="0"/>
        <v>leaf</v>
      </c>
      <c r="H25">
        <v>38</v>
      </c>
      <c r="I25" t="s">
        <v>2254</v>
      </c>
      <c r="N25">
        <v>19</v>
      </c>
      <c r="O25" t="s">
        <v>1319</v>
      </c>
      <c r="S25">
        <v>31</v>
      </c>
      <c r="T25" t="s">
        <v>762</v>
      </c>
      <c r="U25">
        <v>39</v>
      </c>
      <c r="V25" t="str">
        <f t="shared" si="1"/>
        <v>omin</v>
      </c>
      <c r="W25" t="s">
        <v>2318</v>
      </c>
    </row>
    <row r="26" spans="4:23" x14ac:dyDescent="0.35">
      <c r="D26">
        <v>11</v>
      </c>
      <c r="E26" t="s">
        <v>343</v>
      </c>
      <c r="F26">
        <v>14</v>
      </c>
      <c r="G26" t="str">
        <f t="shared" si="0"/>
        <v>vege</v>
      </c>
      <c r="H26">
        <v>39</v>
      </c>
      <c r="I26" t="s">
        <v>644</v>
      </c>
      <c r="N26">
        <v>20</v>
      </c>
      <c r="O26" t="s">
        <v>331</v>
      </c>
      <c r="S26">
        <v>32</v>
      </c>
      <c r="T26" t="s">
        <v>341</v>
      </c>
      <c r="U26">
        <v>40</v>
      </c>
      <c r="V26" t="str">
        <f t="shared" si="1"/>
        <v>meat</v>
      </c>
      <c r="W26" t="s">
        <v>2325</v>
      </c>
    </row>
    <row r="27" spans="4:23" x14ac:dyDescent="0.35">
      <c r="D27">
        <v>11</v>
      </c>
      <c r="E27" t="s">
        <v>343</v>
      </c>
      <c r="F27">
        <v>14</v>
      </c>
      <c r="G27" t="str">
        <f t="shared" si="0"/>
        <v>vege</v>
      </c>
      <c r="H27">
        <v>40</v>
      </c>
      <c r="I27" t="s">
        <v>2255</v>
      </c>
      <c r="N27">
        <v>21</v>
      </c>
      <c r="O27" t="s">
        <v>756</v>
      </c>
      <c r="S27">
        <v>46</v>
      </c>
      <c r="T27" t="s">
        <v>369</v>
      </c>
      <c r="U27">
        <v>61</v>
      </c>
      <c r="V27" t="str">
        <f t="shared" si="1"/>
        <v>wood</v>
      </c>
      <c r="W27" t="s">
        <v>2326</v>
      </c>
    </row>
    <row r="28" spans="4:23" x14ac:dyDescent="0.35">
      <c r="D28">
        <v>11</v>
      </c>
      <c r="E28" t="s">
        <v>343</v>
      </c>
      <c r="F28">
        <v>14</v>
      </c>
      <c r="G28" t="str">
        <f t="shared" si="0"/>
        <v>vege</v>
      </c>
      <c r="H28">
        <v>41</v>
      </c>
      <c r="I28" t="s">
        <v>646</v>
      </c>
      <c r="N28">
        <v>22</v>
      </c>
      <c r="O28" t="s">
        <v>362</v>
      </c>
      <c r="S28">
        <v>52</v>
      </c>
      <c r="T28" t="s">
        <v>370</v>
      </c>
      <c r="U28">
        <v>67</v>
      </c>
      <c r="V28" t="str">
        <f t="shared" si="1"/>
        <v>metl</v>
      </c>
      <c r="W28" t="s">
        <v>2327</v>
      </c>
    </row>
    <row r="29" spans="4:23" x14ac:dyDescent="0.35">
      <c r="D29">
        <v>11</v>
      </c>
      <c r="E29" t="s">
        <v>343</v>
      </c>
      <c r="F29">
        <v>14</v>
      </c>
      <c r="G29" t="str">
        <f t="shared" si="0"/>
        <v>vege</v>
      </c>
      <c r="H29">
        <v>42</v>
      </c>
      <c r="I29" t="s">
        <v>662</v>
      </c>
      <c r="N29">
        <v>23</v>
      </c>
      <c r="O29" t="s">
        <v>2221</v>
      </c>
      <c r="S29">
        <v>41</v>
      </c>
      <c r="T29" t="s">
        <v>347</v>
      </c>
      <c r="U29">
        <v>55</v>
      </c>
      <c r="V29" t="str">
        <f t="shared" si="1"/>
        <v>beve</v>
      </c>
      <c r="W29" t="s">
        <v>2328</v>
      </c>
    </row>
    <row r="30" spans="4:23" x14ac:dyDescent="0.35">
      <c r="D30">
        <v>11</v>
      </c>
      <c r="E30" t="s">
        <v>343</v>
      </c>
      <c r="F30">
        <v>14</v>
      </c>
      <c r="G30" t="str">
        <f t="shared" si="0"/>
        <v>vege</v>
      </c>
      <c r="H30">
        <v>43</v>
      </c>
      <c r="I30" t="s">
        <v>2256</v>
      </c>
      <c r="N30">
        <v>24</v>
      </c>
      <c r="O30" t="s">
        <v>757</v>
      </c>
      <c r="S30">
        <v>41</v>
      </c>
      <c r="T30" t="s">
        <v>347</v>
      </c>
      <c r="U30">
        <v>55</v>
      </c>
      <c r="V30" t="str">
        <f t="shared" si="1"/>
        <v>beve</v>
      </c>
      <c r="W30" t="s">
        <v>2329</v>
      </c>
    </row>
    <row r="31" spans="4:23" x14ac:dyDescent="0.35">
      <c r="D31">
        <v>11</v>
      </c>
      <c r="E31" t="s">
        <v>343</v>
      </c>
      <c r="F31">
        <v>13</v>
      </c>
      <c r="G31" t="str">
        <f t="shared" si="0"/>
        <v>leaf</v>
      </c>
      <c r="H31">
        <v>44</v>
      </c>
      <c r="I31" t="s">
        <v>2257</v>
      </c>
      <c r="N31">
        <v>25</v>
      </c>
      <c r="O31" t="s">
        <v>2222</v>
      </c>
      <c r="S31">
        <v>56</v>
      </c>
      <c r="T31" t="s">
        <v>351</v>
      </c>
      <c r="U31">
        <v>71</v>
      </c>
      <c r="V31" t="str">
        <f t="shared" si="1"/>
        <v>oman</v>
      </c>
      <c r="W31" t="s">
        <v>2330</v>
      </c>
    </row>
    <row r="32" spans="4:23" x14ac:dyDescent="0.35">
      <c r="D32">
        <v>11</v>
      </c>
      <c r="E32" t="s">
        <v>343</v>
      </c>
      <c r="F32">
        <v>13</v>
      </c>
      <c r="G32" t="str">
        <f t="shared" si="0"/>
        <v>leaf</v>
      </c>
      <c r="H32">
        <v>45</v>
      </c>
      <c r="I32" t="s">
        <v>2258</v>
      </c>
      <c r="N32">
        <v>26</v>
      </c>
      <c r="O32" t="s">
        <v>2223</v>
      </c>
      <c r="S32">
        <v>47</v>
      </c>
      <c r="T32" t="s">
        <v>767</v>
      </c>
      <c r="U32">
        <v>62</v>
      </c>
      <c r="V32" t="str">
        <f t="shared" si="1"/>
        <v>papr</v>
      </c>
      <c r="W32" t="s">
        <v>2331</v>
      </c>
    </row>
    <row r="33" spans="4:23" x14ac:dyDescent="0.35">
      <c r="D33">
        <v>11</v>
      </c>
      <c r="E33" t="s">
        <v>343</v>
      </c>
      <c r="F33">
        <v>13</v>
      </c>
      <c r="G33" t="str">
        <f t="shared" si="0"/>
        <v>leaf</v>
      </c>
      <c r="H33">
        <v>46</v>
      </c>
      <c r="I33" t="s">
        <v>649</v>
      </c>
      <c r="N33">
        <v>27</v>
      </c>
      <c r="O33" t="s">
        <v>338</v>
      </c>
      <c r="S33">
        <v>33</v>
      </c>
      <c r="T33" t="s">
        <v>763</v>
      </c>
      <c r="U33">
        <v>41</v>
      </c>
      <c r="V33" t="str">
        <f t="shared" si="1"/>
        <v>fsea</v>
      </c>
      <c r="W33" t="s">
        <v>2332</v>
      </c>
    </row>
    <row r="34" spans="4:23" x14ac:dyDescent="0.35">
      <c r="D34">
        <v>11</v>
      </c>
      <c r="E34" t="s">
        <v>343</v>
      </c>
      <c r="F34">
        <v>14</v>
      </c>
      <c r="G34" t="str">
        <f t="shared" si="0"/>
        <v>vege</v>
      </c>
      <c r="H34">
        <v>47</v>
      </c>
      <c r="I34" t="s">
        <v>2259</v>
      </c>
      <c r="N34">
        <v>28</v>
      </c>
      <c r="O34" t="s">
        <v>758</v>
      </c>
      <c r="S34">
        <v>56</v>
      </c>
      <c r="T34" t="s">
        <v>351</v>
      </c>
      <c r="U34">
        <v>71</v>
      </c>
      <c r="V34" t="str">
        <f t="shared" si="1"/>
        <v>oman</v>
      </c>
      <c r="W34" t="s">
        <v>2333</v>
      </c>
    </row>
    <row r="35" spans="4:23" x14ac:dyDescent="0.35">
      <c r="D35">
        <v>11</v>
      </c>
      <c r="E35" t="s">
        <v>343</v>
      </c>
      <c r="F35">
        <v>13</v>
      </c>
      <c r="G35" t="str">
        <f t="shared" si="0"/>
        <v>leaf</v>
      </c>
      <c r="H35">
        <v>48</v>
      </c>
      <c r="I35" t="s">
        <v>651</v>
      </c>
      <c r="N35">
        <v>29</v>
      </c>
      <c r="O35" t="s">
        <v>339</v>
      </c>
      <c r="S35">
        <v>43</v>
      </c>
      <c r="T35" t="s">
        <v>349</v>
      </c>
      <c r="U35">
        <v>58</v>
      </c>
      <c r="V35" t="str">
        <f t="shared" si="1"/>
        <v>text</v>
      </c>
      <c r="W35" t="s">
        <v>2334</v>
      </c>
    </row>
    <row r="36" spans="4:23" x14ac:dyDescent="0.35">
      <c r="D36">
        <v>11</v>
      </c>
      <c r="E36" t="s">
        <v>343</v>
      </c>
      <c r="F36">
        <v>13</v>
      </c>
      <c r="G36" t="str">
        <f t="shared" si="0"/>
        <v>leaf</v>
      </c>
      <c r="H36">
        <v>49</v>
      </c>
      <c r="I36" t="s">
        <v>658</v>
      </c>
      <c r="N36">
        <v>30</v>
      </c>
      <c r="O36" t="s">
        <v>20</v>
      </c>
      <c r="S36">
        <v>45</v>
      </c>
      <c r="T36" t="s">
        <v>350</v>
      </c>
      <c r="U36">
        <v>60</v>
      </c>
      <c r="V36" t="str">
        <f t="shared" si="1"/>
        <v>leat</v>
      </c>
      <c r="W36" t="s">
        <v>2335</v>
      </c>
    </row>
    <row r="37" spans="4:23" x14ac:dyDescent="0.35">
      <c r="D37">
        <v>11</v>
      </c>
      <c r="E37" t="s">
        <v>343</v>
      </c>
      <c r="F37">
        <v>13</v>
      </c>
      <c r="G37" t="str">
        <f t="shared" si="0"/>
        <v>leaf</v>
      </c>
      <c r="H37">
        <v>50</v>
      </c>
      <c r="I37" t="s">
        <v>2260</v>
      </c>
      <c r="N37">
        <v>31</v>
      </c>
      <c r="O37" t="s">
        <v>2224</v>
      </c>
      <c r="S37">
        <v>57</v>
      </c>
      <c r="T37" t="s">
        <v>401</v>
      </c>
      <c r="U37">
        <v>72</v>
      </c>
      <c r="V37" t="str">
        <f t="shared" si="1"/>
        <v>elec</v>
      </c>
      <c r="W37" t="s">
        <v>2336</v>
      </c>
    </row>
    <row r="38" spans="4:23" x14ac:dyDescent="0.35">
      <c r="D38">
        <v>11</v>
      </c>
      <c r="E38" t="s">
        <v>343</v>
      </c>
      <c r="F38">
        <v>13</v>
      </c>
      <c r="G38" t="str">
        <f t="shared" si="0"/>
        <v>leaf</v>
      </c>
      <c r="H38">
        <v>51</v>
      </c>
      <c r="I38" t="s">
        <v>654</v>
      </c>
      <c r="N38">
        <v>32</v>
      </c>
      <c r="O38" t="s">
        <v>759</v>
      </c>
      <c r="S38">
        <v>57</v>
      </c>
      <c r="T38" t="s">
        <v>401</v>
      </c>
      <c r="U38">
        <v>72</v>
      </c>
      <c r="V38" t="str">
        <f t="shared" si="1"/>
        <v>elec</v>
      </c>
      <c r="W38" t="s">
        <v>2329</v>
      </c>
    </row>
    <row r="39" spans="4:23" x14ac:dyDescent="0.35">
      <c r="D39">
        <v>11</v>
      </c>
      <c r="E39" t="s">
        <v>343</v>
      </c>
      <c r="F39">
        <v>14</v>
      </c>
      <c r="G39" t="str">
        <f t="shared" si="0"/>
        <v>vege</v>
      </c>
      <c r="H39">
        <v>52</v>
      </c>
      <c r="I39" t="s">
        <v>2261</v>
      </c>
      <c r="N39">
        <v>33</v>
      </c>
      <c r="O39" t="s">
        <v>372</v>
      </c>
      <c r="S39">
        <v>57</v>
      </c>
      <c r="T39" t="s">
        <v>401</v>
      </c>
      <c r="U39">
        <v>72</v>
      </c>
      <c r="V39" t="str">
        <f t="shared" si="1"/>
        <v>elec</v>
      </c>
      <c r="W39" t="s">
        <v>2337</v>
      </c>
    </row>
    <row r="40" spans="4:23" x14ac:dyDescent="0.35">
      <c r="D40">
        <v>11</v>
      </c>
      <c r="E40" t="s">
        <v>343</v>
      </c>
      <c r="F40">
        <v>14</v>
      </c>
      <c r="G40" t="str">
        <f t="shared" si="0"/>
        <v>vege</v>
      </c>
      <c r="H40">
        <v>53</v>
      </c>
      <c r="I40" t="s">
        <v>2262</v>
      </c>
      <c r="N40">
        <v>34</v>
      </c>
      <c r="O40" t="s">
        <v>2225</v>
      </c>
      <c r="S40">
        <v>58</v>
      </c>
      <c r="T40" t="s">
        <v>400</v>
      </c>
      <c r="U40">
        <v>73</v>
      </c>
      <c r="V40" t="str">
        <f t="shared" si="1"/>
        <v>watr</v>
      </c>
      <c r="W40" t="s">
        <v>2338</v>
      </c>
    </row>
    <row r="41" spans="4:23" x14ac:dyDescent="0.35">
      <c r="D41">
        <v>11</v>
      </c>
      <c r="E41" t="s">
        <v>343</v>
      </c>
      <c r="F41">
        <v>14</v>
      </c>
      <c r="G41" t="str">
        <f t="shared" si="0"/>
        <v>vege</v>
      </c>
      <c r="H41">
        <v>54</v>
      </c>
      <c r="I41" t="s">
        <v>728</v>
      </c>
      <c r="N41">
        <v>35</v>
      </c>
      <c r="O41" t="s">
        <v>340</v>
      </c>
      <c r="S41">
        <v>58</v>
      </c>
      <c r="T41" t="s">
        <v>400</v>
      </c>
      <c r="U41">
        <v>73</v>
      </c>
      <c r="V41" t="str">
        <f t="shared" si="1"/>
        <v>watr</v>
      </c>
      <c r="W41" t="s">
        <v>2339</v>
      </c>
    </row>
    <row r="42" spans="4:23" x14ac:dyDescent="0.35">
      <c r="D42">
        <v>11</v>
      </c>
      <c r="E42" t="s">
        <v>343</v>
      </c>
      <c r="F42">
        <v>14</v>
      </c>
      <c r="G42" t="str">
        <f t="shared" si="0"/>
        <v>vege</v>
      </c>
      <c r="H42">
        <v>55</v>
      </c>
      <c r="I42" t="s">
        <v>2263</v>
      </c>
      <c r="N42">
        <v>36</v>
      </c>
      <c r="O42" t="s">
        <v>760</v>
      </c>
      <c r="S42">
        <v>58</v>
      </c>
      <c r="T42" t="s">
        <v>400</v>
      </c>
      <c r="U42">
        <v>73</v>
      </c>
      <c r="V42" t="str">
        <f t="shared" si="1"/>
        <v>watr</v>
      </c>
      <c r="W42" t="s">
        <v>2340</v>
      </c>
    </row>
    <row r="43" spans="4:23" x14ac:dyDescent="0.35">
      <c r="D43">
        <v>11</v>
      </c>
      <c r="E43" t="s">
        <v>343</v>
      </c>
      <c r="F43">
        <v>14</v>
      </c>
      <c r="G43" t="str">
        <f t="shared" si="0"/>
        <v>vege</v>
      </c>
      <c r="H43">
        <v>56</v>
      </c>
      <c r="I43" t="s">
        <v>655</v>
      </c>
      <c r="N43">
        <v>37</v>
      </c>
      <c r="O43" t="s">
        <v>761</v>
      </c>
      <c r="S43">
        <v>59</v>
      </c>
      <c r="T43" t="s">
        <v>772</v>
      </c>
      <c r="U43">
        <v>74</v>
      </c>
      <c r="V43" t="str">
        <f t="shared" si="1"/>
        <v>cons</v>
      </c>
      <c r="W43" t="s">
        <v>2341</v>
      </c>
    </row>
    <row r="44" spans="4:23" x14ac:dyDescent="0.35">
      <c r="D44">
        <v>11</v>
      </c>
      <c r="E44" t="s">
        <v>343</v>
      </c>
      <c r="F44">
        <v>13</v>
      </c>
      <c r="G44" t="str">
        <f t="shared" si="0"/>
        <v>leaf</v>
      </c>
      <c r="H44">
        <v>57</v>
      </c>
      <c r="I44" t="s">
        <v>656</v>
      </c>
      <c r="N44">
        <v>38</v>
      </c>
      <c r="O44" t="s">
        <v>2226</v>
      </c>
      <c r="S44">
        <v>59</v>
      </c>
      <c r="T44" t="s">
        <v>772</v>
      </c>
      <c r="U44">
        <v>74</v>
      </c>
      <c r="V44" t="str">
        <f t="shared" si="1"/>
        <v>cons</v>
      </c>
      <c r="W44" t="s">
        <v>2342</v>
      </c>
    </row>
    <row r="45" spans="4:23" x14ac:dyDescent="0.35">
      <c r="D45">
        <v>11</v>
      </c>
      <c r="E45" t="s">
        <v>343</v>
      </c>
      <c r="F45">
        <v>13</v>
      </c>
      <c r="G45" t="str">
        <f t="shared" si="0"/>
        <v>leaf</v>
      </c>
      <c r="H45">
        <v>58</v>
      </c>
      <c r="I45" t="s">
        <v>2264</v>
      </c>
      <c r="N45">
        <v>39</v>
      </c>
      <c r="O45" t="s">
        <v>762</v>
      </c>
      <c r="S45">
        <v>59</v>
      </c>
      <c r="T45" t="s">
        <v>772</v>
      </c>
      <c r="U45">
        <v>74</v>
      </c>
      <c r="V45" t="str">
        <f t="shared" si="1"/>
        <v>cons</v>
      </c>
      <c r="W45" t="s">
        <v>2343</v>
      </c>
    </row>
    <row r="46" spans="4:23" x14ac:dyDescent="0.35">
      <c r="D46">
        <v>11</v>
      </c>
      <c r="E46" t="s">
        <v>343</v>
      </c>
      <c r="F46">
        <v>14</v>
      </c>
      <c r="G46" t="str">
        <f t="shared" si="0"/>
        <v>vege</v>
      </c>
      <c r="H46">
        <v>59</v>
      </c>
      <c r="I46" t="s">
        <v>2265</v>
      </c>
      <c r="N46">
        <v>40</v>
      </c>
      <c r="O46" t="s">
        <v>341</v>
      </c>
      <c r="S46">
        <v>59</v>
      </c>
      <c r="T46" t="s">
        <v>772</v>
      </c>
      <c r="U46">
        <v>74</v>
      </c>
      <c r="V46" t="str">
        <f t="shared" si="1"/>
        <v>cons</v>
      </c>
      <c r="W46" t="s">
        <v>2344</v>
      </c>
    </row>
    <row r="47" spans="4:23" x14ac:dyDescent="0.35">
      <c r="D47">
        <v>11</v>
      </c>
      <c r="E47" t="s">
        <v>343</v>
      </c>
      <c r="F47">
        <v>14</v>
      </c>
      <c r="G47" t="str">
        <f t="shared" si="0"/>
        <v>vege</v>
      </c>
      <c r="H47">
        <v>60</v>
      </c>
      <c r="I47" t="s">
        <v>2266</v>
      </c>
      <c r="N47">
        <v>41</v>
      </c>
      <c r="O47" t="s">
        <v>763</v>
      </c>
      <c r="S47">
        <v>59</v>
      </c>
      <c r="T47" t="s">
        <v>772</v>
      </c>
      <c r="U47">
        <v>74</v>
      </c>
      <c r="V47" t="str">
        <f t="shared" si="1"/>
        <v>cons</v>
      </c>
      <c r="W47" t="s">
        <v>2345</v>
      </c>
    </row>
    <row r="48" spans="4:23" x14ac:dyDescent="0.35">
      <c r="D48">
        <v>11</v>
      </c>
      <c r="E48" t="s">
        <v>343</v>
      </c>
      <c r="F48">
        <v>14</v>
      </c>
      <c r="G48" t="str">
        <f t="shared" si="0"/>
        <v>vege</v>
      </c>
      <c r="H48">
        <v>61</v>
      </c>
      <c r="I48" t="s">
        <v>2267</v>
      </c>
      <c r="N48">
        <v>42</v>
      </c>
      <c r="O48" t="s">
        <v>765</v>
      </c>
      <c r="S48">
        <v>60</v>
      </c>
      <c r="T48" t="s">
        <v>352</v>
      </c>
      <c r="U48">
        <v>75</v>
      </c>
      <c r="V48" t="str">
        <f t="shared" si="1"/>
        <v>trad</v>
      </c>
      <c r="W48" t="s">
        <v>2346</v>
      </c>
    </row>
    <row r="49" spans="4:31" x14ac:dyDescent="0.35">
      <c r="D49">
        <v>11</v>
      </c>
      <c r="E49" t="s">
        <v>343</v>
      </c>
      <c r="F49">
        <v>14</v>
      </c>
      <c r="G49" t="str">
        <f t="shared" si="0"/>
        <v>vege</v>
      </c>
      <c r="H49">
        <v>62</v>
      </c>
      <c r="I49" t="s">
        <v>2268</v>
      </c>
      <c r="N49">
        <v>43</v>
      </c>
      <c r="O49" t="s">
        <v>764</v>
      </c>
      <c r="S49">
        <v>60</v>
      </c>
      <c r="T49" t="s">
        <v>352</v>
      </c>
      <c r="U49">
        <v>75</v>
      </c>
      <c r="V49" t="str">
        <f t="shared" si="1"/>
        <v>trad</v>
      </c>
      <c r="W49" t="s">
        <v>2347</v>
      </c>
    </row>
    <row r="50" spans="4:31" x14ac:dyDescent="0.35">
      <c r="D50">
        <v>11</v>
      </c>
      <c r="E50" t="s">
        <v>343</v>
      </c>
      <c r="F50">
        <v>14</v>
      </c>
      <c r="G50" t="str">
        <f t="shared" si="0"/>
        <v>vege</v>
      </c>
      <c r="H50">
        <v>63</v>
      </c>
      <c r="I50" t="s">
        <v>2269</v>
      </c>
      <c r="N50">
        <v>44</v>
      </c>
      <c r="O50" t="s">
        <v>342</v>
      </c>
      <c r="S50">
        <v>60</v>
      </c>
      <c r="T50" t="s">
        <v>352</v>
      </c>
      <c r="U50">
        <v>75</v>
      </c>
      <c r="V50" t="str">
        <f t="shared" si="1"/>
        <v>trad</v>
      </c>
      <c r="W50" t="s">
        <v>2348</v>
      </c>
    </row>
    <row r="51" spans="4:31" x14ac:dyDescent="0.35">
      <c r="D51">
        <v>11</v>
      </c>
      <c r="E51" t="s">
        <v>343</v>
      </c>
      <c r="F51">
        <v>14</v>
      </c>
      <c r="G51" t="str">
        <f t="shared" si="0"/>
        <v>vege</v>
      </c>
      <c r="H51">
        <v>69</v>
      </c>
      <c r="I51" t="s">
        <v>2270</v>
      </c>
      <c r="N51">
        <v>45</v>
      </c>
      <c r="O51" t="s">
        <v>2227</v>
      </c>
      <c r="S51">
        <v>60</v>
      </c>
      <c r="T51" t="s">
        <v>352</v>
      </c>
      <c r="U51">
        <v>75</v>
      </c>
      <c r="V51" t="str">
        <f t="shared" si="1"/>
        <v>trad</v>
      </c>
      <c r="W51" t="s">
        <v>2349</v>
      </c>
      <c r="Z51">
        <v>1</v>
      </c>
      <c r="AA51" t="s">
        <v>335</v>
      </c>
      <c r="AB51">
        <v>33</v>
      </c>
      <c r="AC51" t="s">
        <v>372</v>
      </c>
      <c r="AD51">
        <v>65</v>
      </c>
      <c r="AE51" t="s">
        <v>371</v>
      </c>
    </row>
    <row r="52" spans="4:31" x14ac:dyDescent="0.35">
      <c r="D52">
        <v>12</v>
      </c>
      <c r="E52" t="s">
        <v>357</v>
      </c>
      <c r="F52">
        <v>15</v>
      </c>
      <c r="G52" t="str">
        <f t="shared" si="0"/>
        <v>sugr</v>
      </c>
      <c r="H52">
        <v>65</v>
      </c>
      <c r="I52" t="s">
        <v>2271</v>
      </c>
      <c r="N52">
        <v>46</v>
      </c>
      <c r="O52" t="s">
        <v>2228</v>
      </c>
      <c r="S52">
        <v>60</v>
      </c>
      <c r="T52" t="s">
        <v>352</v>
      </c>
      <c r="U52">
        <v>75</v>
      </c>
      <c r="V52" t="str">
        <f t="shared" si="1"/>
        <v>trad</v>
      </c>
      <c r="W52" t="s">
        <v>2350</v>
      </c>
      <c r="Z52">
        <v>2</v>
      </c>
      <c r="AA52" t="s">
        <v>337</v>
      </c>
      <c r="AB52">
        <v>34</v>
      </c>
      <c r="AC52" t="s">
        <v>2225</v>
      </c>
      <c r="AD52">
        <v>66</v>
      </c>
      <c r="AE52" t="s">
        <v>769</v>
      </c>
    </row>
    <row r="53" spans="4:31" x14ac:dyDescent="0.35">
      <c r="D53">
        <v>15.2</v>
      </c>
      <c r="E53" t="s">
        <v>1319</v>
      </c>
      <c r="F53">
        <v>19</v>
      </c>
      <c r="G53" t="str">
        <f t="shared" si="0"/>
        <v>bana</v>
      </c>
      <c r="H53">
        <v>19</v>
      </c>
      <c r="I53" t="s">
        <v>2272</v>
      </c>
      <c r="N53">
        <v>47</v>
      </c>
      <c r="O53" t="s">
        <v>2229</v>
      </c>
      <c r="S53">
        <v>60</v>
      </c>
      <c r="T53" t="s">
        <v>352</v>
      </c>
      <c r="U53">
        <v>75</v>
      </c>
      <c r="V53" t="str">
        <f t="shared" si="1"/>
        <v>trad</v>
      </c>
      <c r="W53" t="s">
        <v>2351</v>
      </c>
      <c r="Z53">
        <v>3</v>
      </c>
      <c r="AA53" t="s">
        <v>334</v>
      </c>
      <c r="AB53">
        <v>35</v>
      </c>
      <c r="AC53" t="s">
        <v>340</v>
      </c>
      <c r="AD53">
        <v>67</v>
      </c>
      <c r="AE53" t="s">
        <v>370</v>
      </c>
    </row>
    <row r="54" spans="4:31" x14ac:dyDescent="0.35">
      <c r="D54">
        <v>15.1</v>
      </c>
      <c r="E54" t="s">
        <v>331</v>
      </c>
      <c r="F54">
        <v>20</v>
      </c>
      <c r="G54" t="str">
        <f t="shared" si="0"/>
        <v>frui</v>
      </c>
      <c r="H54">
        <v>22</v>
      </c>
      <c r="I54" t="s">
        <v>2273</v>
      </c>
      <c r="N54">
        <v>48</v>
      </c>
      <c r="O54" t="s">
        <v>2230</v>
      </c>
      <c r="S54">
        <v>60</v>
      </c>
      <c r="T54" t="s">
        <v>352</v>
      </c>
      <c r="U54">
        <v>75</v>
      </c>
      <c r="V54" t="str">
        <f t="shared" si="1"/>
        <v>trad</v>
      </c>
      <c r="W54" t="s">
        <v>2345</v>
      </c>
      <c r="Z54">
        <v>4</v>
      </c>
      <c r="AA54" t="s">
        <v>755</v>
      </c>
      <c r="AB54">
        <v>36</v>
      </c>
      <c r="AC54" t="s">
        <v>760</v>
      </c>
      <c r="AD54">
        <v>68</v>
      </c>
      <c r="AE54" t="s">
        <v>353</v>
      </c>
    </row>
    <row r="55" spans="4:31" x14ac:dyDescent="0.35">
      <c r="D55">
        <v>15.1</v>
      </c>
      <c r="E55" t="s">
        <v>331</v>
      </c>
      <c r="F55">
        <v>20</v>
      </c>
      <c r="G55" t="str">
        <f t="shared" si="0"/>
        <v>frui</v>
      </c>
      <c r="H55">
        <v>23</v>
      </c>
      <c r="I55" t="s">
        <v>2274</v>
      </c>
      <c r="N55">
        <v>49</v>
      </c>
      <c r="O55" t="s">
        <v>386</v>
      </c>
      <c r="S55">
        <v>60</v>
      </c>
      <c r="T55" t="s">
        <v>352</v>
      </c>
      <c r="U55">
        <v>75</v>
      </c>
      <c r="V55" t="str">
        <f t="shared" si="1"/>
        <v>trad</v>
      </c>
      <c r="W55" t="s">
        <v>2352</v>
      </c>
      <c r="Z55">
        <v>5</v>
      </c>
      <c r="AA55" t="s">
        <v>354</v>
      </c>
      <c r="AB55">
        <v>37</v>
      </c>
      <c r="AC55" t="s">
        <v>761</v>
      </c>
      <c r="AD55">
        <v>69</v>
      </c>
      <c r="AE55" t="s">
        <v>770</v>
      </c>
    </row>
    <row r="56" spans="4:31" x14ac:dyDescent="0.35">
      <c r="D56">
        <v>15.1</v>
      </c>
      <c r="E56" t="s">
        <v>331</v>
      </c>
      <c r="F56">
        <v>20</v>
      </c>
      <c r="G56" t="str">
        <f t="shared" si="0"/>
        <v>frui</v>
      </c>
      <c r="H56">
        <v>24</v>
      </c>
      <c r="I56" t="s">
        <v>621</v>
      </c>
      <c r="N56">
        <v>50</v>
      </c>
      <c r="O56" t="s">
        <v>346</v>
      </c>
      <c r="S56">
        <v>60</v>
      </c>
      <c r="T56" t="s">
        <v>352</v>
      </c>
      <c r="U56">
        <v>75</v>
      </c>
      <c r="V56" t="str">
        <f t="shared" si="1"/>
        <v>trad</v>
      </c>
      <c r="W56" t="s">
        <v>2353</v>
      </c>
      <c r="Z56">
        <v>6</v>
      </c>
      <c r="AA56" t="s">
        <v>344</v>
      </c>
      <c r="AB56">
        <v>38</v>
      </c>
      <c r="AC56" t="s">
        <v>2226</v>
      </c>
      <c r="AD56">
        <v>70</v>
      </c>
      <c r="AE56" t="s">
        <v>771</v>
      </c>
    </row>
    <row r="57" spans="4:31" x14ac:dyDescent="0.35">
      <c r="D57">
        <v>15.1</v>
      </c>
      <c r="E57" t="s">
        <v>331</v>
      </c>
      <c r="F57">
        <v>20</v>
      </c>
      <c r="G57" t="str">
        <f t="shared" si="0"/>
        <v>frui</v>
      </c>
      <c r="H57">
        <v>25</v>
      </c>
      <c r="I57" t="s">
        <v>2275</v>
      </c>
      <c r="N57">
        <v>51</v>
      </c>
      <c r="O57" t="s">
        <v>1320</v>
      </c>
      <c r="S57">
        <v>60</v>
      </c>
      <c r="T57" t="s">
        <v>352</v>
      </c>
      <c r="U57">
        <v>75</v>
      </c>
      <c r="V57" t="str">
        <f t="shared" si="1"/>
        <v>trad</v>
      </c>
      <c r="W57" t="s">
        <v>2354</v>
      </c>
      <c r="Z57">
        <v>7</v>
      </c>
      <c r="AA57" t="s">
        <v>345</v>
      </c>
      <c r="AB57">
        <v>39</v>
      </c>
      <c r="AC57" t="s">
        <v>762</v>
      </c>
      <c r="AD57">
        <v>71</v>
      </c>
      <c r="AE57" t="s">
        <v>351</v>
      </c>
    </row>
    <row r="58" spans="4:31" x14ac:dyDescent="0.35">
      <c r="D58">
        <v>15.1</v>
      </c>
      <c r="E58" t="s">
        <v>331</v>
      </c>
      <c r="F58">
        <v>20</v>
      </c>
      <c r="G58" t="str">
        <f t="shared" si="0"/>
        <v>frui</v>
      </c>
      <c r="H58">
        <v>26</v>
      </c>
      <c r="I58" t="s">
        <v>2276</v>
      </c>
      <c r="N58">
        <v>52</v>
      </c>
      <c r="O58" t="s">
        <v>1321</v>
      </c>
      <c r="S58">
        <v>60</v>
      </c>
      <c r="T58" t="s">
        <v>352</v>
      </c>
      <c r="U58">
        <v>75</v>
      </c>
      <c r="V58" t="str">
        <f t="shared" si="1"/>
        <v>trad</v>
      </c>
      <c r="W58" t="s">
        <v>2355</v>
      </c>
      <c r="Z58">
        <v>8</v>
      </c>
      <c r="AA58" t="s">
        <v>356</v>
      </c>
      <c r="AB58">
        <v>40</v>
      </c>
      <c r="AC58" t="s">
        <v>341</v>
      </c>
      <c r="AD58">
        <v>72</v>
      </c>
      <c r="AE58" t="s">
        <v>401</v>
      </c>
    </row>
    <row r="59" spans="4:31" x14ac:dyDescent="0.35">
      <c r="D59">
        <v>15.1</v>
      </c>
      <c r="E59" t="s">
        <v>331</v>
      </c>
      <c r="F59">
        <v>20</v>
      </c>
      <c r="G59" t="str">
        <f t="shared" si="0"/>
        <v>frui</v>
      </c>
      <c r="H59">
        <v>27</v>
      </c>
      <c r="I59" t="s">
        <v>2277</v>
      </c>
      <c r="N59">
        <v>53</v>
      </c>
      <c r="O59" t="s">
        <v>336</v>
      </c>
      <c r="S59">
        <v>60</v>
      </c>
      <c r="T59" t="s">
        <v>352</v>
      </c>
      <c r="U59">
        <v>75</v>
      </c>
      <c r="V59" t="str">
        <f t="shared" si="1"/>
        <v>trad</v>
      </c>
      <c r="W59" t="s">
        <v>2356</v>
      </c>
      <c r="Z59">
        <v>9</v>
      </c>
      <c r="AA59" t="s">
        <v>333</v>
      </c>
      <c r="AB59">
        <v>41</v>
      </c>
      <c r="AC59" t="s">
        <v>763</v>
      </c>
      <c r="AD59">
        <v>73</v>
      </c>
      <c r="AE59" t="s">
        <v>400</v>
      </c>
    </row>
    <row r="60" spans="4:31" x14ac:dyDescent="0.35">
      <c r="D60">
        <v>15.1</v>
      </c>
      <c r="E60" t="s">
        <v>331</v>
      </c>
      <c r="F60">
        <v>20</v>
      </c>
      <c r="G60" t="str">
        <f t="shared" si="0"/>
        <v>frui</v>
      </c>
      <c r="H60">
        <v>28</v>
      </c>
      <c r="I60" t="s">
        <v>2278</v>
      </c>
      <c r="N60">
        <v>54</v>
      </c>
      <c r="O60" t="s">
        <v>766</v>
      </c>
      <c r="S60">
        <v>60</v>
      </c>
      <c r="T60" t="s">
        <v>352</v>
      </c>
      <c r="U60">
        <v>75</v>
      </c>
      <c r="V60" t="str">
        <f t="shared" si="1"/>
        <v>trad</v>
      </c>
      <c r="W60" t="s">
        <v>2357</v>
      </c>
      <c r="Z60">
        <v>10</v>
      </c>
      <c r="AA60" t="s">
        <v>1317</v>
      </c>
      <c r="AB60">
        <v>42</v>
      </c>
      <c r="AC60" t="s">
        <v>765</v>
      </c>
      <c r="AD60">
        <v>74</v>
      </c>
      <c r="AE60" t="s">
        <v>772</v>
      </c>
    </row>
    <row r="61" spans="4:31" x14ac:dyDescent="0.35">
      <c r="D61">
        <v>15.1</v>
      </c>
      <c r="E61" t="s">
        <v>331</v>
      </c>
      <c r="F61">
        <v>20</v>
      </c>
      <c r="G61" t="str">
        <f t="shared" si="0"/>
        <v>frui</v>
      </c>
      <c r="H61">
        <v>29</v>
      </c>
      <c r="I61" t="s">
        <v>2279</v>
      </c>
      <c r="N61">
        <v>55</v>
      </c>
      <c r="O61" t="s">
        <v>347</v>
      </c>
      <c r="S61">
        <v>60</v>
      </c>
      <c r="T61" t="s">
        <v>352</v>
      </c>
      <c r="U61">
        <v>75</v>
      </c>
      <c r="V61" t="str">
        <f t="shared" si="1"/>
        <v>trad</v>
      </c>
      <c r="W61" t="s">
        <v>2358</v>
      </c>
      <c r="Z61">
        <v>11</v>
      </c>
      <c r="AA61" t="s">
        <v>1318</v>
      </c>
      <c r="AB61">
        <v>43</v>
      </c>
      <c r="AC61" t="s">
        <v>764</v>
      </c>
      <c r="AD61">
        <v>75</v>
      </c>
      <c r="AE61" t="s">
        <v>352</v>
      </c>
    </row>
    <row r="62" spans="4:31" x14ac:dyDescent="0.35">
      <c r="D62">
        <v>15.1</v>
      </c>
      <c r="E62" t="s">
        <v>331</v>
      </c>
      <c r="F62">
        <v>20</v>
      </c>
      <c r="G62" t="str">
        <f t="shared" si="0"/>
        <v>frui</v>
      </c>
      <c r="H62">
        <v>30</v>
      </c>
      <c r="I62" t="s">
        <v>2280</v>
      </c>
      <c r="N62">
        <v>56</v>
      </c>
      <c r="O62" t="s">
        <v>387</v>
      </c>
      <c r="S62">
        <v>60</v>
      </c>
      <c r="T62" t="s">
        <v>352</v>
      </c>
      <c r="U62">
        <v>75</v>
      </c>
      <c r="V62" t="str">
        <f t="shared" si="1"/>
        <v>trad</v>
      </c>
      <c r="W62" t="s">
        <v>2359</v>
      </c>
      <c r="Z62">
        <v>12</v>
      </c>
      <c r="AA62" t="s">
        <v>332</v>
      </c>
      <c r="AB62">
        <v>44</v>
      </c>
      <c r="AC62" t="s">
        <v>342</v>
      </c>
      <c r="AD62">
        <v>76</v>
      </c>
      <c r="AE62" t="s">
        <v>376</v>
      </c>
    </row>
    <row r="63" spans="4:31" x14ac:dyDescent="0.35">
      <c r="D63">
        <v>15.1</v>
      </c>
      <c r="E63" t="s">
        <v>331</v>
      </c>
      <c r="F63">
        <v>20</v>
      </c>
      <c r="G63" t="str">
        <f t="shared" si="0"/>
        <v>frui</v>
      </c>
      <c r="H63">
        <v>31</v>
      </c>
      <c r="I63" t="s">
        <v>2281</v>
      </c>
      <c r="N63">
        <v>57</v>
      </c>
      <c r="O63" t="s">
        <v>2231</v>
      </c>
      <c r="S63">
        <v>61</v>
      </c>
      <c r="T63" t="s">
        <v>376</v>
      </c>
      <c r="U63">
        <v>76</v>
      </c>
      <c r="V63" t="str">
        <f t="shared" si="1"/>
        <v>tran</v>
      </c>
      <c r="W63" t="s">
        <v>2360</v>
      </c>
      <c r="Z63">
        <v>13</v>
      </c>
      <c r="AA63" t="s">
        <v>2218</v>
      </c>
      <c r="AB63">
        <v>45</v>
      </c>
      <c r="AC63" t="s">
        <v>2227</v>
      </c>
      <c r="AD63">
        <v>77</v>
      </c>
      <c r="AE63" t="s">
        <v>377</v>
      </c>
    </row>
    <row r="64" spans="4:31" x14ac:dyDescent="0.35">
      <c r="D64">
        <v>15.1</v>
      </c>
      <c r="E64" t="s">
        <v>331</v>
      </c>
      <c r="F64">
        <v>20</v>
      </c>
      <c r="G64" t="str">
        <f t="shared" si="0"/>
        <v>frui</v>
      </c>
      <c r="H64">
        <v>32</v>
      </c>
      <c r="I64" t="s">
        <v>629</v>
      </c>
      <c r="N64">
        <v>58</v>
      </c>
      <c r="O64" t="s">
        <v>349</v>
      </c>
      <c r="S64">
        <v>61</v>
      </c>
      <c r="T64" t="s">
        <v>376</v>
      </c>
      <c r="U64">
        <v>76</v>
      </c>
      <c r="V64" t="str">
        <f t="shared" si="1"/>
        <v>tran</v>
      </c>
      <c r="W64" t="s">
        <v>2361</v>
      </c>
      <c r="Z64">
        <v>14</v>
      </c>
      <c r="AA64" t="s">
        <v>343</v>
      </c>
      <c r="AB64">
        <v>46</v>
      </c>
      <c r="AC64" t="s">
        <v>2228</v>
      </c>
      <c r="AD64">
        <v>78</v>
      </c>
      <c r="AE64" t="s">
        <v>2232</v>
      </c>
    </row>
    <row r="65" spans="4:31" x14ac:dyDescent="0.35">
      <c r="D65">
        <v>15.1</v>
      </c>
      <c r="E65" t="s">
        <v>331</v>
      </c>
      <c r="F65">
        <v>20</v>
      </c>
      <c r="G65" t="str">
        <f t="shared" si="0"/>
        <v>frui</v>
      </c>
      <c r="H65">
        <v>33</v>
      </c>
      <c r="I65" t="s">
        <v>2282</v>
      </c>
      <c r="N65">
        <v>59</v>
      </c>
      <c r="O65" t="s">
        <v>348</v>
      </c>
      <c r="S65">
        <v>61</v>
      </c>
      <c r="T65" t="s">
        <v>376</v>
      </c>
      <c r="U65">
        <v>76</v>
      </c>
      <c r="V65" t="str">
        <f t="shared" si="1"/>
        <v>tran</v>
      </c>
      <c r="W65" t="s">
        <v>2362</v>
      </c>
      <c r="Z65">
        <v>15</v>
      </c>
      <c r="AA65" t="s">
        <v>357</v>
      </c>
      <c r="AB65">
        <v>47</v>
      </c>
      <c r="AC65" t="s">
        <v>2229</v>
      </c>
      <c r="AD65">
        <v>79</v>
      </c>
      <c r="AE65" t="s">
        <v>375</v>
      </c>
    </row>
    <row r="66" spans="4:31" x14ac:dyDescent="0.35">
      <c r="D66">
        <v>15.1</v>
      </c>
      <c r="E66" t="s">
        <v>331</v>
      </c>
      <c r="F66">
        <v>20</v>
      </c>
      <c r="G66" t="str">
        <f t="shared" si="0"/>
        <v>frui</v>
      </c>
      <c r="H66">
        <v>34</v>
      </c>
      <c r="I66" t="s">
        <v>2283</v>
      </c>
      <c r="N66">
        <v>60</v>
      </c>
      <c r="O66" t="s">
        <v>350</v>
      </c>
      <c r="S66">
        <v>61</v>
      </c>
      <c r="T66" t="s">
        <v>376</v>
      </c>
      <c r="U66">
        <v>76</v>
      </c>
      <c r="V66" t="str">
        <f t="shared" si="1"/>
        <v>tran</v>
      </c>
      <c r="W66" t="s">
        <v>2363</v>
      </c>
      <c r="Z66">
        <v>16</v>
      </c>
      <c r="AA66" t="s">
        <v>388</v>
      </c>
      <c r="AB66">
        <v>48</v>
      </c>
      <c r="AC66" t="s">
        <v>2230</v>
      </c>
      <c r="AD66">
        <v>80</v>
      </c>
      <c r="AE66" t="s">
        <v>378</v>
      </c>
    </row>
    <row r="67" spans="4:31" x14ac:dyDescent="0.35">
      <c r="D67">
        <v>15.1</v>
      </c>
      <c r="E67" t="s">
        <v>331</v>
      </c>
      <c r="F67">
        <v>20</v>
      </c>
      <c r="G67" t="str">
        <f t="shared" si="0"/>
        <v>frui</v>
      </c>
      <c r="H67">
        <v>35</v>
      </c>
      <c r="I67" t="s">
        <v>2284</v>
      </c>
      <c r="N67">
        <v>61</v>
      </c>
      <c r="O67" t="s">
        <v>369</v>
      </c>
      <c r="S67">
        <v>61</v>
      </c>
      <c r="T67" t="s">
        <v>376</v>
      </c>
      <c r="U67">
        <v>76</v>
      </c>
      <c r="V67" t="str">
        <f t="shared" si="1"/>
        <v>tran</v>
      </c>
      <c r="W67" t="s">
        <v>2364</v>
      </c>
      <c r="Z67">
        <v>17</v>
      </c>
      <c r="AA67" t="s">
        <v>2219</v>
      </c>
      <c r="AB67">
        <v>49</v>
      </c>
      <c r="AC67" t="s">
        <v>386</v>
      </c>
      <c r="AD67">
        <v>81</v>
      </c>
      <c r="AE67" t="s">
        <v>397</v>
      </c>
    </row>
    <row r="68" spans="4:31" x14ac:dyDescent="0.35">
      <c r="D68">
        <v>15.1</v>
      </c>
      <c r="E68" t="s">
        <v>331</v>
      </c>
      <c r="F68">
        <v>20</v>
      </c>
      <c r="G68" t="str">
        <f t="shared" si="0"/>
        <v>frui</v>
      </c>
      <c r="H68">
        <v>36</v>
      </c>
      <c r="I68" t="s">
        <v>632</v>
      </c>
      <c r="N68">
        <v>62</v>
      </c>
      <c r="O68" t="s">
        <v>767</v>
      </c>
      <c r="S68">
        <v>61</v>
      </c>
      <c r="T68" t="s">
        <v>376</v>
      </c>
      <c r="U68">
        <v>76</v>
      </c>
      <c r="V68" t="str">
        <f t="shared" si="1"/>
        <v>tran</v>
      </c>
      <c r="W68" t="s">
        <v>2318</v>
      </c>
      <c r="Z68">
        <v>18</v>
      </c>
      <c r="AA68" t="s">
        <v>2220</v>
      </c>
      <c r="AB68">
        <v>50</v>
      </c>
      <c r="AC68" t="s">
        <v>346</v>
      </c>
      <c r="AD68">
        <v>82</v>
      </c>
      <c r="AE68" t="s">
        <v>380</v>
      </c>
    </row>
    <row r="69" spans="4:31" x14ac:dyDescent="0.35">
      <c r="D69">
        <v>15.2</v>
      </c>
      <c r="E69" t="s">
        <v>1319</v>
      </c>
      <c r="F69">
        <v>19</v>
      </c>
      <c r="G69" t="str">
        <f t="shared" si="0"/>
        <v>bana</v>
      </c>
      <c r="H69">
        <v>20</v>
      </c>
      <c r="I69" t="s">
        <v>2285</v>
      </c>
      <c r="N69">
        <v>63</v>
      </c>
      <c r="O69" t="s">
        <v>379</v>
      </c>
      <c r="S69">
        <v>61</v>
      </c>
      <c r="T69" t="s">
        <v>376</v>
      </c>
      <c r="U69">
        <v>76</v>
      </c>
      <c r="V69" t="str">
        <f t="shared" si="1"/>
        <v>tran</v>
      </c>
      <c r="W69" t="s">
        <v>2365</v>
      </c>
      <c r="Z69">
        <v>19</v>
      </c>
      <c r="AA69" t="s">
        <v>1319</v>
      </c>
      <c r="AB69">
        <v>51</v>
      </c>
      <c r="AC69" t="s">
        <v>1320</v>
      </c>
      <c r="AD69">
        <v>83</v>
      </c>
      <c r="AE69" t="s">
        <v>381</v>
      </c>
    </row>
    <row r="70" spans="4:31" x14ac:dyDescent="0.35">
      <c r="D70">
        <v>15.2</v>
      </c>
      <c r="E70" t="s">
        <v>1319</v>
      </c>
      <c r="F70">
        <v>19</v>
      </c>
      <c r="G70" t="str">
        <f t="shared" si="0"/>
        <v>bana</v>
      </c>
      <c r="H70">
        <v>21</v>
      </c>
      <c r="I70" t="s">
        <v>2286</v>
      </c>
      <c r="N70">
        <v>64</v>
      </c>
      <c r="O70" t="s">
        <v>768</v>
      </c>
      <c r="S70">
        <v>61</v>
      </c>
      <c r="T70" t="s">
        <v>376</v>
      </c>
      <c r="U70">
        <v>76</v>
      </c>
      <c r="V70" t="str">
        <f t="shared" si="1"/>
        <v>tran</v>
      </c>
      <c r="W70" t="s">
        <v>2366</v>
      </c>
      <c r="Z70">
        <v>20</v>
      </c>
      <c r="AA70" t="s">
        <v>331</v>
      </c>
      <c r="AB70">
        <v>52</v>
      </c>
      <c r="AC70" t="s">
        <v>1321</v>
      </c>
      <c r="AD70">
        <v>84</v>
      </c>
      <c r="AE70" t="s">
        <v>392</v>
      </c>
    </row>
    <row r="71" spans="4:31" x14ac:dyDescent="0.35">
      <c r="D71">
        <v>17</v>
      </c>
      <c r="E71" t="s">
        <v>362</v>
      </c>
      <c r="F71">
        <v>22</v>
      </c>
      <c r="G71" t="str">
        <f t="shared" si="0"/>
        <v>coff</v>
      </c>
      <c r="H71">
        <v>12</v>
      </c>
      <c r="I71" t="s">
        <v>1088</v>
      </c>
      <c r="N71">
        <v>65</v>
      </c>
      <c r="O71" t="s">
        <v>371</v>
      </c>
      <c r="S71">
        <v>61</v>
      </c>
      <c r="T71" t="s">
        <v>376</v>
      </c>
      <c r="U71">
        <v>76</v>
      </c>
      <c r="V71" t="str">
        <f t="shared" si="1"/>
        <v>tran</v>
      </c>
      <c r="W71" t="s">
        <v>2367</v>
      </c>
      <c r="Z71">
        <v>21</v>
      </c>
      <c r="AA71" t="s">
        <v>756</v>
      </c>
      <c r="AB71">
        <v>53</v>
      </c>
      <c r="AC71" t="s">
        <v>336</v>
      </c>
      <c r="AD71">
        <v>85</v>
      </c>
      <c r="AE71" t="s">
        <v>374</v>
      </c>
    </row>
    <row r="72" spans="4:31" x14ac:dyDescent="0.35">
      <c r="D72">
        <v>18</v>
      </c>
      <c r="E72" t="s">
        <v>756</v>
      </c>
      <c r="F72">
        <v>21</v>
      </c>
      <c r="G72" t="str">
        <f t="shared" ref="G72:G79" si="2">VLOOKUP(F72,$N$7:$O$92,2,0)</f>
        <v>teal</v>
      </c>
      <c r="H72">
        <v>64</v>
      </c>
      <c r="I72" t="s">
        <v>1467</v>
      </c>
      <c r="N72">
        <v>66</v>
      </c>
      <c r="O72" t="s">
        <v>769</v>
      </c>
      <c r="S72">
        <v>62</v>
      </c>
      <c r="T72" t="s">
        <v>377</v>
      </c>
      <c r="U72">
        <v>78</v>
      </c>
      <c r="V72" t="str">
        <f t="shared" ref="V72:V135" si="3">VLOOKUP(U72,$N$7:$O$92,2,0)</f>
        <v>rest</v>
      </c>
      <c r="W72" t="s">
        <v>2368</v>
      </c>
      <c r="Z72">
        <v>22</v>
      </c>
      <c r="AA72" t="s">
        <v>362</v>
      </c>
      <c r="AB72">
        <v>54</v>
      </c>
      <c r="AC72" t="s">
        <v>766</v>
      </c>
      <c r="AD72">
        <v>86</v>
      </c>
      <c r="AE72" t="s">
        <v>382</v>
      </c>
    </row>
    <row r="73" spans="4:31" x14ac:dyDescent="0.35">
      <c r="D73">
        <v>20.100000000000001</v>
      </c>
      <c r="E73" t="s">
        <v>2287</v>
      </c>
      <c r="F73">
        <v>26</v>
      </c>
      <c r="G73" t="str">
        <f t="shared" si="2"/>
        <v>ocrp</v>
      </c>
      <c r="H73">
        <v>66</v>
      </c>
      <c r="I73" t="s">
        <v>2288</v>
      </c>
      <c r="N73">
        <v>67</v>
      </c>
      <c r="O73" t="s">
        <v>370</v>
      </c>
      <c r="S73">
        <v>62</v>
      </c>
      <c r="T73" t="s">
        <v>377</v>
      </c>
      <c r="U73">
        <v>77</v>
      </c>
      <c r="V73" t="str">
        <f t="shared" si="3"/>
        <v>hotl</v>
      </c>
      <c r="W73" t="s">
        <v>2369</v>
      </c>
      <c r="Z73">
        <v>23</v>
      </c>
      <c r="AA73" t="s">
        <v>2221</v>
      </c>
      <c r="AB73">
        <v>55</v>
      </c>
      <c r="AC73" t="s">
        <v>347</v>
      </c>
    </row>
    <row r="74" spans="4:31" x14ac:dyDescent="0.35">
      <c r="D74">
        <v>19</v>
      </c>
      <c r="E74" t="s">
        <v>757</v>
      </c>
      <c r="F74">
        <v>24</v>
      </c>
      <c r="G74" t="str">
        <f t="shared" si="2"/>
        <v>flwr</v>
      </c>
      <c r="H74">
        <v>111</v>
      </c>
      <c r="I74" t="s">
        <v>2289</v>
      </c>
      <c r="N74">
        <v>68</v>
      </c>
      <c r="O74" t="s">
        <v>353</v>
      </c>
      <c r="S74">
        <v>62</v>
      </c>
      <c r="T74" t="s">
        <v>377</v>
      </c>
      <c r="U74">
        <v>77</v>
      </c>
      <c r="V74" t="str">
        <f t="shared" si="3"/>
        <v>hotl</v>
      </c>
      <c r="W74" t="s">
        <v>2370</v>
      </c>
      <c r="Z74">
        <v>24</v>
      </c>
      <c r="AA74" t="s">
        <v>757</v>
      </c>
      <c r="AB74">
        <v>56</v>
      </c>
      <c r="AC74" t="s">
        <v>387</v>
      </c>
    </row>
    <row r="75" spans="4:31" x14ac:dyDescent="0.35">
      <c r="D75">
        <v>20.100000000000001</v>
      </c>
      <c r="E75" t="s">
        <v>2287</v>
      </c>
      <c r="F75">
        <v>26</v>
      </c>
      <c r="G75" t="str">
        <f t="shared" si="2"/>
        <v>ocrp</v>
      </c>
      <c r="H75">
        <v>112</v>
      </c>
      <c r="I75" t="s">
        <v>2290</v>
      </c>
      <c r="N75">
        <v>69</v>
      </c>
      <c r="O75" t="s">
        <v>770</v>
      </c>
      <c r="S75">
        <v>62</v>
      </c>
      <c r="T75" t="s">
        <v>377</v>
      </c>
      <c r="U75">
        <v>78</v>
      </c>
      <c r="V75" t="str">
        <f t="shared" si="3"/>
        <v>rest</v>
      </c>
      <c r="W75" t="s">
        <v>2371</v>
      </c>
      <c r="Z75">
        <v>25</v>
      </c>
      <c r="AA75" t="s">
        <v>2222</v>
      </c>
      <c r="AB75">
        <v>57</v>
      </c>
      <c r="AC75" t="s">
        <v>2231</v>
      </c>
    </row>
    <row r="76" spans="4:31" x14ac:dyDescent="0.35">
      <c r="D76">
        <v>20.2</v>
      </c>
      <c r="E76" t="s">
        <v>2223</v>
      </c>
      <c r="F76">
        <v>18</v>
      </c>
      <c r="G76" t="str">
        <f t="shared" si="2"/>
        <v>nuts</v>
      </c>
      <c r="H76">
        <v>67</v>
      </c>
      <c r="I76" t="s">
        <v>2291</v>
      </c>
      <c r="N76">
        <v>70</v>
      </c>
      <c r="O76" t="s">
        <v>771</v>
      </c>
      <c r="S76">
        <v>62</v>
      </c>
      <c r="T76" t="s">
        <v>377</v>
      </c>
      <c r="U76">
        <v>77</v>
      </c>
      <c r="V76" t="str">
        <f t="shared" si="3"/>
        <v>hotl</v>
      </c>
      <c r="W76" t="s">
        <v>2372</v>
      </c>
      <c r="Z76">
        <v>26</v>
      </c>
      <c r="AA76" t="s">
        <v>2223</v>
      </c>
      <c r="AB76">
        <v>58</v>
      </c>
      <c r="AC76" t="s">
        <v>349</v>
      </c>
    </row>
    <row r="77" spans="4:31" x14ac:dyDescent="0.35">
      <c r="D77">
        <v>20.2</v>
      </c>
      <c r="E77" t="s">
        <v>2223</v>
      </c>
      <c r="F77">
        <v>18</v>
      </c>
      <c r="G77" t="str">
        <f t="shared" si="2"/>
        <v>nuts</v>
      </c>
      <c r="H77">
        <v>68</v>
      </c>
      <c r="I77" t="s">
        <v>2292</v>
      </c>
      <c r="N77">
        <v>71</v>
      </c>
      <c r="O77" t="s">
        <v>351</v>
      </c>
      <c r="S77">
        <v>63</v>
      </c>
      <c r="T77" t="s">
        <v>375</v>
      </c>
      <c r="U77">
        <v>79</v>
      </c>
      <c r="V77" t="str">
        <f t="shared" si="3"/>
        <v>comm</v>
      </c>
      <c r="W77" t="s">
        <v>2373</v>
      </c>
      <c r="Z77">
        <v>27</v>
      </c>
      <c r="AA77" t="s">
        <v>338</v>
      </c>
      <c r="AB77">
        <v>59</v>
      </c>
      <c r="AC77" t="s">
        <v>348</v>
      </c>
    </row>
    <row r="78" spans="4:31" x14ac:dyDescent="0.35">
      <c r="D78">
        <v>20.2</v>
      </c>
      <c r="E78" t="s">
        <v>2223</v>
      </c>
      <c r="F78">
        <v>18</v>
      </c>
      <c r="G78" t="str">
        <f t="shared" si="2"/>
        <v>nuts</v>
      </c>
      <c r="H78">
        <v>70</v>
      </c>
      <c r="I78" t="s">
        <v>2293</v>
      </c>
      <c r="N78">
        <v>72</v>
      </c>
      <c r="O78" t="s">
        <v>401</v>
      </c>
      <c r="S78">
        <v>63</v>
      </c>
      <c r="T78" t="s">
        <v>375</v>
      </c>
      <c r="U78">
        <v>79</v>
      </c>
      <c r="V78" t="str">
        <f t="shared" si="3"/>
        <v>comm</v>
      </c>
      <c r="W78" t="s">
        <v>2374</v>
      </c>
      <c r="Z78">
        <v>28</v>
      </c>
      <c r="AA78" t="s">
        <v>758</v>
      </c>
      <c r="AB78">
        <v>60</v>
      </c>
      <c r="AC78" t="s">
        <v>350</v>
      </c>
    </row>
    <row r="79" spans="4:31" x14ac:dyDescent="0.35">
      <c r="D79">
        <v>20.2</v>
      </c>
      <c r="E79" t="s">
        <v>2223</v>
      </c>
      <c r="F79">
        <v>14</v>
      </c>
      <c r="G79" t="str">
        <f t="shared" si="2"/>
        <v>vege</v>
      </c>
      <c r="H79">
        <v>102</v>
      </c>
      <c r="I79" t="s">
        <v>655</v>
      </c>
      <c r="N79">
        <v>73</v>
      </c>
      <c r="O79" t="s">
        <v>400</v>
      </c>
      <c r="S79">
        <v>63</v>
      </c>
      <c r="T79" t="s">
        <v>375</v>
      </c>
      <c r="U79">
        <v>79</v>
      </c>
      <c r="V79" t="str">
        <f t="shared" si="3"/>
        <v>comm</v>
      </c>
      <c r="W79" t="s">
        <v>1009</v>
      </c>
      <c r="Z79">
        <v>29</v>
      </c>
      <c r="AA79" t="s">
        <v>339</v>
      </c>
      <c r="AB79">
        <v>61</v>
      </c>
      <c r="AC79" t="s">
        <v>369</v>
      </c>
    </row>
    <row r="80" spans="4:31" x14ac:dyDescent="0.35">
      <c r="N80">
        <v>74</v>
      </c>
      <c r="O80" t="s">
        <v>772</v>
      </c>
      <c r="S80">
        <v>63</v>
      </c>
      <c r="T80" t="s">
        <v>375</v>
      </c>
      <c r="U80">
        <v>79</v>
      </c>
      <c r="V80" t="str">
        <f t="shared" si="3"/>
        <v>comm</v>
      </c>
      <c r="W80" t="s">
        <v>2375</v>
      </c>
      <c r="Z80">
        <v>30</v>
      </c>
      <c r="AA80" t="s">
        <v>20</v>
      </c>
      <c r="AB80">
        <v>62</v>
      </c>
      <c r="AC80" t="s">
        <v>767</v>
      </c>
    </row>
    <row r="81" spans="4:29" x14ac:dyDescent="0.35">
      <c r="N81">
        <v>75</v>
      </c>
      <c r="O81" t="s">
        <v>352</v>
      </c>
      <c r="S81">
        <v>63</v>
      </c>
      <c r="T81" t="s">
        <v>375</v>
      </c>
      <c r="U81">
        <v>79</v>
      </c>
      <c r="V81" t="str">
        <f t="shared" si="3"/>
        <v>comm</v>
      </c>
      <c r="W81" t="s">
        <v>2376</v>
      </c>
      <c r="Z81">
        <v>31</v>
      </c>
      <c r="AA81" t="s">
        <v>2224</v>
      </c>
      <c r="AB81">
        <v>63</v>
      </c>
      <c r="AC81" t="s">
        <v>379</v>
      </c>
    </row>
    <row r="82" spans="4:29" x14ac:dyDescent="0.35">
      <c r="D82" t="s">
        <v>391</v>
      </c>
      <c r="E82" t="s">
        <v>383</v>
      </c>
      <c r="F82" t="s">
        <v>391</v>
      </c>
      <c r="G82" t="s">
        <v>383</v>
      </c>
      <c r="H82" t="s">
        <v>2294</v>
      </c>
      <c r="I82" t="s">
        <v>2295</v>
      </c>
      <c r="N82">
        <v>76</v>
      </c>
      <c r="O82" t="s">
        <v>376</v>
      </c>
      <c r="S82">
        <v>63</v>
      </c>
      <c r="T82" t="s">
        <v>375</v>
      </c>
      <c r="U82">
        <v>79</v>
      </c>
      <c r="V82" t="str">
        <f t="shared" si="3"/>
        <v>comm</v>
      </c>
      <c r="W82" t="s">
        <v>2377</v>
      </c>
      <c r="Z82">
        <v>32</v>
      </c>
      <c r="AA82" t="s">
        <v>759</v>
      </c>
      <c r="AB82">
        <v>64</v>
      </c>
      <c r="AC82" t="s">
        <v>768</v>
      </c>
    </row>
    <row r="83" spans="4:29" x14ac:dyDescent="0.35">
      <c r="D83">
        <v>21</v>
      </c>
      <c r="E83" t="s">
        <v>338</v>
      </c>
      <c r="F83">
        <v>27</v>
      </c>
      <c r="G83" t="str">
        <f t="shared" ref="G83:G98" si="4">VLOOKUP(F83,$N$7:$O$92,2,0)</f>
        <v>catt</v>
      </c>
      <c r="H83">
        <v>1</v>
      </c>
      <c r="I83" t="s">
        <v>2296</v>
      </c>
      <c r="N83">
        <v>77</v>
      </c>
      <c r="O83" t="s">
        <v>377</v>
      </c>
      <c r="S83">
        <v>63</v>
      </c>
      <c r="T83" t="s">
        <v>375</v>
      </c>
      <c r="U83">
        <v>79</v>
      </c>
      <c r="V83" t="str">
        <f t="shared" si="3"/>
        <v>comm</v>
      </c>
      <c r="W83" t="s">
        <v>2378</v>
      </c>
    </row>
    <row r="84" spans="4:29" x14ac:dyDescent="0.35">
      <c r="D84">
        <v>23</v>
      </c>
      <c r="E84" t="s">
        <v>2224</v>
      </c>
      <c r="F84">
        <v>31</v>
      </c>
      <c r="G84" t="str">
        <f t="shared" si="4"/>
        <v>smlr</v>
      </c>
      <c r="H84">
        <v>2</v>
      </c>
      <c r="I84" t="s">
        <v>2297</v>
      </c>
      <c r="N84">
        <v>78</v>
      </c>
      <c r="O84" t="s">
        <v>2232</v>
      </c>
      <c r="S84">
        <v>63</v>
      </c>
      <c r="T84" t="s">
        <v>375</v>
      </c>
      <c r="U84">
        <v>79</v>
      </c>
      <c r="V84" t="str">
        <f t="shared" si="3"/>
        <v>comm</v>
      </c>
      <c r="W84" t="s">
        <v>2379</v>
      </c>
    </row>
    <row r="85" spans="4:29" x14ac:dyDescent="0.35">
      <c r="D85">
        <v>23</v>
      </c>
      <c r="E85" t="s">
        <v>2224</v>
      </c>
      <c r="F85">
        <v>31</v>
      </c>
      <c r="G85" t="str">
        <f t="shared" si="4"/>
        <v>smlr</v>
      </c>
      <c r="H85">
        <v>3</v>
      </c>
      <c r="I85" t="s">
        <v>2298</v>
      </c>
      <c r="N85">
        <v>79</v>
      </c>
      <c r="O85" t="s">
        <v>375</v>
      </c>
      <c r="S85">
        <v>63</v>
      </c>
      <c r="T85" t="s">
        <v>375</v>
      </c>
      <c r="U85">
        <v>79</v>
      </c>
      <c r="V85" t="str">
        <f t="shared" si="3"/>
        <v>comm</v>
      </c>
      <c r="W85" t="s">
        <v>2380</v>
      </c>
    </row>
    <row r="86" spans="4:29" x14ac:dyDescent="0.35">
      <c r="D86">
        <v>25</v>
      </c>
      <c r="E86" t="s">
        <v>759</v>
      </c>
      <c r="F86">
        <v>32</v>
      </c>
      <c r="G86" t="str">
        <f t="shared" si="4"/>
        <v>oliv</v>
      </c>
      <c r="H86">
        <v>4</v>
      </c>
      <c r="I86" t="s">
        <v>2299</v>
      </c>
      <c r="N86">
        <v>80</v>
      </c>
      <c r="O86" t="s">
        <v>378</v>
      </c>
      <c r="S86">
        <v>63</v>
      </c>
      <c r="T86" t="s">
        <v>375</v>
      </c>
      <c r="U86">
        <v>79</v>
      </c>
      <c r="V86" t="str">
        <f t="shared" si="3"/>
        <v>comm</v>
      </c>
      <c r="W86" t="s">
        <v>2381</v>
      </c>
    </row>
    <row r="87" spans="4:29" x14ac:dyDescent="0.35">
      <c r="D87">
        <v>25</v>
      </c>
      <c r="E87" t="s">
        <v>759</v>
      </c>
      <c r="F87">
        <v>32</v>
      </c>
      <c r="G87" t="str">
        <f t="shared" si="4"/>
        <v>oliv</v>
      </c>
      <c r="H87">
        <v>5</v>
      </c>
      <c r="I87" t="s">
        <v>2300</v>
      </c>
      <c r="N87">
        <v>81</v>
      </c>
      <c r="O87" t="s">
        <v>397</v>
      </c>
      <c r="S87">
        <v>63</v>
      </c>
      <c r="T87" t="s">
        <v>375</v>
      </c>
      <c r="U87">
        <v>79</v>
      </c>
      <c r="V87" t="str">
        <f t="shared" si="3"/>
        <v>comm</v>
      </c>
      <c r="W87" t="s">
        <v>2382</v>
      </c>
    </row>
    <row r="88" spans="4:29" x14ac:dyDescent="0.35">
      <c r="D88">
        <v>24.1</v>
      </c>
      <c r="E88" t="s">
        <v>339</v>
      </c>
      <c r="F88">
        <v>29</v>
      </c>
      <c r="G88" t="str">
        <f t="shared" si="4"/>
        <v>poul</v>
      </c>
      <c r="H88">
        <v>6</v>
      </c>
      <c r="I88" t="s">
        <v>2301</v>
      </c>
      <c r="N88">
        <v>82</v>
      </c>
      <c r="O88" t="s">
        <v>380</v>
      </c>
      <c r="S88">
        <v>63</v>
      </c>
      <c r="T88" t="s">
        <v>375</v>
      </c>
      <c r="U88">
        <v>79</v>
      </c>
      <c r="V88" t="str">
        <f t="shared" si="3"/>
        <v>comm</v>
      </c>
      <c r="W88" t="s">
        <v>2383</v>
      </c>
    </row>
    <row r="89" spans="4:29" x14ac:dyDescent="0.35">
      <c r="D89">
        <v>24.1</v>
      </c>
      <c r="E89" t="s">
        <v>339</v>
      </c>
      <c r="F89">
        <v>29</v>
      </c>
      <c r="G89" t="str">
        <f t="shared" si="4"/>
        <v>poul</v>
      </c>
      <c r="H89">
        <v>7</v>
      </c>
      <c r="I89" t="s">
        <v>2302</v>
      </c>
      <c r="N89">
        <v>83</v>
      </c>
      <c r="O89" t="s">
        <v>381</v>
      </c>
      <c r="S89">
        <v>64</v>
      </c>
      <c r="T89" t="s">
        <v>378</v>
      </c>
      <c r="U89">
        <v>80</v>
      </c>
      <c r="V89" t="str">
        <f t="shared" si="3"/>
        <v>fsrv</v>
      </c>
      <c r="W89" t="s">
        <v>2384</v>
      </c>
    </row>
    <row r="90" spans="4:29" x14ac:dyDescent="0.35">
      <c r="D90">
        <v>25</v>
      </c>
      <c r="E90" t="s">
        <v>759</v>
      </c>
      <c r="F90">
        <v>32</v>
      </c>
      <c r="G90" t="str">
        <f t="shared" si="4"/>
        <v>oliv</v>
      </c>
      <c r="H90">
        <v>8</v>
      </c>
      <c r="I90" t="s">
        <v>2303</v>
      </c>
      <c r="N90">
        <v>84</v>
      </c>
      <c r="O90" t="s">
        <v>392</v>
      </c>
      <c r="S90">
        <v>64</v>
      </c>
      <c r="T90" t="s">
        <v>378</v>
      </c>
      <c r="U90">
        <v>80</v>
      </c>
      <c r="V90" t="str">
        <f t="shared" si="3"/>
        <v>fsrv</v>
      </c>
      <c r="W90" t="s">
        <v>2385</v>
      </c>
    </row>
    <row r="91" spans="4:29" x14ac:dyDescent="0.35">
      <c r="D91">
        <v>22</v>
      </c>
      <c r="E91" t="s">
        <v>758</v>
      </c>
      <c r="F91">
        <v>28</v>
      </c>
      <c r="G91" t="str">
        <f t="shared" si="4"/>
        <v>milk</v>
      </c>
      <c r="H91">
        <v>71</v>
      </c>
      <c r="I91" t="s">
        <v>23</v>
      </c>
      <c r="N91">
        <v>85</v>
      </c>
      <c r="O91" t="s">
        <v>374</v>
      </c>
      <c r="S91">
        <v>64</v>
      </c>
      <c r="T91" t="s">
        <v>378</v>
      </c>
      <c r="U91">
        <v>80</v>
      </c>
      <c r="V91" t="str">
        <f t="shared" si="3"/>
        <v>fsrv</v>
      </c>
      <c r="W91" t="s">
        <v>2174</v>
      </c>
    </row>
    <row r="92" spans="4:29" x14ac:dyDescent="0.35">
      <c r="D92">
        <v>22</v>
      </c>
      <c r="E92" t="s">
        <v>758</v>
      </c>
      <c r="F92">
        <v>28</v>
      </c>
      <c r="G92" t="str">
        <f t="shared" si="4"/>
        <v>milk</v>
      </c>
      <c r="H92">
        <v>72</v>
      </c>
      <c r="I92" t="s">
        <v>2304</v>
      </c>
      <c r="N92">
        <v>86</v>
      </c>
      <c r="O92" t="s">
        <v>382</v>
      </c>
      <c r="S92">
        <v>64</v>
      </c>
      <c r="T92" t="s">
        <v>378</v>
      </c>
      <c r="U92">
        <v>80</v>
      </c>
      <c r="V92" t="str">
        <f t="shared" si="3"/>
        <v>fsrv</v>
      </c>
      <c r="W92" t="s">
        <v>2386</v>
      </c>
    </row>
    <row r="93" spans="4:29" x14ac:dyDescent="0.35">
      <c r="D93">
        <v>36</v>
      </c>
      <c r="E93" t="s">
        <v>765</v>
      </c>
      <c r="F93">
        <v>42</v>
      </c>
      <c r="G93" t="str">
        <f t="shared" si="4"/>
        <v>dair</v>
      </c>
      <c r="H93">
        <v>73</v>
      </c>
      <c r="I93" t="s">
        <v>2305</v>
      </c>
      <c r="S93">
        <v>64</v>
      </c>
      <c r="T93" t="s">
        <v>378</v>
      </c>
      <c r="U93">
        <v>80</v>
      </c>
      <c r="V93" t="str">
        <f t="shared" si="3"/>
        <v>fsrv</v>
      </c>
      <c r="W93" t="s">
        <v>2387</v>
      </c>
    </row>
    <row r="94" spans="4:29" x14ac:dyDescent="0.35">
      <c r="D94">
        <v>36</v>
      </c>
      <c r="E94" t="s">
        <v>765</v>
      </c>
      <c r="F94">
        <v>42</v>
      </c>
      <c r="G94" t="str">
        <f t="shared" si="4"/>
        <v>dair</v>
      </c>
      <c r="H94">
        <v>74</v>
      </c>
      <c r="I94" t="s">
        <v>25</v>
      </c>
      <c r="S94">
        <v>64</v>
      </c>
      <c r="T94" t="s">
        <v>378</v>
      </c>
      <c r="U94">
        <v>80</v>
      </c>
      <c r="V94" t="str">
        <f t="shared" si="3"/>
        <v>fsrv</v>
      </c>
      <c r="W94" t="s">
        <v>2388</v>
      </c>
    </row>
    <row r="95" spans="4:29" x14ac:dyDescent="0.35">
      <c r="D95">
        <v>24.2</v>
      </c>
      <c r="E95" t="s">
        <v>20</v>
      </c>
      <c r="F95">
        <v>30</v>
      </c>
      <c r="G95" t="str">
        <f t="shared" si="4"/>
        <v>eggs</v>
      </c>
      <c r="H95">
        <v>75</v>
      </c>
      <c r="I95" t="s">
        <v>20</v>
      </c>
      <c r="S95">
        <v>65</v>
      </c>
      <c r="T95" t="s">
        <v>397</v>
      </c>
      <c r="U95">
        <v>81</v>
      </c>
      <c r="V95" t="str">
        <f t="shared" si="3"/>
        <v>real</v>
      </c>
      <c r="W95" t="s">
        <v>2389</v>
      </c>
    </row>
    <row r="96" spans="4:29" x14ac:dyDescent="0.35">
      <c r="D96">
        <v>21</v>
      </c>
      <c r="E96" t="s">
        <v>338</v>
      </c>
      <c r="F96">
        <v>32</v>
      </c>
      <c r="G96" t="str">
        <f t="shared" si="4"/>
        <v>oliv</v>
      </c>
      <c r="H96">
        <v>76</v>
      </c>
      <c r="I96" t="s">
        <v>2306</v>
      </c>
      <c r="S96">
        <v>66</v>
      </c>
      <c r="T96" t="s">
        <v>380</v>
      </c>
      <c r="U96">
        <v>82</v>
      </c>
      <c r="V96" t="str">
        <f t="shared" si="3"/>
        <v>bsrv</v>
      </c>
      <c r="W96" t="s">
        <v>2390</v>
      </c>
    </row>
    <row r="97" spans="4:23" x14ac:dyDescent="0.35">
      <c r="D97">
        <v>32</v>
      </c>
      <c r="E97" t="s">
        <v>341</v>
      </c>
      <c r="F97">
        <v>40</v>
      </c>
      <c r="G97" t="str">
        <f t="shared" si="4"/>
        <v>meat</v>
      </c>
      <c r="H97">
        <v>77</v>
      </c>
      <c r="I97" t="s">
        <v>2307</v>
      </c>
      <c r="S97">
        <v>66</v>
      </c>
      <c r="T97" t="s">
        <v>380</v>
      </c>
      <c r="U97">
        <v>82</v>
      </c>
      <c r="V97" t="str">
        <f t="shared" si="3"/>
        <v>bsrv</v>
      </c>
      <c r="W97" t="s">
        <v>2385</v>
      </c>
    </row>
    <row r="98" spans="4:23" x14ac:dyDescent="0.35">
      <c r="D98">
        <v>32</v>
      </c>
      <c r="E98" t="s">
        <v>341</v>
      </c>
      <c r="F98">
        <v>40</v>
      </c>
      <c r="G98" t="str">
        <f t="shared" si="4"/>
        <v>meat</v>
      </c>
      <c r="H98">
        <v>78</v>
      </c>
      <c r="I98" t="s">
        <v>615</v>
      </c>
      <c r="S98">
        <v>66</v>
      </c>
      <c r="T98" t="s">
        <v>380</v>
      </c>
      <c r="U98">
        <v>82</v>
      </c>
      <c r="V98" t="str">
        <f t="shared" si="3"/>
        <v>bsrv</v>
      </c>
      <c r="W98" t="s">
        <v>1021</v>
      </c>
    </row>
    <row r="99" spans="4:23" x14ac:dyDescent="0.35">
      <c r="S99">
        <v>66</v>
      </c>
      <c r="T99" t="s">
        <v>380</v>
      </c>
      <c r="U99">
        <v>82</v>
      </c>
      <c r="V99" t="str">
        <f t="shared" si="3"/>
        <v>bsrv</v>
      </c>
      <c r="W99" t="s">
        <v>2391</v>
      </c>
    </row>
    <row r="100" spans="4:23" x14ac:dyDescent="0.35">
      <c r="S100">
        <v>66</v>
      </c>
      <c r="T100" t="s">
        <v>380</v>
      </c>
      <c r="U100">
        <v>82</v>
      </c>
      <c r="V100" t="str">
        <f t="shared" si="3"/>
        <v>bsrv</v>
      </c>
      <c r="W100" t="s">
        <v>2392</v>
      </c>
    </row>
    <row r="101" spans="4:23" x14ac:dyDescent="0.35">
      <c r="S101">
        <v>66</v>
      </c>
      <c r="T101" t="s">
        <v>380</v>
      </c>
      <c r="U101">
        <v>82</v>
      </c>
      <c r="V101" t="str">
        <f t="shared" si="3"/>
        <v>bsrv</v>
      </c>
      <c r="W101" t="s">
        <v>2393</v>
      </c>
    </row>
    <row r="102" spans="4:23" x14ac:dyDescent="0.35">
      <c r="S102">
        <v>66</v>
      </c>
      <c r="T102" t="s">
        <v>380</v>
      </c>
      <c r="U102">
        <v>82</v>
      </c>
      <c r="V102" t="str">
        <f t="shared" si="3"/>
        <v>bsrv</v>
      </c>
      <c r="W102" t="s">
        <v>2394</v>
      </c>
    </row>
    <row r="103" spans="4:23" x14ac:dyDescent="0.35">
      <c r="S103">
        <v>66</v>
      </c>
      <c r="T103" t="s">
        <v>380</v>
      </c>
      <c r="U103">
        <v>82</v>
      </c>
      <c r="V103" t="str">
        <f t="shared" si="3"/>
        <v>bsrv</v>
      </c>
      <c r="W103" t="s">
        <v>2395</v>
      </c>
    </row>
    <row r="104" spans="4:23" x14ac:dyDescent="0.35">
      <c r="S104">
        <v>66</v>
      </c>
      <c r="T104" t="s">
        <v>380</v>
      </c>
      <c r="U104">
        <v>82</v>
      </c>
      <c r="V104" t="str">
        <f t="shared" si="3"/>
        <v>bsrv</v>
      </c>
      <c r="W104" t="s">
        <v>2396</v>
      </c>
    </row>
    <row r="105" spans="4:23" x14ac:dyDescent="0.35">
      <c r="S105">
        <v>66</v>
      </c>
      <c r="T105" t="s">
        <v>380</v>
      </c>
      <c r="U105">
        <v>82</v>
      </c>
      <c r="V105" t="str">
        <f t="shared" si="3"/>
        <v>bsrv</v>
      </c>
      <c r="W105" t="s">
        <v>2397</v>
      </c>
    </row>
    <row r="106" spans="4:23" x14ac:dyDescent="0.35">
      <c r="S106">
        <v>66</v>
      </c>
      <c r="T106" t="s">
        <v>380</v>
      </c>
      <c r="U106">
        <v>82</v>
      </c>
      <c r="V106" t="str">
        <f t="shared" si="3"/>
        <v>bsrv</v>
      </c>
      <c r="W106" t="s">
        <v>2398</v>
      </c>
    </row>
    <row r="107" spans="4:23" x14ac:dyDescent="0.35">
      <c r="S107">
        <v>66</v>
      </c>
      <c r="T107" t="s">
        <v>380</v>
      </c>
      <c r="U107">
        <v>82</v>
      </c>
      <c r="V107" t="str">
        <f t="shared" si="3"/>
        <v>bsrv</v>
      </c>
      <c r="W107" t="s">
        <v>2399</v>
      </c>
    </row>
    <row r="108" spans="4:23" x14ac:dyDescent="0.35">
      <c r="S108">
        <v>66</v>
      </c>
      <c r="T108" t="s">
        <v>380</v>
      </c>
      <c r="U108">
        <v>82</v>
      </c>
      <c r="V108" t="str">
        <f t="shared" si="3"/>
        <v>bsrv</v>
      </c>
      <c r="W108" t="s">
        <v>2400</v>
      </c>
    </row>
    <row r="109" spans="4:23" x14ac:dyDescent="0.35">
      <c r="S109">
        <v>66</v>
      </c>
      <c r="T109" t="s">
        <v>380</v>
      </c>
      <c r="U109">
        <v>82</v>
      </c>
      <c r="V109" t="str">
        <f t="shared" si="3"/>
        <v>bsrv</v>
      </c>
      <c r="W109" t="s">
        <v>2401</v>
      </c>
    </row>
    <row r="110" spans="4:23" x14ac:dyDescent="0.35">
      <c r="S110">
        <v>66</v>
      </c>
      <c r="T110" t="s">
        <v>380</v>
      </c>
      <c r="U110">
        <v>82</v>
      </c>
      <c r="V110" t="str">
        <f t="shared" si="3"/>
        <v>bsrv</v>
      </c>
      <c r="W110" t="s">
        <v>2402</v>
      </c>
    </row>
    <row r="111" spans="4:23" x14ac:dyDescent="0.35">
      <c r="S111">
        <v>66</v>
      </c>
      <c r="T111" t="s">
        <v>380</v>
      </c>
      <c r="U111">
        <v>82</v>
      </c>
      <c r="V111" t="str">
        <f t="shared" si="3"/>
        <v>bsrv</v>
      </c>
      <c r="W111" t="s">
        <v>2403</v>
      </c>
    </row>
    <row r="112" spans="4:23" x14ac:dyDescent="0.35">
      <c r="S112">
        <v>66</v>
      </c>
      <c r="T112" t="s">
        <v>380</v>
      </c>
      <c r="U112">
        <v>82</v>
      </c>
      <c r="V112" t="str">
        <f t="shared" si="3"/>
        <v>bsrv</v>
      </c>
      <c r="W112" t="s">
        <v>2404</v>
      </c>
    </row>
    <row r="113" spans="19:23" x14ac:dyDescent="0.35">
      <c r="S113">
        <v>66</v>
      </c>
      <c r="T113" t="s">
        <v>380</v>
      </c>
      <c r="U113">
        <v>82</v>
      </c>
      <c r="V113" t="str">
        <f t="shared" si="3"/>
        <v>bsrv</v>
      </c>
      <c r="W113" t="s">
        <v>2405</v>
      </c>
    </row>
    <row r="114" spans="19:23" x14ac:dyDescent="0.35">
      <c r="S114">
        <v>66</v>
      </c>
      <c r="T114" t="s">
        <v>380</v>
      </c>
      <c r="U114">
        <v>82</v>
      </c>
      <c r="V114" t="str">
        <f t="shared" si="3"/>
        <v>bsrv</v>
      </c>
      <c r="W114" t="s">
        <v>2406</v>
      </c>
    </row>
    <row r="115" spans="19:23" x14ac:dyDescent="0.35">
      <c r="S115">
        <v>66</v>
      </c>
      <c r="T115" t="s">
        <v>380</v>
      </c>
      <c r="U115">
        <v>82</v>
      </c>
      <c r="V115" t="str">
        <f t="shared" si="3"/>
        <v>bsrv</v>
      </c>
      <c r="W115" t="s">
        <v>2407</v>
      </c>
    </row>
    <row r="116" spans="19:23" x14ac:dyDescent="0.35">
      <c r="S116">
        <v>66</v>
      </c>
      <c r="T116" t="s">
        <v>380</v>
      </c>
      <c r="U116">
        <v>82</v>
      </c>
      <c r="V116" t="str">
        <f t="shared" si="3"/>
        <v>bsrv</v>
      </c>
      <c r="W116" t="s">
        <v>2408</v>
      </c>
    </row>
    <row r="117" spans="19:23" x14ac:dyDescent="0.35">
      <c r="S117">
        <v>66</v>
      </c>
      <c r="T117" t="s">
        <v>380</v>
      </c>
      <c r="U117">
        <v>82</v>
      </c>
      <c r="V117" t="str">
        <f t="shared" si="3"/>
        <v>bsrv</v>
      </c>
      <c r="W117" t="s">
        <v>2409</v>
      </c>
    </row>
    <row r="118" spans="19:23" x14ac:dyDescent="0.35">
      <c r="S118">
        <v>66</v>
      </c>
      <c r="T118" t="s">
        <v>380</v>
      </c>
      <c r="U118">
        <v>82</v>
      </c>
      <c r="V118" t="str">
        <f t="shared" si="3"/>
        <v>bsrv</v>
      </c>
      <c r="W118" t="s">
        <v>2410</v>
      </c>
    </row>
    <row r="119" spans="19:23" x14ac:dyDescent="0.35">
      <c r="S119">
        <v>66</v>
      </c>
      <c r="T119" t="s">
        <v>380</v>
      </c>
      <c r="U119">
        <v>82</v>
      </c>
      <c r="V119" t="str">
        <f t="shared" si="3"/>
        <v>bsrv</v>
      </c>
      <c r="W119" t="s">
        <v>2411</v>
      </c>
    </row>
    <row r="120" spans="19:23" x14ac:dyDescent="0.35">
      <c r="S120">
        <v>66</v>
      </c>
      <c r="T120" t="s">
        <v>380</v>
      </c>
      <c r="U120">
        <v>82</v>
      </c>
      <c r="V120" t="str">
        <f t="shared" si="3"/>
        <v>bsrv</v>
      </c>
      <c r="W120" t="s">
        <v>2412</v>
      </c>
    </row>
    <row r="121" spans="19:23" x14ac:dyDescent="0.35">
      <c r="S121">
        <v>67</v>
      </c>
      <c r="T121" t="s">
        <v>381</v>
      </c>
      <c r="U121">
        <v>83</v>
      </c>
      <c r="V121" t="str">
        <f t="shared" si="3"/>
        <v>padm</v>
      </c>
      <c r="W121" t="s">
        <v>2413</v>
      </c>
    </row>
    <row r="122" spans="19:23" x14ac:dyDescent="0.35">
      <c r="S122">
        <v>67</v>
      </c>
      <c r="T122" t="s">
        <v>381</v>
      </c>
      <c r="U122">
        <v>83</v>
      </c>
      <c r="V122" t="str">
        <f t="shared" si="3"/>
        <v>padm</v>
      </c>
      <c r="W122" t="s">
        <v>2414</v>
      </c>
    </row>
    <row r="123" spans="19:23" x14ac:dyDescent="0.35">
      <c r="S123">
        <v>67</v>
      </c>
      <c r="T123" t="s">
        <v>381</v>
      </c>
      <c r="U123">
        <v>83</v>
      </c>
      <c r="V123" t="str">
        <f t="shared" si="3"/>
        <v>padm</v>
      </c>
      <c r="W123" t="s">
        <v>2415</v>
      </c>
    </row>
    <row r="124" spans="19:23" x14ac:dyDescent="0.35">
      <c r="S124">
        <v>68</v>
      </c>
      <c r="T124" t="s">
        <v>392</v>
      </c>
      <c r="U124">
        <v>84</v>
      </c>
      <c r="V124" t="str">
        <f t="shared" si="3"/>
        <v>educ</v>
      </c>
      <c r="W124" t="s">
        <v>2416</v>
      </c>
    </row>
    <row r="125" spans="19:23" x14ac:dyDescent="0.35">
      <c r="S125">
        <v>68</v>
      </c>
      <c r="T125" t="s">
        <v>392</v>
      </c>
      <c r="U125">
        <v>84</v>
      </c>
      <c r="V125" t="str">
        <f t="shared" si="3"/>
        <v>educ</v>
      </c>
      <c r="W125" t="s">
        <v>2417</v>
      </c>
    </row>
    <row r="126" spans="19:23" x14ac:dyDescent="0.35">
      <c r="S126">
        <v>68</v>
      </c>
      <c r="T126" t="s">
        <v>392</v>
      </c>
      <c r="U126">
        <v>84</v>
      </c>
      <c r="V126" t="str">
        <f t="shared" si="3"/>
        <v>educ</v>
      </c>
      <c r="W126" t="s">
        <v>1040</v>
      </c>
    </row>
    <row r="127" spans="19:23" x14ac:dyDescent="0.35">
      <c r="S127">
        <v>68</v>
      </c>
      <c r="T127" t="s">
        <v>392</v>
      </c>
      <c r="U127">
        <v>84</v>
      </c>
      <c r="V127" t="str">
        <f t="shared" si="3"/>
        <v>educ</v>
      </c>
      <c r="W127" t="s">
        <v>2418</v>
      </c>
    </row>
    <row r="128" spans="19:23" x14ac:dyDescent="0.35">
      <c r="S128">
        <v>68</v>
      </c>
      <c r="T128" t="s">
        <v>392</v>
      </c>
      <c r="U128">
        <v>84</v>
      </c>
      <c r="V128" t="str">
        <f t="shared" si="3"/>
        <v>educ</v>
      </c>
      <c r="W128" t="s">
        <v>2419</v>
      </c>
    </row>
    <row r="129" spans="19:23" x14ac:dyDescent="0.35">
      <c r="S129">
        <v>69</v>
      </c>
      <c r="T129" t="s">
        <v>374</v>
      </c>
      <c r="U129">
        <v>85</v>
      </c>
      <c r="V129" t="str">
        <f t="shared" si="3"/>
        <v>heal</v>
      </c>
      <c r="W129" t="s">
        <v>2420</v>
      </c>
    </row>
    <row r="130" spans="19:23" x14ac:dyDescent="0.35">
      <c r="S130">
        <v>69</v>
      </c>
      <c r="T130" t="s">
        <v>374</v>
      </c>
      <c r="U130">
        <v>85</v>
      </c>
      <c r="V130" t="str">
        <f t="shared" si="3"/>
        <v>heal</v>
      </c>
      <c r="W130" t="s">
        <v>2421</v>
      </c>
    </row>
    <row r="131" spans="19:23" x14ac:dyDescent="0.35">
      <c r="S131">
        <v>69</v>
      </c>
      <c r="T131" t="s">
        <v>374</v>
      </c>
      <c r="U131">
        <v>85</v>
      </c>
      <c r="V131" t="str">
        <f t="shared" si="3"/>
        <v>heal</v>
      </c>
      <c r="W131" t="s">
        <v>2422</v>
      </c>
    </row>
    <row r="132" spans="19:23" x14ac:dyDescent="0.35">
      <c r="S132">
        <v>69</v>
      </c>
      <c r="T132" t="s">
        <v>374</v>
      </c>
      <c r="U132">
        <v>85</v>
      </c>
      <c r="V132" t="str">
        <f t="shared" si="3"/>
        <v>heal</v>
      </c>
      <c r="W132" t="s">
        <v>2423</v>
      </c>
    </row>
    <row r="133" spans="19:23" x14ac:dyDescent="0.35">
      <c r="S133">
        <v>69</v>
      </c>
      <c r="T133" t="s">
        <v>374</v>
      </c>
      <c r="U133">
        <v>85</v>
      </c>
      <c r="V133" t="str">
        <f t="shared" si="3"/>
        <v>heal</v>
      </c>
      <c r="W133" t="s">
        <v>2424</v>
      </c>
    </row>
    <row r="134" spans="19:23" x14ac:dyDescent="0.35">
      <c r="S134">
        <v>69</v>
      </c>
      <c r="T134" t="s">
        <v>374</v>
      </c>
      <c r="U134">
        <v>85</v>
      </c>
      <c r="V134" t="str">
        <f t="shared" si="3"/>
        <v>heal</v>
      </c>
      <c r="W134" t="s">
        <v>2425</v>
      </c>
    </row>
    <row r="135" spans="19:23" x14ac:dyDescent="0.35">
      <c r="S135">
        <v>69</v>
      </c>
      <c r="T135" t="s">
        <v>374</v>
      </c>
      <c r="U135">
        <v>85</v>
      </c>
      <c r="V135" t="str">
        <f t="shared" si="3"/>
        <v>heal</v>
      </c>
      <c r="W135" t="s">
        <v>2426</v>
      </c>
    </row>
    <row r="136" spans="19:23" x14ac:dyDescent="0.35">
      <c r="S136">
        <v>69</v>
      </c>
      <c r="T136" t="s">
        <v>374</v>
      </c>
      <c r="U136">
        <v>85</v>
      </c>
      <c r="V136" t="str">
        <f t="shared" ref="V136:V155" si="5">VLOOKUP(U136,$N$7:$O$92,2,0)</f>
        <v>heal</v>
      </c>
      <c r="W136" t="s">
        <v>2427</v>
      </c>
    </row>
    <row r="137" spans="19:23" x14ac:dyDescent="0.35">
      <c r="S137">
        <v>70</v>
      </c>
      <c r="T137" t="s">
        <v>382</v>
      </c>
      <c r="U137">
        <v>86</v>
      </c>
      <c r="V137" t="str">
        <f t="shared" si="5"/>
        <v>osrv</v>
      </c>
      <c r="W137" t="s">
        <v>2428</v>
      </c>
    </row>
    <row r="138" spans="19:23" x14ac:dyDescent="0.35">
      <c r="S138">
        <v>70</v>
      </c>
      <c r="T138" t="s">
        <v>382</v>
      </c>
      <c r="U138">
        <v>86</v>
      </c>
      <c r="V138" t="str">
        <f t="shared" si="5"/>
        <v>osrv</v>
      </c>
      <c r="W138" t="s">
        <v>2429</v>
      </c>
    </row>
    <row r="139" spans="19:23" x14ac:dyDescent="0.35">
      <c r="S139">
        <v>70</v>
      </c>
      <c r="T139" t="s">
        <v>382</v>
      </c>
      <c r="U139">
        <v>86</v>
      </c>
      <c r="V139" t="str">
        <f t="shared" si="5"/>
        <v>osrv</v>
      </c>
      <c r="W139" t="s">
        <v>2430</v>
      </c>
    </row>
    <row r="140" spans="19:23" x14ac:dyDescent="0.35">
      <c r="S140">
        <v>70</v>
      </c>
      <c r="T140" t="s">
        <v>382</v>
      </c>
      <c r="U140">
        <v>86</v>
      </c>
      <c r="V140" t="str">
        <f t="shared" si="5"/>
        <v>osrv</v>
      </c>
      <c r="W140" t="s">
        <v>2431</v>
      </c>
    </row>
    <row r="141" spans="19:23" x14ac:dyDescent="0.35">
      <c r="S141">
        <v>70</v>
      </c>
      <c r="T141" t="s">
        <v>382</v>
      </c>
      <c r="U141">
        <v>86</v>
      </c>
      <c r="V141" t="str">
        <f t="shared" si="5"/>
        <v>osrv</v>
      </c>
      <c r="W141" t="s">
        <v>2432</v>
      </c>
    </row>
    <row r="142" spans="19:23" x14ac:dyDescent="0.35">
      <c r="S142">
        <v>70</v>
      </c>
      <c r="T142" t="s">
        <v>382</v>
      </c>
      <c r="U142">
        <v>86</v>
      </c>
      <c r="V142" t="str">
        <f t="shared" si="5"/>
        <v>osrv</v>
      </c>
      <c r="W142" t="s">
        <v>2433</v>
      </c>
    </row>
    <row r="143" spans="19:23" x14ac:dyDescent="0.35">
      <c r="S143">
        <v>70</v>
      </c>
      <c r="T143" t="s">
        <v>382</v>
      </c>
      <c r="U143">
        <v>86</v>
      </c>
      <c r="V143" t="str">
        <f t="shared" si="5"/>
        <v>osrv</v>
      </c>
      <c r="W143" t="s">
        <v>2434</v>
      </c>
    </row>
    <row r="144" spans="19:23" x14ac:dyDescent="0.35">
      <c r="S144">
        <v>70</v>
      </c>
      <c r="T144" t="s">
        <v>382</v>
      </c>
      <c r="U144">
        <v>86</v>
      </c>
      <c r="V144" t="str">
        <f t="shared" si="5"/>
        <v>osrv</v>
      </c>
      <c r="W144" t="s">
        <v>2435</v>
      </c>
    </row>
    <row r="145" spans="19:23" x14ac:dyDescent="0.35">
      <c r="S145">
        <v>70</v>
      </c>
      <c r="T145" t="s">
        <v>382</v>
      </c>
      <c r="U145">
        <v>86</v>
      </c>
      <c r="V145" t="str">
        <f t="shared" si="5"/>
        <v>osrv</v>
      </c>
      <c r="W145" t="s">
        <v>2436</v>
      </c>
    </row>
    <row r="146" spans="19:23" x14ac:dyDescent="0.35">
      <c r="S146">
        <v>70</v>
      </c>
      <c r="T146" t="s">
        <v>382</v>
      </c>
      <c r="U146">
        <v>86</v>
      </c>
      <c r="V146" t="str">
        <f t="shared" si="5"/>
        <v>osrv</v>
      </c>
      <c r="W146" t="s">
        <v>2437</v>
      </c>
    </row>
    <row r="147" spans="19:23" x14ac:dyDescent="0.35">
      <c r="S147">
        <v>70</v>
      </c>
      <c r="T147" t="s">
        <v>382</v>
      </c>
      <c r="U147">
        <v>86</v>
      </c>
      <c r="V147" t="str">
        <f t="shared" si="5"/>
        <v>osrv</v>
      </c>
      <c r="W147" t="s">
        <v>2438</v>
      </c>
    </row>
    <row r="148" spans="19:23" x14ac:dyDescent="0.35">
      <c r="S148">
        <v>70</v>
      </c>
      <c r="T148" t="s">
        <v>382</v>
      </c>
      <c r="U148">
        <v>86</v>
      </c>
      <c r="V148" t="str">
        <f t="shared" si="5"/>
        <v>osrv</v>
      </c>
      <c r="W148" t="s">
        <v>2439</v>
      </c>
    </row>
    <row r="149" spans="19:23" x14ac:dyDescent="0.35">
      <c r="S149">
        <v>70</v>
      </c>
      <c r="T149" t="s">
        <v>382</v>
      </c>
      <c r="U149">
        <v>86</v>
      </c>
      <c r="V149" t="str">
        <f t="shared" si="5"/>
        <v>osrv</v>
      </c>
      <c r="W149" t="s">
        <v>2440</v>
      </c>
    </row>
    <row r="150" spans="19:23" x14ac:dyDescent="0.35">
      <c r="S150">
        <v>70</v>
      </c>
      <c r="T150" t="s">
        <v>382</v>
      </c>
      <c r="U150">
        <v>86</v>
      </c>
      <c r="V150" t="str">
        <f t="shared" si="5"/>
        <v>osrv</v>
      </c>
      <c r="W150" t="s">
        <v>2441</v>
      </c>
    </row>
    <row r="151" spans="19:23" x14ac:dyDescent="0.35">
      <c r="S151">
        <v>70</v>
      </c>
      <c r="T151" t="s">
        <v>382</v>
      </c>
      <c r="U151">
        <v>86</v>
      </c>
      <c r="V151" t="str">
        <f t="shared" si="5"/>
        <v>osrv</v>
      </c>
      <c r="W151" t="s">
        <v>2442</v>
      </c>
    </row>
    <row r="152" spans="19:23" x14ac:dyDescent="0.35">
      <c r="S152">
        <v>70</v>
      </c>
      <c r="T152" t="s">
        <v>382</v>
      </c>
      <c r="U152">
        <v>86</v>
      </c>
      <c r="V152" t="str">
        <f t="shared" si="5"/>
        <v>osrv</v>
      </c>
      <c r="W152" t="s">
        <v>2443</v>
      </c>
    </row>
    <row r="153" spans="19:23" x14ac:dyDescent="0.35">
      <c r="S153">
        <v>70</v>
      </c>
      <c r="T153" t="s">
        <v>382</v>
      </c>
      <c r="U153">
        <v>86</v>
      </c>
      <c r="V153" t="str">
        <f t="shared" si="5"/>
        <v>osrv</v>
      </c>
      <c r="W153" t="s">
        <v>2385</v>
      </c>
    </row>
    <row r="154" spans="19:23" x14ac:dyDescent="0.35">
      <c r="S154">
        <v>70</v>
      </c>
      <c r="T154" t="s">
        <v>382</v>
      </c>
      <c r="U154">
        <v>86</v>
      </c>
      <c r="V154" t="str">
        <f t="shared" si="5"/>
        <v>osrv</v>
      </c>
      <c r="W154" t="s">
        <v>2444</v>
      </c>
    </row>
    <row r="155" spans="19:23" x14ac:dyDescent="0.35">
      <c r="S155">
        <v>70</v>
      </c>
      <c r="T155" t="s">
        <v>382</v>
      </c>
      <c r="U155">
        <v>86</v>
      </c>
      <c r="V155" t="str">
        <f t="shared" si="5"/>
        <v>osrv</v>
      </c>
      <c r="W155" t="s">
        <v>2401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I487"/>
  <sheetViews>
    <sheetView showZeros="0" zoomScale="85" zoomScaleNormal="85" workbookViewId="0">
      <pane ySplit="6" topLeftCell="A7" activePane="bottomLeft" state="frozen"/>
      <selection pane="bottomLeft" activeCell="A7" sqref="A7"/>
    </sheetView>
  </sheetViews>
  <sheetFormatPr defaultRowHeight="14.5" x14ac:dyDescent="0.35"/>
  <cols>
    <col min="7" max="7" width="27.1796875" customWidth="1"/>
    <col min="25" max="25" width="29" customWidth="1"/>
  </cols>
  <sheetData>
    <row r="2" spans="2:35" x14ac:dyDescent="0.35">
      <c r="N2" s="47">
        <f>SUM(N7:N21,N25:N38,N40,N46:N59,N61,N84)</f>
        <v>0.46984876232710204</v>
      </c>
      <c r="O2" s="37">
        <f>AA7+AA84</f>
        <v>47.809914379584619</v>
      </c>
    </row>
    <row r="4" spans="2:35" x14ac:dyDescent="0.35">
      <c r="I4" s="44">
        <f>I5/H5</f>
        <v>0.14417999174198001</v>
      </c>
      <c r="M4" s="45">
        <f>M5/$H$5</f>
        <v>0.90851614727726526</v>
      </c>
    </row>
    <row r="5" spans="2:35" x14ac:dyDescent="0.35">
      <c r="H5" s="34">
        <f>SUM(H7:H335)</f>
        <v>3427078.9616853003</v>
      </c>
      <c r="I5" s="34">
        <f>SUM(I7:I335)</f>
        <v>494116.2163949</v>
      </c>
      <c r="J5" s="34">
        <f>SUM(J7:J335)</f>
        <v>313522.38699999999</v>
      </c>
      <c r="M5" s="34">
        <f>SUM(M7:M95)</f>
        <v>3113556.5746852998</v>
      </c>
      <c r="N5" s="45">
        <f t="shared" ref="N5:O5" si="0">SUM(N7:N95)</f>
        <v>1</v>
      </c>
      <c r="O5" s="48">
        <f t="shared" si="0"/>
        <v>36.745179671108943</v>
      </c>
      <c r="P5" s="44"/>
    </row>
    <row r="6" spans="2:35" x14ac:dyDescent="0.35">
      <c r="B6" s="40" t="s">
        <v>391</v>
      </c>
      <c r="C6" s="40" t="s">
        <v>383</v>
      </c>
      <c r="D6" t="s">
        <v>391</v>
      </c>
      <c r="E6" t="s">
        <v>383</v>
      </c>
      <c r="F6" t="s">
        <v>384</v>
      </c>
      <c r="G6" t="s">
        <v>385</v>
      </c>
      <c r="H6" t="s">
        <v>1331</v>
      </c>
      <c r="I6" t="s">
        <v>1332</v>
      </c>
      <c r="J6" t="s">
        <v>2234</v>
      </c>
      <c r="M6" t="s">
        <v>2233</v>
      </c>
      <c r="N6" s="47"/>
      <c r="O6" s="49"/>
      <c r="X6">
        <v>0</v>
      </c>
      <c r="Y6" s="5" t="s">
        <v>1335</v>
      </c>
      <c r="Z6" s="5" t="s">
        <v>1336</v>
      </c>
      <c r="AA6" s="35">
        <v>100.00000000000007</v>
      </c>
      <c r="AG6" s="39"/>
      <c r="AH6" s="40"/>
      <c r="AI6" s="41"/>
    </row>
    <row r="7" spans="2:35" x14ac:dyDescent="0.35">
      <c r="B7" s="40">
        <v>44</v>
      </c>
      <c r="C7" s="40" t="s">
        <v>348</v>
      </c>
      <c r="D7">
        <v>58</v>
      </c>
      <c r="E7" t="str">
        <f t="shared" ref="E7:E70" si="1">IF(ISNA(VLOOKUP(D7,$K$7:$L$92,2,0)),"",VLOOKUP(D7,$K$7:$L$92,2,0))</f>
        <v>text</v>
      </c>
      <c r="F7">
        <v>1</v>
      </c>
      <c r="G7" t="s">
        <v>406</v>
      </c>
      <c r="H7" s="34">
        <v>2995.1770000000001</v>
      </c>
      <c r="I7" s="34">
        <v>0</v>
      </c>
      <c r="K7">
        <v>1</v>
      </c>
      <c r="L7" t="s">
        <v>335</v>
      </c>
      <c r="M7" s="34">
        <f t="shared" ref="M7:M38" si="2">SUMIF($D$7:$D$335,$K7,$H$7:$H$335)</f>
        <v>29773.47</v>
      </c>
      <c r="N7" s="45">
        <f>M7/($H$5-$J$5)</f>
        <v>9.5625273817320396E-3</v>
      </c>
      <c r="O7" s="48"/>
      <c r="P7" s="44"/>
      <c r="Q7" s="40">
        <v>1</v>
      </c>
      <c r="R7" s="40" t="s">
        <v>335</v>
      </c>
      <c r="S7" s="40">
        <v>40</v>
      </c>
      <c r="T7" s="40" t="s">
        <v>341</v>
      </c>
      <c r="U7" s="40">
        <v>72</v>
      </c>
      <c r="V7" s="40" t="s">
        <v>401</v>
      </c>
      <c r="X7">
        <v>1</v>
      </c>
      <c r="Y7" s="5" t="s">
        <v>1337</v>
      </c>
      <c r="Z7" s="5" t="s">
        <v>1338</v>
      </c>
      <c r="AA7" s="35">
        <v>44.112711825961128</v>
      </c>
    </row>
    <row r="8" spans="2:35" x14ac:dyDescent="0.35">
      <c r="B8" s="40">
        <v>44</v>
      </c>
      <c r="C8" s="40" t="s">
        <v>348</v>
      </c>
      <c r="D8">
        <v>58</v>
      </c>
      <c r="E8" t="str">
        <f t="shared" si="1"/>
        <v>text</v>
      </c>
      <c r="F8">
        <v>2</v>
      </c>
      <c r="G8" t="s">
        <v>407</v>
      </c>
      <c r="H8" s="34">
        <v>2688.2840000000001</v>
      </c>
      <c r="I8" s="34">
        <v>0</v>
      </c>
      <c r="K8">
        <v>2</v>
      </c>
      <c r="L8" t="s">
        <v>337</v>
      </c>
      <c r="M8" s="34">
        <f t="shared" si="2"/>
        <v>6888.1620000000003</v>
      </c>
      <c r="N8" s="45">
        <f t="shared" ref="N8:N71" si="3">M8/($H$5-$J$5)</f>
        <v>2.2123131007170519E-3</v>
      </c>
      <c r="O8" s="48"/>
      <c r="P8" s="44"/>
      <c r="Q8" s="40">
        <v>2</v>
      </c>
      <c r="R8" s="40" t="s">
        <v>337</v>
      </c>
      <c r="S8" s="40">
        <v>41</v>
      </c>
      <c r="T8" s="40" t="s">
        <v>763</v>
      </c>
      <c r="U8" s="40">
        <v>73</v>
      </c>
      <c r="V8" s="40" t="s">
        <v>400</v>
      </c>
      <c r="X8">
        <v>2</v>
      </c>
      <c r="Y8" s="36" t="s">
        <v>1339</v>
      </c>
      <c r="Z8" t="s">
        <v>1340</v>
      </c>
      <c r="AA8" s="37">
        <v>43.030615976251674</v>
      </c>
    </row>
    <row r="9" spans="2:35" x14ac:dyDescent="0.35">
      <c r="B9" s="40">
        <v>44</v>
      </c>
      <c r="C9" s="40" t="s">
        <v>348</v>
      </c>
      <c r="D9">
        <v>59</v>
      </c>
      <c r="E9" t="str">
        <f t="shared" si="1"/>
        <v>clth</v>
      </c>
      <c r="F9">
        <v>3</v>
      </c>
      <c r="G9" t="s">
        <v>408</v>
      </c>
      <c r="H9" s="34">
        <v>17376.02</v>
      </c>
      <c r="I9" s="34">
        <v>0</v>
      </c>
      <c r="K9">
        <v>3</v>
      </c>
      <c r="L9" t="s">
        <v>334</v>
      </c>
      <c r="M9" s="34">
        <f t="shared" si="2"/>
        <v>40562</v>
      </c>
      <c r="N9" s="45">
        <f t="shared" si="3"/>
        <v>1.3027545518134599E-2</v>
      </c>
      <c r="O9" s="48"/>
      <c r="P9" s="44"/>
      <c r="Q9" s="40">
        <v>3</v>
      </c>
      <c r="R9" s="40" t="s">
        <v>334</v>
      </c>
      <c r="S9" s="40">
        <v>42</v>
      </c>
      <c r="T9" s="40" t="s">
        <v>765</v>
      </c>
      <c r="U9" s="46">
        <v>74</v>
      </c>
      <c r="V9" s="46" t="s">
        <v>772</v>
      </c>
      <c r="X9">
        <v>3</v>
      </c>
      <c r="Y9" s="38" t="s">
        <v>1341</v>
      </c>
      <c r="Z9" t="s">
        <v>1342</v>
      </c>
      <c r="AA9" s="37">
        <v>6.3332841870533656</v>
      </c>
      <c r="AB9" s="37">
        <f>AA9</f>
        <v>6.3332841870533656</v>
      </c>
    </row>
    <row r="10" spans="2:35" x14ac:dyDescent="0.35">
      <c r="B10" s="40">
        <v>44</v>
      </c>
      <c r="C10" s="40" t="s">
        <v>348</v>
      </c>
      <c r="D10">
        <v>59</v>
      </c>
      <c r="E10" t="str">
        <f t="shared" si="1"/>
        <v>clth</v>
      </c>
      <c r="F10">
        <v>4</v>
      </c>
      <c r="G10" t="s">
        <v>409</v>
      </c>
      <c r="H10" s="34">
        <v>20659.5</v>
      </c>
      <c r="I10" s="34">
        <v>0</v>
      </c>
      <c r="K10">
        <v>4</v>
      </c>
      <c r="L10" t="s">
        <v>755</v>
      </c>
      <c r="M10" s="34">
        <f t="shared" si="2"/>
        <v>405.37180000000001</v>
      </c>
      <c r="N10" s="45">
        <f t="shared" si="3"/>
        <v>1.3019573926996094E-4</v>
      </c>
      <c r="O10" s="48"/>
      <c r="P10" s="44"/>
      <c r="Q10" s="40">
        <v>4</v>
      </c>
      <c r="R10" s="40" t="s">
        <v>755</v>
      </c>
      <c r="S10" s="40">
        <v>43</v>
      </c>
      <c r="T10" s="40" t="s">
        <v>764</v>
      </c>
      <c r="U10" s="40">
        <v>75</v>
      </c>
      <c r="V10" s="40" t="s">
        <v>352</v>
      </c>
      <c r="X10">
        <v>4</v>
      </c>
      <c r="Y10" s="39" t="s">
        <v>1075</v>
      </c>
      <c r="Z10" s="40" t="s">
        <v>1343</v>
      </c>
      <c r="AA10" s="41">
        <v>1.8825677243495251</v>
      </c>
    </row>
    <row r="11" spans="2:35" x14ac:dyDescent="0.35">
      <c r="B11" s="40">
        <v>44</v>
      </c>
      <c r="C11" s="40" t="s">
        <v>348</v>
      </c>
      <c r="D11">
        <v>59</v>
      </c>
      <c r="E11" t="str">
        <f t="shared" si="1"/>
        <v>clth</v>
      </c>
      <c r="F11">
        <v>5</v>
      </c>
      <c r="G11" t="s">
        <v>410</v>
      </c>
      <c r="H11" s="34">
        <v>2607.645</v>
      </c>
      <c r="I11" s="34">
        <v>0</v>
      </c>
      <c r="K11">
        <v>5</v>
      </c>
      <c r="L11" t="s">
        <v>354</v>
      </c>
      <c r="M11" s="34">
        <f t="shared" si="2"/>
        <v>130.1079</v>
      </c>
      <c r="N11" s="45">
        <f t="shared" si="3"/>
        <v>4.1787549665176884E-5</v>
      </c>
      <c r="O11" s="48"/>
      <c r="P11" s="44"/>
      <c r="Q11" s="40">
        <v>5</v>
      </c>
      <c r="R11" s="40" t="s">
        <v>354</v>
      </c>
      <c r="S11" s="40">
        <v>44</v>
      </c>
      <c r="T11" s="40" t="s">
        <v>342</v>
      </c>
      <c r="U11" s="40">
        <v>76</v>
      </c>
      <c r="V11" s="40" t="s">
        <v>376</v>
      </c>
      <c r="X11">
        <v>5</v>
      </c>
      <c r="Y11" s="39" t="s">
        <v>1344</v>
      </c>
      <c r="Z11" s="40" t="s">
        <v>1345</v>
      </c>
      <c r="AA11" s="41">
        <v>0.63544564103410317</v>
      </c>
    </row>
    <row r="12" spans="2:35" x14ac:dyDescent="0.35">
      <c r="B12" s="40">
        <v>44</v>
      </c>
      <c r="C12" s="40" t="s">
        <v>348</v>
      </c>
      <c r="D12">
        <v>59</v>
      </c>
      <c r="E12" t="str">
        <f t="shared" si="1"/>
        <v>clth</v>
      </c>
      <c r="F12">
        <v>6</v>
      </c>
      <c r="G12" t="s">
        <v>411</v>
      </c>
      <c r="H12" s="34">
        <v>4201.5200000000004</v>
      </c>
      <c r="I12" s="34">
        <v>0</v>
      </c>
      <c r="K12">
        <v>6</v>
      </c>
      <c r="L12" t="s">
        <v>344</v>
      </c>
      <c r="M12" s="34">
        <f t="shared" si="2"/>
        <v>178111.96799999999</v>
      </c>
      <c r="N12" s="45">
        <f t="shared" si="3"/>
        <v>5.7205309660384923E-2</v>
      </c>
      <c r="O12" s="48"/>
      <c r="P12" s="44"/>
      <c r="Q12" s="40">
        <v>6</v>
      </c>
      <c r="R12" s="40" t="s">
        <v>344</v>
      </c>
      <c r="S12" s="40">
        <v>45</v>
      </c>
      <c r="T12" s="40" t="s">
        <v>2227</v>
      </c>
      <c r="U12" s="40">
        <v>77</v>
      </c>
      <c r="V12" s="40" t="s">
        <v>377</v>
      </c>
      <c r="X12">
        <v>6</v>
      </c>
      <c r="Y12" s="39" t="s">
        <v>580</v>
      </c>
      <c r="Z12" s="40" t="s">
        <v>1346</v>
      </c>
      <c r="AA12" s="41">
        <v>6.2977749638427449E-2</v>
      </c>
    </row>
    <row r="13" spans="2:35" x14ac:dyDescent="0.35">
      <c r="B13" s="40">
        <v>44</v>
      </c>
      <c r="C13" s="40" t="s">
        <v>348</v>
      </c>
      <c r="D13">
        <v>59</v>
      </c>
      <c r="E13" t="str">
        <f t="shared" si="1"/>
        <v>clth</v>
      </c>
      <c r="F13">
        <v>7</v>
      </c>
      <c r="G13" t="s">
        <v>412</v>
      </c>
      <c r="H13" s="34">
        <v>1849.623</v>
      </c>
      <c r="I13" s="34">
        <v>0</v>
      </c>
      <c r="K13">
        <v>7</v>
      </c>
      <c r="L13" t="s">
        <v>345</v>
      </c>
      <c r="M13" s="34">
        <f t="shared" si="2"/>
        <v>22856.642400000001</v>
      </c>
      <c r="N13" s="45">
        <f t="shared" si="3"/>
        <v>7.3410075750141822E-3</v>
      </c>
      <c r="O13" s="48"/>
      <c r="P13" s="44"/>
      <c r="Q13" s="40">
        <v>7</v>
      </c>
      <c r="R13" s="40" t="s">
        <v>345</v>
      </c>
      <c r="S13" s="40">
        <v>46</v>
      </c>
      <c r="T13" s="40" t="s">
        <v>2228</v>
      </c>
      <c r="U13" s="40">
        <v>78</v>
      </c>
      <c r="V13" s="40" t="s">
        <v>2232</v>
      </c>
      <c r="X13">
        <v>7</v>
      </c>
      <c r="Y13" s="39" t="s">
        <v>1347</v>
      </c>
      <c r="Z13" s="40" t="s">
        <v>1348</v>
      </c>
      <c r="AA13" s="41">
        <v>0.4283168771307887</v>
      </c>
    </row>
    <row r="14" spans="2:35" x14ac:dyDescent="0.35">
      <c r="B14" s="40">
        <v>44</v>
      </c>
      <c r="C14" s="40" t="s">
        <v>348</v>
      </c>
      <c r="D14">
        <v>59</v>
      </c>
      <c r="E14" t="str">
        <f t="shared" si="1"/>
        <v>clth</v>
      </c>
      <c r="F14">
        <v>8</v>
      </c>
      <c r="G14" t="s">
        <v>413</v>
      </c>
      <c r="H14" s="34">
        <v>15184.73</v>
      </c>
      <c r="I14" s="34">
        <v>0</v>
      </c>
      <c r="K14">
        <v>8</v>
      </c>
      <c r="L14" t="s">
        <v>356</v>
      </c>
      <c r="M14" s="34">
        <f t="shared" si="2"/>
        <v>6930.6269999999995</v>
      </c>
      <c r="N14" s="45">
        <f t="shared" si="3"/>
        <v>2.2259518443792869E-3</v>
      </c>
      <c r="O14" s="48"/>
      <c r="P14" s="44"/>
      <c r="Q14" s="40">
        <v>8</v>
      </c>
      <c r="R14" s="40" t="s">
        <v>356</v>
      </c>
      <c r="S14" s="40">
        <v>47</v>
      </c>
      <c r="T14" s="40" t="s">
        <v>2229</v>
      </c>
      <c r="U14" s="46">
        <v>79</v>
      </c>
      <c r="V14" s="46" t="s">
        <v>375</v>
      </c>
      <c r="X14">
        <v>8</v>
      </c>
      <c r="Y14" s="39" t="s">
        <v>1349</v>
      </c>
      <c r="Z14" s="40" t="s">
        <v>1350</v>
      </c>
      <c r="AA14" s="41">
        <v>0</v>
      </c>
    </row>
    <row r="15" spans="2:35" x14ac:dyDescent="0.35">
      <c r="B15" s="40">
        <v>44</v>
      </c>
      <c r="C15" s="40" t="s">
        <v>348</v>
      </c>
      <c r="D15">
        <v>59</v>
      </c>
      <c r="E15" t="str">
        <f t="shared" si="1"/>
        <v>clth</v>
      </c>
      <c r="F15">
        <v>9</v>
      </c>
      <c r="G15" t="s">
        <v>414</v>
      </c>
      <c r="H15" s="34">
        <v>5633.24</v>
      </c>
      <c r="I15" s="34">
        <v>0</v>
      </c>
      <c r="K15">
        <v>9</v>
      </c>
      <c r="L15" t="s">
        <v>333</v>
      </c>
      <c r="M15" s="34">
        <f t="shared" si="2"/>
        <v>101392.97500000001</v>
      </c>
      <c r="N15" s="45">
        <f t="shared" si="3"/>
        <v>3.2565001652570966E-2</v>
      </c>
      <c r="O15" s="48"/>
      <c r="P15" s="44"/>
      <c r="Q15" s="40">
        <v>9</v>
      </c>
      <c r="R15" s="40" t="s">
        <v>333</v>
      </c>
      <c r="S15" s="40">
        <v>48</v>
      </c>
      <c r="T15" s="40" t="s">
        <v>2230</v>
      </c>
      <c r="U15" s="40">
        <v>80</v>
      </c>
      <c r="V15" s="40" t="s">
        <v>378</v>
      </c>
      <c r="X15">
        <v>9</v>
      </c>
      <c r="Y15" s="39" t="s">
        <v>1351</v>
      </c>
      <c r="Z15" s="40" t="s">
        <v>1352</v>
      </c>
      <c r="AA15" s="41">
        <v>3.3239761949005229</v>
      </c>
    </row>
    <row r="16" spans="2:35" x14ac:dyDescent="0.35">
      <c r="B16" s="40">
        <v>44</v>
      </c>
      <c r="C16" s="40" t="s">
        <v>348</v>
      </c>
      <c r="D16">
        <v>59</v>
      </c>
      <c r="E16" t="str">
        <f t="shared" si="1"/>
        <v>clth</v>
      </c>
      <c r="F16">
        <v>10</v>
      </c>
      <c r="G16" t="s">
        <v>415</v>
      </c>
      <c r="H16" s="34">
        <v>4078.3310000000001</v>
      </c>
      <c r="I16" s="34">
        <v>0</v>
      </c>
      <c r="K16">
        <v>10</v>
      </c>
      <c r="L16" t="s">
        <v>1317</v>
      </c>
      <c r="M16" s="34">
        <f t="shared" si="2"/>
        <v>119897.2</v>
      </c>
      <c r="N16" s="45">
        <f t="shared" si="3"/>
        <v>3.8508116722471467E-2</v>
      </c>
      <c r="O16" s="48"/>
      <c r="P16" s="44"/>
      <c r="Q16" s="40">
        <v>10</v>
      </c>
      <c r="R16" s="40" t="s">
        <v>1317</v>
      </c>
      <c r="S16" s="40">
        <v>49</v>
      </c>
      <c r="T16" s="40" t="s">
        <v>386</v>
      </c>
      <c r="U16" s="40">
        <v>81</v>
      </c>
      <c r="V16" s="40" t="s">
        <v>397</v>
      </c>
      <c r="X16">
        <v>10</v>
      </c>
      <c r="Y16" s="39" t="s">
        <v>1353</v>
      </c>
      <c r="Z16" s="40" t="s">
        <v>1354</v>
      </c>
      <c r="AA16" s="41">
        <v>0</v>
      </c>
    </row>
    <row r="17" spans="1:28" x14ac:dyDescent="0.35">
      <c r="B17" s="40">
        <v>44</v>
      </c>
      <c r="C17" s="40" t="s">
        <v>348</v>
      </c>
      <c r="D17">
        <v>59</v>
      </c>
      <c r="E17" t="str">
        <f t="shared" si="1"/>
        <v>clth</v>
      </c>
      <c r="F17">
        <v>11</v>
      </c>
      <c r="G17" t="s">
        <v>416</v>
      </c>
      <c r="H17" s="34">
        <v>1442.3520000000001</v>
      </c>
      <c r="I17" s="34">
        <v>0</v>
      </c>
      <c r="K17">
        <v>11</v>
      </c>
      <c r="L17" t="s">
        <v>1318</v>
      </c>
      <c r="M17" s="34">
        <f t="shared" si="2"/>
        <v>102803.2</v>
      </c>
      <c r="N17" s="45">
        <f t="shared" si="3"/>
        <v>3.301793223731312E-2</v>
      </c>
      <c r="O17" s="48"/>
      <c r="P17" s="44"/>
      <c r="Q17" s="40">
        <v>11</v>
      </c>
      <c r="R17" s="40" t="s">
        <v>1318</v>
      </c>
      <c r="S17" s="40">
        <v>50</v>
      </c>
      <c r="T17" s="40" t="s">
        <v>346</v>
      </c>
      <c r="U17" s="40">
        <v>82</v>
      </c>
      <c r="V17" s="40" t="s">
        <v>380</v>
      </c>
      <c r="X17">
        <v>11</v>
      </c>
      <c r="Y17" s="39" t="s">
        <v>1355</v>
      </c>
      <c r="Z17" s="40" t="s">
        <v>1356</v>
      </c>
      <c r="AA17" s="41">
        <v>0</v>
      </c>
    </row>
    <row r="18" spans="1:28" x14ac:dyDescent="0.35">
      <c r="B18" s="40">
        <v>44</v>
      </c>
      <c r="C18" s="40" t="s">
        <v>348</v>
      </c>
      <c r="D18">
        <v>59</v>
      </c>
      <c r="E18" t="str">
        <f t="shared" si="1"/>
        <v>clth</v>
      </c>
      <c r="F18">
        <v>12</v>
      </c>
      <c r="G18" t="s">
        <v>417</v>
      </c>
      <c r="H18" s="34">
        <v>19514.93</v>
      </c>
      <c r="I18" s="34">
        <v>0</v>
      </c>
      <c r="K18">
        <v>12</v>
      </c>
      <c r="L18" t="s">
        <v>332</v>
      </c>
      <c r="M18" s="34">
        <f t="shared" si="2"/>
        <v>13773.163850000001</v>
      </c>
      <c r="N18" s="45">
        <f t="shared" si="3"/>
        <v>4.4236112367388447E-3</v>
      </c>
      <c r="O18" s="48"/>
      <c r="P18" s="44"/>
      <c r="Q18" s="40">
        <v>12</v>
      </c>
      <c r="R18" s="40" t="s">
        <v>332</v>
      </c>
      <c r="S18" s="40">
        <v>51</v>
      </c>
      <c r="T18" s="40" t="s">
        <v>1320</v>
      </c>
      <c r="U18" s="40">
        <v>83</v>
      </c>
      <c r="V18" s="40" t="s">
        <v>381</v>
      </c>
      <c r="X18">
        <v>12</v>
      </c>
      <c r="Y18" s="38" t="s">
        <v>1357</v>
      </c>
      <c r="Z18" t="s">
        <v>1358</v>
      </c>
      <c r="AA18" s="37">
        <v>1.8305575825317852</v>
      </c>
      <c r="AB18" s="37">
        <f>AA18</f>
        <v>1.8305575825317852</v>
      </c>
    </row>
    <row r="19" spans="1:28" x14ac:dyDescent="0.35">
      <c r="B19" s="40">
        <v>44</v>
      </c>
      <c r="C19" s="40" t="s">
        <v>348</v>
      </c>
      <c r="D19">
        <v>59</v>
      </c>
      <c r="E19" t="str">
        <f t="shared" si="1"/>
        <v>clth</v>
      </c>
      <c r="F19">
        <v>13</v>
      </c>
      <c r="G19" t="s">
        <v>418</v>
      </c>
      <c r="H19" s="34">
        <v>2717.1750000000002</v>
      </c>
      <c r="I19" s="34">
        <v>0</v>
      </c>
      <c r="K19">
        <v>13</v>
      </c>
      <c r="L19" t="s">
        <v>2218</v>
      </c>
      <c r="M19" s="34">
        <f t="shared" si="2"/>
        <v>50224.75387</v>
      </c>
      <c r="N19" s="45">
        <f t="shared" si="3"/>
        <v>1.6130991252367534E-2</v>
      </c>
      <c r="O19" s="48"/>
      <c r="P19" s="44"/>
      <c r="Q19" s="40">
        <v>13</v>
      </c>
      <c r="R19" s="40" t="s">
        <v>2218</v>
      </c>
      <c r="S19" s="40">
        <v>52</v>
      </c>
      <c r="T19" s="40" t="s">
        <v>1321</v>
      </c>
      <c r="U19" s="40">
        <v>84</v>
      </c>
      <c r="V19" s="40" t="s">
        <v>392</v>
      </c>
      <c r="X19">
        <v>13</v>
      </c>
      <c r="Y19" s="39" t="s">
        <v>1359</v>
      </c>
      <c r="Z19" s="40" t="s">
        <v>1360</v>
      </c>
      <c r="AA19" s="41">
        <v>1.3780578524280991</v>
      </c>
    </row>
    <row r="20" spans="1:28" x14ac:dyDescent="0.35">
      <c r="B20" s="40">
        <v>44</v>
      </c>
      <c r="C20" s="40" t="s">
        <v>348</v>
      </c>
      <c r="D20">
        <v>59</v>
      </c>
      <c r="E20" t="str">
        <f t="shared" si="1"/>
        <v>clth</v>
      </c>
      <c r="F20">
        <v>14</v>
      </c>
      <c r="G20" t="s">
        <v>419</v>
      </c>
      <c r="H20" s="34">
        <v>806.79510000000005</v>
      </c>
      <c r="I20" s="34">
        <v>0</v>
      </c>
      <c r="K20">
        <v>14</v>
      </c>
      <c r="L20" t="s">
        <v>343</v>
      </c>
      <c r="M20" s="34">
        <f t="shared" si="2"/>
        <v>58064.485999999997</v>
      </c>
      <c r="N20" s="45">
        <f t="shared" si="3"/>
        <v>1.8648925949215748E-2</v>
      </c>
      <c r="O20" s="48"/>
      <c r="P20" s="44"/>
      <c r="Q20" s="46">
        <v>14</v>
      </c>
      <c r="R20" s="46" t="s">
        <v>343</v>
      </c>
      <c r="S20" s="40">
        <v>53</v>
      </c>
      <c r="T20" s="40" t="s">
        <v>336</v>
      </c>
      <c r="U20" s="40">
        <v>85</v>
      </c>
      <c r="V20" s="40" t="s">
        <v>374</v>
      </c>
      <c r="X20">
        <v>14</v>
      </c>
      <c r="Y20" s="39" t="s">
        <v>1361</v>
      </c>
      <c r="Z20" s="40" t="s">
        <v>1362</v>
      </c>
      <c r="AA20" s="41">
        <v>8.1281399670843094E-2</v>
      </c>
    </row>
    <row r="21" spans="1:28" x14ac:dyDescent="0.35">
      <c r="B21" s="40">
        <v>45</v>
      </c>
      <c r="C21" s="40" t="s">
        <v>350</v>
      </c>
      <c r="D21">
        <v>60</v>
      </c>
      <c r="E21" t="str">
        <f t="shared" si="1"/>
        <v>leat</v>
      </c>
      <c r="F21">
        <v>15</v>
      </c>
      <c r="G21" t="s">
        <v>420</v>
      </c>
      <c r="H21" s="34">
        <v>15343.37</v>
      </c>
      <c r="I21" s="34">
        <v>0</v>
      </c>
      <c r="K21">
        <v>15</v>
      </c>
      <c r="L21" t="s">
        <v>357</v>
      </c>
      <c r="M21" s="34">
        <f t="shared" si="2"/>
        <v>1669.5050000000001</v>
      </c>
      <c r="N21" s="45">
        <f t="shared" si="3"/>
        <v>5.3620512746544314E-4</v>
      </c>
      <c r="O21" s="48"/>
      <c r="P21" s="44"/>
      <c r="Q21" s="40">
        <v>15</v>
      </c>
      <c r="R21" s="40" t="s">
        <v>357</v>
      </c>
      <c r="S21" s="46">
        <v>54</v>
      </c>
      <c r="T21" s="46" t="s">
        <v>766</v>
      </c>
      <c r="U21" s="40">
        <v>86</v>
      </c>
      <c r="V21" s="40" t="s">
        <v>382</v>
      </c>
      <c r="X21">
        <v>15</v>
      </c>
      <c r="Y21" s="39" t="s">
        <v>1363</v>
      </c>
      <c r="Z21" s="40" t="s">
        <v>1364</v>
      </c>
      <c r="AA21" s="41">
        <v>0.1635977172119337</v>
      </c>
    </row>
    <row r="22" spans="1:28" x14ac:dyDescent="0.35">
      <c r="B22" s="40">
        <v>45</v>
      </c>
      <c r="C22" s="40" t="s">
        <v>350</v>
      </c>
      <c r="D22">
        <v>60</v>
      </c>
      <c r="E22" t="str">
        <f t="shared" si="1"/>
        <v>leat</v>
      </c>
      <c r="F22">
        <v>16</v>
      </c>
      <c r="G22" t="s">
        <v>421</v>
      </c>
      <c r="H22" s="34">
        <v>10423.51</v>
      </c>
      <c r="I22" s="34">
        <v>0</v>
      </c>
      <c r="K22">
        <v>16</v>
      </c>
      <c r="L22" t="s">
        <v>388</v>
      </c>
      <c r="M22" s="34">
        <f t="shared" si="2"/>
        <v>1483.9376000000002</v>
      </c>
      <c r="N22" s="45">
        <f t="shared" si="3"/>
        <v>4.766053111304033E-4</v>
      </c>
      <c r="O22" s="48"/>
      <c r="P22" s="44"/>
      <c r="Q22" s="40">
        <v>16</v>
      </c>
      <c r="R22" s="40" t="s">
        <v>388</v>
      </c>
      <c r="S22" s="40">
        <v>55</v>
      </c>
      <c r="T22" s="40" t="s">
        <v>347</v>
      </c>
      <c r="U22" s="40"/>
      <c r="V22" s="40"/>
      <c r="X22">
        <v>16</v>
      </c>
      <c r="Y22" s="39" t="s">
        <v>1095</v>
      </c>
      <c r="Z22" s="40" t="s">
        <v>1365</v>
      </c>
      <c r="AA22" s="41">
        <v>0.14384111615504069</v>
      </c>
    </row>
    <row r="23" spans="1:28" x14ac:dyDescent="0.35">
      <c r="B23" s="40">
        <v>45</v>
      </c>
      <c r="C23" s="40" t="s">
        <v>350</v>
      </c>
      <c r="D23">
        <v>60</v>
      </c>
      <c r="E23" t="str">
        <f t="shared" si="1"/>
        <v>leat</v>
      </c>
      <c r="F23">
        <v>17</v>
      </c>
      <c r="G23" t="s">
        <v>422</v>
      </c>
      <c r="H23" s="34">
        <v>9780.5669999999991</v>
      </c>
      <c r="I23" s="34">
        <v>0</v>
      </c>
      <c r="K23">
        <v>17</v>
      </c>
      <c r="L23" t="s">
        <v>2219</v>
      </c>
      <c r="M23" s="34">
        <f t="shared" si="2"/>
        <v>0</v>
      </c>
      <c r="N23" s="45">
        <f t="shared" si="3"/>
        <v>0</v>
      </c>
      <c r="O23" s="48"/>
      <c r="P23" s="44"/>
      <c r="Q23" s="40">
        <v>17</v>
      </c>
      <c r="R23" s="40" t="s">
        <v>2219</v>
      </c>
      <c r="S23" s="40">
        <v>56</v>
      </c>
      <c r="T23" s="40" t="s">
        <v>387</v>
      </c>
      <c r="U23" s="40"/>
      <c r="V23" s="40"/>
      <c r="X23">
        <v>17</v>
      </c>
      <c r="Y23" s="39" t="s">
        <v>1366</v>
      </c>
      <c r="Z23" s="40" t="s">
        <v>1367</v>
      </c>
      <c r="AA23" s="41">
        <v>4.961563024315889E-2</v>
      </c>
    </row>
    <row r="24" spans="1:28" x14ac:dyDescent="0.35">
      <c r="B24" s="40">
        <v>56</v>
      </c>
      <c r="C24" s="40" t="s">
        <v>351</v>
      </c>
      <c r="D24">
        <v>71</v>
      </c>
      <c r="E24" t="str">
        <f t="shared" si="1"/>
        <v>oman</v>
      </c>
      <c r="F24">
        <v>18</v>
      </c>
      <c r="G24" t="s">
        <v>423</v>
      </c>
      <c r="H24" s="34">
        <v>1892.9269999999999</v>
      </c>
      <c r="I24" s="34">
        <v>0</v>
      </c>
      <c r="K24">
        <v>18</v>
      </c>
      <c r="L24" t="s">
        <v>2220</v>
      </c>
      <c r="M24" s="34">
        <f t="shared" si="2"/>
        <v>0</v>
      </c>
      <c r="N24" s="45">
        <f t="shared" si="3"/>
        <v>0</v>
      </c>
      <c r="O24" s="48"/>
      <c r="P24" s="44"/>
      <c r="Q24" s="40">
        <v>18</v>
      </c>
      <c r="R24" s="40" t="s">
        <v>2220</v>
      </c>
      <c r="S24" s="40">
        <v>57</v>
      </c>
      <c r="T24" s="40" t="s">
        <v>2231</v>
      </c>
      <c r="U24" s="40"/>
      <c r="V24" s="40"/>
      <c r="X24">
        <v>18</v>
      </c>
      <c r="Y24" s="39" t="s">
        <v>1368</v>
      </c>
      <c r="Z24" s="40" t="s">
        <v>1369</v>
      </c>
      <c r="AA24" s="41">
        <v>0</v>
      </c>
    </row>
    <row r="25" spans="1:28" x14ac:dyDescent="0.35">
      <c r="A25" t="s">
        <v>779</v>
      </c>
      <c r="B25" s="40">
        <v>53</v>
      </c>
      <c r="C25" s="40" t="s">
        <v>770</v>
      </c>
      <c r="D25">
        <v>71</v>
      </c>
      <c r="E25" t="str">
        <f t="shared" si="1"/>
        <v>oman</v>
      </c>
      <c r="F25">
        <v>19</v>
      </c>
      <c r="G25" t="s">
        <v>424</v>
      </c>
      <c r="H25" s="34">
        <v>703.51400000000001</v>
      </c>
      <c r="I25" s="34">
        <v>0</v>
      </c>
      <c r="K25">
        <v>19</v>
      </c>
      <c r="L25" t="s">
        <v>1319</v>
      </c>
      <c r="M25" s="34">
        <f t="shared" si="2"/>
        <v>93287.311999999991</v>
      </c>
      <c r="N25" s="45">
        <f t="shared" si="3"/>
        <v>2.9961656312421082E-2</v>
      </c>
      <c r="O25" s="48">
        <f>AB48</f>
        <v>5.8346681855307789</v>
      </c>
      <c r="P25" s="44"/>
      <c r="Q25" s="40">
        <v>19</v>
      </c>
      <c r="R25" s="40" t="s">
        <v>1319</v>
      </c>
      <c r="S25" s="40">
        <v>58</v>
      </c>
      <c r="T25" s="40" t="s">
        <v>349</v>
      </c>
      <c r="U25" s="40"/>
      <c r="V25" s="40"/>
      <c r="X25">
        <v>19</v>
      </c>
      <c r="Y25" s="39" t="s">
        <v>1370</v>
      </c>
      <c r="Z25" s="40" t="s">
        <v>1371</v>
      </c>
      <c r="AA25" s="41">
        <v>0</v>
      </c>
    </row>
    <row r="26" spans="1:28" x14ac:dyDescent="0.35">
      <c r="A26" t="s">
        <v>779</v>
      </c>
      <c r="B26" s="40">
        <v>53</v>
      </c>
      <c r="C26" s="40" t="s">
        <v>770</v>
      </c>
      <c r="D26">
        <v>71</v>
      </c>
      <c r="E26" t="str">
        <f t="shared" si="1"/>
        <v>oman</v>
      </c>
      <c r="F26">
        <v>20</v>
      </c>
      <c r="G26" t="s">
        <v>425</v>
      </c>
      <c r="H26" s="34">
        <v>98.272040000000004</v>
      </c>
      <c r="I26" s="34">
        <v>0</v>
      </c>
      <c r="K26">
        <v>20</v>
      </c>
      <c r="L26" t="s">
        <v>331</v>
      </c>
      <c r="M26" s="34">
        <f t="shared" si="2"/>
        <v>27944.536233000003</v>
      </c>
      <c r="N26" s="45">
        <f t="shared" si="3"/>
        <v>8.9751175424922121E-3</v>
      </c>
      <c r="O26" s="48"/>
      <c r="P26" s="44"/>
      <c r="Q26" s="40">
        <v>20</v>
      </c>
      <c r="R26" s="40" t="s">
        <v>331</v>
      </c>
      <c r="S26" s="40">
        <v>59</v>
      </c>
      <c r="T26" s="40" t="s">
        <v>348</v>
      </c>
      <c r="U26" s="40"/>
      <c r="V26" s="40"/>
      <c r="X26">
        <v>20</v>
      </c>
      <c r="Y26" s="39" t="s">
        <v>1372</v>
      </c>
      <c r="Z26" s="40" t="s">
        <v>1373</v>
      </c>
      <c r="AA26" s="41">
        <v>1.171367548276543E-2</v>
      </c>
    </row>
    <row r="27" spans="1:28" x14ac:dyDescent="0.35">
      <c r="B27" s="40">
        <v>56</v>
      </c>
      <c r="C27" s="40" t="s">
        <v>351</v>
      </c>
      <c r="D27">
        <v>71</v>
      </c>
      <c r="E27" t="str">
        <f t="shared" si="1"/>
        <v>oman</v>
      </c>
      <c r="F27">
        <v>21</v>
      </c>
      <c r="G27" t="s">
        <v>426</v>
      </c>
      <c r="H27" s="34">
        <v>530.69839999999999</v>
      </c>
      <c r="I27" s="34">
        <v>0</v>
      </c>
      <c r="K27">
        <v>21</v>
      </c>
      <c r="L27" t="s">
        <v>756</v>
      </c>
      <c r="M27" s="34">
        <f t="shared" si="2"/>
        <v>0</v>
      </c>
      <c r="N27" s="45">
        <f t="shared" si="3"/>
        <v>0</v>
      </c>
      <c r="O27" s="48"/>
      <c r="P27" s="44"/>
      <c r="Q27" s="40">
        <v>21</v>
      </c>
      <c r="R27" s="40" t="s">
        <v>756</v>
      </c>
      <c r="S27" s="40">
        <v>60</v>
      </c>
      <c r="T27" s="40" t="s">
        <v>350</v>
      </c>
      <c r="U27" s="40"/>
      <c r="V27" s="40"/>
      <c r="X27">
        <v>21</v>
      </c>
      <c r="Y27" s="38" t="s">
        <v>1374</v>
      </c>
      <c r="Z27" t="s">
        <v>1375</v>
      </c>
      <c r="AA27" s="37">
        <v>0.88364458888476505</v>
      </c>
      <c r="AB27" s="37">
        <f>AA27</f>
        <v>0.88364458888476505</v>
      </c>
    </row>
    <row r="28" spans="1:28" x14ac:dyDescent="0.35">
      <c r="B28" s="40">
        <v>45</v>
      </c>
      <c r="C28" s="40" t="s">
        <v>350</v>
      </c>
      <c r="D28">
        <v>71</v>
      </c>
      <c r="E28" t="str">
        <f t="shared" si="1"/>
        <v>oman</v>
      </c>
      <c r="F28">
        <v>22</v>
      </c>
      <c r="G28" t="s">
        <v>427</v>
      </c>
      <c r="H28" s="34">
        <v>2254.386</v>
      </c>
      <c r="I28" s="34">
        <v>0</v>
      </c>
      <c r="K28">
        <v>22</v>
      </c>
      <c r="L28" t="s">
        <v>362</v>
      </c>
      <c r="M28" s="34">
        <f t="shared" si="2"/>
        <v>0</v>
      </c>
      <c r="N28" s="45">
        <f t="shared" si="3"/>
        <v>0</v>
      </c>
      <c r="O28" s="48"/>
      <c r="P28" s="44"/>
      <c r="Q28" s="40">
        <v>22</v>
      </c>
      <c r="R28" s="40" t="s">
        <v>362</v>
      </c>
      <c r="S28" s="40">
        <v>61</v>
      </c>
      <c r="T28" s="40" t="s">
        <v>369</v>
      </c>
      <c r="U28" s="40"/>
      <c r="V28" s="40"/>
      <c r="X28">
        <v>22</v>
      </c>
      <c r="Y28" s="39" t="s">
        <v>1376</v>
      </c>
      <c r="Z28" s="40" t="s">
        <v>1377</v>
      </c>
      <c r="AA28" s="41">
        <v>0.7954088605645363</v>
      </c>
    </row>
    <row r="29" spans="1:28" x14ac:dyDescent="0.35">
      <c r="B29" s="40">
        <v>45</v>
      </c>
      <c r="C29" s="40" t="s">
        <v>350</v>
      </c>
      <c r="D29">
        <v>71</v>
      </c>
      <c r="E29" t="str">
        <f t="shared" si="1"/>
        <v>oman</v>
      </c>
      <c r="F29">
        <v>23</v>
      </c>
      <c r="G29" t="s">
        <v>428</v>
      </c>
      <c r="H29" s="34">
        <v>2392.3180000000002</v>
      </c>
      <c r="I29" s="34">
        <v>0</v>
      </c>
      <c r="K29">
        <v>23</v>
      </c>
      <c r="L29" t="s">
        <v>2221</v>
      </c>
      <c r="M29" s="34">
        <f t="shared" si="2"/>
        <v>0</v>
      </c>
      <c r="N29" s="45">
        <f t="shared" si="3"/>
        <v>0</v>
      </c>
      <c r="O29" s="48"/>
      <c r="P29" s="44"/>
      <c r="Q29" s="40">
        <v>23</v>
      </c>
      <c r="R29" s="40" t="s">
        <v>2221</v>
      </c>
      <c r="S29" s="40">
        <v>62</v>
      </c>
      <c r="T29" s="40" t="s">
        <v>767</v>
      </c>
      <c r="U29" s="40"/>
      <c r="V29" s="40"/>
      <c r="X29">
        <v>23</v>
      </c>
      <c r="Y29" s="39" t="s">
        <v>1378</v>
      </c>
      <c r="Z29" s="40" t="s">
        <v>1379</v>
      </c>
      <c r="AA29" s="41">
        <v>2.1206578971164698E-2</v>
      </c>
    </row>
    <row r="30" spans="1:28" x14ac:dyDescent="0.35">
      <c r="B30" s="40">
        <v>45</v>
      </c>
      <c r="C30" s="40" t="s">
        <v>350</v>
      </c>
      <c r="D30">
        <v>71</v>
      </c>
      <c r="E30" t="str">
        <f t="shared" si="1"/>
        <v>oman</v>
      </c>
      <c r="F30">
        <v>24</v>
      </c>
      <c r="G30" t="s">
        <v>429</v>
      </c>
      <c r="H30" s="34">
        <v>516.54369999999994</v>
      </c>
      <c r="I30" s="34">
        <v>0</v>
      </c>
      <c r="K30">
        <v>24</v>
      </c>
      <c r="L30" t="s">
        <v>757</v>
      </c>
      <c r="M30" s="34">
        <f t="shared" si="2"/>
        <v>624.52560000000005</v>
      </c>
      <c r="N30" s="45">
        <f t="shared" si="3"/>
        <v>2.0058270502540119E-4</v>
      </c>
      <c r="O30" s="48"/>
      <c r="P30" s="44"/>
      <c r="Q30" s="40">
        <v>24</v>
      </c>
      <c r="R30" s="40" t="s">
        <v>757</v>
      </c>
      <c r="S30" s="40">
        <v>63</v>
      </c>
      <c r="T30" s="40" t="s">
        <v>379</v>
      </c>
      <c r="U30" s="40"/>
      <c r="V30" s="40"/>
      <c r="X30">
        <v>24</v>
      </c>
      <c r="Y30" s="39" t="s">
        <v>1380</v>
      </c>
      <c r="Z30" s="40" t="s">
        <v>1381</v>
      </c>
      <c r="AA30" s="41">
        <v>6.7029149349064038E-2</v>
      </c>
    </row>
    <row r="31" spans="1:28" x14ac:dyDescent="0.35">
      <c r="B31" s="40">
        <v>45</v>
      </c>
      <c r="C31" s="40" t="s">
        <v>350</v>
      </c>
      <c r="D31">
        <v>71</v>
      </c>
      <c r="E31" t="str">
        <f t="shared" si="1"/>
        <v>oman</v>
      </c>
      <c r="F31">
        <v>25</v>
      </c>
      <c r="G31" t="s">
        <v>430</v>
      </c>
      <c r="H31" s="34">
        <v>2454.366</v>
      </c>
      <c r="I31" s="34">
        <v>0</v>
      </c>
      <c r="K31">
        <v>25</v>
      </c>
      <c r="L31" t="s">
        <v>2222</v>
      </c>
      <c r="M31" s="34">
        <f t="shared" si="2"/>
        <v>0</v>
      </c>
      <c r="N31" s="45">
        <f t="shared" si="3"/>
        <v>0</v>
      </c>
      <c r="O31" s="48"/>
      <c r="P31" s="44"/>
      <c r="Q31" s="40">
        <v>25</v>
      </c>
      <c r="R31" s="40" t="s">
        <v>2222</v>
      </c>
      <c r="S31" s="40">
        <v>64</v>
      </c>
      <c r="T31" s="40" t="s">
        <v>768</v>
      </c>
      <c r="U31" s="40"/>
      <c r="V31" s="40"/>
      <c r="X31">
        <v>25</v>
      </c>
      <c r="Y31" s="39" t="s">
        <v>1382</v>
      </c>
      <c r="Z31" s="40" t="s">
        <v>1383</v>
      </c>
      <c r="AA31" s="41">
        <v>0</v>
      </c>
    </row>
    <row r="32" spans="1:28" x14ac:dyDescent="0.35">
      <c r="B32" s="40">
        <v>56</v>
      </c>
      <c r="C32" s="40" t="s">
        <v>351</v>
      </c>
      <c r="D32">
        <v>71</v>
      </c>
      <c r="E32" t="str">
        <f t="shared" si="1"/>
        <v>oman</v>
      </c>
      <c r="F32">
        <v>26</v>
      </c>
      <c r="G32" t="s">
        <v>431</v>
      </c>
      <c r="H32" s="34">
        <v>391.85509999999999</v>
      </c>
      <c r="I32" s="34">
        <v>0</v>
      </c>
      <c r="K32">
        <v>26</v>
      </c>
      <c r="L32" t="s">
        <v>2223</v>
      </c>
      <c r="M32" s="34">
        <f t="shared" si="2"/>
        <v>0</v>
      </c>
      <c r="N32" s="45">
        <f t="shared" si="3"/>
        <v>0</v>
      </c>
      <c r="O32" s="48"/>
      <c r="P32" s="44"/>
      <c r="Q32" s="46">
        <v>26</v>
      </c>
      <c r="R32" s="46" t="s">
        <v>2223</v>
      </c>
      <c r="S32" s="40">
        <v>65</v>
      </c>
      <c r="T32" s="40" t="s">
        <v>371</v>
      </c>
      <c r="U32" s="40"/>
      <c r="V32" s="40"/>
      <c r="X32">
        <v>26</v>
      </c>
      <c r="Y32" s="39" t="s">
        <v>1384</v>
      </c>
      <c r="Z32" s="40" t="s">
        <v>1385</v>
      </c>
      <c r="AA32" s="41">
        <v>0</v>
      </c>
    </row>
    <row r="33" spans="1:28" x14ac:dyDescent="0.35">
      <c r="B33" s="40">
        <v>56</v>
      </c>
      <c r="C33" s="40" t="s">
        <v>351</v>
      </c>
      <c r="D33">
        <v>71</v>
      </c>
      <c r="E33" t="str">
        <f t="shared" si="1"/>
        <v>oman</v>
      </c>
      <c r="F33">
        <v>27</v>
      </c>
      <c r="G33" t="s">
        <v>432</v>
      </c>
      <c r="H33" s="34">
        <v>1300.0930000000001</v>
      </c>
      <c r="I33" s="34">
        <v>0</v>
      </c>
      <c r="K33">
        <v>27</v>
      </c>
      <c r="L33" t="s">
        <v>338</v>
      </c>
      <c r="M33" s="34">
        <f t="shared" si="2"/>
        <v>45200.26</v>
      </c>
      <c r="N33" s="45">
        <f t="shared" si="3"/>
        <v>1.4517243838605559E-2</v>
      </c>
      <c r="O33" s="48">
        <f>AA19</f>
        <v>1.3780578524280991</v>
      </c>
      <c r="P33" s="44"/>
      <c r="Q33" s="40">
        <v>27</v>
      </c>
      <c r="R33" s="40" t="s">
        <v>338</v>
      </c>
      <c r="S33" s="40">
        <v>66</v>
      </c>
      <c r="T33" s="40" t="s">
        <v>769</v>
      </c>
      <c r="U33" s="40"/>
      <c r="V33" s="40"/>
      <c r="X33">
        <v>27</v>
      </c>
      <c r="Y33" s="39" t="s">
        <v>1386</v>
      </c>
      <c r="Z33" s="40" t="s">
        <v>1387</v>
      </c>
      <c r="AA33" s="41">
        <v>0</v>
      </c>
    </row>
    <row r="34" spans="1:28" x14ac:dyDescent="0.35">
      <c r="B34" s="40">
        <v>56</v>
      </c>
      <c r="C34" s="40" t="s">
        <v>351</v>
      </c>
      <c r="D34">
        <v>71</v>
      </c>
      <c r="E34" t="str">
        <f t="shared" si="1"/>
        <v>oman</v>
      </c>
      <c r="F34">
        <v>28</v>
      </c>
      <c r="G34" t="s">
        <v>433</v>
      </c>
      <c r="H34" s="34">
        <v>179.86490000000001</v>
      </c>
      <c r="I34" s="34">
        <v>0</v>
      </c>
      <c r="K34">
        <v>28</v>
      </c>
      <c r="L34" t="s">
        <v>758</v>
      </c>
      <c r="M34" s="34">
        <f t="shared" si="2"/>
        <v>39606.01</v>
      </c>
      <c r="N34" s="45">
        <f t="shared" si="3"/>
        <v>1.2720504365334406E-2</v>
      </c>
      <c r="O34" s="48">
        <f>AA35</f>
        <v>0.82132244869792048</v>
      </c>
      <c r="P34" s="44"/>
      <c r="Q34" s="40">
        <v>28</v>
      </c>
      <c r="R34" s="40" t="s">
        <v>758</v>
      </c>
      <c r="S34" s="40">
        <v>67</v>
      </c>
      <c r="T34" s="40" t="s">
        <v>370</v>
      </c>
      <c r="U34" s="40"/>
      <c r="V34" s="40"/>
      <c r="X34">
        <v>28</v>
      </c>
      <c r="Y34" s="38" t="s">
        <v>1388</v>
      </c>
      <c r="Z34" t="s">
        <v>1389</v>
      </c>
      <c r="AA34" s="37">
        <v>1.3998785367190532</v>
      </c>
      <c r="AB34" s="37">
        <f>AA34</f>
        <v>1.3998785367190532</v>
      </c>
    </row>
    <row r="35" spans="1:28" x14ac:dyDescent="0.35">
      <c r="B35" s="40">
        <v>43</v>
      </c>
      <c r="C35" s="40" t="s">
        <v>349</v>
      </c>
      <c r="D35">
        <v>71</v>
      </c>
      <c r="E35" t="str">
        <f t="shared" si="1"/>
        <v>oman</v>
      </c>
      <c r="F35">
        <v>31</v>
      </c>
      <c r="G35" t="s">
        <v>436</v>
      </c>
      <c r="H35" s="34">
        <v>11466.69</v>
      </c>
      <c r="I35" s="34">
        <v>0</v>
      </c>
      <c r="K35">
        <v>29</v>
      </c>
      <c r="L35" t="s">
        <v>339</v>
      </c>
      <c r="M35" s="34">
        <f t="shared" si="2"/>
        <v>3076.5248999999999</v>
      </c>
      <c r="N35" s="45">
        <f t="shared" si="3"/>
        <v>9.8810631064603568E-4</v>
      </c>
      <c r="O35" s="48">
        <f>AA22</f>
        <v>0.14384111615504069</v>
      </c>
      <c r="P35" s="44"/>
      <c r="Q35" s="40">
        <v>29</v>
      </c>
      <c r="R35" s="40" t="s">
        <v>339</v>
      </c>
      <c r="S35" s="40">
        <v>68</v>
      </c>
      <c r="T35" s="40" t="s">
        <v>353</v>
      </c>
      <c r="U35" s="40"/>
      <c r="V35" s="40"/>
      <c r="X35">
        <v>29</v>
      </c>
      <c r="Y35" s="39" t="s">
        <v>1390</v>
      </c>
      <c r="Z35" s="40" t="s">
        <v>1391</v>
      </c>
      <c r="AA35" s="41">
        <v>0.82132244869792048</v>
      </c>
    </row>
    <row r="36" spans="1:28" x14ac:dyDescent="0.35">
      <c r="B36" s="40">
        <v>43</v>
      </c>
      <c r="C36" s="40" t="s">
        <v>349</v>
      </c>
      <c r="D36">
        <v>71</v>
      </c>
      <c r="E36" t="str">
        <f t="shared" si="1"/>
        <v>oman</v>
      </c>
      <c r="F36">
        <v>32</v>
      </c>
      <c r="G36" t="s">
        <v>437</v>
      </c>
      <c r="H36" s="34">
        <v>602.66219999999998</v>
      </c>
      <c r="I36" s="34">
        <v>0</v>
      </c>
      <c r="K36">
        <v>30</v>
      </c>
      <c r="L36" t="s">
        <v>20</v>
      </c>
      <c r="M36" s="34">
        <f t="shared" si="2"/>
        <v>4027.8470000000002</v>
      </c>
      <c r="N36" s="45">
        <f t="shared" si="3"/>
        <v>1.2936482454657535E-3</v>
      </c>
      <c r="O36" s="48">
        <f>AA41</f>
        <v>0.12289278174939201</v>
      </c>
      <c r="P36" s="44"/>
      <c r="Q36" s="40">
        <v>30</v>
      </c>
      <c r="R36" s="40" t="s">
        <v>20</v>
      </c>
      <c r="S36" s="40">
        <v>69</v>
      </c>
      <c r="T36" s="40" t="s">
        <v>770</v>
      </c>
      <c r="U36" s="40"/>
      <c r="V36" s="40"/>
      <c r="X36">
        <v>30</v>
      </c>
      <c r="Y36" s="39" t="s">
        <v>1392</v>
      </c>
      <c r="Z36" s="40" t="s">
        <v>1393</v>
      </c>
      <c r="AA36" s="41">
        <v>0</v>
      </c>
    </row>
    <row r="37" spans="1:28" x14ac:dyDescent="0.35">
      <c r="B37" s="40">
        <v>43</v>
      </c>
      <c r="C37" s="40" t="s">
        <v>349</v>
      </c>
      <c r="D37">
        <v>71</v>
      </c>
      <c r="E37" t="str">
        <f t="shared" si="1"/>
        <v>oman</v>
      </c>
      <c r="F37">
        <v>33</v>
      </c>
      <c r="G37" t="s">
        <v>438</v>
      </c>
      <c r="H37" s="34">
        <v>2067.752</v>
      </c>
      <c r="I37" s="34">
        <v>0</v>
      </c>
      <c r="K37">
        <v>31</v>
      </c>
      <c r="L37" t="s">
        <v>2224</v>
      </c>
      <c r="M37" s="34">
        <f t="shared" si="2"/>
        <v>4314.2655000000004</v>
      </c>
      <c r="N37" s="45">
        <f t="shared" si="3"/>
        <v>1.3856390261468305E-3</v>
      </c>
      <c r="O37" s="48">
        <f>AA21</f>
        <v>0.1635977172119337</v>
      </c>
      <c r="P37" s="44"/>
      <c r="Q37" s="40">
        <v>31</v>
      </c>
      <c r="R37" s="40" t="s">
        <v>2224</v>
      </c>
      <c r="S37" s="40">
        <v>70</v>
      </c>
      <c r="T37" s="40" t="s">
        <v>771</v>
      </c>
      <c r="U37" s="40"/>
      <c r="V37" s="40"/>
      <c r="X37">
        <v>31</v>
      </c>
      <c r="Y37" s="39" t="s">
        <v>1394</v>
      </c>
      <c r="Z37" s="40" t="s">
        <v>1395</v>
      </c>
      <c r="AA37" s="41">
        <v>6.0437997264048457E-2</v>
      </c>
    </row>
    <row r="38" spans="1:28" x14ac:dyDescent="0.35">
      <c r="B38" s="40">
        <v>60</v>
      </c>
      <c r="C38" s="40" t="s">
        <v>352</v>
      </c>
      <c r="D38">
        <v>71</v>
      </c>
      <c r="E38" t="str">
        <f t="shared" si="1"/>
        <v>oman</v>
      </c>
      <c r="F38">
        <v>34</v>
      </c>
      <c r="G38" t="s">
        <v>439</v>
      </c>
      <c r="H38" s="34">
        <v>588.6816</v>
      </c>
      <c r="I38" s="34">
        <v>0</v>
      </c>
      <c r="K38">
        <v>32</v>
      </c>
      <c r="L38" t="s">
        <v>759</v>
      </c>
      <c r="M38" s="34">
        <f t="shared" si="2"/>
        <v>4353.6172999999999</v>
      </c>
      <c r="N38" s="45">
        <f t="shared" si="3"/>
        <v>1.398277884332337E-3</v>
      </c>
      <c r="O38" s="48">
        <f>AA20+AA23</f>
        <v>0.13089702991400198</v>
      </c>
      <c r="P38" s="44"/>
      <c r="Q38" s="40">
        <v>32</v>
      </c>
      <c r="R38" s="40" t="s">
        <v>759</v>
      </c>
      <c r="S38" s="40">
        <v>71</v>
      </c>
      <c r="T38" s="40" t="s">
        <v>351</v>
      </c>
      <c r="U38" s="40"/>
      <c r="V38" s="40"/>
      <c r="X38">
        <v>32</v>
      </c>
      <c r="Y38" s="39" t="s">
        <v>1396</v>
      </c>
      <c r="Z38" s="40" t="s">
        <v>1397</v>
      </c>
      <c r="AA38" s="41">
        <v>3.5472057239770739E-2</v>
      </c>
    </row>
    <row r="39" spans="1:28" x14ac:dyDescent="0.35">
      <c r="B39" s="40">
        <v>43</v>
      </c>
      <c r="C39" s="40" t="s">
        <v>349</v>
      </c>
      <c r="D39">
        <v>58</v>
      </c>
      <c r="E39" t="str">
        <f t="shared" si="1"/>
        <v>text</v>
      </c>
      <c r="F39">
        <v>35</v>
      </c>
      <c r="G39" t="s">
        <v>440</v>
      </c>
      <c r="H39" s="34">
        <v>2370.596</v>
      </c>
      <c r="I39" s="34">
        <v>0</v>
      </c>
      <c r="K39">
        <v>33</v>
      </c>
      <c r="L39" t="s">
        <v>372</v>
      </c>
      <c r="M39" s="34">
        <f t="shared" ref="M39:M70" si="4">SUMIF($D$7:$D$335,$K39,$H$7:$H$335)</f>
        <v>31958.61</v>
      </c>
      <c r="N39" s="45">
        <f t="shared" si="3"/>
        <v>1.0264342154511899E-2</v>
      </c>
      <c r="O39" s="48"/>
      <c r="P39" s="44"/>
      <c r="Q39" s="40">
        <v>33</v>
      </c>
      <c r="R39" s="40" t="s">
        <v>372</v>
      </c>
      <c r="S39" s="40"/>
      <c r="T39" s="40"/>
      <c r="U39" s="40"/>
      <c r="V39" s="40"/>
      <c r="X39">
        <v>33</v>
      </c>
      <c r="Y39" s="39" t="s">
        <v>1398</v>
      </c>
      <c r="Z39" s="40" t="s">
        <v>1399</v>
      </c>
      <c r="AA39" s="41">
        <v>0.35975325176792139</v>
      </c>
    </row>
    <row r="40" spans="1:28" x14ac:dyDescent="0.35">
      <c r="B40" s="40">
        <v>43</v>
      </c>
      <c r="C40" s="40" t="s">
        <v>349</v>
      </c>
      <c r="D40">
        <v>58</v>
      </c>
      <c r="E40" t="str">
        <f t="shared" si="1"/>
        <v>text</v>
      </c>
      <c r="F40">
        <v>36</v>
      </c>
      <c r="G40" t="s">
        <v>441</v>
      </c>
      <c r="H40" s="34">
        <v>287.48880000000003</v>
      </c>
      <c r="I40" s="34">
        <v>0</v>
      </c>
      <c r="K40">
        <v>34</v>
      </c>
      <c r="L40" t="s">
        <v>2225</v>
      </c>
      <c r="M40" s="34">
        <f t="shared" si="4"/>
        <v>24138.927</v>
      </c>
      <c r="N40" s="45">
        <f t="shared" si="3"/>
        <v>7.752846759317299E-3</v>
      </c>
      <c r="O40" s="48">
        <f>AB27</f>
        <v>0.88364458888476505</v>
      </c>
      <c r="P40" s="44"/>
      <c r="Q40" s="40">
        <v>34</v>
      </c>
      <c r="R40" s="40" t="s">
        <v>2225</v>
      </c>
      <c r="S40" s="40"/>
      <c r="T40" s="40"/>
      <c r="U40" s="40"/>
      <c r="V40" s="40"/>
      <c r="X40">
        <v>34</v>
      </c>
      <c r="Y40" s="39" t="s">
        <v>1400</v>
      </c>
      <c r="Z40" s="40" t="s">
        <v>1401</v>
      </c>
      <c r="AA40" s="41">
        <v>0</v>
      </c>
    </row>
    <row r="41" spans="1:28" x14ac:dyDescent="0.35">
      <c r="B41" s="40">
        <v>43</v>
      </c>
      <c r="C41" s="40" t="s">
        <v>349</v>
      </c>
      <c r="D41">
        <v>58</v>
      </c>
      <c r="E41" t="str">
        <f t="shared" si="1"/>
        <v>text</v>
      </c>
      <c r="F41">
        <v>37</v>
      </c>
      <c r="G41" t="s">
        <v>442</v>
      </c>
      <c r="H41" s="34">
        <v>3146.2779999999998</v>
      </c>
      <c r="I41" s="34">
        <v>0</v>
      </c>
      <c r="K41">
        <v>35</v>
      </c>
      <c r="L41" t="s">
        <v>340</v>
      </c>
      <c r="M41" s="34">
        <f t="shared" si="4"/>
        <v>0</v>
      </c>
      <c r="N41" s="45">
        <f t="shared" si="3"/>
        <v>0</v>
      </c>
      <c r="O41" s="48"/>
      <c r="P41" s="44"/>
      <c r="Q41" s="46">
        <v>35</v>
      </c>
      <c r="R41" s="46" t="s">
        <v>340</v>
      </c>
      <c r="S41" s="40"/>
      <c r="T41" s="40"/>
      <c r="U41" s="40"/>
      <c r="V41" s="40"/>
      <c r="X41">
        <v>35</v>
      </c>
      <c r="Y41" s="39" t="s">
        <v>596</v>
      </c>
      <c r="Z41" s="40" t="s">
        <v>1402</v>
      </c>
      <c r="AA41" s="41">
        <v>0.12289278174939201</v>
      </c>
    </row>
    <row r="42" spans="1:28" x14ac:dyDescent="0.35">
      <c r="B42" s="40">
        <v>43</v>
      </c>
      <c r="C42" s="40" t="s">
        <v>349</v>
      </c>
      <c r="D42">
        <v>58</v>
      </c>
      <c r="E42" t="str">
        <f t="shared" si="1"/>
        <v>text</v>
      </c>
      <c r="F42">
        <v>38</v>
      </c>
      <c r="G42" t="s">
        <v>443</v>
      </c>
      <c r="H42" s="34">
        <v>4726.5429999999997</v>
      </c>
      <c r="I42" s="34">
        <v>0</v>
      </c>
      <c r="K42">
        <v>36</v>
      </c>
      <c r="L42" t="s">
        <v>760</v>
      </c>
      <c r="M42" s="34">
        <f t="shared" si="4"/>
        <v>0</v>
      </c>
      <c r="N42" s="45">
        <f t="shared" si="3"/>
        <v>0</v>
      </c>
      <c r="O42" s="48"/>
      <c r="P42" s="44"/>
      <c r="Q42" s="40">
        <v>36</v>
      </c>
      <c r="R42" s="40" t="s">
        <v>760</v>
      </c>
      <c r="S42" s="40"/>
      <c r="T42" s="40"/>
      <c r="U42" s="40"/>
      <c r="V42" s="40"/>
      <c r="X42">
        <v>36</v>
      </c>
      <c r="Y42" s="38" t="s">
        <v>1403</v>
      </c>
      <c r="Z42" t="s">
        <v>1404</v>
      </c>
      <c r="AA42" s="37">
        <v>2.0958525770372942</v>
      </c>
      <c r="AB42" s="37">
        <f>AA42</f>
        <v>2.0958525770372942</v>
      </c>
    </row>
    <row r="43" spans="1:28" x14ac:dyDescent="0.35">
      <c r="B43" s="40">
        <v>43</v>
      </c>
      <c r="C43" s="40" t="s">
        <v>349</v>
      </c>
      <c r="D43">
        <v>58</v>
      </c>
      <c r="E43" t="str">
        <f t="shared" si="1"/>
        <v>text</v>
      </c>
      <c r="F43">
        <v>39</v>
      </c>
      <c r="G43" t="s">
        <v>444</v>
      </c>
      <c r="H43" s="34">
        <v>127.977</v>
      </c>
      <c r="I43" s="34">
        <v>0</v>
      </c>
      <c r="K43">
        <v>37</v>
      </c>
      <c r="L43" t="s">
        <v>761</v>
      </c>
      <c r="M43" s="34">
        <f t="shared" si="4"/>
        <v>0</v>
      </c>
      <c r="N43" s="45">
        <f t="shared" si="3"/>
        <v>0</v>
      </c>
      <c r="O43" s="48"/>
      <c r="P43" s="44"/>
      <c r="Q43" s="40">
        <v>37</v>
      </c>
      <c r="R43" s="40" t="s">
        <v>761</v>
      </c>
      <c r="S43" s="40"/>
      <c r="T43" s="40"/>
      <c r="U43" s="40"/>
      <c r="V43" s="40"/>
      <c r="X43">
        <v>37</v>
      </c>
      <c r="Y43" s="39" t="s">
        <v>1405</v>
      </c>
      <c r="Z43" s="40" t="s">
        <v>1406</v>
      </c>
      <c r="AA43" s="41">
        <v>1.1068413869876528E-2</v>
      </c>
    </row>
    <row r="44" spans="1:28" x14ac:dyDescent="0.35">
      <c r="B44" s="40">
        <v>43</v>
      </c>
      <c r="C44" s="40" t="s">
        <v>349</v>
      </c>
      <c r="D44">
        <v>58</v>
      </c>
      <c r="E44" t="str">
        <f t="shared" si="1"/>
        <v>text</v>
      </c>
      <c r="F44">
        <v>40</v>
      </c>
      <c r="G44" t="s">
        <v>445</v>
      </c>
      <c r="H44" s="34">
        <v>409.38209999999998</v>
      </c>
      <c r="I44" s="34">
        <v>0</v>
      </c>
      <c r="K44">
        <v>38</v>
      </c>
      <c r="L44" t="s">
        <v>2226</v>
      </c>
      <c r="M44" s="34">
        <f t="shared" si="4"/>
        <v>0</v>
      </c>
      <c r="N44" s="45">
        <f t="shared" si="3"/>
        <v>0</v>
      </c>
      <c r="O44" s="48"/>
      <c r="P44" s="44"/>
      <c r="Q44" s="40">
        <v>38</v>
      </c>
      <c r="R44" s="40" t="s">
        <v>2226</v>
      </c>
      <c r="S44" s="40"/>
      <c r="T44" s="40"/>
      <c r="U44" s="40"/>
      <c r="V44" s="40"/>
      <c r="X44">
        <v>38</v>
      </c>
      <c r="Y44" s="39" t="s">
        <v>1407</v>
      </c>
      <c r="Z44" s="40" t="s">
        <v>1408</v>
      </c>
      <c r="AA44" s="41">
        <v>1.8507338098824398E-2</v>
      </c>
    </row>
    <row r="45" spans="1:28" x14ac:dyDescent="0.35">
      <c r="B45" s="40">
        <v>43</v>
      </c>
      <c r="C45" s="40" t="s">
        <v>349</v>
      </c>
      <c r="D45">
        <v>58</v>
      </c>
      <c r="E45" t="str">
        <f t="shared" si="1"/>
        <v>text</v>
      </c>
      <c r="F45">
        <v>41</v>
      </c>
      <c r="G45" t="s">
        <v>446</v>
      </c>
      <c r="H45" s="34">
        <v>128.9768</v>
      </c>
      <c r="I45" s="34">
        <v>0</v>
      </c>
      <c r="K45">
        <v>39</v>
      </c>
      <c r="L45" t="s">
        <v>762</v>
      </c>
      <c r="M45" s="34">
        <f t="shared" si="4"/>
        <v>0</v>
      </c>
      <c r="N45" s="45">
        <f t="shared" si="3"/>
        <v>0</v>
      </c>
      <c r="O45" s="48"/>
      <c r="P45" s="44"/>
      <c r="Q45" s="40">
        <v>39</v>
      </c>
      <c r="R45" s="40" t="s">
        <v>762</v>
      </c>
      <c r="S45" s="40"/>
      <c r="T45" s="40"/>
      <c r="U45" s="40"/>
      <c r="V45" s="40"/>
      <c r="X45">
        <v>39</v>
      </c>
      <c r="Y45" s="39" t="s">
        <v>1409</v>
      </c>
      <c r="Z45" s="40" t="s">
        <v>1410</v>
      </c>
      <c r="AA45" s="41">
        <v>0</v>
      </c>
    </row>
    <row r="46" spans="1:28" x14ac:dyDescent="0.35">
      <c r="B46" s="40">
        <v>43</v>
      </c>
      <c r="C46" s="40" t="s">
        <v>349</v>
      </c>
      <c r="D46">
        <v>58</v>
      </c>
      <c r="E46" t="str">
        <f t="shared" si="1"/>
        <v>text</v>
      </c>
      <c r="F46">
        <v>42</v>
      </c>
      <c r="G46" t="s">
        <v>447</v>
      </c>
      <c r="H46" s="34">
        <v>294.12220000000002</v>
      </c>
      <c r="I46" s="34">
        <v>0</v>
      </c>
      <c r="K46">
        <v>40</v>
      </c>
      <c r="L46" t="s">
        <v>341</v>
      </c>
      <c r="M46" s="34">
        <f t="shared" si="4"/>
        <v>1381.4614799999999</v>
      </c>
      <c r="N46" s="45">
        <f t="shared" si="3"/>
        <v>4.4369242917631258E-4</v>
      </c>
      <c r="O46" s="48"/>
      <c r="P46" s="44"/>
      <c r="X46">
        <v>40</v>
      </c>
      <c r="Y46" s="39" t="s">
        <v>1411</v>
      </c>
      <c r="Z46" s="40" t="s">
        <v>1412</v>
      </c>
      <c r="AA46" s="41">
        <v>2.038124426960342</v>
      </c>
    </row>
    <row r="47" spans="1:28" x14ac:dyDescent="0.35">
      <c r="B47" s="40">
        <v>43</v>
      </c>
      <c r="C47" s="40" t="s">
        <v>349</v>
      </c>
      <c r="D47">
        <v>58</v>
      </c>
      <c r="E47" t="str">
        <f t="shared" si="1"/>
        <v>text</v>
      </c>
      <c r="F47">
        <v>43</v>
      </c>
      <c r="G47" t="s">
        <v>448</v>
      </c>
      <c r="H47" s="34">
        <v>82.927109999999999</v>
      </c>
      <c r="I47" s="34">
        <v>0</v>
      </c>
      <c r="K47">
        <v>41</v>
      </c>
      <c r="L47" t="s">
        <v>763</v>
      </c>
      <c r="M47" s="34">
        <f t="shared" si="4"/>
        <v>706.86850000000004</v>
      </c>
      <c r="N47" s="45">
        <f t="shared" si="3"/>
        <v>2.2702927762648607E-4</v>
      </c>
      <c r="O47" s="48"/>
      <c r="P47" s="44"/>
      <c r="X47">
        <v>41</v>
      </c>
      <c r="Y47" s="39" t="s">
        <v>1413</v>
      </c>
      <c r="Z47" s="40" t="s">
        <v>1414</v>
      </c>
      <c r="AA47" s="41">
        <v>2.8152398108250837E-2</v>
      </c>
    </row>
    <row r="48" spans="1:28" x14ac:dyDescent="0.35">
      <c r="A48" t="s">
        <v>779</v>
      </c>
      <c r="B48" s="40">
        <v>53</v>
      </c>
      <c r="C48" s="40" t="s">
        <v>770</v>
      </c>
      <c r="D48">
        <v>69</v>
      </c>
      <c r="E48" t="str">
        <f t="shared" si="1"/>
        <v>equi</v>
      </c>
      <c r="F48">
        <v>44</v>
      </c>
      <c r="G48" t="s">
        <v>449</v>
      </c>
      <c r="H48" s="34">
        <v>519.47249999999997</v>
      </c>
      <c r="I48" s="34">
        <v>0</v>
      </c>
      <c r="K48">
        <v>42</v>
      </c>
      <c r="L48" t="s">
        <v>765</v>
      </c>
      <c r="M48" s="34">
        <f t="shared" si="4"/>
        <v>3283.8062</v>
      </c>
      <c r="N48" s="45">
        <f t="shared" si="3"/>
        <v>1.05468011299326E-3</v>
      </c>
      <c r="O48" s="48"/>
      <c r="P48" s="44"/>
      <c r="X48">
        <v>42</v>
      </c>
      <c r="Y48" s="38" t="s">
        <v>1415</v>
      </c>
      <c r="Z48" t="s">
        <v>1416</v>
      </c>
      <c r="AA48" s="37">
        <v>5.8346681855307789</v>
      </c>
      <c r="AB48" s="37">
        <f>AA48</f>
        <v>5.8346681855307789</v>
      </c>
    </row>
    <row r="49" spans="2:28" x14ac:dyDescent="0.35">
      <c r="B49" s="40">
        <v>53</v>
      </c>
      <c r="C49" s="40" t="s">
        <v>770</v>
      </c>
      <c r="D49">
        <v>69</v>
      </c>
      <c r="E49" t="str">
        <f t="shared" si="1"/>
        <v>equi</v>
      </c>
      <c r="F49">
        <v>45</v>
      </c>
      <c r="G49" t="s">
        <v>450</v>
      </c>
      <c r="H49" s="34">
        <v>792.59760000000006</v>
      </c>
      <c r="I49" s="34">
        <v>0</v>
      </c>
      <c r="K49">
        <v>43</v>
      </c>
      <c r="L49" t="s">
        <v>764</v>
      </c>
      <c r="M49" s="34">
        <f t="shared" si="4"/>
        <v>8104.4830000000002</v>
      </c>
      <c r="N49" s="45">
        <f t="shared" si="3"/>
        <v>2.6029663523358822E-3</v>
      </c>
      <c r="O49" s="48"/>
      <c r="P49" s="44"/>
      <c r="X49">
        <v>43</v>
      </c>
      <c r="Y49" s="39" t="s">
        <v>1417</v>
      </c>
      <c r="Z49" s="40" t="s">
        <v>1418</v>
      </c>
      <c r="AA49" s="41">
        <v>9.9233156345273618E-2</v>
      </c>
    </row>
    <row r="50" spans="2:28" x14ac:dyDescent="0.35">
      <c r="B50" s="40">
        <v>53</v>
      </c>
      <c r="C50" s="40" t="s">
        <v>770</v>
      </c>
      <c r="D50">
        <v>69</v>
      </c>
      <c r="E50" t="str">
        <f t="shared" si="1"/>
        <v>equi</v>
      </c>
      <c r="F50">
        <v>46</v>
      </c>
      <c r="G50" t="s">
        <v>451</v>
      </c>
      <c r="H50" s="34">
        <v>1764.461</v>
      </c>
      <c r="I50" s="34">
        <v>0</v>
      </c>
      <c r="K50">
        <v>44</v>
      </c>
      <c r="L50" t="s">
        <v>342</v>
      </c>
      <c r="M50" s="34">
        <f t="shared" si="4"/>
        <v>55677.545748299999</v>
      </c>
      <c r="N50" s="45">
        <f t="shared" si="3"/>
        <v>1.7882297755879881E-2</v>
      </c>
      <c r="O50" s="48">
        <f>AB42</f>
        <v>2.0958525770372942</v>
      </c>
      <c r="P50" s="44"/>
      <c r="X50">
        <v>44</v>
      </c>
      <c r="Y50" s="39" t="s">
        <v>1419</v>
      </c>
      <c r="Z50" s="40" t="s">
        <v>1420</v>
      </c>
      <c r="AA50" s="41">
        <v>4.0818616039374884</v>
      </c>
    </row>
    <row r="51" spans="2:28" x14ac:dyDescent="0.35">
      <c r="B51" s="40">
        <v>53</v>
      </c>
      <c r="C51" s="40" t="s">
        <v>770</v>
      </c>
      <c r="D51">
        <v>69</v>
      </c>
      <c r="E51" t="str">
        <f t="shared" si="1"/>
        <v>equi</v>
      </c>
      <c r="F51">
        <v>47</v>
      </c>
      <c r="G51" t="s">
        <v>452</v>
      </c>
      <c r="H51" s="34">
        <v>597.08690000000001</v>
      </c>
      <c r="I51" s="34">
        <v>0</v>
      </c>
      <c r="K51">
        <v>45</v>
      </c>
      <c r="L51" t="s">
        <v>2227</v>
      </c>
      <c r="M51" s="34">
        <f t="shared" si="4"/>
        <v>46896.800000000003</v>
      </c>
      <c r="N51" s="45">
        <f t="shared" si="3"/>
        <v>1.5062131962301039E-2</v>
      </c>
      <c r="O51" s="48"/>
      <c r="P51" s="44"/>
      <c r="X51">
        <v>45</v>
      </c>
      <c r="Y51" s="39" t="s">
        <v>1421</v>
      </c>
      <c r="Z51" s="40" t="s">
        <v>1422</v>
      </c>
      <c r="AA51" s="41">
        <v>0</v>
      </c>
    </row>
    <row r="52" spans="2:28" x14ac:dyDescent="0.35">
      <c r="B52" s="40">
        <v>53</v>
      </c>
      <c r="C52" s="40" t="s">
        <v>770</v>
      </c>
      <c r="D52">
        <v>68</v>
      </c>
      <c r="E52" t="str">
        <f t="shared" si="1"/>
        <v>mach</v>
      </c>
      <c r="F52">
        <v>48</v>
      </c>
      <c r="G52" t="s">
        <v>453</v>
      </c>
      <c r="H52" s="34">
        <v>122.4246</v>
      </c>
      <c r="I52" s="34">
        <v>0</v>
      </c>
      <c r="K52">
        <v>46</v>
      </c>
      <c r="L52" t="s">
        <v>2228</v>
      </c>
      <c r="M52" s="34">
        <f t="shared" si="4"/>
        <v>12084.3542</v>
      </c>
      <c r="N52" s="45">
        <f t="shared" si="3"/>
        <v>3.8812059168128058E-3</v>
      </c>
      <c r="O52" s="48"/>
      <c r="P52" s="44"/>
      <c r="X52">
        <v>46</v>
      </c>
      <c r="Y52" s="39" t="s">
        <v>1423</v>
      </c>
      <c r="Z52" s="40" t="s">
        <v>1424</v>
      </c>
      <c r="AA52" s="41">
        <v>0</v>
      </c>
    </row>
    <row r="53" spans="2:28" x14ac:dyDescent="0.35">
      <c r="B53" s="40">
        <v>60</v>
      </c>
      <c r="C53" s="40" t="s">
        <v>352</v>
      </c>
      <c r="D53">
        <v>71</v>
      </c>
      <c r="E53" t="str">
        <f t="shared" si="1"/>
        <v>oman</v>
      </c>
      <c r="F53">
        <v>49</v>
      </c>
      <c r="G53" t="s">
        <v>454</v>
      </c>
      <c r="H53" s="34">
        <v>22.228549999999998</v>
      </c>
      <c r="I53" s="34">
        <v>0</v>
      </c>
      <c r="K53">
        <v>47</v>
      </c>
      <c r="L53" t="s">
        <v>2229</v>
      </c>
      <c r="M53" s="34">
        <f t="shared" si="4"/>
        <v>45672.46</v>
      </c>
      <c r="N53" s="45">
        <f t="shared" si="3"/>
        <v>1.4668903199427588E-2</v>
      </c>
      <c r="O53" s="48"/>
      <c r="P53" s="44"/>
      <c r="X53">
        <v>47</v>
      </c>
      <c r="Y53" s="38" t="s">
        <v>1082</v>
      </c>
      <c r="Z53" t="s">
        <v>1425</v>
      </c>
      <c r="AA53" s="37">
        <v>22.76973943061601</v>
      </c>
      <c r="AB53" s="37">
        <f>AA53</f>
        <v>22.76973943061601</v>
      </c>
    </row>
    <row r="54" spans="2:28" x14ac:dyDescent="0.35">
      <c r="B54" s="40">
        <v>56</v>
      </c>
      <c r="C54" s="40" t="s">
        <v>351</v>
      </c>
      <c r="D54">
        <v>66</v>
      </c>
      <c r="E54" t="str">
        <f t="shared" si="1"/>
        <v>nmet</v>
      </c>
      <c r="F54">
        <v>50</v>
      </c>
      <c r="G54" t="s">
        <v>455</v>
      </c>
      <c r="H54" s="34">
        <v>4183.1220000000003</v>
      </c>
      <c r="I54" s="34">
        <v>0</v>
      </c>
      <c r="K54">
        <v>48</v>
      </c>
      <c r="L54" t="s">
        <v>2230</v>
      </c>
      <c r="M54" s="34">
        <f t="shared" si="4"/>
        <v>1348.5940000000001</v>
      </c>
      <c r="N54" s="45">
        <f t="shared" si="3"/>
        <v>4.3313617968747137E-4</v>
      </c>
      <c r="O54" s="48"/>
      <c r="P54" s="44"/>
      <c r="X54">
        <v>48</v>
      </c>
      <c r="Y54" s="39" t="s">
        <v>1426</v>
      </c>
      <c r="Z54" s="40" t="s">
        <v>1427</v>
      </c>
      <c r="AA54" s="41">
        <v>0.83117502160170897</v>
      </c>
    </row>
    <row r="55" spans="2:28" x14ac:dyDescent="0.35">
      <c r="B55" s="40">
        <v>56</v>
      </c>
      <c r="C55" s="40" t="s">
        <v>351</v>
      </c>
      <c r="D55">
        <v>67</v>
      </c>
      <c r="E55" t="str">
        <f t="shared" si="1"/>
        <v>metl</v>
      </c>
      <c r="F55">
        <v>51</v>
      </c>
      <c r="G55" t="s">
        <v>456</v>
      </c>
      <c r="H55" s="34">
        <v>677.72770000000003</v>
      </c>
      <c r="I55" s="34">
        <v>0</v>
      </c>
      <c r="K55">
        <v>49</v>
      </c>
      <c r="L55" t="s">
        <v>386</v>
      </c>
      <c r="M55" s="34">
        <f t="shared" si="4"/>
        <v>3318.2269999999999</v>
      </c>
      <c r="N55" s="45">
        <f t="shared" si="3"/>
        <v>1.065735251762813E-3</v>
      </c>
      <c r="O55" s="48"/>
      <c r="P55" s="44"/>
      <c r="X55">
        <v>49</v>
      </c>
      <c r="Y55" s="39" t="s">
        <v>1428</v>
      </c>
      <c r="Z55" s="40" t="s">
        <v>1429</v>
      </c>
      <c r="AA55" s="41">
        <v>0.30776887025299399</v>
      </c>
    </row>
    <row r="56" spans="2:28" x14ac:dyDescent="0.35">
      <c r="B56" s="40">
        <v>52</v>
      </c>
      <c r="C56" s="40" t="s">
        <v>370</v>
      </c>
      <c r="D56">
        <v>67</v>
      </c>
      <c r="E56" t="str">
        <f t="shared" si="1"/>
        <v>metl</v>
      </c>
      <c r="F56">
        <v>52</v>
      </c>
      <c r="G56" t="s">
        <v>457</v>
      </c>
      <c r="H56" s="34">
        <v>3498.0659999999998</v>
      </c>
      <c r="I56" s="34">
        <v>0</v>
      </c>
      <c r="K56">
        <v>50</v>
      </c>
      <c r="L56" t="s">
        <v>346</v>
      </c>
      <c r="M56" s="34">
        <f t="shared" si="4"/>
        <v>31453.809999999998</v>
      </c>
      <c r="N56" s="45">
        <f t="shared" si="3"/>
        <v>1.0102212452387882E-2</v>
      </c>
      <c r="O56" s="48"/>
      <c r="P56" s="44"/>
      <c r="X56">
        <v>50</v>
      </c>
      <c r="Y56" s="39" t="s">
        <v>1430</v>
      </c>
      <c r="Z56" s="40" t="s">
        <v>1431</v>
      </c>
      <c r="AA56" s="41">
        <v>3.2570837706682245</v>
      </c>
    </row>
    <row r="57" spans="2:28" x14ac:dyDescent="0.35">
      <c r="B57" s="40">
        <v>53</v>
      </c>
      <c r="C57" s="40" t="s">
        <v>770</v>
      </c>
      <c r="D57">
        <v>67</v>
      </c>
      <c r="E57" t="str">
        <f t="shared" si="1"/>
        <v>metl</v>
      </c>
      <c r="F57">
        <v>53</v>
      </c>
      <c r="G57" t="s">
        <v>458</v>
      </c>
      <c r="H57" s="34">
        <v>822.48490000000004</v>
      </c>
      <c r="I57" s="34">
        <v>0</v>
      </c>
      <c r="K57">
        <v>51</v>
      </c>
      <c r="L57" t="s">
        <v>1320</v>
      </c>
      <c r="M57" s="34">
        <f t="shared" si="4"/>
        <v>319.70699999999999</v>
      </c>
      <c r="N57" s="45">
        <f t="shared" si="3"/>
        <v>1.0268225173724813E-4</v>
      </c>
      <c r="O57" s="48"/>
      <c r="P57" s="44"/>
      <c r="X57">
        <v>51</v>
      </c>
      <c r="Y57" s="39" t="s">
        <v>1432</v>
      </c>
      <c r="Z57" s="40" t="s">
        <v>1433</v>
      </c>
      <c r="AA57" s="41">
        <v>0.57188642967365799</v>
      </c>
    </row>
    <row r="58" spans="2:28" x14ac:dyDescent="0.35">
      <c r="B58" s="40">
        <v>61</v>
      </c>
      <c r="C58" s="40" t="s">
        <v>376</v>
      </c>
      <c r="D58">
        <v>76</v>
      </c>
      <c r="E58" t="str">
        <f t="shared" si="1"/>
        <v>tran</v>
      </c>
      <c r="F58">
        <v>54</v>
      </c>
      <c r="G58" t="s">
        <v>459</v>
      </c>
      <c r="H58" s="34">
        <v>4532.116</v>
      </c>
      <c r="I58" s="34">
        <v>0</v>
      </c>
      <c r="K58">
        <v>52</v>
      </c>
      <c r="L58" t="s">
        <v>1321</v>
      </c>
      <c r="M58" s="34">
        <f t="shared" si="4"/>
        <v>1475.5011</v>
      </c>
      <c r="N58" s="45">
        <f t="shared" si="3"/>
        <v>4.7389570884837215E-4</v>
      </c>
      <c r="O58" s="48"/>
      <c r="P58" s="44"/>
      <c r="X58">
        <v>52</v>
      </c>
      <c r="Y58" s="39" t="s">
        <v>1434</v>
      </c>
      <c r="Z58" s="40" t="s">
        <v>1435</v>
      </c>
      <c r="AA58" s="41">
        <v>4.9946071937922127</v>
      </c>
    </row>
    <row r="59" spans="2:28" x14ac:dyDescent="0.35">
      <c r="B59" s="40">
        <v>61</v>
      </c>
      <c r="C59" s="40" t="s">
        <v>376</v>
      </c>
      <c r="D59">
        <v>76</v>
      </c>
      <c r="E59" t="str">
        <f t="shared" si="1"/>
        <v>tran</v>
      </c>
      <c r="F59">
        <v>55</v>
      </c>
      <c r="G59" t="s">
        <v>460</v>
      </c>
      <c r="H59" s="34">
        <v>7369.4610000000002</v>
      </c>
      <c r="I59" s="34">
        <v>0</v>
      </c>
      <c r="K59">
        <v>53</v>
      </c>
      <c r="L59" t="s">
        <v>336</v>
      </c>
      <c r="M59" s="34">
        <f t="shared" si="4"/>
        <v>65330.753269999994</v>
      </c>
      <c r="N59" s="45">
        <f t="shared" si="3"/>
        <v>2.0982677431067152E-2</v>
      </c>
      <c r="O59" s="48"/>
      <c r="P59" s="44"/>
      <c r="X59">
        <v>53</v>
      </c>
      <c r="Y59" s="39" t="s">
        <v>1436</v>
      </c>
      <c r="Z59" s="40" t="s">
        <v>1437</v>
      </c>
      <c r="AA59" s="41"/>
    </row>
    <row r="60" spans="2:28" x14ac:dyDescent="0.35">
      <c r="B60" s="40">
        <v>61</v>
      </c>
      <c r="C60" s="40" t="s">
        <v>376</v>
      </c>
      <c r="D60">
        <v>76</v>
      </c>
      <c r="E60" t="str">
        <f t="shared" si="1"/>
        <v>tran</v>
      </c>
      <c r="F60">
        <v>56</v>
      </c>
      <c r="G60" t="s">
        <v>461</v>
      </c>
      <c r="H60" s="34">
        <v>169.36080000000001</v>
      </c>
      <c r="I60" s="34">
        <v>0</v>
      </c>
      <c r="K60">
        <v>54</v>
      </c>
      <c r="L60" t="s">
        <v>766</v>
      </c>
      <c r="M60" s="34">
        <f t="shared" si="4"/>
        <v>0</v>
      </c>
      <c r="N60" s="45">
        <f t="shared" si="3"/>
        <v>0</v>
      </c>
      <c r="O60" s="48"/>
      <c r="P60" s="44"/>
      <c r="X60">
        <v>54</v>
      </c>
      <c r="Z60" s="51" t="s">
        <v>2235</v>
      </c>
      <c r="AA60" s="50">
        <v>4.7236750853125749</v>
      </c>
    </row>
    <row r="61" spans="2:28" x14ac:dyDescent="0.35">
      <c r="B61" s="40">
        <v>64</v>
      </c>
      <c r="C61" s="40" t="s">
        <v>378</v>
      </c>
      <c r="D61">
        <v>80</v>
      </c>
      <c r="E61" t="str">
        <f t="shared" si="1"/>
        <v>fsrv</v>
      </c>
      <c r="F61">
        <v>57</v>
      </c>
      <c r="G61" t="s">
        <v>462</v>
      </c>
      <c r="H61" s="34">
        <v>3940.701</v>
      </c>
      <c r="I61" s="34">
        <v>0</v>
      </c>
      <c r="K61">
        <v>55</v>
      </c>
      <c r="L61" t="s">
        <v>347</v>
      </c>
      <c r="M61" s="34">
        <f t="shared" si="4"/>
        <v>106116.19240000001</v>
      </c>
      <c r="N61" s="45">
        <f t="shared" si="3"/>
        <v>3.4081986260591911E-2</v>
      </c>
      <c r="O61" s="48">
        <f>AA75+AA84</f>
        <v>4.7792984033329518</v>
      </c>
      <c r="P61" s="44"/>
      <c r="X61">
        <v>55</v>
      </c>
      <c r="Z61" s="51" t="s">
        <v>2236</v>
      </c>
      <c r="AA61" s="50">
        <v>8.0835430593146285</v>
      </c>
    </row>
    <row r="62" spans="2:28" x14ac:dyDescent="0.35">
      <c r="B62" s="40">
        <v>56</v>
      </c>
      <c r="C62" s="40" t="s">
        <v>351</v>
      </c>
      <c r="D62">
        <v>71</v>
      </c>
      <c r="E62" t="str">
        <f t="shared" si="1"/>
        <v>oman</v>
      </c>
      <c r="F62">
        <v>58</v>
      </c>
      <c r="G62" t="s">
        <v>463</v>
      </c>
      <c r="H62" s="34">
        <v>2216.0929999999998</v>
      </c>
      <c r="I62" s="34">
        <v>0</v>
      </c>
      <c r="K62">
        <v>56</v>
      </c>
      <c r="L62" t="s">
        <v>387</v>
      </c>
      <c r="M62" s="34">
        <f t="shared" si="4"/>
        <v>3458.366</v>
      </c>
      <c r="N62" s="45">
        <f t="shared" si="3"/>
        <v>1.1107445511407002E-3</v>
      </c>
      <c r="O62" s="48"/>
      <c r="P62" s="44"/>
      <c r="X62">
        <v>56</v>
      </c>
      <c r="Y62" s="38" t="s">
        <v>1438</v>
      </c>
      <c r="Z62" t="s">
        <v>1439</v>
      </c>
      <c r="AA62" s="37">
        <v>0.92766229277907419</v>
      </c>
      <c r="AB62" s="37">
        <f>AA62</f>
        <v>0.92766229277907419</v>
      </c>
    </row>
    <row r="63" spans="2:28" x14ac:dyDescent="0.35">
      <c r="B63" s="40">
        <v>56</v>
      </c>
      <c r="C63" s="40" t="s">
        <v>351</v>
      </c>
      <c r="D63">
        <v>71</v>
      </c>
      <c r="E63" t="str">
        <f t="shared" si="1"/>
        <v>oman</v>
      </c>
      <c r="F63">
        <v>59</v>
      </c>
      <c r="G63" t="s">
        <v>464</v>
      </c>
      <c r="H63" s="34">
        <v>273.13440000000003</v>
      </c>
      <c r="I63" s="34">
        <v>0</v>
      </c>
      <c r="K63">
        <v>57</v>
      </c>
      <c r="L63" t="s">
        <v>2231</v>
      </c>
      <c r="M63" s="34">
        <f t="shared" si="4"/>
        <v>0</v>
      </c>
      <c r="N63" s="45">
        <f t="shared" si="3"/>
        <v>0</v>
      </c>
      <c r="O63" s="48"/>
      <c r="P63" s="44"/>
      <c r="X63">
        <v>57</v>
      </c>
      <c r="Y63" s="39" t="s">
        <v>1440</v>
      </c>
      <c r="Z63" s="40" t="s">
        <v>1441</v>
      </c>
      <c r="AA63" s="41">
        <v>0.82870890549169296</v>
      </c>
    </row>
    <row r="64" spans="2:28" x14ac:dyDescent="0.35">
      <c r="B64" s="40">
        <v>66</v>
      </c>
      <c r="C64" s="40" t="s">
        <v>380</v>
      </c>
      <c r="D64">
        <v>82</v>
      </c>
      <c r="E64" t="str">
        <f t="shared" si="1"/>
        <v>bsrv</v>
      </c>
      <c r="F64">
        <v>60</v>
      </c>
      <c r="G64" t="s">
        <v>465</v>
      </c>
      <c r="H64" s="34">
        <v>2733.3159999999998</v>
      </c>
      <c r="I64" s="34">
        <v>0</v>
      </c>
      <c r="K64">
        <v>58</v>
      </c>
      <c r="L64" t="s">
        <v>349</v>
      </c>
      <c r="M64" s="34">
        <f t="shared" si="4"/>
        <v>17257.752010000004</v>
      </c>
      <c r="N64" s="45">
        <f t="shared" si="3"/>
        <v>5.5427777193174385E-3</v>
      </c>
      <c r="O64" s="48">
        <f>AA109</f>
        <v>0.18781163510571272</v>
      </c>
      <c r="P64" s="44"/>
      <c r="X64">
        <v>58</v>
      </c>
      <c r="Y64" s="39" t="s">
        <v>1442</v>
      </c>
      <c r="Z64" s="40" t="s">
        <v>1443</v>
      </c>
      <c r="AA64" s="41">
        <v>4.3692856642029952E-2</v>
      </c>
    </row>
    <row r="65" spans="2:28" x14ac:dyDescent="0.35">
      <c r="B65" s="40">
        <v>62</v>
      </c>
      <c r="C65" s="40" t="s">
        <v>377</v>
      </c>
      <c r="D65">
        <v>77</v>
      </c>
      <c r="E65" t="str">
        <f t="shared" si="1"/>
        <v>hotl</v>
      </c>
      <c r="F65">
        <v>61</v>
      </c>
      <c r="G65" t="s">
        <v>466</v>
      </c>
      <c r="H65" s="34">
        <v>2797.7869999999998</v>
      </c>
      <c r="I65" s="34">
        <v>0</v>
      </c>
      <c r="K65">
        <v>59</v>
      </c>
      <c r="L65" t="s">
        <v>348</v>
      </c>
      <c r="M65" s="34">
        <f t="shared" si="4"/>
        <v>96071.861100000009</v>
      </c>
      <c r="N65" s="45">
        <f t="shared" si="3"/>
        <v>3.0855986970370172E-2</v>
      </c>
      <c r="O65" s="48">
        <f>AA111+AA115+AA118</f>
        <v>3.2951099228750929</v>
      </c>
      <c r="P65" s="44"/>
      <c r="X65">
        <v>59</v>
      </c>
      <c r="Y65" s="39" t="s">
        <v>676</v>
      </c>
      <c r="Z65" s="40" t="s">
        <v>1444</v>
      </c>
      <c r="AA65" s="41">
        <v>1.1402444740742645E-2</v>
      </c>
    </row>
    <row r="66" spans="2:28" x14ac:dyDescent="0.35">
      <c r="B66" s="40">
        <v>69</v>
      </c>
      <c r="C66" s="40" t="s">
        <v>374</v>
      </c>
      <c r="D66">
        <v>71</v>
      </c>
      <c r="E66" t="str">
        <f t="shared" si="1"/>
        <v>oman</v>
      </c>
      <c r="F66">
        <v>62</v>
      </c>
      <c r="G66" t="s">
        <v>467</v>
      </c>
      <c r="H66" s="34">
        <v>984.70389999999998</v>
      </c>
      <c r="I66" s="34">
        <v>0</v>
      </c>
      <c r="K66">
        <v>60</v>
      </c>
      <c r="L66" t="s">
        <v>350</v>
      </c>
      <c r="M66" s="34">
        <f t="shared" si="4"/>
        <v>35547.447</v>
      </c>
      <c r="N66" s="45">
        <f t="shared" si="3"/>
        <v>1.1416990874364609E-2</v>
      </c>
      <c r="O66" s="48">
        <f>AA121</f>
        <v>1.117078781164045</v>
      </c>
      <c r="P66" s="44"/>
      <c r="X66">
        <v>60</v>
      </c>
      <c r="Y66" s="39" t="s">
        <v>1445</v>
      </c>
      <c r="Z66" s="40" t="s">
        <v>1446</v>
      </c>
      <c r="AA66" s="41">
        <v>4.3858085904608483E-2</v>
      </c>
    </row>
    <row r="67" spans="2:28" x14ac:dyDescent="0.35">
      <c r="B67" s="40">
        <v>69</v>
      </c>
      <c r="C67" s="40" t="s">
        <v>374</v>
      </c>
      <c r="D67">
        <v>71</v>
      </c>
      <c r="E67" t="str">
        <f t="shared" si="1"/>
        <v>oman</v>
      </c>
      <c r="F67">
        <v>63</v>
      </c>
      <c r="G67" t="s">
        <v>468</v>
      </c>
      <c r="H67" s="34">
        <v>385.7362</v>
      </c>
      <c r="I67" s="34">
        <v>0</v>
      </c>
      <c r="K67">
        <v>61</v>
      </c>
      <c r="L67" t="s">
        <v>369</v>
      </c>
      <c r="M67" s="34">
        <f t="shared" si="4"/>
        <v>0</v>
      </c>
      <c r="N67" s="45">
        <f t="shared" si="3"/>
        <v>0</v>
      </c>
      <c r="O67" s="48"/>
      <c r="P67" s="44"/>
      <c r="X67">
        <v>61</v>
      </c>
      <c r="Y67" s="39" t="s">
        <v>1447</v>
      </c>
      <c r="Z67" s="40" t="s">
        <v>1448</v>
      </c>
      <c r="AA67" s="41">
        <v>0</v>
      </c>
    </row>
    <row r="68" spans="2:28" x14ac:dyDescent="0.35">
      <c r="B68" s="40">
        <v>69</v>
      </c>
      <c r="C68" s="40" t="s">
        <v>374</v>
      </c>
      <c r="D68">
        <v>69</v>
      </c>
      <c r="E68" t="str">
        <f t="shared" si="1"/>
        <v>equi</v>
      </c>
      <c r="F68">
        <v>64</v>
      </c>
      <c r="G68" t="s">
        <v>469</v>
      </c>
      <c r="H68" s="34">
        <v>17.93075</v>
      </c>
      <c r="I68" s="34">
        <v>0</v>
      </c>
      <c r="K68">
        <v>62</v>
      </c>
      <c r="L68" t="s">
        <v>767</v>
      </c>
      <c r="M68" s="34">
        <f t="shared" si="4"/>
        <v>10885.913700000001</v>
      </c>
      <c r="N68" s="45">
        <f t="shared" si="3"/>
        <v>3.4962954546924473E-3</v>
      </c>
      <c r="O68" s="48"/>
      <c r="P68" s="44"/>
      <c r="X68">
        <v>62</v>
      </c>
      <c r="Y68" s="39" t="s">
        <v>1449</v>
      </c>
      <c r="Z68" s="40" t="s">
        <v>1450</v>
      </c>
      <c r="AA68" s="41">
        <v>0</v>
      </c>
    </row>
    <row r="69" spans="2:28" x14ac:dyDescent="0.35">
      <c r="B69" s="40">
        <v>69</v>
      </c>
      <c r="C69" s="40" t="s">
        <v>374</v>
      </c>
      <c r="D69">
        <v>85</v>
      </c>
      <c r="E69" t="str">
        <f t="shared" si="1"/>
        <v>heal</v>
      </c>
      <c r="F69">
        <v>65</v>
      </c>
      <c r="G69" t="s">
        <v>470</v>
      </c>
      <c r="H69" s="34">
        <v>5438.299</v>
      </c>
      <c r="I69" s="34">
        <v>0</v>
      </c>
      <c r="K69">
        <v>63</v>
      </c>
      <c r="L69" t="s">
        <v>379</v>
      </c>
      <c r="M69" s="34">
        <f t="shared" si="4"/>
        <v>33898.483999999997</v>
      </c>
      <c r="N69" s="45">
        <f t="shared" si="3"/>
        <v>1.0887383346623869E-2</v>
      </c>
      <c r="O69" s="48"/>
      <c r="P69" s="44"/>
      <c r="X69">
        <v>63</v>
      </c>
      <c r="Y69" s="38" t="s">
        <v>1451</v>
      </c>
      <c r="Z69" t="s">
        <v>1452</v>
      </c>
      <c r="AA69" s="37">
        <v>0.95532859509955803</v>
      </c>
      <c r="AB69" s="37">
        <f>AA69</f>
        <v>0.95532859509955803</v>
      </c>
    </row>
    <row r="70" spans="2:28" x14ac:dyDescent="0.35">
      <c r="B70" s="40">
        <v>69</v>
      </c>
      <c r="C70" s="40" t="s">
        <v>374</v>
      </c>
      <c r="D70">
        <v>85</v>
      </c>
      <c r="E70" t="str">
        <f t="shared" si="1"/>
        <v>heal</v>
      </c>
      <c r="F70">
        <v>66</v>
      </c>
      <c r="G70" t="s">
        <v>471</v>
      </c>
      <c r="H70" s="34">
        <v>1472.384</v>
      </c>
      <c r="I70" s="34">
        <v>0</v>
      </c>
      <c r="K70">
        <v>64</v>
      </c>
      <c r="L70" t="s">
        <v>768</v>
      </c>
      <c r="M70" s="34">
        <f t="shared" si="4"/>
        <v>194.23609999999999</v>
      </c>
      <c r="N70" s="45">
        <f t="shared" si="3"/>
        <v>6.2383995710639119E-5</v>
      </c>
      <c r="O70" s="48"/>
      <c r="P70" s="44"/>
      <c r="X70">
        <v>64</v>
      </c>
      <c r="Y70" s="39" t="s">
        <v>1453</v>
      </c>
      <c r="Z70" s="40" t="s">
        <v>1454</v>
      </c>
      <c r="AA70" s="41">
        <v>0.18064055607345311</v>
      </c>
    </row>
    <row r="71" spans="2:28" x14ac:dyDescent="0.35">
      <c r="B71" s="40">
        <v>64</v>
      </c>
      <c r="C71" s="40" t="s">
        <v>378</v>
      </c>
      <c r="D71">
        <v>80</v>
      </c>
      <c r="E71" t="str">
        <f t="shared" ref="E71:E134" si="5">IF(ISNA(VLOOKUP(D71,$K$7:$L$92,2,0)),"",VLOOKUP(D71,$K$7:$L$92,2,0))</f>
        <v>fsrv</v>
      </c>
      <c r="F71">
        <v>67</v>
      </c>
      <c r="G71" t="s">
        <v>472</v>
      </c>
      <c r="H71" s="34">
        <v>17152.77</v>
      </c>
      <c r="I71" s="34">
        <v>0</v>
      </c>
      <c r="K71">
        <v>65</v>
      </c>
      <c r="L71" t="s">
        <v>371</v>
      </c>
      <c r="M71" s="34">
        <f t="shared" ref="M71:M92" si="6">SUMIF($D$7:$D$335,$K71,$H$7:$H$335)</f>
        <v>111856.05919900001</v>
      </c>
      <c r="N71" s="45">
        <f t="shared" si="3"/>
        <v>3.5925494371434621E-2</v>
      </c>
      <c r="O71" s="48"/>
      <c r="P71" s="44"/>
      <c r="X71">
        <v>65</v>
      </c>
      <c r="Y71" s="39" t="s">
        <v>1455</v>
      </c>
      <c r="Z71" s="40" t="s">
        <v>1456</v>
      </c>
      <c r="AA71" s="41">
        <v>0.54732590407056947</v>
      </c>
    </row>
    <row r="72" spans="2:28" x14ac:dyDescent="0.35">
      <c r="B72" s="40">
        <v>70</v>
      </c>
      <c r="C72" s="40" t="s">
        <v>382</v>
      </c>
      <c r="D72">
        <v>86</v>
      </c>
      <c r="E72" t="str">
        <f t="shared" si="5"/>
        <v>osrv</v>
      </c>
      <c r="F72">
        <v>68</v>
      </c>
      <c r="G72" t="s">
        <v>473</v>
      </c>
      <c r="H72" s="34">
        <v>698.27729999999997</v>
      </c>
      <c r="I72" s="34">
        <v>0</v>
      </c>
      <c r="K72">
        <v>66</v>
      </c>
      <c r="L72" t="s">
        <v>769</v>
      </c>
      <c r="M72" s="34">
        <f t="shared" si="6"/>
        <v>4183.1220000000003</v>
      </c>
      <c r="N72" s="45">
        <f t="shared" ref="N72:N92" si="7">M72/($H$5-$J$5)</f>
        <v>1.343518866498453E-3</v>
      </c>
      <c r="O72" s="48"/>
      <c r="P72" s="44"/>
      <c r="X72">
        <v>66</v>
      </c>
      <c r="Y72" s="39" t="s">
        <v>686</v>
      </c>
      <c r="Z72" s="40" t="s">
        <v>1457</v>
      </c>
      <c r="AA72" s="41">
        <v>1.8871178967038313E-2</v>
      </c>
    </row>
    <row r="73" spans="2:28" x14ac:dyDescent="0.35">
      <c r="B73" s="40">
        <v>67</v>
      </c>
      <c r="C73" s="40" t="s">
        <v>381</v>
      </c>
      <c r="D73">
        <v>83</v>
      </c>
      <c r="E73" t="str">
        <f t="shared" si="5"/>
        <v>padm</v>
      </c>
      <c r="F73">
        <v>69</v>
      </c>
      <c r="G73" t="s">
        <v>474</v>
      </c>
      <c r="H73" s="34">
        <v>3994.7310000000002</v>
      </c>
      <c r="I73" s="34">
        <v>0</v>
      </c>
      <c r="K73">
        <v>67</v>
      </c>
      <c r="L73" t="s">
        <v>370</v>
      </c>
      <c r="M73" s="34">
        <f t="shared" si="6"/>
        <v>4998.2786000000006</v>
      </c>
      <c r="N73" s="45">
        <f t="shared" si="7"/>
        <v>1.6053276952275057E-3</v>
      </c>
      <c r="O73" s="48"/>
      <c r="P73" s="44"/>
      <c r="X73">
        <v>67</v>
      </c>
      <c r="Y73" s="39" t="s">
        <v>1458</v>
      </c>
      <c r="Z73" s="40" t="s">
        <v>1459</v>
      </c>
      <c r="AA73" s="41">
        <v>0.20849095598849729</v>
      </c>
    </row>
    <row r="74" spans="2:28" x14ac:dyDescent="0.35">
      <c r="B74" s="40">
        <v>70</v>
      </c>
      <c r="C74" s="40" t="s">
        <v>382</v>
      </c>
      <c r="D74">
        <v>86</v>
      </c>
      <c r="E74" t="str">
        <f t="shared" si="5"/>
        <v>osrv</v>
      </c>
      <c r="F74">
        <v>70</v>
      </c>
      <c r="G74" t="s">
        <v>475</v>
      </c>
      <c r="H74" s="34">
        <v>2036.479</v>
      </c>
      <c r="I74" s="34">
        <v>0</v>
      </c>
      <c r="K74">
        <v>68</v>
      </c>
      <c r="L74" t="s">
        <v>353</v>
      </c>
      <c r="M74" s="34">
        <f t="shared" si="6"/>
        <v>122.4246</v>
      </c>
      <c r="N74" s="45">
        <f t="shared" si="7"/>
        <v>3.9319857231877646E-5</v>
      </c>
      <c r="O74" s="48"/>
      <c r="P74" s="44"/>
      <c r="X74">
        <v>68</v>
      </c>
      <c r="Y74" s="39" t="s">
        <v>1460</v>
      </c>
      <c r="Z74" s="40" t="s">
        <v>1461</v>
      </c>
      <c r="AA74" s="41">
        <v>0</v>
      </c>
    </row>
    <row r="75" spans="2:28" x14ac:dyDescent="0.35">
      <c r="B75" s="40">
        <v>70</v>
      </c>
      <c r="C75" s="40" t="s">
        <v>382</v>
      </c>
      <c r="D75">
        <v>86</v>
      </c>
      <c r="E75" t="str">
        <f t="shared" si="5"/>
        <v>osrv</v>
      </c>
      <c r="F75">
        <v>71</v>
      </c>
      <c r="G75" t="s">
        <v>476</v>
      </c>
      <c r="H75" s="34">
        <v>2756.0529999999999</v>
      </c>
      <c r="I75" s="34">
        <v>0</v>
      </c>
      <c r="K75">
        <v>69</v>
      </c>
      <c r="L75" t="s">
        <v>770</v>
      </c>
      <c r="M75" s="34">
        <f t="shared" si="6"/>
        <v>7262.2869500000006</v>
      </c>
      <c r="N75" s="45">
        <f t="shared" si="7"/>
        <v>2.3324730981430872E-3</v>
      </c>
      <c r="O75" s="48"/>
      <c r="P75" s="44"/>
      <c r="X75">
        <v>69</v>
      </c>
      <c r="Y75" s="36" t="s">
        <v>1462</v>
      </c>
      <c r="Z75" t="s">
        <v>1463</v>
      </c>
      <c r="AA75" s="37">
        <v>1.0820958497094577</v>
      </c>
    </row>
    <row r="76" spans="2:28" x14ac:dyDescent="0.35">
      <c r="B76" s="40">
        <v>50</v>
      </c>
      <c r="C76" s="40" t="s">
        <v>371</v>
      </c>
      <c r="D76">
        <v>65</v>
      </c>
      <c r="E76" t="str">
        <f t="shared" si="5"/>
        <v>chem</v>
      </c>
      <c r="F76">
        <v>72</v>
      </c>
      <c r="G76" t="s">
        <v>477</v>
      </c>
      <c r="H76" s="34">
        <v>243.23070000000001</v>
      </c>
      <c r="I76" s="34">
        <v>0</v>
      </c>
      <c r="K76">
        <v>70</v>
      </c>
      <c r="L76" t="s">
        <v>771</v>
      </c>
      <c r="M76" s="34">
        <f t="shared" si="6"/>
        <v>55101.1924</v>
      </c>
      <c r="N76" s="45">
        <f t="shared" si="7"/>
        <v>1.7697186827436821E-2</v>
      </c>
      <c r="O76" s="48"/>
      <c r="P76" s="44"/>
      <c r="X76">
        <v>70</v>
      </c>
      <c r="Y76" s="38" t="s">
        <v>1464</v>
      </c>
      <c r="Z76" t="s">
        <v>1465</v>
      </c>
      <c r="AA76" s="37">
        <v>6.7120494084606075E-2</v>
      </c>
    </row>
    <row r="77" spans="2:28" x14ac:dyDescent="0.35">
      <c r="B77" s="40">
        <v>50</v>
      </c>
      <c r="C77" s="40" t="s">
        <v>371</v>
      </c>
      <c r="D77">
        <v>65</v>
      </c>
      <c r="E77" t="str">
        <f t="shared" si="5"/>
        <v>chem</v>
      </c>
      <c r="F77">
        <v>73</v>
      </c>
      <c r="G77" t="s">
        <v>478</v>
      </c>
      <c r="H77" s="34">
        <v>1723.075</v>
      </c>
      <c r="I77" s="34">
        <v>0</v>
      </c>
      <c r="K77">
        <v>71</v>
      </c>
      <c r="L77" t="s">
        <v>351</v>
      </c>
      <c r="M77" s="34">
        <f t="shared" si="6"/>
        <v>36117.982739999999</v>
      </c>
      <c r="N77" s="45">
        <f t="shared" si="7"/>
        <v>1.1600233325983676E-2</v>
      </c>
      <c r="O77" s="48"/>
      <c r="P77" s="44"/>
      <c r="X77">
        <v>71</v>
      </c>
      <c r="Y77" s="39" t="s">
        <v>1088</v>
      </c>
      <c r="Z77" s="40" t="s">
        <v>1466</v>
      </c>
      <c r="AA77" s="41">
        <v>1.1060020845712292E-2</v>
      </c>
    </row>
    <row r="78" spans="2:28" x14ac:dyDescent="0.35">
      <c r="B78" s="40">
        <v>50</v>
      </c>
      <c r="C78" s="40" t="s">
        <v>371</v>
      </c>
      <c r="D78">
        <v>65</v>
      </c>
      <c r="E78" t="str">
        <f t="shared" si="5"/>
        <v>chem</v>
      </c>
      <c r="F78">
        <v>74</v>
      </c>
      <c r="G78" t="s">
        <v>479</v>
      </c>
      <c r="H78" s="34">
        <v>22843.65</v>
      </c>
      <c r="I78" s="34">
        <v>0</v>
      </c>
      <c r="K78">
        <v>72</v>
      </c>
      <c r="L78" t="s">
        <v>401</v>
      </c>
      <c r="M78" s="34">
        <f t="shared" si="6"/>
        <v>15662.68</v>
      </c>
      <c r="N78" s="45">
        <f t="shared" si="7"/>
        <v>5.0304786903006861E-3</v>
      </c>
      <c r="O78" s="48"/>
      <c r="P78" s="44"/>
      <c r="X78">
        <v>72</v>
      </c>
      <c r="Y78" s="39" t="s">
        <v>1467</v>
      </c>
      <c r="Z78" s="40" t="s">
        <v>1468</v>
      </c>
      <c r="AA78" s="41">
        <v>5.6060473238893752E-2</v>
      </c>
    </row>
    <row r="79" spans="2:28" x14ac:dyDescent="0.35">
      <c r="B79" s="40">
        <v>50</v>
      </c>
      <c r="C79" s="40" t="s">
        <v>371</v>
      </c>
      <c r="D79">
        <v>65</v>
      </c>
      <c r="E79" t="str">
        <f t="shared" si="5"/>
        <v>chem</v>
      </c>
      <c r="F79">
        <v>75</v>
      </c>
      <c r="G79" t="s">
        <v>480</v>
      </c>
      <c r="H79" s="34">
        <v>686.80489999999998</v>
      </c>
      <c r="I79" s="34">
        <v>0</v>
      </c>
      <c r="K79">
        <v>73</v>
      </c>
      <c r="L79" t="s">
        <v>400</v>
      </c>
      <c r="M79" s="34">
        <f t="shared" si="6"/>
        <v>20378.16</v>
      </c>
      <c r="N79" s="45">
        <f t="shared" si="7"/>
        <v>6.5449782302605831E-3</v>
      </c>
      <c r="O79" s="48"/>
      <c r="P79" s="44"/>
      <c r="X79">
        <v>73</v>
      </c>
      <c r="Y79" s="39" t="s">
        <v>1469</v>
      </c>
      <c r="Z79" s="40" t="s">
        <v>1470</v>
      </c>
      <c r="AA79" s="41">
        <v>0</v>
      </c>
    </row>
    <row r="80" spans="2:28" x14ac:dyDescent="0.35">
      <c r="B80" s="40">
        <v>50</v>
      </c>
      <c r="C80" s="40" t="s">
        <v>371</v>
      </c>
      <c r="D80">
        <v>65</v>
      </c>
      <c r="E80" t="str">
        <f t="shared" si="5"/>
        <v>chem</v>
      </c>
      <c r="F80">
        <v>76</v>
      </c>
      <c r="G80" t="s">
        <v>481</v>
      </c>
      <c r="H80" s="34">
        <v>3718.7460000000001</v>
      </c>
      <c r="I80" s="34">
        <v>0</v>
      </c>
      <c r="K80">
        <v>74</v>
      </c>
      <c r="L80" t="s">
        <v>772</v>
      </c>
      <c r="M80" s="34">
        <f t="shared" si="6"/>
        <v>0</v>
      </c>
      <c r="N80" s="45">
        <f t="shared" si="7"/>
        <v>0</v>
      </c>
      <c r="O80" s="48"/>
      <c r="P80" s="44"/>
      <c r="X80">
        <v>74</v>
      </c>
      <c r="Y80" s="38" t="s">
        <v>1471</v>
      </c>
      <c r="Z80" t="s">
        <v>1472</v>
      </c>
      <c r="AA80" s="37">
        <v>1.0149753556248515</v>
      </c>
    </row>
    <row r="81" spans="2:27" x14ac:dyDescent="0.35">
      <c r="B81" s="40">
        <v>50</v>
      </c>
      <c r="C81" s="40" t="s">
        <v>371</v>
      </c>
      <c r="D81">
        <v>65</v>
      </c>
      <c r="E81" t="str">
        <f t="shared" si="5"/>
        <v>chem</v>
      </c>
      <c r="F81">
        <v>77</v>
      </c>
      <c r="G81" t="s">
        <v>482</v>
      </c>
      <c r="H81" s="34">
        <v>658.6748</v>
      </c>
      <c r="I81" s="34">
        <v>0</v>
      </c>
      <c r="K81">
        <v>75</v>
      </c>
      <c r="L81" t="s">
        <v>352</v>
      </c>
      <c r="M81" s="34">
        <f t="shared" si="6"/>
        <v>14974.300000000001</v>
      </c>
      <c r="N81" s="45">
        <f t="shared" si="7"/>
        <v>4.8093874772497155E-3</v>
      </c>
      <c r="O81" s="48"/>
      <c r="P81" s="44"/>
      <c r="X81">
        <v>75</v>
      </c>
      <c r="Y81" s="39" t="s">
        <v>1473</v>
      </c>
      <c r="Z81" s="40" t="s">
        <v>1474</v>
      </c>
      <c r="AA81" s="41">
        <v>9.6861561960337628E-2</v>
      </c>
    </row>
    <row r="82" spans="2:27" x14ac:dyDescent="0.35">
      <c r="B82" s="40">
        <v>70</v>
      </c>
      <c r="C82" s="40" t="s">
        <v>382</v>
      </c>
      <c r="D82">
        <v>86</v>
      </c>
      <c r="E82" t="str">
        <f t="shared" si="5"/>
        <v>osrv</v>
      </c>
      <c r="F82">
        <v>78</v>
      </c>
      <c r="G82" t="s">
        <v>483</v>
      </c>
      <c r="H82" s="34">
        <v>19554.2</v>
      </c>
      <c r="I82" s="34">
        <v>0</v>
      </c>
      <c r="K82">
        <v>76</v>
      </c>
      <c r="L82" t="s">
        <v>376</v>
      </c>
      <c r="M82" s="34">
        <f t="shared" si="6"/>
        <v>60596.651100000003</v>
      </c>
      <c r="N82" s="45">
        <f t="shared" si="7"/>
        <v>1.9462196894920642E-2</v>
      </c>
      <c r="O82" s="48"/>
      <c r="P82" s="44"/>
      <c r="X82">
        <v>76</v>
      </c>
      <c r="Y82" s="39" t="s">
        <v>1475</v>
      </c>
      <c r="Z82" s="40" t="s">
        <v>1476</v>
      </c>
      <c r="AA82" s="41">
        <v>0.45538253844839233</v>
      </c>
    </row>
    <row r="83" spans="2:27" x14ac:dyDescent="0.35">
      <c r="B83" s="40">
        <v>55</v>
      </c>
      <c r="C83" s="40" t="s">
        <v>771</v>
      </c>
      <c r="D83">
        <v>70</v>
      </c>
      <c r="E83" t="str">
        <f t="shared" si="5"/>
        <v>vehi</v>
      </c>
      <c r="F83">
        <v>79</v>
      </c>
      <c r="G83" t="s">
        <v>484</v>
      </c>
      <c r="H83" s="34">
        <v>22367</v>
      </c>
      <c r="I83" s="34">
        <v>0</v>
      </c>
      <c r="K83">
        <v>77</v>
      </c>
      <c r="L83" t="s">
        <v>377</v>
      </c>
      <c r="M83" s="34">
        <f t="shared" si="6"/>
        <v>2797.7869999999998</v>
      </c>
      <c r="N83" s="45">
        <f t="shared" si="7"/>
        <v>8.9858235522275148E-4</v>
      </c>
      <c r="O83" s="48">
        <f>AA427</f>
        <v>0.37427880858105456</v>
      </c>
      <c r="P83" s="44"/>
      <c r="X83">
        <v>77</v>
      </c>
      <c r="Y83" s="39" t="s">
        <v>1477</v>
      </c>
      <c r="Z83" s="40" t="s">
        <v>1478</v>
      </c>
      <c r="AA83" s="41">
        <v>0.44925987620183844</v>
      </c>
    </row>
    <row r="84" spans="2:27" x14ac:dyDescent="0.35">
      <c r="B84" s="40">
        <v>55</v>
      </c>
      <c r="C84" s="40" t="s">
        <v>771</v>
      </c>
      <c r="D84">
        <v>70</v>
      </c>
      <c r="E84" t="str">
        <f t="shared" si="5"/>
        <v>vehi</v>
      </c>
      <c r="F84">
        <v>80</v>
      </c>
      <c r="G84" t="s">
        <v>485</v>
      </c>
      <c r="H84" s="34">
        <v>11732.61</v>
      </c>
      <c r="I84" s="34">
        <v>0</v>
      </c>
      <c r="K84">
        <v>78</v>
      </c>
      <c r="L84" t="s">
        <v>2232</v>
      </c>
      <c r="M84" s="34">
        <f t="shared" si="6"/>
        <v>99672.680800000002</v>
      </c>
      <c r="N84" s="45">
        <f t="shared" si="7"/>
        <v>3.2012484247238814E-2</v>
      </c>
      <c r="O84" s="48">
        <f>AA421</f>
        <v>2.7561490288670303</v>
      </c>
      <c r="P84" s="44"/>
      <c r="X84">
        <v>78</v>
      </c>
      <c r="Y84" s="42" t="s">
        <v>1479</v>
      </c>
      <c r="Z84" s="5" t="s">
        <v>1480</v>
      </c>
      <c r="AA84" s="35">
        <v>3.6972025536234936</v>
      </c>
    </row>
    <row r="85" spans="2:27" x14ac:dyDescent="0.35">
      <c r="B85" s="40">
        <v>60</v>
      </c>
      <c r="C85" s="40" t="s">
        <v>352</v>
      </c>
      <c r="D85">
        <v>75</v>
      </c>
      <c r="E85" t="str">
        <f t="shared" si="5"/>
        <v>trad</v>
      </c>
      <c r="F85">
        <v>81</v>
      </c>
      <c r="G85" t="s">
        <v>486</v>
      </c>
      <c r="H85" s="34">
        <v>9170.0490000000009</v>
      </c>
      <c r="I85" s="34">
        <v>0</v>
      </c>
      <c r="K85">
        <v>79</v>
      </c>
      <c r="L85" t="s">
        <v>375</v>
      </c>
      <c r="M85" s="34">
        <f t="shared" si="6"/>
        <v>60419.056915000001</v>
      </c>
      <c r="N85" s="45">
        <f t="shared" si="7"/>
        <v>1.9405157884791864E-2</v>
      </c>
      <c r="O85" s="48"/>
      <c r="P85" s="44"/>
      <c r="X85">
        <v>79</v>
      </c>
      <c r="Y85" s="36" t="s">
        <v>1481</v>
      </c>
      <c r="Z85" t="s">
        <v>1482</v>
      </c>
      <c r="AA85" s="37">
        <v>2.5527357903775574</v>
      </c>
    </row>
    <row r="86" spans="2:27" x14ac:dyDescent="0.35">
      <c r="B86" s="40">
        <v>60</v>
      </c>
      <c r="C86" s="40" t="s">
        <v>352</v>
      </c>
      <c r="D86">
        <v>75</v>
      </c>
      <c r="E86" t="str">
        <f t="shared" si="5"/>
        <v>trad</v>
      </c>
      <c r="F86">
        <v>82</v>
      </c>
      <c r="G86" t="s">
        <v>487</v>
      </c>
      <c r="H86" s="34">
        <v>5804.2510000000002</v>
      </c>
      <c r="I86" s="34">
        <v>0</v>
      </c>
      <c r="K86">
        <v>80</v>
      </c>
      <c r="L86" t="s">
        <v>378</v>
      </c>
      <c r="M86" s="34">
        <f t="shared" si="6"/>
        <v>21093.471000000001</v>
      </c>
      <c r="N86" s="45">
        <f t="shared" si="7"/>
        <v>6.7747190372257826E-3</v>
      </c>
      <c r="O86" s="48"/>
      <c r="P86" s="44"/>
      <c r="X86">
        <v>80</v>
      </c>
      <c r="Y86" s="38" t="s">
        <v>1483</v>
      </c>
      <c r="Z86" t="s">
        <v>1484</v>
      </c>
      <c r="AA86" s="37">
        <v>8.6806534196881002E-2</v>
      </c>
    </row>
    <row r="87" spans="2:27" x14ac:dyDescent="0.35">
      <c r="B87" s="40">
        <v>56</v>
      </c>
      <c r="C87" s="40" t="s">
        <v>351</v>
      </c>
      <c r="D87">
        <v>69</v>
      </c>
      <c r="E87" t="str">
        <f t="shared" si="5"/>
        <v>equi</v>
      </c>
      <c r="F87">
        <v>83</v>
      </c>
      <c r="G87" t="s">
        <v>488</v>
      </c>
      <c r="H87" s="34">
        <v>3125.1480000000001</v>
      </c>
      <c r="I87" s="34">
        <v>0</v>
      </c>
      <c r="K87">
        <v>81</v>
      </c>
      <c r="L87" t="s">
        <v>397</v>
      </c>
      <c r="M87" s="34">
        <f t="shared" si="6"/>
        <v>335912.6</v>
      </c>
      <c r="N87" s="45">
        <f t="shared" si="7"/>
        <v>0.10788710336312166</v>
      </c>
      <c r="O87" s="48">
        <f>AA129+AA135</f>
        <v>8.2641724098625495</v>
      </c>
      <c r="P87" s="44"/>
      <c r="X87">
        <v>81</v>
      </c>
      <c r="Y87" s="39" t="s">
        <v>1485</v>
      </c>
      <c r="Z87" s="40" t="s">
        <v>1486</v>
      </c>
      <c r="AA87" s="41">
        <v>8.6806534196881002E-2</v>
      </c>
    </row>
    <row r="88" spans="2:27" x14ac:dyDescent="0.35">
      <c r="B88" s="40">
        <v>70</v>
      </c>
      <c r="C88" s="40" t="s">
        <v>382</v>
      </c>
      <c r="D88">
        <v>69</v>
      </c>
      <c r="E88" t="str">
        <f t="shared" si="5"/>
        <v>equi</v>
      </c>
      <c r="F88">
        <v>84</v>
      </c>
      <c r="G88" t="s">
        <v>489</v>
      </c>
      <c r="H88" s="34">
        <v>445.59019999999998</v>
      </c>
      <c r="I88" s="34">
        <v>0</v>
      </c>
      <c r="K88">
        <v>82</v>
      </c>
      <c r="L88" t="s">
        <v>380</v>
      </c>
      <c r="M88" s="34">
        <f t="shared" si="6"/>
        <v>15924.391</v>
      </c>
      <c r="N88" s="45">
        <f t="shared" si="7"/>
        <v>5.1145340121560318E-3</v>
      </c>
      <c r="O88" s="48"/>
      <c r="P88" s="44"/>
      <c r="X88">
        <v>82</v>
      </c>
      <c r="Y88" s="39" t="s">
        <v>1487</v>
      </c>
      <c r="Z88" s="40" t="s">
        <v>1488</v>
      </c>
      <c r="AA88" s="41">
        <v>0</v>
      </c>
    </row>
    <row r="89" spans="2:27" x14ac:dyDescent="0.35">
      <c r="B89" s="40">
        <v>66</v>
      </c>
      <c r="C89" s="40" t="s">
        <v>380</v>
      </c>
      <c r="D89">
        <v>82</v>
      </c>
      <c r="E89" t="str">
        <f t="shared" si="5"/>
        <v>bsrv</v>
      </c>
      <c r="F89">
        <v>85</v>
      </c>
      <c r="G89" t="s">
        <v>490</v>
      </c>
      <c r="H89" s="34">
        <v>4544.1379999999999</v>
      </c>
      <c r="I89" s="34">
        <v>0</v>
      </c>
      <c r="K89">
        <v>83</v>
      </c>
      <c r="L89" t="s">
        <v>381</v>
      </c>
      <c r="M89" s="34">
        <f t="shared" si="6"/>
        <v>3994.7310000000002</v>
      </c>
      <c r="N89" s="45">
        <f t="shared" si="7"/>
        <v>1.283012177289171E-3</v>
      </c>
      <c r="O89" s="48"/>
      <c r="P89" s="44"/>
      <c r="X89">
        <v>83</v>
      </c>
      <c r="Y89" s="38" t="s">
        <v>1489</v>
      </c>
      <c r="Z89" t="s">
        <v>1490</v>
      </c>
      <c r="AA89" s="37">
        <v>2.3254040927671974E-2</v>
      </c>
    </row>
    <row r="90" spans="2:27" x14ac:dyDescent="0.35">
      <c r="B90" s="40">
        <v>56</v>
      </c>
      <c r="C90" s="40" t="s">
        <v>351</v>
      </c>
      <c r="D90">
        <v>71</v>
      </c>
      <c r="E90" t="str">
        <f t="shared" si="5"/>
        <v>oman</v>
      </c>
      <c r="F90">
        <v>86</v>
      </c>
      <c r="G90" t="s">
        <v>491</v>
      </c>
      <c r="H90" s="34">
        <v>1053.9269999999999</v>
      </c>
      <c r="I90" s="34">
        <v>0</v>
      </c>
      <c r="K90">
        <v>84</v>
      </c>
      <c r="L90" t="s">
        <v>392</v>
      </c>
      <c r="M90" s="34">
        <f t="shared" si="6"/>
        <v>325184.90000000002</v>
      </c>
      <c r="N90" s="45">
        <f t="shared" si="7"/>
        <v>0.10444162236970683</v>
      </c>
      <c r="O90" s="48">
        <f>AA403</f>
        <v>3.7412357757166315</v>
      </c>
      <c r="P90" s="44"/>
      <c r="X90">
        <v>84</v>
      </c>
      <c r="Y90" s="39" t="s">
        <v>1491</v>
      </c>
      <c r="Z90" s="40" t="s">
        <v>1492</v>
      </c>
      <c r="AA90" s="41">
        <v>2.3254040927671974E-2</v>
      </c>
    </row>
    <row r="91" spans="2:27" x14ac:dyDescent="0.35">
      <c r="B91" s="40">
        <v>19</v>
      </c>
      <c r="C91" s="40" t="s">
        <v>757</v>
      </c>
      <c r="D91">
        <v>24</v>
      </c>
      <c r="E91" t="str">
        <f t="shared" si="5"/>
        <v>flwr</v>
      </c>
      <c r="F91">
        <v>87</v>
      </c>
      <c r="G91" t="s">
        <v>492</v>
      </c>
      <c r="H91" s="34">
        <v>624.52560000000005</v>
      </c>
      <c r="I91" s="34">
        <v>0</v>
      </c>
      <c r="K91">
        <v>85</v>
      </c>
      <c r="L91" t="s">
        <v>374</v>
      </c>
      <c r="M91" s="34">
        <f t="shared" si="6"/>
        <v>19156.976000000002</v>
      </c>
      <c r="N91" s="45">
        <f t="shared" si="7"/>
        <v>6.1527630992015215E-3</v>
      </c>
      <c r="O91" s="48">
        <f>AA233</f>
        <v>0.65527060799465353</v>
      </c>
      <c r="P91" s="44"/>
      <c r="X91">
        <v>85</v>
      </c>
      <c r="Y91" s="39" t="s">
        <v>1493</v>
      </c>
      <c r="Z91" s="40" t="s">
        <v>1494</v>
      </c>
      <c r="AA91" s="41">
        <v>0</v>
      </c>
    </row>
    <row r="92" spans="2:27" x14ac:dyDescent="0.35">
      <c r="B92" s="40">
        <v>56</v>
      </c>
      <c r="C92" s="40" t="s">
        <v>351</v>
      </c>
      <c r="D92">
        <v>71</v>
      </c>
      <c r="E92" t="str">
        <f t="shared" si="5"/>
        <v>oman</v>
      </c>
      <c r="F92">
        <v>88</v>
      </c>
      <c r="G92" t="s">
        <v>493</v>
      </c>
      <c r="H92" s="34">
        <v>231.49359999999999</v>
      </c>
      <c r="I92" s="34">
        <v>0</v>
      </c>
      <c r="K92">
        <v>86</v>
      </c>
      <c r="L92" t="s">
        <v>382</v>
      </c>
      <c r="M92" s="34">
        <f t="shared" si="6"/>
        <v>304162.21361999999</v>
      </c>
      <c r="N92" s="45">
        <f t="shared" si="7"/>
        <v>9.7689637661632314E-2</v>
      </c>
      <c r="O92" s="48"/>
      <c r="P92" s="44"/>
      <c r="X92">
        <v>86</v>
      </c>
      <c r="Y92" s="39" t="s">
        <v>1495</v>
      </c>
      <c r="Z92" s="40" t="s">
        <v>1496</v>
      </c>
      <c r="AA92" s="41">
        <v>0</v>
      </c>
    </row>
    <row r="93" spans="2:27" x14ac:dyDescent="0.35">
      <c r="B93" s="40">
        <v>70</v>
      </c>
      <c r="C93" s="40" t="s">
        <v>382</v>
      </c>
      <c r="D93">
        <v>86</v>
      </c>
      <c r="E93" t="str">
        <f t="shared" si="5"/>
        <v>osrv</v>
      </c>
      <c r="F93">
        <v>89</v>
      </c>
      <c r="G93" t="s">
        <v>494</v>
      </c>
      <c r="H93" s="34">
        <v>123.1125</v>
      </c>
      <c r="I93" s="34">
        <v>0</v>
      </c>
      <c r="X93">
        <v>87</v>
      </c>
      <c r="Y93" s="39" t="s">
        <v>1497</v>
      </c>
      <c r="Z93" s="40" t="s">
        <v>1498</v>
      </c>
      <c r="AA93" s="41">
        <v>0</v>
      </c>
    </row>
    <row r="94" spans="2:27" x14ac:dyDescent="0.35">
      <c r="B94" s="40">
        <v>47</v>
      </c>
      <c r="C94" s="40" t="s">
        <v>767</v>
      </c>
      <c r="D94">
        <v>62</v>
      </c>
      <c r="E94" t="str">
        <f t="shared" si="5"/>
        <v>papr</v>
      </c>
      <c r="F94">
        <v>90</v>
      </c>
      <c r="G94" t="s">
        <v>495</v>
      </c>
      <c r="H94" s="34">
        <v>1455.204</v>
      </c>
      <c r="I94" s="34">
        <v>0</v>
      </c>
      <c r="X94">
        <v>88</v>
      </c>
      <c r="Y94" s="38" t="s">
        <v>1499</v>
      </c>
      <c r="Z94" t="s">
        <v>1500</v>
      </c>
      <c r="AA94" s="37">
        <v>2.4426752152530038</v>
      </c>
    </row>
    <row r="95" spans="2:27" x14ac:dyDescent="0.35">
      <c r="B95" s="40">
        <v>47</v>
      </c>
      <c r="C95" s="40" t="s">
        <v>767</v>
      </c>
      <c r="D95">
        <v>62</v>
      </c>
      <c r="E95" t="str">
        <f t="shared" si="5"/>
        <v>papr</v>
      </c>
      <c r="F95">
        <v>91</v>
      </c>
      <c r="G95" t="s">
        <v>496</v>
      </c>
      <c r="H95" s="34">
        <v>321.4923</v>
      </c>
      <c r="I95" s="34">
        <v>0</v>
      </c>
      <c r="X95">
        <v>89</v>
      </c>
      <c r="Y95" s="39" t="s">
        <v>1501</v>
      </c>
      <c r="Z95" s="40" t="s">
        <v>1502</v>
      </c>
      <c r="AA95" s="41">
        <v>2.4426752152530038</v>
      </c>
    </row>
    <row r="96" spans="2:27" x14ac:dyDescent="0.35">
      <c r="B96" s="40">
        <v>53</v>
      </c>
      <c r="C96" s="40" t="s">
        <v>770</v>
      </c>
      <c r="D96">
        <v>62</v>
      </c>
      <c r="E96" t="str">
        <f t="shared" si="5"/>
        <v>papr</v>
      </c>
      <c r="F96">
        <v>92</v>
      </c>
      <c r="G96" t="s">
        <v>497</v>
      </c>
      <c r="H96" s="34">
        <v>181.04140000000001</v>
      </c>
      <c r="I96" s="34">
        <v>0</v>
      </c>
      <c r="X96">
        <v>90</v>
      </c>
      <c r="Y96" s="39" t="s">
        <v>1503</v>
      </c>
      <c r="Z96" s="40" t="s">
        <v>1504</v>
      </c>
      <c r="AA96" s="41">
        <v>0</v>
      </c>
    </row>
    <row r="97" spans="2:27" x14ac:dyDescent="0.35">
      <c r="B97" s="40">
        <v>66</v>
      </c>
      <c r="C97" s="40" t="s">
        <v>380</v>
      </c>
      <c r="D97">
        <v>82</v>
      </c>
      <c r="E97" t="str">
        <f t="shared" si="5"/>
        <v>bsrv</v>
      </c>
      <c r="F97">
        <v>93</v>
      </c>
      <c r="G97" t="s">
        <v>498</v>
      </c>
      <c r="H97" s="34">
        <v>2931.7440000000001</v>
      </c>
      <c r="I97" s="34">
        <v>0</v>
      </c>
      <c r="X97">
        <v>91</v>
      </c>
      <c r="Y97" s="39" t="s">
        <v>1505</v>
      </c>
      <c r="Z97" s="40" t="s">
        <v>1506</v>
      </c>
      <c r="AA97" s="41">
        <v>0</v>
      </c>
    </row>
    <row r="98" spans="2:27" x14ac:dyDescent="0.35">
      <c r="B98" s="40">
        <v>70</v>
      </c>
      <c r="C98" s="40" t="s">
        <v>382</v>
      </c>
      <c r="D98">
        <v>86</v>
      </c>
      <c r="E98" t="str">
        <f t="shared" si="5"/>
        <v>osrv</v>
      </c>
      <c r="F98">
        <v>94</v>
      </c>
      <c r="G98" t="s">
        <v>499</v>
      </c>
      <c r="H98" s="34">
        <v>10619.14</v>
      </c>
      <c r="I98" s="34">
        <v>0</v>
      </c>
      <c r="X98">
        <v>92</v>
      </c>
      <c r="Y98" s="39" t="s">
        <v>1507</v>
      </c>
      <c r="Z98" s="40" t="s">
        <v>1508</v>
      </c>
      <c r="AA98" s="41">
        <v>0</v>
      </c>
    </row>
    <row r="99" spans="2:27" x14ac:dyDescent="0.35">
      <c r="B99" s="40">
        <v>70</v>
      </c>
      <c r="C99" s="40" t="s">
        <v>382</v>
      </c>
      <c r="D99">
        <v>86</v>
      </c>
      <c r="E99" t="str">
        <f t="shared" si="5"/>
        <v>osrv</v>
      </c>
      <c r="F99">
        <v>95</v>
      </c>
      <c r="G99" t="s">
        <v>500</v>
      </c>
      <c r="H99" s="34">
        <v>12248.66</v>
      </c>
      <c r="I99" s="34">
        <v>0</v>
      </c>
      <c r="X99">
        <v>93</v>
      </c>
      <c r="Y99" s="36" t="s">
        <v>1084</v>
      </c>
      <c r="Z99" t="s">
        <v>1509</v>
      </c>
      <c r="AA99" s="37">
        <v>1.1444667632459364</v>
      </c>
    </row>
    <row r="100" spans="2:27" x14ac:dyDescent="0.35">
      <c r="B100" s="40">
        <v>70</v>
      </c>
      <c r="C100" s="40" t="s">
        <v>382</v>
      </c>
      <c r="D100">
        <v>86</v>
      </c>
      <c r="E100" t="str">
        <f t="shared" si="5"/>
        <v>osrv</v>
      </c>
      <c r="F100">
        <v>96</v>
      </c>
      <c r="G100" t="s">
        <v>501</v>
      </c>
      <c r="H100" s="34">
        <v>844.60699999999997</v>
      </c>
      <c r="I100" s="34">
        <v>0</v>
      </c>
      <c r="X100">
        <v>94</v>
      </c>
      <c r="Y100" s="38" t="s">
        <v>1084</v>
      </c>
      <c r="Z100" t="s">
        <v>1510</v>
      </c>
      <c r="AA100" s="37">
        <v>0</v>
      </c>
    </row>
    <row r="101" spans="2:27" x14ac:dyDescent="0.35">
      <c r="B101" s="40">
        <v>50</v>
      </c>
      <c r="C101" s="40" t="s">
        <v>371</v>
      </c>
      <c r="D101">
        <v>71</v>
      </c>
      <c r="E101" t="str">
        <f t="shared" si="5"/>
        <v>oman</v>
      </c>
      <c r="F101">
        <v>97</v>
      </c>
      <c r="G101" t="s">
        <v>502</v>
      </c>
      <c r="H101" s="34">
        <v>302.03820000000002</v>
      </c>
      <c r="I101" s="34">
        <v>0</v>
      </c>
      <c r="X101">
        <v>95</v>
      </c>
      <c r="Y101" s="39" t="s">
        <v>565</v>
      </c>
      <c r="Z101" s="40" t="s">
        <v>1511</v>
      </c>
      <c r="AA101" s="41">
        <v>0</v>
      </c>
    </row>
    <row r="102" spans="2:27" x14ac:dyDescent="0.35">
      <c r="B102" s="40">
        <v>50</v>
      </c>
      <c r="C102" s="40" t="s">
        <v>371</v>
      </c>
      <c r="D102">
        <v>71</v>
      </c>
      <c r="E102" t="str">
        <f t="shared" si="5"/>
        <v>oman</v>
      </c>
      <c r="F102">
        <v>98</v>
      </c>
      <c r="G102" t="s">
        <v>503</v>
      </c>
      <c r="H102" s="34">
        <v>594.90700000000004</v>
      </c>
      <c r="I102" s="34">
        <v>0</v>
      </c>
      <c r="X102">
        <v>96</v>
      </c>
      <c r="Y102" s="39" t="s">
        <v>1512</v>
      </c>
      <c r="Z102" s="40" t="s">
        <v>1513</v>
      </c>
      <c r="AA102" s="41">
        <v>0</v>
      </c>
    </row>
    <row r="103" spans="2:27" x14ac:dyDescent="0.35">
      <c r="B103" s="40">
        <v>50</v>
      </c>
      <c r="C103" s="40" t="s">
        <v>371</v>
      </c>
      <c r="D103">
        <v>71</v>
      </c>
      <c r="E103" t="str">
        <f t="shared" si="5"/>
        <v>oman</v>
      </c>
      <c r="F103">
        <v>99</v>
      </c>
      <c r="G103" t="s">
        <v>504</v>
      </c>
      <c r="H103" s="34">
        <v>1332.2670000000001</v>
      </c>
      <c r="I103" s="34">
        <v>0</v>
      </c>
      <c r="X103">
        <v>97</v>
      </c>
      <c r="Y103" s="39" t="s">
        <v>1514</v>
      </c>
      <c r="Z103" s="40" t="s">
        <v>1515</v>
      </c>
      <c r="AA103" s="41">
        <v>0</v>
      </c>
    </row>
    <row r="104" spans="2:27" x14ac:dyDescent="0.35">
      <c r="B104" s="40">
        <v>50</v>
      </c>
      <c r="C104" s="40" t="s">
        <v>371</v>
      </c>
      <c r="D104">
        <v>65</v>
      </c>
      <c r="E104" t="str">
        <f t="shared" si="5"/>
        <v>chem</v>
      </c>
      <c r="F104">
        <v>100</v>
      </c>
      <c r="G104" t="s">
        <v>505</v>
      </c>
      <c r="H104" s="34">
        <v>5930.5839999999998</v>
      </c>
      <c r="I104" s="34">
        <v>0</v>
      </c>
      <c r="X104">
        <v>98</v>
      </c>
      <c r="Y104" s="36" t="s">
        <v>1516</v>
      </c>
      <c r="Z104" t="s">
        <v>1517</v>
      </c>
      <c r="AA104" s="37">
        <v>0</v>
      </c>
    </row>
    <row r="105" spans="2:27" x14ac:dyDescent="0.35">
      <c r="B105" s="40">
        <v>50</v>
      </c>
      <c r="C105" s="40" t="s">
        <v>371</v>
      </c>
      <c r="D105">
        <v>65</v>
      </c>
      <c r="E105" t="str">
        <f t="shared" si="5"/>
        <v>chem</v>
      </c>
      <c r="F105">
        <v>101</v>
      </c>
      <c r="G105" t="s">
        <v>506</v>
      </c>
      <c r="H105" s="34">
        <v>5325.165</v>
      </c>
      <c r="I105" s="34">
        <v>0</v>
      </c>
      <c r="X105">
        <v>99</v>
      </c>
      <c r="Y105" s="38" t="s">
        <v>1516</v>
      </c>
      <c r="Z105" t="s">
        <v>1518</v>
      </c>
      <c r="AA105" s="37">
        <v>0</v>
      </c>
    </row>
    <row r="106" spans="2:27" x14ac:dyDescent="0.35">
      <c r="B106" s="40">
        <v>50</v>
      </c>
      <c r="C106" s="40" t="s">
        <v>371</v>
      </c>
      <c r="D106">
        <v>65</v>
      </c>
      <c r="E106" t="str">
        <f t="shared" si="5"/>
        <v>chem</v>
      </c>
      <c r="F106">
        <v>102</v>
      </c>
      <c r="G106" t="s">
        <v>507</v>
      </c>
      <c r="H106" s="34">
        <v>19572.099999999999</v>
      </c>
      <c r="I106" s="34">
        <v>0</v>
      </c>
      <c r="X106">
        <v>100</v>
      </c>
      <c r="Y106" s="39" t="s">
        <v>1516</v>
      </c>
      <c r="Z106" s="40" t="s">
        <v>1519</v>
      </c>
      <c r="AA106" s="41">
        <v>0</v>
      </c>
    </row>
    <row r="107" spans="2:27" x14ac:dyDescent="0.35">
      <c r="B107" s="40">
        <v>50</v>
      </c>
      <c r="C107" s="40" t="s">
        <v>371</v>
      </c>
      <c r="D107">
        <v>65</v>
      </c>
      <c r="E107" t="str">
        <f t="shared" si="5"/>
        <v>chem</v>
      </c>
      <c r="F107">
        <v>103</v>
      </c>
      <c r="G107" t="s">
        <v>508</v>
      </c>
      <c r="H107" s="34">
        <v>2359.6999999999998</v>
      </c>
      <c r="I107" s="34">
        <v>0</v>
      </c>
      <c r="X107">
        <v>101</v>
      </c>
      <c r="Y107" s="5" t="s">
        <v>1520</v>
      </c>
      <c r="Z107" s="5" t="s">
        <v>1521</v>
      </c>
      <c r="AA107" s="35">
        <v>4.6000003391448514</v>
      </c>
    </row>
    <row r="108" spans="2:27" x14ac:dyDescent="0.35">
      <c r="B108" s="40">
        <v>47</v>
      </c>
      <c r="C108" s="40" t="s">
        <v>767</v>
      </c>
      <c r="D108">
        <v>62</v>
      </c>
      <c r="E108" t="str">
        <f t="shared" si="5"/>
        <v>papr</v>
      </c>
      <c r="F108">
        <v>104</v>
      </c>
      <c r="G108" t="s">
        <v>509</v>
      </c>
      <c r="H108" s="34">
        <v>7704.1</v>
      </c>
      <c r="I108" s="34">
        <v>0</v>
      </c>
      <c r="X108">
        <v>102</v>
      </c>
      <c r="Y108" s="36" t="s">
        <v>1114</v>
      </c>
      <c r="Z108" t="s">
        <v>1522</v>
      </c>
      <c r="AA108" s="37">
        <v>3.4829215579808044</v>
      </c>
    </row>
    <row r="109" spans="2:27" x14ac:dyDescent="0.35">
      <c r="B109" s="40">
        <v>63</v>
      </c>
      <c r="C109" s="40" t="s">
        <v>375</v>
      </c>
      <c r="D109">
        <v>79</v>
      </c>
      <c r="E109" t="str">
        <f t="shared" si="5"/>
        <v>comm</v>
      </c>
      <c r="F109">
        <v>105</v>
      </c>
      <c r="G109" t="s">
        <v>510</v>
      </c>
      <c r="H109" s="34">
        <v>148.4496</v>
      </c>
      <c r="I109" s="34">
        <v>0</v>
      </c>
      <c r="X109">
        <v>103</v>
      </c>
      <c r="Y109" s="38" t="s">
        <v>1523</v>
      </c>
      <c r="Z109" t="s">
        <v>1524</v>
      </c>
      <c r="AA109" s="37">
        <v>0.18781163510571272</v>
      </c>
    </row>
    <row r="110" spans="2:27" x14ac:dyDescent="0.35">
      <c r="B110" s="40">
        <v>63</v>
      </c>
      <c r="C110" s="40" t="s">
        <v>375</v>
      </c>
      <c r="D110">
        <v>79</v>
      </c>
      <c r="E110" t="str">
        <f t="shared" si="5"/>
        <v>comm</v>
      </c>
      <c r="F110">
        <v>106</v>
      </c>
      <c r="G110" t="s">
        <v>511</v>
      </c>
      <c r="H110" s="34">
        <v>7.3987749999999997</v>
      </c>
      <c r="I110" s="34">
        <v>0</v>
      </c>
      <c r="X110">
        <v>104</v>
      </c>
      <c r="Y110" s="43" t="s">
        <v>1523</v>
      </c>
      <c r="Z110" s="40" t="s">
        <v>1525</v>
      </c>
      <c r="AA110" s="41">
        <v>0</v>
      </c>
    </row>
    <row r="111" spans="2:27" x14ac:dyDescent="0.35">
      <c r="B111" s="40">
        <v>63</v>
      </c>
      <c r="C111" s="40" t="s">
        <v>375</v>
      </c>
      <c r="D111">
        <v>79</v>
      </c>
      <c r="E111" t="str">
        <f t="shared" si="5"/>
        <v>comm</v>
      </c>
      <c r="F111">
        <v>107</v>
      </c>
      <c r="G111" t="s">
        <v>512</v>
      </c>
      <c r="H111" s="34">
        <v>300.81810000000002</v>
      </c>
      <c r="I111" s="34">
        <v>0</v>
      </c>
      <c r="X111">
        <v>105</v>
      </c>
      <c r="Y111" s="38" t="s">
        <v>1526</v>
      </c>
      <c r="Z111" t="s">
        <v>1527</v>
      </c>
      <c r="AA111" s="37">
        <v>2.3936940743616097</v>
      </c>
    </row>
    <row r="112" spans="2:27" x14ac:dyDescent="0.35">
      <c r="B112" s="40">
        <v>63</v>
      </c>
      <c r="C112" s="40" t="s">
        <v>375</v>
      </c>
      <c r="D112">
        <v>79</v>
      </c>
      <c r="E112" t="str">
        <f t="shared" si="5"/>
        <v>comm</v>
      </c>
      <c r="F112">
        <v>108</v>
      </c>
      <c r="G112" t="s">
        <v>513</v>
      </c>
      <c r="H112" s="34">
        <v>1278.981</v>
      </c>
      <c r="I112" s="34">
        <v>0</v>
      </c>
      <c r="X112">
        <v>106</v>
      </c>
      <c r="Y112" s="39" t="s">
        <v>1528</v>
      </c>
      <c r="Z112" s="40" t="s">
        <v>1529</v>
      </c>
      <c r="AA112" s="41">
        <v>0.67194809895928609</v>
      </c>
    </row>
    <row r="113" spans="2:27" x14ac:dyDescent="0.35">
      <c r="B113" s="40">
        <v>70</v>
      </c>
      <c r="C113" s="40" t="s">
        <v>382</v>
      </c>
      <c r="D113">
        <v>82</v>
      </c>
      <c r="E113" t="str">
        <f t="shared" si="5"/>
        <v>bsrv</v>
      </c>
      <c r="F113">
        <v>109</v>
      </c>
      <c r="G113" t="s">
        <v>514</v>
      </c>
      <c r="H113" s="34">
        <v>4412.2240000000002</v>
      </c>
      <c r="I113" s="34">
        <v>0</v>
      </c>
      <c r="X113">
        <v>107</v>
      </c>
      <c r="Y113" s="39" t="s">
        <v>1530</v>
      </c>
      <c r="Z113" s="40" t="s">
        <v>1531</v>
      </c>
      <c r="AA113" s="41">
        <v>0.58647406961132553</v>
      </c>
    </row>
    <row r="114" spans="2:27" x14ac:dyDescent="0.35">
      <c r="B114" s="40">
        <v>66</v>
      </c>
      <c r="C114" s="40" t="s">
        <v>380</v>
      </c>
      <c r="D114">
        <v>82</v>
      </c>
      <c r="E114" t="str">
        <f t="shared" si="5"/>
        <v>bsrv</v>
      </c>
      <c r="F114">
        <v>110</v>
      </c>
      <c r="G114" t="s">
        <v>515</v>
      </c>
      <c r="H114" s="34">
        <v>1302.9690000000001</v>
      </c>
      <c r="I114" s="34">
        <v>0</v>
      </c>
      <c r="X114">
        <v>108</v>
      </c>
      <c r="Y114" s="39" t="s">
        <v>1532</v>
      </c>
      <c r="Z114" s="40" t="s">
        <v>1533</v>
      </c>
      <c r="AA114" s="41">
        <v>1.1352719057909986</v>
      </c>
    </row>
    <row r="115" spans="2:27" x14ac:dyDescent="0.35">
      <c r="B115" s="40">
        <v>50</v>
      </c>
      <c r="C115" s="40" t="s">
        <v>371</v>
      </c>
      <c r="D115">
        <v>65</v>
      </c>
      <c r="E115" t="str">
        <f t="shared" si="5"/>
        <v>chem</v>
      </c>
      <c r="F115">
        <v>111</v>
      </c>
      <c r="G115" t="s">
        <v>516</v>
      </c>
      <c r="H115" s="34">
        <v>428.4973</v>
      </c>
      <c r="I115" s="34">
        <v>0</v>
      </c>
      <c r="X115">
        <v>109</v>
      </c>
      <c r="Y115" s="38" t="s">
        <v>1534</v>
      </c>
      <c r="Z115" t="s">
        <v>1535</v>
      </c>
      <c r="AA115" s="37">
        <v>0.57099637140887105</v>
      </c>
    </row>
    <row r="116" spans="2:27" x14ac:dyDescent="0.35">
      <c r="B116" s="40">
        <v>50</v>
      </c>
      <c r="C116" s="40" t="s">
        <v>371</v>
      </c>
      <c r="D116">
        <v>65</v>
      </c>
      <c r="E116" t="str">
        <f t="shared" si="5"/>
        <v>chem</v>
      </c>
      <c r="F116">
        <v>112</v>
      </c>
      <c r="G116" t="s">
        <v>517</v>
      </c>
      <c r="H116" s="34">
        <v>820.59270000000004</v>
      </c>
      <c r="I116" s="34">
        <v>0</v>
      </c>
      <c r="X116">
        <v>110</v>
      </c>
      <c r="Y116" s="39" t="s">
        <v>1536</v>
      </c>
      <c r="Z116" s="40" t="s">
        <v>1537</v>
      </c>
      <c r="AA116" s="41">
        <v>0.57099637140887105</v>
      </c>
    </row>
    <row r="117" spans="2:27" x14ac:dyDescent="0.35">
      <c r="B117" s="40">
        <v>50</v>
      </c>
      <c r="C117" s="40" t="s">
        <v>371</v>
      </c>
      <c r="D117">
        <v>65</v>
      </c>
      <c r="E117" t="str">
        <f t="shared" si="5"/>
        <v>chem</v>
      </c>
      <c r="F117">
        <v>113</v>
      </c>
      <c r="G117" t="s">
        <v>518</v>
      </c>
      <c r="H117" s="34">
        <v>856.35879999999997</v>
      </c>
      <c r="I117" s="34">
        <v>0</v>
      </c>
      <c r="X117">
        <v>111</v>
      </c>
      <c r="Y117" s="39" t="s">
        <v>1538</v>
      </c>
      <c r="Z117" s="40" t="s">
        <v>1539</v>
      </c>
      <c r="AA117" s="41">
        <v>0</v>
      </c>
    </row>
    <row r="118" spans="2:27" x14ac:dyDescent="0.35">
      <c r="B118" s="40">
        <v>50</v>
      </c>
      <c r="C118" s="40" t="s">
        <v>371</v>
      </c>
      <c r="D118">
        <v>65</v>
      </c>
      <c r="E118" t="str">
        <f t="shared" si="5"/>
        <v>chem</v>
      </c>
      <c r="F118">
        <v>114</v>
      </c>
      <c r="G118" t="s">
        <v>519</v>
      </c>
      <c r="H118" s="34">
        <v>381.70010000000002</v>
      </c>
      <c r="I118" s="34">
        <v>0</v>
      </c>
      <c r="X118">
        <v>112</v>
      </c>
      <c r="Y118" s="38" t="s">
        <v>1540</v>
      </c>
      <c r="Z118" t="s">
        <v>1541</v>
      </c>
      <c r="AA118" s="37">
        <v>0.33041947710461184</v>
      </c>
    </row>
    <row r="119" spans="2:27" x14ac:dyDescent="0.35">
      <c r="B119" s="40">
        <v>50</v>
      </c>
      <c r="C119" s="40" t="s">
        <v>371</v>
      </c>
      <c r="D119">
        <v>65</v>
      </c>
      <c r="E119" t="str">
        <f t="shared" si="5"/>
        <v>chem</v>
      </c>
      <c r="F119">
        <v>115</v>
      </c>
      <c r="G119" t="s">
        <v>520</v>
      </c>
      <c r="H119" s="34">
        <v>2.8028189999999999</v>
      </c>
      <c r="I119" s="34">
        <v>0</v>
      </c>
      <c r="X119">
        <v>113</v>
      </c>
      <c r="Y119" s="39" t="s">
        <v>1542</v>
      </c>
      <c r="Z119" s="40" t="s">
        <v>1543</v>
      </c>
      <c r="AA119" s="41">
        <v>0.29643612181343731</v>
      </c>
    </row>
    <row r="120" spans="2:27" x14ac:dyDescent="0.35">
      <c r="B120" s="40">
        <v>50</v>
      </c>
      <c r="C120" s="40" t="s">
        <v>371</v>
      </c>
      <c r="D120">
        <v>65</v>
      </c>
      <c r="E120" t="str">
        <f t="shared" si="5"/>
        <v>chem</v>
      </c>
      <c r="F120">
        <v>116</v>
      </c>
      <c r="G120" t="s">
        <v>521</v>
      </c>
      <c r="H120" s="34">
        <v>2942.3119999999999</v>
      </c>
      <c r="I120" s="34">
        <v>0</v>
      </c>
      <c r="X120">
        <v>114</v>
      </c>
      <c r="Y120" s="39" t="s">
        <v>1544</v>
      </c>
      <c r="Z120" s="40" t="s">
        <v>1545</v>
      </c>
      <c r="AA120" s="41">
        <v>3.3983355291174425E-2</v>
      </c>
    </row>
    <row r="121" spans="2:27" x14ac:dyDescent="0.35">
      <c r="B121" s="40">
        <v>50</v>
      </c>
      <c r="C121" s="40" t="s">
        <v>371</v>
      </c>
      <c r="D121">
        <v>65</v>
      </c>
      <c r="E121" t="str">
        <f t="shared" si="5"/>
        <v>chem</v>
      </c>
      <c r="F121">
        <v>117</v>
      </c>
      <c r="G121" t="s">
        <v>522</v>
      </c>
      <c r="H121" s="34">
        <v>3504.355</v>
      </c>
      <c r="I121" s="34">
        <v>0</v>
      </c>
      <c r="X121">
        <v>115</v>
      </c>
      <c r="Y121" s="36" t="s">
        <v>1546</v>
      </c>
      <c r="Z121" t="s">
        <v>1547</v>
      </c>
      <c r="AA121" s="37">
        <v>1.117078781164045</v>
      </c>
    </row>
    <row r="122" spans="2:27" x14ac:dyDescent="0.35">
      <c r="B122" s="40">
        <v>50</v>
      </c>
      <c r="C122" s="40" t="s">
        <v>371</v>
      </c>
      <c r="D122">
        <v>65</v>
      </c>
      <c r="E122" t="str">
        <f t="shared" si="5"/>
        <v>chem</v>
      </c>
      <c r="F122">
        <v>118</v>
      </c>
      <c r="G122" t="s">
        <v>523</v>
      </c>
      <c r="H122" s="34">
        <v>454.63709999999998</v>
      </c>
      <c r="I122" s="34">
        <v>0</v>
      </c>
      <c r="X122">
        <v>116</v>
      </c>
      <c r="Y122" s="38" t="s">
        <v>1548</v>
      </c>
      <c r="Z122" t="s">
        <v>1549</v>
      </c>
      <c r="AA122" s="37">
        <v>1.0441674536686893</v>
      </c>
    </row>
    <row r="123" spans="2:27" x14ac:dyDescent="0.35">
      <c r="B123" s="40">
        <v>50</v>
      </c>
      <c r="C123" s="40" t="s">
        <v>371</v>
      </c>
      <c r="D123">
        <v>65</v>
      </c>
      <c r="E123" t="str">
        <f t="shared" si="5"/>
        <v>chem</v>
      </c>
      <c r="F123">
        <v>119</v>
      </c>
      <c r="G123" t="s">
        <v>524</v>
      </c>
      <c r="H123" s="34">
        <v>2021.8630000000001</v>
      </c>
      <c r="I123" s="34">
        <v>0</v>
      </c>
      <c r="X123">
        <v>117</v>
      </c>
      <c r="Y123" s="39" t="s">
        <v>1550</v>
      </c>
      <c r="Z123" s="40" t="s">
        <v>1551</v>
      </c>
      <c r="AA123" s="41">
        <v>0.42137868367334386</v>
      </c>
    </row>
    <row r="124" spans="2:27" x14ac:dyDescent="0.35">
      <c r="B124" s="40">
        <v>50</v>
      </c>
      <c r="C124" s="40" t="s">
        <v>371</v>
      </c>
      <c r="D124">
        <v>65</v>
      </c>
      <c r="E124" t="str">
        <f t="shared" si="5"/>
        <v>chem</v>
      </c>
      <c r="F124">
        <v>120</v>
      </c>
      <c r="G124" t="s">
        <v>525</v>
      </c>
      <c r="H124" s="34">
        <v>88.639979999999994</v>
      </c>
      <c r="I124" s="34">
        <v>0</v>
      </c>
      <c r="X124">
        <v>118</v>
      </c>
      <c r="Y124" s="39" t="s">
        <v>1552</v>
      </c>
      <c r="Z124" s="40" t="s">
        <v>1553</v>
      </c>
      <c r="AA124" s="41">
        <v>0.32150399975075961</v>
      </c>
    </row>
    <row r="125" spans="2:27" x14ac:dyDescent="0.35">
      <c r="B125" s="40">
        <v>50</v>
      </c>
      <c r="C125" s="40" t="s">
        <v>371</v>
      </c>
      <c r="D125">
        <v>65</v>
      </c>
      <c r="E125" t="str">
        <f t="shared" si="5"/>
        <v>chem</v>
      </c>
      <c r="F125">
        <v>121</v>
      </c>
      <c r="G125" t="s">
        <v>526</v>
      </c>
      <c r="H125" s="34">
        <v>730.30409999999995</v>
      </c>
      <c r="I125" s="34">
        <v>0</v>
      </c>
      <c r="X125">
        <v>119</v>
      </c>
      <c r="Y125" s="39" t="s">
        <v>1554</v>
      </c>
      <c r="Z125" s="40" t="s">
        <v>1555</v>
      </c>
      <c r="AA125" s="41">
        <v>0.30128477024458605</v>
      </c>
    </row>
    <row r="126" spans="2:27" x14ac:dyDescent="0.35">
      <c r="B126" s="40">
        <v>50</v>
      </c>
      <c r="C126" s="40" t="s">
        <v>371</v>
      </c>
      <c r="D126">
        <v>65</v>
      </c>
      <c r="E126" t="str">
        <f t="shared" si="5"/>
        <v>chem</v>
      </c>
      <c r="F126">
        <v>122</v>
      </c>
      <c r="G126" t="s">
        <v>527</v>
      </c>
      <c r="H126" s="34">
        <v>177.16970000000001</v>
      </c>
      <c r="I126" s="34">
        <v>0</v>
      </c>
      <c r="X126">
        <v>120</v>
      </c>
      <c r="Y126" s="38" t="s">
        <v>1556</v>
      </c>
      <c r="Z126" t="s">
        <v>1557</v>
      </c>
      <c r="AA126" s="37">
        <v>7.2911327495355477E-2</v>
      </c>
    </row>
    <row r="127" spans="2:27" x14ac:dyDescent="0.35">
      <c r="B127" s="40">
        <v>69</v>
      </c>
      <c r="C127" s="40" t="s">
        <v>374</v>
      </c>
      <c r="D127">
        <v>85</v>
      </c>
      <c r="E127" t="str">
        <f t="shared" si="5"/>
        <v>heal</v>
      </c>
      <c r="F127">
        <v>123</v>
      </c>
      <c r="G127" t="s">
        <v>528</v>
      </c>
      <c r="H127" s="34">
        <v>11060.16</v>
      </c>
      <c r="I127" s="34">
        <v>0</v>
      </c>
      <c r="X127">
        <v>121</v>
      </c>
      <c r="Y127" s="39" t="s">
        <v>1556</v>
      </c>
      <c r="Z127" s="40" t="s">
        <v>1558</v>
      </c>
      <c r="AA127" s="41">
        <v>0</v>
      </c>
    </row>
    <row r="128" spans="2:27" x14ac:dyDescent="0.35">
      <c r="B128" s="40">
        <v>69</v>
      </c>
      <c r="C128" s="40" t="s">
        <v>374</v>
      </c>
      <c r="D128">
        <v>85</v>
      </c>
      <c r="E128" t="str">
        <f t="shared" si="5"/>
        <v>heal</v>
      </c>
      <c r="F128">
        <v>124</v>
      </c>
      <c r="G128" t="s">
        <v>529</v>
      </c>
      <c r="H128" s="34">
        <v>1186.133</v>
      </c>
      <c r="I128" s="34">
        <v>0</v>
      </c>
      <c r="X128">
        <v>122</v>
      </c>
      <c r="Y128" s="5" t="s">
        <v>1559</v>
      </c>
      <c r="Z128" s="5" t="s">
        <v>1560</v>
      </c>
      <c r="AA128" s="35">
        <v>19.924471831337282</v>
      </c>
    </row>
    <row r="129" spans="2:27" x14ac:dyDescent="0.35">
      <c r="B129" s="40">
        <v>70</v>
      </c>
      <c r="C129" s="40" t="s">
        <v>382</v>
      </c>
      <c r="D129">
        <v>86</v>
      </c>
      <c r="E129" t="str">
        <f t="shared" si="5"/>
        <v>osrv</v>
      </c>
      <c r="F129">
        <v>125</v>
      </c>
      <c r="G129" t="s">
        <v>531</v>
      </c>
      <c r="H129" s="34">
        <v>104.9774</v>
      </c>
      <c r="I129" s="34">
        <v>0</v>
      </c>
      <c r="X129">
        <v>123</v>
      </c>
      <c r="Y129" s="36" t="s">
        <v>1561</v>
      </c>
      <c r="Z129" t="s">
        <v>1562</v>
      </c>
      <c r="AA129" s="37">
        <v>1.3580460309952831</v>
      </c>
    </row>
    <row r="130" spans="2:27" x14ac:dyDescent="0.35">
      <c r="B130" s="40">
        <v>70</v>
      </c>
      <c r="C130" s="40" t="s">
        <v>382</v>
      </c>
      <c r="D130">
        <v>86</v>
      </c>
      <c r="E130" t="str">
        <f t="shared" si="5"/>
        <v>osrv</v>
      </c>
      <c r="F130">
        <v>126</v>
      </c>
      <c r="G130" t="s">
        <v>532</v>
      </c>
      <c r="H130" s="34">
        <v>512.59810000000004</v>
      </c>
      <c r="I130" s="34">
        <v>0</v>
      </c>
      <c r="X130">
        <v>124</v>
      </c>
      <c r="Y130" s="38" t="s">
        <v>1563</v>
      </c>
      <c r="Z130" t="s">
        <v>1564</v>
      </c>
      <c r="AA130" s="37">
        <v>1.3580460309952831</v>
      </c>
    </row>
    <row r="131" spans="2:27" x14ac:dyDescent="0.35">
      <c r="B131" s="40">
        <v>70</v>
      </c>
      <c r="C131" s="40" t="s">
        <v>382</v>
      </c>
      <c r="D131">
        <v>86</v>
      </c>
      <c r="E131" t="str">
        <f t="shared" si="5"/>
        <v>osrv</v>
      </c>
      <c r="F131">
        <v>127</v>
      </c>
      <c r="G131" t="s">
        <v>533</v>
      </c>
      <c r="H131" s="34">
        <v>98.709320000000005</v>
      </c>
      <c r="I131" s="34">
        <v>0</v>
      </c>
      <c r="X131">
        <v>125</v>
      </c>
      <c r="Y131" s="39" t="s">
        <v>1563</v>
      </c>
      <c r="Z131" s="40" t="s">
        <v>1565</v>
      </c>
      <c r="AA131" s="41">
        <v>0</v>
      </c>
    </row>
    <row r="132" spans="2:27" x14ac:dyDescent="0.35">
      <c r="B132" s="40">
        <v>47</v>
      </c>
      <c r="C132" s="40" t="s">
        <v>767</v>
      </c>
      <c r="D132">
        <v>79</v>
      </c>
      <c r="E132" t="str">
        <f t="shared" si="5"/>
        <v>comm</v>
      </c>
      <c r="F132">
        <v>128</v>
      </c>
      <c r="G132" t="s">
        <v>534</v>
      </c>
      <c r="H132" s="34">
        <v>21.761130000000001</v>
      </c>
      <c r="I132" s="34">
        <v>0</v>
      </c>
      <c r="X132">
        <v>126</v>
      </c>
      <c r="Y132" s="38" t="s">
        <v>1566</v>
      </c>
      <c r="Z132" t="s">
        <v>1567</v>
      </c>
      <c r="AA132" s="37">
        <v>0</v>
      </c>
    </row>
    <row r="133" spans="2:27" x14ac:dyDescent="0.35">
      <c r="B133" s="40">
        <v>47</v>
      </c>
      <c r="C133" s="40" t="s">
        <v>767</v>
      </c>
      <c r="D133">
        <v>79</v>
      </c>
      <c r="E133" t="str">
        <f t="shared" si="5"/>
        <v>comm</v>
      </c>
      <c r="F133">
        <v>129</v>
      </c>
      <c r="G133" t="s">
        <v>535</v>
      </c>
      <c r="H133" s="34">
        <v>333.14429999999999</v>
      </c>
      <c r="I133" s="34">
        <v>0</v>
      </c>
      <c r="X133">
        <v>127</v>
      </c>
      <c r="Y133" s="39" t="s">
        <v>1568</v>
      </c>
      <c r="Z133" s="40" t="s">
        <v>1569</v>
      </c>
      <c r="AA133" s="41">
        <v>0</v>
      </c>
    </row>
    <row r="134" spans="2:27" x14ac:dyDescent="0.35">
      <c r="B134" s="40">
        <v>50</v>
      </c>
      <c r="C134" s="40" t="s">
        <v>371</v>
      </c>
      <c r="D134">
        <v>65</v>
      </c>
      <c r="E134" t="str">
        <f t="shared" si="5"/>
        <v>chem</v>
      </c>
      <c r="F134">
        <v>130</v>
      </c>
      <c r="G134" t="s">
        <v>536</v>
      </c>
      <c r="H134" s="34">
        <v>23433.55</v>
      </c>
      <c r="I134" s="34">
        <v>0</v>
      </c>
      <c r="X134">
        <v>128</v>
      </c>
      <c r="Y134" s="39" t="s">
        <v>1570</v>
      </c>
      <c r="Z134" s="40" t="s">
        <v>1571</v>
      </c>
      <c r="AA134" s="41">
        <v>0</v>
      </c>
    </row>
    <row r="135" spans="2:27" x14ac:dyDescent="0.35">
      <c r="B135" s="40">
        <v>50</v>
      </c>
      <c r="C135" s="40" t="s">
        <v>371</v>
      </c>
      <c r="D135">
        <v>65</v>
      </c>
      <c r="E135" t="str">
        <f t="shared" ref="E135:E198" si="8">IF(ISNA(VLOOKUP(D135,$K$7:$L$92,2,0)),"",VLOOKUP(D135,$K$7:$L$92,2,0))</f>
        <v>chem</v>
      </c>
      <c r="F135">
        <v>131</v>
      </c>
      <c r="G135" t="s">
        <v>537</v>
      </c>
      <c r="H135" s="34">
        <v>2402.9319999999998</v>
      </c>
      <c r="I135" s="34">
        <v>0</v>
      </c>
      <c r="X135">
        <v>129</v>
      </c>
      <c r="Y135" s="36" t="s">
        <v>1572</v>
      </c>
      <c r="Z135" t="s">
        <v>1573</v>
      </c>
      <c r="AA135" s="37">
        <v>6.9061263788672669</v>
      </c>
    </row>
    <row r="136" spans="2:27" x14ac:dyDescent="0.35">
      <c r="B136" s="40">
        <v>50</v>
      </c>
      <c r="C136" s="40" t="s">
        <v>371</v>
      </c>
      <c r="D136">
        <v>65</v>
      </c>
      <c r="E136" t="str">
        <f t="shared" si="8"/>
        <v>chem</v>
      </c>
      <c r="F136">
        <v>132</v>
      </c>
      <c r="G136" t="s">
        <v>538</v>
      </c>
      <c r="H136" s="34">
        <v>2686.7669999999998</v>
      </c>
      <c r="I136" s="34">
        <v>0</v>
      </c>
      <c r="X136">
        <v>130</v>
      </c>
      <c r="Y136" s="38" t="s">
        <v>1574</v>
      </c>
      <c r="Z136" t="s">
        <v>1575</v>
      </c>
      <c r="AA136" s="37">
        <v>6.9061263788672669</v>
      </c>
    </row>
    <row r="137" spans="2:27" x14ac:dyDescent="0.35">
      <c r="B137" s="40">
        <v>50</v>
      </c>
      <c r="C137" s="40" t="s">
        <v>371</v>
      </c>
      <c r="D137">
        <v>64</v>
      </c>
      <c r="E137" t="str">
        <f t="shared" si="8"/>
        <v>fert</v>
      </c>
      <c r="F137">
        <v>133</v>
      </c>
      <c r="G137" t="s">
        <v>539</v>
      </c>
      <c r="H137" s="34">
        <v>194.23609999999999</v>
      </c>
      <c r="I137" s="34">
        <v>0</v>
      </c>
      <c r="X137">
        <v>131</v>
      </c>
      <c r="Y137" s="39" t="s">
        <v>1574</v>
      </c>
      <c r="Z137" s="40" t="s">
        <v>1576</v>
      </c>
      <c r="AA137" s="41">
        <v>0</v>
      </c>
    </row>
    <row r="138" spans="2:27" x14ac:dyDescent="0.35">
      <c r="B138" s="40">
        <v>47</v>
      </c>
      <c r="C138" s="40" t="s">
        <v>767</v>
      </c>
      <c r="D138">
        <v>62</v>
      </c>
      <c r="E138" t="str">
        <f t="shared" si="8"/>
        <v>papr</v>
      </c>
      <c r="F138">
        <v>134</v>
      </c>
      <c r="G138" t="s">
        <v>540</v>
      </c>
      <c r="H138" s="34">
        <v>1224.076</v>
      </c>
      <c r="I138" s="34">
        <v>0</v>
      </c>
      <c r="X138">
        <v>132</v>
      </c>
      <c r="Y138" s="38" t="s">
        <v>1577</v>
      </c>
      <c r="Z138" t="s">
        <v>1578</v>
      </c>
      <c r="AA138" s="37">
        <v>0</v>
      </c>
    </row>
    <row r="139" spans="2:27" x14ac:dyDescent="0.35">
      <c r="B139" s="40">
        <v>48</v>
      </c>
      <c r="C139" s="40" t="s">
        <v>379</v>
      </c>
      <c r="D139">
        <v>63</v>
      </c>
      <c r="E139" t="str">
        <f t="shared" si="8"/>
        <v>petr</v>
      </c>
      <c r="F139">
        <v>135</v>
      </c>
      <c r="G139" t="s">
        <v>541</v>
      </c>
      <c r="H139" s="34">
        <v>22832.81</v>
      </c>
      <c r="I139" s="34">
        <v>0</v>
      </c>
      <c r="X139">
        <v>133</v>
      </c>
      <c r="Y139" s="39" t="s">
        <v>1577</v>
      </c>
      <c r="Z139" s="40" t="s">
        <v>1579</v>
      </c>
      <c r="AA139" s="41">
        <v>0</v>
      </c>
    </row>
    <row r="140" spans="2:27" x14ac:dyDescent="0.35">
      <c r="B140" s="40">
        <v>48</v>
      </c>
      <c r="C140" s="40" t="s">
        <v>379</v>
      </c>
      <c r="D140">
        <v>63</v>
      </c>
      <c r="E140" t="str">
        <f t="shared" si="8"/>
        <v>petr</v>
      </c>
      <c r="F140">
        <v>136</v>
      </c>
      <c r="G140" t="s">
        <v>542</v>
      </c>
      <c r="H140" s="34">
        <v>7688.0540000000001</v>
      </c>
      <c r="I140" s="34">
        <v>0</v>
      </c>
      <c r="X140">
        <v>134</v>
      </c>
      <c r="Y140" s="36" t="s">
        <v>1580</v>
      </c>
      <c r="Z140" t="s">
        <v>1581</v>
      </c>
      <c r="AA140" s="37">
        <v>4.3034332575882326</v>
      </c>
    </row>
    <row r="141" spans="2:27" x14ac:dyDescent="0.35">
      <c r="B141" s="40">
        <v>48</v>
      </c>
      <c r="C141" s="40" t="s">
        <v>379</v>
      </c>
      <c r="D141">
        <v>63</v>
      </c>
      <c r="E141" t="str">
        <f t="shared" si="8"/>
        <v>petr</v>
      </c>
      <c r="F141">
        <v>137</v>
      </c>
      <c r="G141" t="s">
        <v>543</v>
      </c>
      <c r="H141" s="34">
        <v>955.08529999999996</v>
      </c>
      <c r="I141" s="34">
        <v>0</v>
      </c>
      <c r="X141">
        <v>135</v>
      </c>
      <c r="Y141" s="38" t="s">
        <v>1582</v>
      </c>
      <c r="Z141" t="s">
        <v>1583</v>
      </c>
      <c r="AA141" s="37">
        <v>2.0179074951747173</v>
      </c>
    </row>
    <row r="142" spans="2:27" x14ac:dyDescent="0.35">
      <c r="B142" s="40">
        <v>61</v>
      </c>
      <c r="C142" s="40" t="s">
        <v>376</v>
      </c>
      <c r="D142">
        <v>76</v>
      </c>
      <c r="E142" t="str">
        <f t="shared" si="8"/>
        <v>tran</v>
      </c>
      <c r="F142">
        <v>138</v>
      </c>
      <c r="G142" t="s">
        <v>544</v>
      </c>
      <c r="H142" s="34">
        <v>684.68340000000001</v>
      </c>
      <c r="I142" s="34">
        <v>0</v>
      </c>
      <c r="X142">
        <v>136</v>
      </c>
      <c r="Y142" s="39" t="s">
        <v>1582</v>
      </c>
      <c r="Z142" s="40" t="s">
        <v>1584</v>
      </c>
      <c r="AA142" s="41">
        <v>0</v>
      </c>
    </row>
    <row r="143" spans="2:27" x14ac:dyDescent="0.35">
      <c r="B143" s="40">
        <v>61</v>
      </c>
      <c r="C143" s="40" t="s">
        <v>376</v>
      </c>
      <c r="D143">
        <v>76</v>
      </c>
      <c r="E143" t="str">
        <f t="shared" si="8"/>
        <v>tran</v>
      </c>
      <c r="F143">
        <v>139</v>
      </c>
      <c r="G143" t="s">
        <v>545</v>
      </c>
      <c r="H143" s="34">
        <v>956.47990000000004</v>
      </c>
      <c r="I143" s="34">
        <v>0</v>
      </c>
      <c r="X143">
        <v>137</v>
      </c>
      <c r="Y143" s="38" t="s">
        <v>1585</v>
      </c>
      <c r="Z143" t="s">
        <v>1586</v>
      </c>
      <c r="AA143" s="37">
        <v>2.2855257624135161</v>
      </c>
    </row>
    <row r="144" spans="2:27" x14ac:dyDescent="0.35">
      <c r="B144" s="40">
        <v>61</v>
      </c>
      <c r="C144" s="40" t="s">
        <v>376</v>
      </c>
      <c r="D144">
        <v>76</v>
      </c>
      <c r="E144" t="str">
        <f t="shared" si="8"/>
        <v>tran</v>
      </c>
      <c r="F144">
        <v>140</v>
      </c>
      <c r="G144" t="s">
        <v>546</v>
      </c>
      <c r="H144" s="34">
        <v>46884.55</v>
      </c>
      <c r="I144" s="34">
        <v>0</v>
      </c>
      <c r="X144">
        <v>138</v>
      </c>
      <c r="Y144" s="39" t="s">
        <v>1587</v>
      </c>
      <c r="Z144" s="40" t="s">
        <v>1588</v>
      </c>
      <c r="AA144" s="41">
        <v>2.2855257624135161</v>
      </c>
    </row>
    <row r="145" spans="2:27" x14ac:dyDescent="0.35">
      <c r="B145" s="40">
        <v>55</v>
      </c>
      <c r="C145" s="40" t="s">
        <v>771</v>
      </c>
      <c r="D145">
        <v>70</v>
      </c>
      <c r="E145" t="str">
        <f t="shared" si="8"/>
        <v>vehi</v>
      </c>
      <c r="F145">
        <v>141</v>
      </c>
      <c r="G145" t="s">
        <v>547</v>
      </c>
      <c r="H145" s="34">
        <v>20512.47</v>
      </c>
      <c r="I145" s="34">
        <v>0</v>
      </c>
      <c r="X145">
        <v>139</v>
      </c>
      <c r="Y145" s="39" t="s">
        <v>1589</v>
      </c>
      <c r="Z145" s="40" t="s">
        <v>1590</v>
      </c>
      <c r="AA145" s="41">
        <v>0</v>
      </c>
    </row>
    <row r="146" spans="2:27" x14ac:dyDescent="0.35">
      <c r="B146" s="40">
        <v>61</v>
      </c>
      <c r="C146" s="40" t="s">
        <v>376</v>
      </c>
      <c r="D146">
        <v>70</v>
      </c>
      <c r="E146" t="str">
        <f t="shared" si="8"/>
        <v>vehi</v>
      </c>
      <c r="F146">
        <v>142</v>
      </c>
      <c r="G146" t="s">
        <v>548</v>
      </c>
      <c r="H146" s="34">
        <v>489.11239999999998</v>
      </c>
      <c r="I146" s="34">
        <v>0</v>
      </c>
      <c r="X146">
        <v>140</v>
      </c>
      <c r="Y146" s="39" t="s">
        <v>1591</v>
      </c>
      <c r="Z146" s="40" t="s">
        <v>1592</v>
      </c>
      <c r="AA146" s="41">
        <v>0</v>
      </c>
    </row>
    <row r="147" spans="2:27" x14ac:dyDescent="0.35">
      <c r="B147" s="40">
        <v>48</v>
      </c>
      <c r="C147" s="40" t="s">
        <v>379</v>
      </c>
      <c r="D147">
        <v>63</v>
      </c>
      <c r="E147" t="str">
        <f t="shared" si="8"/>
        <v>petr</v>
      </c>
      <c r="F147">
        <v>143</v>
      </c>
      <c r="G147" t="s">
        <v>549</v>
      </c>
      <c r="H147" s="34">
        <v>366.84949999999998</v>
      </c>
      <c r="I147" s="34">
        <v>0</v>
      </c>
      <c r="X147">
        <v>141</v>
      </c>
      <c r="Y147" s="39" t="s">
        <v>1593</v>
      </c>
      <c r="Z147" s="40" t="s">
        <v>1594</v>
      </c>
      <c r="AA147" s="41">
        <v>0</v>
      </c>
    </row>
    <row r="148" spans="2:27" x14ac:dyDescent="0.35">
      <c r="B148" s="40">
        <v>48</v>
      </c>
      <c r="C148" s="40" t="s">
        <v>379</v>
      </c>
      <c r="D148">
        <v>63</v>
      </c>
      <c r="E148" t="str">
        <f t="shared" si="8"/>
        <v>petr</v>
      </c>
      <c r="F148">
        <v>144</v>
      </c>
      <c r="G148" t="s">
        <v>550</v>
      </c>
      <c r="H148" s="34">
        <v>1951.364</v>
      </c>
      <c r="I148" s="34">
        <v>0</v>
      </c>
      <c r="X148">
        <v>142</v>
      </c>
      <c r="Y148" s="39" t="s">
        <v>1595</v>
      </c>
      <c r="Z148" s="40" t="s">
        <v>1596</v>
      </c>
      <c r="AA148" s="41">
        <v>0</v>
      </c>
    </row>
    <row r="149" spans="2:27" x14ac:dyDescent="0.35">
      <c r="B149" s="40">
        <v>26</v>
      </c>
      <c r="C149" s="40" t="s">
        <v>372</v>
      </c>
      <c r="D149">
        <v>33</v>
      </c>
      <c r="E149" t="str">
        <f t="shared" si="8"/>
        <v>fore</v>
      </c>
      <c r="F149">
        <v>145</v>
      </c>
      <c r="G149" t="s">
        <v>551</v>
      </c>
      <c r="H149" s="34">
        <v>27025.52</v>
      </c>
      <c r="I149" s="34">
        <v>0</v>
      </c>
      <c r="X149">
        <v>143</v>
      </c>
      <c r="Y149" s="39" t="s">
        <v>1597</v>
      </c>
      <c r="Z149" s="40" t="s">
        <v>1598</v>
      </c>
      <c r="AA149" s="41">
        <v>0</v>
      </c>
    </row>
    <row r="150" spans="2:27" x14ac:dyDescent="0.35">
      <c r="B150" s="40">
        <v>26</v>
      </c>
      <c r="C150" s="40" t="s">
        <v>372</v>
      </c>
      <c r="D150">
        <v>33</v>
      </c>
      <c r="E150" t="str">
        <f t="shared" si="8"/>
        <v>fore</v>
      </c>
      <c r="F150">
        <v>146</v>
      </c>
      <c r="G150" t="s">
        <v>552</v>
      </c>
      <c r="H150" s="34">
        <v>4933.09</v>
      </c>
      <c r="I150" s="34">
        <v>0</v>
      </c>
      <c r="X150">
        <v>144</v>
      </c>
      <c r="Y150" s="36" t="s">
        <v>1599</v>
      </c>
      <c r="Z150" t="s">
        <v>1600</v>
      </c>
      <c r="AA150" s="37">
        <v>0.53869979998862771</v>
      </c>
    </row>
    <row r="151" spans="2:27" x14ac:dyDescent="0.35">
      <c r="B151" s="40">
        <v>50</v>
      </c>
      <c r="C151" s="40" t="s">
        <v>371</v>
      </c>
      <c r="D151">
        <v>65</v>
      </c>
      <c r="E151" t="str">
        <f t="shared" si="8"/>
        <v>chem</v>
      </c>
      <c r="F151">
        <v>147</v>
      </c>
      <c r="G151" t="s">
        <v>553</v>
      </c>
      <c r="H151" s="34">
        <v>4353.7190000000001</v>
      </c>
      <c r="I151" s="34">
        <v>0</v>
      </c>
      <c r="X151">
        <v>145</v>
      </c>
      <c r="Y151" s="38" t="s">
        <v>1601</v>
      </c>
      <c r="Z151" t="s">
        <v>1602</v>
      </c>
      <c r="AA151" s="37">
        <v>0.48836882354068745</v>
      </c>
    </row>
    <row r="152" spans="2:27" x14ac:dyDescent="0.35">
      <c r="B152" s="40">
        <v>50</v>
      </c>
      <c r="C152" s="40" t="s">
        <v>371</v>
      </c>
      <c r="D152">
        <v>65</v>
      </c>
      <c r="E152" t="str">
        <f t="shared" si="8"/>
        <v>chem</v>
      </c>
      <c r="F152">
        <v>148</v>
      </c>
      <c r="G152" t="s">
        <v>554</v>
      </c>
      <c r="H152" s="34">
        <v>130.57919999999999</v>
      </c>
      <c r="I152" s="34">
        <v>0</v>
      </c>
      <c r="X152">
        <v>146</v>
      </c>
      <c r="Y152" s="39" t="s">
        <v>1601</v>
      </c>
      <c r="Z152" s="40" t="s">
        <v>1603</v>
      </c>
      <c r="AA152" s="41">
        <v>0</v>
      </c>
    </row>
    <row r="153" spans="2:27" x14ac:dyDescent="0.35">
      <c r="B153" s="40">
        <v>50</v>
      </c>
      <c r="C153" s="40" t="s">
        <v>371</v>
      </c>
      <c r="D153">
        <v>65</v>
      </c>
      <c r="E153" t="str">
        <f t="shared" si="8"/>
        <v>chem</v>
      </c>
      <c r="F153">
        <v>149</v>
      </c>
      <c r="G153" t="s">
        <v>555</v>
      </c>
      <c r="H153" s="34">
        <v>1523.087</v>
      </c>
      <c r="I153" s="34">
        <v>0</v>
      </c>
      <c r="X153">
        <v>147</v>
      </c>
      <c r="Y153" s="38" t="s">
        <v>1604</v>
      </c>
      <c r="Z153" t="s">
        <v>1605</v>
      </c>
      <c r="AA153" s="37">
        <v>5.0330976447940323E-2</v>
      </c>
    </row>
    <row r="154" spans="2:27" x14ac:dyDescent="0.35">
      <c r="B154" s="40">
        <v>50</v>
      </c>
      <c r="C154" s="40" t="s">
        <v>371</v>
      </c>
      <c r="D154">
        <v>65</v>
      </c>
      <c r="E154" t="str">
        <f t="shared" si="8"/>
        <v>chem</v>
      </c>
      <c r="F154">
        <v>150</v>
      </c>
      <c r="G154" t="s">
        <v>556</v>
      </c>
      <c r="H154" s="34">
        <v>1854.462</v>
      </c>
      <c r="I154" s="34">
        <v>0</v>
      </c>
      <c r="X154">
        <v>148</v>
      </c>
      <c r="Y154" s="39" t="s">
        <v>1604</v>
      </c>
      <c r="Z154" s="40" t="s">
        <v>1606</v>
      </c>
      <c r="AA154" s="41">
        <v>0</v>
      </c>
    </row>
    <row r="155" spans="2:27" x14ac:dyDescent="0.35">
      <c r="B155" s="40">
        <v>48</v>
      </c>
      <c r="C155" s="40" t="s">
        <v>379</v>
      </c>
      <c r="D155">
        <v>63</v>
      </c>
      <c r="E155" t="str">
        <f t="shared" si="8"/>
        <v>petr</v>
      </c>
      <c r="F155">
        <v>151</v>
      </c>
      <c r="G155" t="s">
        <v>557</v>
      </c>
      <c r="H155" s="34">
        <v>104.3212</v>
      </c>
      <c r="I155" s="34">
        <v>0</v>
      </c>
      <c r="X155">
        <v>149</v>
      </c>
      <c r="Y155" s="38" t="s">
        <v>1607</v>
      </c>
      <c r="Z155" t="s">
        <v>1608</v>
      </c>
      <c r="AA155" s="37">
        <v>0</v>
      </c>
    </row>
    <row r="156" spans="2:27" x14ac:dyDescent="0.35">
      <c r="B156" s="40">
        <v>60</v>
      </c>
      <c r="C156" s="40" t="s">
        <v>352</v>
      </c>
      <c r="D156">
        <v>71</v>
      </c>
      <c r="E156" t="str">
        <f t="shared" si="8"/>
        <v>oman</v>
      </c>
      <c r="F156">
        <v>152</v>
      </c>
      <c r="G156" t="s">
        <v>558</v>
      </c>
      <c r="H156" s="34">
        <v>423.90350000000001</v>
      </c>
      <c r="I156" s="34">
        <v>0</v>
      </c>
      <c r="X156">
        <v>150</v>
      </c>
      <c r="Y156" s="39" t="s">
        <v>1607</v>
      </c>
      <c r="Z156" s="40" t="s">
        <v>1609</v>
      </c>
      <c r="AA156" s="41">
        <v>0</v>
      </c>
    </row>
    <row r="157" spans="2:27" x14ac:dyDescent="0.35">
      <c r="B157" s="40">
        <v>60</v>
      </c>
      <c r="C157" s="40" t="s">
        <v>352</v>
      </c>
      <c r="D157">
        <v>71</v>
      </c>
      <c r="E157" t="str">
        <f t="shared" si="8"/>
        <v>oman</v>
      </c>
      <c r="F157">
        <v>153</v>
      </c>
      <c r="G157" t="s">
        <v>559</v>
      </c>
      <c r="H157" s="34">
        <v>768.0154</v>
      </c>
      <c r="I157" s="34">
        <v>0</v>
      </c>
      <c r="X157">
        <v>151</v>
      </c>
      <c r="Y157" s="38" t="s">
        <v>1610</v>
      </c>
      <c r="Z157" t="s">
        <v>1611</v>
      </c>
      <c r="AA157" s="37">
        <v>0</v>
      </c>
    </row>
    <row r="158" spans="2:27" x14ac:dyDescent="0.35">
      <c r="B158" s="40">
        <v>60</v>
      </c>
      <c r="C158" s="40" t="s">
        <v>352</v>
      </c>
      <c r="D158">
        <v>71</v>
      </c>
      <c r="E158" t="str">
        <f t="shared" si="8"/>
        <v>oman</v>
      </c>
      <c r="F158">
        <v>154</v>
      </c>
      <c r="G158" t="s">
        <v>754</v>
      </c>
      <c r="H158" s="34">
        <v>88.911050000000003</v>
      </c>
      <c r="I158" s="34">
        <v>0</v>
      </c>
      <c r="X158">
        <v>152</v>
      </c>
      <c r="Y158" s="39" t="s">
        <v>1612</v>
      </c>
      <c r="Z158" s="40" t="s">
        <v>1613</v>
      </c>
      <c r="AA158" s="41">
        <v>0</v>
      </c>
    </row>
    <row r="159" spans="2:27" x14ac:dyDescent="0.35">
      <c r="B159" s="40">
        <v>70</v>
      </c>
      <c r="C159" s="40" t="s">
        <v>382</v>
      </c>
      <c r="D159">
        <v>79</v>
      </c>
      <c r="E159" t="str">
        <f t="shared" si="8"/>
        <v>comm</v>
      </c>
      <c r="F159">
        <v>155</v>
      </c>
      <c r="G159" t="s">
        <v>560</v>
      </c>
      <c r="H159" s="34">
        <v>3243.643</v>
      </c>
      <c r="I159" s="34">
        <v>0</v>
      </c>
      <c r="X159">
        <v>153</v>
      </c>
      <c r="Y159" s="39" t="s">
        <v>514</v>
      </c>
      <c r="Z159" s="40" t="s">
        <v>1614</v>
      </c>
      <c r="AA159" s="41">
        <v>0</v>
      </c>
    </row>
    <row r="160" spans="2:27" x14ac:dyDescent="0.35">
      <c r="B160" s="40">
        <v>70</v>
      </c>
      <c r="C160" s="40" t="s">
        <v>382</v>
      </c>
      <c r="D160">
        <v>79</v>
      </c>
      <c r="E160" t="str">
        <f t="shared" si="8"/>
        <v>comm</v>
      </c>
      <c r="F160">
        <v>156</v>
      </c>
      <c r="G160" t="s">
        <v>561</v>
      </c>
      <c r="H160" s="34">
        <v>54721.46</v>
      </c>
      <c r="I160" s="34">
        <v>0</v>
      </c>
      <c r="X160">
        <v>154</v>
      </c>
      <c r="Y160" s="39" t="s">
        <v>1615</v>
      </c>
      <c r="Z160" s="40" t="s">
        <v>1616</v>
      </c>
      <c r="AA160" s="41">
        <v>0</v>
      </c>
    </row>
    <row r="161" spans="1:27" x14ac:dyDescent="0.35">
      <c r="B161" s="40">
        <v>70</v>
      </c>
      <c r="C161" s="40" t="s">
        <v>382</v>
      </c>
      <c r="D161">
        <v>79</v>
      </c>
      <c r="E161" t="str">
        <f t="shared" si="8"/>
        <v>comm</v>
      </c>
      <c r="F161">
        <v>157</v>
      </c>
      <c r="G161" t="s">
        <v>562</v>
      </c>
      <c r="H161" s="34">
        <v>13.87721</v>
      </c>
      <c r="I161" s="34">
        <v>0</v>
      </c>
      <c r="X161">
        <v>155</v>
      </c>
      <c r="Y161" s="36" t="s">
        <v>1617</v>
      </c>
      <c r="Z161" t="s">
        <v>1618</v>
      </c>
      <c r="AA161" s="37">
        <v>6.818166363897868</v>
      </c>
    </row>
    <row r="162" spans="1:27" x14ac:dyDescent="0.35">
      <c r="B162" s="40">
        <v>70</v>
      </c>
      <c r="C162" s="40" t="s">
        <v>382</v>
      </c>
      <c r="D162">
        <v>79</v>
      </c>
      <c r="E162" t="str">
        <f t="shared" si="8"/>
        <v>comm</v>
      </c>
      <c r="F162">
        <v>158</v>
      </c>
      <c r="G162" t="s">
        <v>563</v>
      </c>
      <c r="H162" s="34">
        <v>349.52379999999999</v>
      </c>
      <c r="I162" s="34">
        <v>0</v>
      </c>
      <c r="X162">
        <v>156</v>
      </c>
      <c r="Y162" s="38" t="s">
        <v>1619</v>
      </c>
      <c r="Z162" t="s">
        <v>1620</v>
      </c>
      <c r="AA162" s="37">
        <v>0.41370418070159604</v>
      </c>
    </row>
    <row r="163" spans="1:27" x14ac:dyDescent="0.35">
      <c r="B163" s="40">
        <v>13</v>
      </c>
      <c r="C163" s="40" t="s">
        <v>388</v>
      </c>
      <c r="D163">
        <v>16</v>
      </c>
      <c r="E163" t="str">
        <f t="shared" si="8"/>
        <v>toba</v>
      </c>
      <c r="F163">
        <v>159</v>
      </c>
      <c r="G163" t="s">
        <v>564</v>
      </c>
      <c r="H163" s="34">
        <v>1353.66</v>
      </c>
      <c r="I163" s="34">
        <v>0</v>
      </c>
      <c r="X163">
        <v>157</v>
      </c>
      <c r="Y163" s="39" t="s">
        <v>1619</v>
      </c>
      <c r="Z163" s="40" t="s">
        <v>1621</v>
      </c>
      <c r="AA163" s="41">
        <v>0</v>
      </c>
    </row>
    <row r="164" spans="1:27" x14ac:dyDescent="0.35">
      <c r="B164" s="40">
        <v>42</v>
      </c>
      <c r="C164" s="40" t="s">
        <v>387</v>
      </c>
      <c r="D164">
        <v>56</v>
      </c>
      <c r="E164" t="str">
        <f t="shared" si="8"/>
        <v>ptob</v>
      </c>
      <c r="F164">
        <v>160</v>
      </c>
      <c r="G164" t="s">
        <v>565</v>
      </c>
      <c r="H164" s="34">
        <v>3458.366</v>
      </c>
      <c r="I164" s="34">
        <v>0</v>
      </c>
      <c r="X164">
        <v>158</v>
      </c>
      <c r="Y164" s="38" t="s">
        <v>1622</v>
      </c>
      <c r="Z164" t="s">
        <v>1623</v>
      </c>
      <c r="AA164" s="37">
        <v>0.24606623493071128</v>
      </c>
    </row>
    <row r="165" spans="1:27" x14ac:dyDescent="0.35">
      <c r="B165" s="40">
        <v>200</v>
      </c>
      <c r="C165" s="40" t="s">
        <v>398</v>
      </c>
      <c r="E165" t="str">
        <f t="shared" si="8"/>
        <v/>
      </c>
      <c r="F165">
        <v>161</v>
      </c>
      <c r="G165" t="s">
        <v>566</v>
      </c>
      <c r="H165" s="34">
        <v>6396.7569999999996</v>
      </c>
      <c r="I165" s="34">
        <v>0</v>
      </c>
      <c r="J165" s="34">
        <f>H165</f>
        <v>6396.7569999999996</v>
      </c>
      <c r="X165">
        <v>159</v>
      </c>
      <c r="Y165" s="39" t="s">
        <v>1624</v>
      </c>
      <c r="Z165" s="40" t="s">
        <v>1625</v>
      </c>
      <c r="AA165" s="41">
        <v>0</v>
      </c>
    </row>
    <row r="166" spans="1:27" x14ac:dyDescent="0.35">
      <c r="B166" s="40">
        <v>3</v>
      </c>
      <c r="C166" s="40" t="s">
        <v>334</v>
      </c>
      <c r="D166">
        <v>3</v>
      </c>
      <c r="E166" t="str">
        <f t="shared" si="8"/>
        <v>rice</v>
      </c>
      <c r="F166">
        <v>162</v>
      </c>
      <c r="G166" t="s">
        <v>567</v>
      </c>
      <c r="H166" s="34">
        <v>40562</v>
      </c>
      <c r="I166" s="34">
        <v>4545.8519999999999</v>
      </c>
      <c r="X166">
        <v>160</v>
      </c>
      <c r="Y166" s="39" t="s">
        <v>1626</v>
      </c>
      <c r="Z166" s="40" t="s">
        <v>1627</v>
      </c>
      <c r="AA166" s="41">
        <v>0.24606623493071128</v>
      </c>
    </row>
    <row r="167" spans="1:27" x14ac:dyDescent="0.35">
      <c r="B167" s="40">
        <v>3</v>
      </c>
      <c r="C167" s="40" t="s">
        <v>334</v>
      </c>
      <c r="D167">
        <v>47</v>
      </c>
      <c r="E167" t="str">
        <f t="shared" si="8"/>
        <v>rmll</v>
      </c>
      <c r="F167">
        <v>163</v>
      </c>
      <c r="G167" t="s">
        <v>568</v>
      </c>
      <c r="H167" s="34">
        <v>45672.46</v>
      </c>
      <c r="I167" s="34">
        <v>0</v>
      </c>
      <c r="X167">
        <v>161</v>
      </c>
      <c r="Y167" s="38" t="s">
        <v>1628</v>
      </c>
      <c r="Z167" t="s">
        <v>1629</v>
      </c>
      <c r="AA167" s="37">
        <v>0</v>
      </c>
    </row>
    <row r="168" spans="1:27" x14ac:dyDescent="0.35">
      <c r="B168" s="40">
        <v>1</v>
      </c>
      <c r="C168" s="40" t="s">
        <v>335</v>
      </c>
      <c r="D168">
        <v>1</v>
      </c>
      <c r="E168" t="str">
        <f t="shared" si="8"/>
        <v>maiz</v>
      </c>
      <c r="F168">
        <v>164</v>
      </c>
      <c r="G168" t="s">
        <v>569</v>
      </c>
      <c r="H168" s="34">
        <v>18287.16</v>
      </c>
      <c r="I168" s="34">
        <v>15966.43</v>
      </c>
      <c r="X168">
        <v>162</v>
      </c>
      <c r="Y168" s="39" t="s">
        <v>1628</v>
      </c>
      <c r="Z168" s="40" t="s">
        <v>1630</v>
      </c>
      <c r="AA168" s="41">
        <v>0</v>
      </c>
    </row>
    <row r="169" spans="1:27" x14ac:dyDescent="0.35">
      <c r="A169" t="s">
        <v>779</v>
      </c>
      <c r="B169" s="40">
        <v>1</v>
      </c>
      <c r="C169" s="40" t="s">
        <v>335</v>
      </c>
      <c r="D169">
        <v>1</v>
      </c>
      <c r="E169" t="str">
        <f t="shared" si="8"/>
        <v>maiz</v>
      </c>
      <c r="F169">
        <v>165</v>
      </c>
      <c r="G169" t="s">
        <v>570</v>
      </c>
      <c r="H169" s="34">
        <v>11486.31</v>
      </c>
      <c r="I169" s="34">
        <v>4529.2219999999998</v>
      </c>
      <c r="X169">
        <v>163</v>
      </c>
      <c r="Y169" s="38" t="s">
        <v>1631</v>
      </c>
      <c r="Z169" t="s">
        <v>1632</v>
      </c>
      <c r="AA169" s="37">
        <v>6.1583959482655626</v>
      </c>
    </row>
    <row r="170" spans="1:27" x14ac:dyDescent="0.35">
      <c r="B170" s="40">
        <v>2</v>
      </c>
      <c r="C170" s="40" t="s">
        <v>337</v>
      </c>
      <c r="D170">
        <v>2</v>
      </c>
      <c r="E170" t="str">
        <f t="shared" si="8"/>
        <v>sorg</v>
      </c>
      <c r="F170">
        <v>166</v>
      </c>
      <c r="G170" t="s">
        <v>571</v>
      </c>
      <c r="H170" s="34">
        <v>4669.2910000000002</v>
      </c>
      <c r="I170" s="34">
        <v>72.605440000000002</v>
      </c>
      <c r="X170">
        <v>164</v>
      </c>
      <c r="Y170" s="39" t="s">
        <v>1633</v>
      </c>
      <c r="Z170" s="40" t="s">
        <v>1634</v>
      </c>
      <c r="AA170" s="41">
        <v>6.1583959482655626</v>
      </c>
    </row>
    <row r="171" spans="1:27" x14ac:dyDescent="0.35">
      <c r="B171" s="40">
        <v>2</v>
      </c>
      <c r="C171" s="40" t="s">
        <v>337</v>
      </c>
      <c r="D171">
        <v>2</v>
      </c>
      <c r="E171" t="str">
        <f t="shared" si="8"/>
        <v>sorg</v>
      </c>
      <c r="F171">
        <v>167</v>
      </c>
      <c r="G171" t="s">
        <v>572</v>
      </c>
      <c r="H171" s="34">
        <v>2218.8710000000001</v>
      </c>
      <c r="I171" s="34">
        <v>0</v>
      </c>
      <c r="X171">
        <v>165</v>
      </c>
      <c r="Y171" s="39" t="s">
        <v>1635</v>
      </c>
      <c r="Z171" s="40" t="s">
        <v>1636</v>
      </c>
      <c r="AA171" s="41">
        <v>0</v>
      </c>
    </row>
    <row r="172" spans="1:27" x14ac:dyDescent="0.35">
      <c r="B172" s="40">
        <v>4</v>
      </c>
      <c r="C172" s="40" t="s">
        <v>755</v>
      </c>
      <c r="D172">
        <v>4</v>
      </c>
      <c r="E172" t="str">
        <f t="shared" si="8"/>
        <v>whea</v>
      </c>
      <c r="F172">
        <v>168</v>
      </c>
      <c r="G172" t="s">
        <v>573</v>
      </c>
      <c r="H172" s="34">
        <v>405.37180000000001</v>
      </c>
      <c r="I172" s="34">
        <v>44.966320000000003</v>
      </c>
      <c r="X172">
        <v>166</v>
      </c>
      <c r="Y172" s="38" t="s">
        <v>1637</v>
      </c>
      <c r="Z172" t="s">
        <v>1638</v>
      </c>
      <c r="AA172" s="37">
        <v>0</v>
      </c>
    </row>
    <row r="173" spans="1:27" x14ac:dyDescent="0.35">
      <c r="B173" s="40">
        <v>5</v>
      </c>
      <c r="C173" s="40" t="s">
        <v>354</v>
      </c>
      <c r="D173">
        <v>5</v>
      </c>
      <c r="E173" t="str">
        <f t="shared" si="8"/>
        <v>ocer</v>
      </c>
      <c r="F173">
        <v>169</v>
      </c>
      <c r="G173" t="s">
        <v>574</v>
      </c>
      <c r="H173" s="34">
        <v>130.1079</v>
      </c>
      <c r="I173" s="34">
        <v>0</v>
      </c>
      <c r="X173">
        <v>167</v>
      </c>
      <c r="Y173" s="39" t="s">
        <v>1637</v>
      </c>
      <c r="Z173" s="40" t="s">
        <v>1639</v>
      </c>
      <c r="AA173" s="41">
        <v>0</v>
      </c>
    </row>
    <row r="174" spans="1:27" x14ac:dyDescent="0.35">
      <c r="B174" s="40">
        <v>1</v>
      </c>
      <c r="C174" s="40" t="s">
        <v>335</v>
      </c>
      <c r="D174">
        <v>45</v>
      </c>
      <c r="E174" t="str">
        <f t="shared" si="8"/>
        <v>mmll</v>
      </c>
      <c r="F174">
        <v>170</v>
      </c>
      <c r="G174" t="s">
        <v>575</v>
      </c>
      <c r="H174" s="34">
        <v>46896.800000000003</v>
      </c>
      <c r="I174" s="34">
        <v>13924.84</v>
      </c>
      <c r="X174">
        <v>168</v>
      </c>
      <c r="Y174" s="5" t="s">
        <v>1640</v>
      </c>
      <c r="Z174" s="5" t="s">
        <v>1641</v>
      </c>
      <c r="AA174" s="35">
        <v>3.5948445219434078</v>
      </c>
    </row>
    <row r="175" spans="1:27" x14ac:dyDescent="0.35">
      <c r="B175" s="40">
        <v>2</v>
      </c>
      <c r="C175" s="40" t="s">
        <v>337</v>
      </c>
      <c r="D175">
        <v>46</v>
      </c>
      <c r="E175" t="str">
        <f t="shared" si="8"/>
        <v>smll</v>
      </c>
      <c r="F175">
        <v>171</v>
      </c>
      <c r="G175" t="s">
        <v>576</v>
      </c>
      <c r="H175" s="34">
        <v>11765.05</v>
      </c>
      <c r="I175" s="34">
        <v>4351.8649999999998</v>
      </c>
      <c r="X175">
        <v>169</v>
      </c>
      <c r="Y175" s="36" t="s">
        <v>1642</v>
      </c>
      <c r="Z175" t="s">
        <v>1643</v>
      </c>
      <c r="AA175" s="37">
        <v>0.97975529597844924</v>
      </c>
    </row>
    <row r="176" spans="1:27" x14ac:dyDescent="0.35">
      <c r="B176" s="40">
        <v>4</v>
      </c>
      <c r="C176" s="40" t="s">
        <v>755</v>
      </c>
      <c r="D176">
        <v>48</v>
      </c>
      <c r="E176" t="str">
        <f t="shared" si="8"/>
        <v>wmll</v>
      </c>
      <c r="F176">
        <v>172</v>
      </c>
      <c r="G176" t="s">
        <v>577</v>
      </c>
      <c r="H176" s="34">
        <v>1348.5940000000001</v>
      </c>
      <c r="I176" s="34">
        <v>653.42819999999995</v>
      </c>
      <c r="X176">
        <v>170</v>
      </c>
      <c r="Y176" s="38" t="s">
        <v>1644</v>
      </c>
      <c r="Z176" t="s">
        <v>1645</v>
      </c>
      <c r="AA176" s="37">
        <v>0.90956338467773723</v>
      </c>
    </row>
    <row r="177" spans="1:27" x14ac:dyDescent="0.35">
      <c r="B177" s="40">
        <v>5</v>
      </c>
      <c r="C177" s="40" t="s">
        <v>354</v>
      </c>
      <c r="D177">
        <v>46</v>
      </c>
      <c r="E177" t="str">
        <f t="shared" si="8"/>
        <v>smll</v>
      </c>
      <c r="F177">
        <v>173</v>
      </c>
      <c r="G177" t="s">
        <v>578</v>
      </c>
      <c r="H177" s="34">
        <v>319.30419999999998</v>
      </c>
      <c r="I177" s="34">
        <v>77.411510000000007</v>
      </c>
      <c r="X177">
        <v>171</v>
      </c>
      <c r="Y177" s="39" t="s">
        <v>1646</v>
      </c>
      <c r="Z177" s="40" t="s">
        <v>1647</v>
      </c>
      <c r="AA177" s="41">
        <v>0.90956338467773723</v>
      </c>
    </row>
    <row r="178" spans="1:27" x14ac:dyDescent="0.35">
      <c r="B178" s="40">
        <v>5</v>
      </c>
      <c r="C178" s="40" t="s">
        <v>354</v>
      </c>
      <c r="D178">
        <v>49</v>
      </c>
      <c r="E178" t="str">
        <f t="shared" si="8"/>
        <v>gmll</v>
      </c>
      <c r="F178">
        <v>174</v>
      </c>
      <c r="G178" t="s">
        <v>579</v>
      </c>
      <c r="H178" s="34">
        <v>3318.2269999999999</v>
      </c>
      <c r="I178" s="34">
        <v>376.6336</v>
      </c>
      <c r="X178">
        <v>172</v>
      </c>
      <c r="Y178" s="39" t="s">
        <v>1648</v>
      </c>
      <c r="Z178" s="40" t="s">
        <v>1649</v>
      </c>
      <c r="AA178" s="41">
        <v>0</v>
      </c>
    </row>
    <row r="179" spans="1:27" x14ac:dyDescent="0.35">
      <c r="B179" s="40">
        <v>39.299999999999997</v>
      </c>
      <c r="C179" s="40" t="s">
        <v>336</v>
      </c>
      <c r="D179">
        <v>53</v>
      </c>
      <c r="E179" t="str">
        <f t="shared" si="8"/>
        <v>food</v>
      </c>
      <c r="F179">
        <v>175</v>
      </c>
      <c r="G179" t="s">
        <v>580</v>
      </c>
      <c r="H179" s="34">
        <v>18647.14</v>
      </c>
      <c r="I179" s="34">
        <v>0</v>
      </c>
      <c r="X179">
        <v>173</v>
      </c>
      <c r="Y179" s="39" t="s">
        <v>1650</v>
      </c>
      <c r="Z179" s="40" t="s">
        <v>1651</v>
      </c>
      <c r="AA179" s="41">
        <v>0</v>
      </c>
    </row>
    <row r="180" spans="1:27" x14ac:dyDescent="0.35">
      <c r="B180" s="40">
        <v>39.299999999999997</v>
      </c>
      <c r="C180" s="40" t="s">
        <v>336</v>
      </c>
      <c r="D180">
        <v>53</v>
      </c>
      <c r="E180" t="str">
        <f t="shared" si="8"/>
        <v>food</v>
      </c>
      <c r="F180">
        <v>176</v>
      </c>
      <c r="G180" t="s">
        <v>581</v>
      </c>
      <c r="H180" s="34">
        <v>15698.21</v>
      </c>
      <c r="I180" s="34">
        <v>0</v>
      </c>
      <c r="X180">
        <v>174</v>
      </c>
      <c r="Y180" s="39" t="s">
        <v>1652</v>
      </c>
      <c r="Z180" s="40" t="s">
        <v>1653</v>
      </c>
      <c r="AA180" s="41">
        <v>0</v>
      </c>
    </row>
    <row r="181" spans="1:27" x14ac:dyDescent="0.35">
      <c r="B181" s="40">
        <v>39.299999999999997</v>
      </c>
      <c r="C181" s="40" t="s">
        <v>336</v>
      </c>
      <c r="D181">
        <v>53</v>
      </c>
      <c r="E181" t="str">
        <f t="shared" si="8"/>
        <v>food</v>
      </c>
      <c r="F181">
        <v>177</v>
      </c>
      <c r="G181" t="s">
        <v>582</v>
      </c>
      <c r="H181" s="34">
        <v>4818.0069999999996</v>
      </c>
      <c r="I181" s="34">
        <v>0</v>
      </c>
      <c r="X181">
        <v>175</v>
      </c>
      <c r="Y181" s="38" t="s">
        <v>1654</v>
      </c>
      <c r="Z181" t="s">
        <v>1655</v>
      </c>
      <c r="AA181" s="37">
        <v>5.6807239214686257E-2</v>
      </c>
    </row>
    <row r="182" spans="1:27" x14ac:dyDescent="0.35">
      <c r="B182" s="40">
        <v>39.299999999999997</v>
      </c>
      <c r="C182" s="40" t="s">
        <v>336</v>
      </c>
      <c r="D182">
        <v>53</v>
      </c>
      <c r="E182" t="str">
        <f t="shared" si="8"/>
        <v>food</v>
      </c>
      <c r="F182">
        <v>178</v>
      </c>
      <c r="G182" t="s">
        <v>583</v>
      </c>
      <c r="H182" s="34">
        <v>2813.5169999999998</v>
      </c>
      <c r="I182" s="34">
        <v>0</v>
      </c>
      <c r="X182">
        <v>176</v>
      </c>
      <c r="Y182" s="39" t="s">
        <v>1656</v>
      </c>
      <c r="Z182" s="40" t="s">
        <v>1657</v>
      </c>
      <c r="AA182" s="41">
        <v>5.6807239214686257E-2</v>
      </c>
    </row>
    <row r="183" spans="1:27" x14ac:dyDescent="0.35">
      <c r="A183" t="s">
        <v>779</v>
      </c>
      <c r="B183" s="40">
        <v>32</v>
      </c>
      <c r="C183" s="40" t="s">
        <v>341</v>
      </c>
      <c r="D183">
        <v>27</v>
      </c>
      <c r="E183" t="str">
        <f t="shared" si="8"/>
        <v>catt</v>
      </c>
      <c r="F183">
        <v>179</v>
      </c>
      <c r="G183" t="s">
        <v>584</v>
      </c>
      <c r="H183" s="34">
        <v>45200.26</v>
      </c>
      <c r="I183" s="34">
        <v>101.7452</v>
      </c>
      <c r="X183">
        <v>177</v>
      </c>
      <c r="Y183" s="39" t="s">
        <v>1658</v>
      </c>
      <c r="Z183" s="40" t="s">
        <v>1659</v>
      </c>
      <c r="AA183" s="41">
        <v>0</v>
      </c>
    </row>
    <row r="184" spans="1:27" x14ac:dyDescent="0.35">
      <c r="A184" t="s">
        <v>779</v>
      </c>
      <c r="B184" s="40">
        <v>32</v>
      </c>
      <c r="C184" s="40" t="s">
        <v>341</v>
      </c>
      <c r="D184">
        <v>31</v>
      </c>
      <c r="E184" t="str">
        <f t="shared" si="8"/>
        <v>smlr</v>
      </c>
      <c r="F184">
        <v>180</v>
      </c>
      <c r="G184" t="s">
        <v>585</v>
      </c>
      <c r="H184" s="34">
        <v>464.25650000000002</v>
      </c>
      <c r="I184" s="34">
        <v>47.957479999999997</v>
      </c>
      <c r="X184">
        <v>178</v>
      </c>
      <c r="Y184" s="39" t="s">
        <v>1660</v>
      </c>
      <c r="Z184" s="40" t="s">
        <v>1661</v>
      </c>
      <c r="AA184" s="41">
        <v>0</v>
      </c>
    </row>
    <row r="185" spans="1:27" x14ac:dyDescent="0.35">
      <c r="A185" t="s">
        <v>779</v>
      </c>
      <c r="B185" s="40">
        <v>32</v>
      </c>
      <c r="C185" s="40" t="s">
        <v>341</v>
      </c>
      <c r="D185">
        <v>31</v>
      </c>
      <c r="E185" t="str">
        <f t="shared" si="8"/>
        <v>smlr</v>
      </c>
      <c r="F185">
        <v>181</v>
      </c>
      <c r="G185" t="s">
        <v>586</v>
      </c>
      <c r="H185" s="34">
        <v>3850.009</v>
      </c>
      <c r="I185" s="34">
        <v>335.35109999999997</v>
      </c>
      <c r="X185">
        <v>179</v>
      </c>
      <c r="Y185" s="38" t="s">
        <v>1662</v>
      </c>
      <c r="Z185" t="s">
        <v>1663</v>
      </c>
      <c r="AA185" s="37">
        <v>1.3384672086025508E-2</v>
      </c>
    </row>
    <row r="186" spans="1:27" x14ac:dyDescent="0.35">
      <c r="A186" t="s">
        <v>779</v>
      </c>
      <c r="B186" s="40">
        <v>32</v>
      </c>
      <c r="C186" s="40" t="s">
        <v>341</v>
      </c>
      <c r="D186">
        <v>32</v>
      </c>
      <c r="E186" t="str">
        <f t="shared" si="8"/>
        <v>oliv</v>
      </c>
      <c r="F186">
        <v>182</v>
      </c>
      <c r="G186" t="s">
        <v>587</v>
      </c>
      <c r="H186" s="34">
        <v>3230.819</v>
      </c>
      <c r="I186" s="34">
        <v>27.275400000000001</v>
      </c>
      <c r="X186">
        <v>180</v>
      </c>
      <c r="Y186" s="39" t="s">
        <v>1662</v>
      </c>
      <c r="Z186" s="40" t="s">
        <v>1664</v>
      </c>
      <c r="AA186" s="41">
        <v>0</v>
      </c>
    </row>
    <row r="187" spans="1:27" x14ac:dyDescent="0.35">
      <c r="A187" t="s">
        <v>779</v>
      </c>
      <c r="B187" s="40">
        <v>32</v>
      </c>
      <c r="C187" s="40" t="s">
        <v>341</v>
      </c>
      <c r="D187">
        <v>32</v>
      </c>
      <c r="E187" t="str">
        <f t="shared" si="8"/>
        <v>oliv</v>
      </c>
      <c r="F187">
        <v>183</v>
      </c>
      <c r="G187" t="s">
        <v>588</v>
      </c>
      <c r="H187" s="34">
        <v>946.00739999999996</v>
      </c>
      <c r="I187" s="34">
        <v>447.14170000000001</v>
      </c>
      <c r="X187">
        <v>181</v>
      </c>
      <c r="Y187" s="36" t="s">
        <v>1665</v>
      </c>
      <c r="Z187" t="s">
        <v>1666</v>
      </c>
      <c r="AA187" s="37">
        <v>0.26300863566716864</v>
      </c>
    </row>
    <row r="188" spans="1:27" x14ac:dyDescent="0.35">
      <c r="A188" t="s">
        <v>779</v>
      </c>
      <c r="B188" s="40">
        <v>32</v>
      </c>
      <c r="C188" s="40" t="s">
        <v>341</v>
      </c>
      <c r="D188">
        <v>32</v>
      </c>
      <c r="E188" t="str">
        <f t="shared" si="8"/>
        <v>oliv</v>
      </c>
      <c r="F188">
        <v>184</v>
      </c>
      <c r="G188" t="s">
        <v>589</v>
      </c>
      <c r="H188" s="34">
        <v>77.719909999999999</v>
      </c>
      <c r="I188" s="34">
        <v>29.789459999999998</v>
      </c>
      <c r="X188">
        <v>182</v>
      </c>
      <c r="Y188" s="38" t="s">
        <v>1665</v>
      </c>
      <c r="Z188" t="s">
        <v>1667</v>
      </c>
      <c r="AA188" s="37">
        <v>0</v>
      </c>
    </row>
    <row r="189" spans="1:27" x14ac:dyDescent="0.35">
      <c r="A189" t="s">
        <v>779</v>
      </c>
      <c r="B189" s="40">
        <v>32</v>
      </c>
      <c r="C189" s="40" t="s">
        <v>341</v>
      </c>
      <c r="D189">
        <v>32</v>
      </c>
      <c r="E189" t="str">
        <f t="shared" si="8"/>
        <v>oliv</v>
      </c>
      <c r="F189">
        <v>185</v>
      </c>
      <c r="G189" t="s">
        <v>590</v>
      </c>
      <c r="H189" s="34">
        <v>99.070989999999995</v>
      </c>
      <c r="I189" s="34">
        <v>81.272819999999996</v>
      </c>
      <c r="X189">
        <v>183</v>
      </c>
      <c r="Y189" s="39" t="s">
        <v>1668</v>
      </c>
      <c r="Z189" s="40" t="s">
        <v>1669</v>
      </c>
      <c r="AA189" s="41">
        <v>0</v>
      </c>
    </row>
    <row r="190" spans="1:27" x14ac:dyDescent="0.35">
      <c r="B190" s="40">
        <v>32</v>
      </c>
      <c r="C190" s="40" t="s">
        <v>341</v>
      </c>
      <c r="D190">
        <v>40</v>
      </c>
      <c r="E190" t="str">
        <f t="shared" si="8"/>
        <v>meat</v>
      </c>
      <c r="F190">
        <v>186</v>
      </c>
      <c r="G190" t="s">
        <v>591</v>
      </c>
      <c r="H190" s="34">
        <v>374.39249999999998</v>
      </c>
      <c r="I190" s="34">
        <v>0</v>
      </c>
      <c r="X190">
        <v>184</v>
      </c>
      <c r="Y190" s="39" t="s">
        <v>1670</v>
      </c>
      <c r="Z190" s="40" t="s">
        <v>1671</v>
      </c>
      <c r="AA190" s="41">
        <v>0</v>
      </c>
    </row>
    <row r="191" spans="1:27" x14ac:dyDescent="0.35">
      <c r="B191" s="40">
        <v>32</v>
      </c>
      <c r="C191" s="40" t="s">
        <v>341</v>
      </c>
      <c r="D191">
        <v>40</v>
      </c>
      <c r="E191" t="str">
        <f t="shared" si="8"/>
        <v>meat</v>
      </c>
      <c r="F191">
        <v>187</v>
      </c>
      <c r="G191" t="s">
        <v>592</v>
      </c>
      <c r="H191" s="34">
        <v>58.977580000000003</v>
      </c>
      <c r="I191" s="34">
        <v>0</v>
      </c>
      <c r="X191">
        <v>185</v>
      </c>
      <c r="Y191" s="39" t="s">
        <v>1672</v>
      </c>
      <c r="Z191" s="40" t="s">
        <v>1673</v>
      </c>
      <c r="AA191" s="41">
        <v>0</v>
      </c>
    </row>
    <row r="192" spans="1:27" x14ac:dyDescent="0.35">
      <c r="B192" s="40">
        <v>24.1</v>
      </c>
      <c r="C192" s="40" t="s">
        <v>339</v>
      </c>
      <c r="D192">
        <v>29</v>
      </c>
      <c r="E192" t="str">
        <f t="shared" si="8"/>
        <v>poul</v>
      </c>
      <c r="F192">
        <v>188</v>
      </c>
      <c r="G192" t="s">
        <v>593</v>
      </c>
      <c r="H192" s="34">
        <v>2966.616</v>
      </c>
      <c r="I192" s="34">
        <v>1368.32</v>
      </c>
      <c r="X192">
        <v>186</v>
      </c>
      <c r="Y192" s="39" t="s">
        <v>1674</v>
      </c>
      <c r="Z192" s="40" t="s">
        <v>1675</v>
      </c>
      <c r="AA192" s="41">
        <v>0</v>
      </c>
    </row>
    <row r="193" spans="2:27" x14ac:dyDescent="0.35">
      <c r="B193" s="40">
        <v>32</v>
      </c>
      <c r="C193" s="40" t="s">
        <v>341</v>
      </c>
      <c r="D193">
        <v>40</v>
      </c>
      <c r="E193" t="str">
        <f t="shared" si="8"/>
        <v>meat</v>
      </c>
      <c r="F193">
        <v>189</v>
      </c>
      <c r="G193" t="s">
        <v>594</v>
      </c>
      <c r="H193" s="34">
        <v>948.09140000000002</v>
      </c>
      <c r="I193" s="34">
        <v>0</v>
      </c>
      <c r="X193">
        <v>187</v>
      </c>
      <c r="Y193" s="39" t="s">
        <v>448</v>
      </c>
      <c r="Z193" s="40" t="s">
        <v>1676</v>
      </c>
      <c r="AA193" s="41">
        <v>0</v>
      </c>
    </row>
    <row r="194" spans="2:27" x14ac:dyDescent="0.35">
      <c r="B194" s="40">
        <v>24.1</v>
      </c>
      <c r="C194" s="40" t="s">
        <v>339</v>
      </c>
      <c r="D194">
        <v>29</v>
      </c>
      <c r="E194" t="str">
        <f t="shared" si="8"/>
        <v>poul</v>
      </c>
      <c r="F194">
        <v>190</v>
      </c>
      <c r="G194" t="s">
        <v>595</v>
      </c>
      <c r="H194" s="34">
        <v>109.9089</v>
      </c>
      <c r="I194" s="34">
        <v>52.613300000000002</v>
      </c>
      <c r="X194">
        <v>188</v>
      </c>
      <c r="Y194" s="36" t="s">
        <v>1677</v>
      </c>
      <c r="Z194" t="s">
        <v>1678</v>
      </c>
      <c r="AA194" s="37">
        <v>0.25456977272106396</v>
      </c>
    </row>
    <row r="195" spans="2:27" x14ac:dyDescent="0.35">
      <c r="B195" s="40">
        <v>24.2</v>
      </c>
      <c r="C195" s="40" t="s">
        <v>20</v>
      </c>
      <c r="D195">
        <v>30</v>
      </c>
      <c r="E195" t="str">
        <f t="shared" si="8"/>
        <v>eggs</v>
      </c>
      <c r="F195">
        <v>191</v>
      </c>
      <c r="G195" t="s">
        <v>596</v>
      </c>
      <c r="H195" s="34">
        <v>4027.8470000000002</v>
      </c>
      <c r="I195" s="34">
        <v>876.86710000000005</v>
      </c>
      <c r="X195">
        <v>189</v>
      </c>
      <c r="Y195" s="38" t="s">
        <v>1679</v>
      </c>
      <c r="Z195" t="s">
        <v>1680</v>
      </c>
      <c r="AA195" s="37">
        <v>0.12027274147784553</v>
      </c>
    </row>
    <row r="196" spans="2:27" x14ac:dyDescent="0.35">
      <c r="B196" s="40">
        <v>33</v>
      </c>
      <c r="C196" s="40" t="s">
        <v>763</v>
      </c>
      <c r="D196">
        <v>34</v>
      </c>
      <c r="E196" t="str">
        <f t="shared" si="8"/>
        <v>aqua</v>
      </c>
      <c r="F196">
        <v>192</v>
      </c>
      <c r="G196" t="s">
        <v>597</v>
      </c>
      <c r="H196" s="34">
        <v>6064.8130000000001</v>
      </c>
      <c r="I196" s="34">
        <v>868.07169999999996</v>
      </c>
      <c r="X196">
        <v>190</v>
      </c>
      <c r="Y196" s="39" t="s">
        <v>1681</v>
      </c>
      <c r="Z196" s="40" t="s">
        <v>1682</v>
      </c>
      <c r="AA196" s="41">
        <v>4.9343023661837342E-2</v>
      </c>
    </row>
    <row r="197" spans="2:27" x14ac:dyDescent="0.35">
      <c r="B197" s="40">
        <v>33</v>
      </c>
      <c r="C197" s="40" t="s">
        <v>763</v>
      </c>
      <c r="D197">
        <v>34</v>
      </c>
      <c r="E197" t="str">
        <f t="shared" si="8"/>
        <v>aqua</v>
      </c>
      <c r="F197">
        <v>193</v>
      </c>
      <c r="G197" t="s">
        <v>598</v>
      </c>
      <c r="H197" s="34">
        <v>4551.5889999999999</v>
      </c>
      <c r="I197" s="34">
        <v>0</v>
      </c>
      <c r="X197">
        <v>191</v>
      </c>
      <c r="Y197" s="39" t="s">
        <v>1683</v>
      </c>
      <c r="Z197" s="40" t="s">
        <v>1684</v>
      </c>
      <c r="AA197" s="41">
        <v>0</v>
      </c>
    </row>
    <row r="198" spans="2:27" x14ac:dyDescent="0.35">
      <c r="B198" s="40">
        <v>33</v>
      </c>
      <c r="C198" s="40" t="s">
        <v>763</v>
      </c>
      <c r="D198">
        <v>34</v>
      </c>
      <c r="E198" t="str">
        <f t="shared" si="8"/>
        <v>aqua</v>
      </c>
      <c r="F198">
        <v>194</v>
      </c>
      <c r="G198" t="s">
        <v>599</v>
      </c>
      <c r="H198" s="34">
        <v>1383.625</v>
      </c>
      <c r="I198" s="34">
        <v>15.622579999999999</v>
      </c>
      <c r="X198">
        <v>192</v>
      </c>
      <c r="Y198" s="39" t="s">
        <v>1685</v>
      </c>
      <c r="Z198" s="40" t="s">
        <v>1686</v>
      </c>
      <c r="AA198" s="41">
        <v>1.6250086166385531E-2</v>
      </c>
    </row>
    <row r="199" spans="2:27" x14ac:dyDescent="0.35">
      <c r="B199" s="40">
        <v>33</v>
      </c>
      <c r="C199" s="40" t="s">
        <v>763</v>
      </c>
      <c r="D199">
        <v>34</v>
      </c>
      <c r="E199" t="str">
        <f t="shared" ref="E199:E262" si="9">IF(ISNA(VLOOKUP(D199,$K$7:$L$92,2,0)),"",VLOOKUP(D199,$K$7:$L$92,2,0))</f>
        <v>aqua</v>
      </c>
      <c r="F199">
        <v>195</v>
      </c>
      <c r="G199" t="s">
        <v>600</v>
      </c>
      <c r="H199" s="34">
        <v>12138.9</v>
      </c>
      <c r="I199" s="34">
        <v>0</v>
      </c>
      <c r="X199">
        <v>193</v>
      </c>
      <c r="Y199" s="39" t="s">
        <v>1687</v>
      </c>
      <c r="Z199" s="40" t="s">
        <v>1688</v>
      </c>
      <c r="AA199" s="41">
        <v>0</v>
      </c>
    </row>
    <row r="200" spans="2:27" x14ac:dyDescent="0.35">
      <c r="B200" s="40">
        <v>33</v>
      </c>
      <c r="C200" s="40" t="s">
        <v>763</v>
      </c>
      <c r="D200">
        <v>41</v>
      </c>
      <c r="E200" t="str">
        <f t="shared" si="9"/>
        <v>fsea</v>
      </c>
      <c r="F200">
        <v>196</v>
      </c>
      <c r="G200" t="s">
        <v>601</v>
      </c>
      <c r="H200" s="34">
        <v>706.86850000000004</v>
      </c>
      <c r="I200" s="34">
        <v>0</v>
      </c>
      <c r="X200">
        <v>194</v>
      </c>
      <c r="Y200" s="39" t="s">
        <v>1689</v>
      </c>
      <c r="Z200" s="40" t="s">
        <v>1690</v>
      </c>
      <c r="AA200" s="41">
        <v>0</v>
      </c>
    </row>
    <row r="201" spans="2:27" x14ac:dyDescent="0.35">
      <c r="B201" s="40">
        <v>22</v>
      </c>
      <c r="C201" s="40" t="s">
        <v>758</v>
      </c>
      <c r="D201">
        <v>28</v>
      </c>
      <c r="E201" t="str">
        <f t="shared" si="9"/>
        <v>milk</v>
      </c>
      <c r="F201">
        <v>197</v>
      </c>
      <c r="G201" t="s">
        <v>602</v>
      </c>
      <c r="H201" s="34">
        <v>28447.200000000001</v>
      </c>
      <c r="I201" s="34">
        <v>10068.209999999999</v>
      </c>
      <c r="X201">
        <v>195</v>
      </c>
      <c r="Y201" s="39" t="s">
        <v>1691</v>
      </c>
      <c r="Z201" s="40" t="s">
        <v>1692</v>
      </c>
      <c r="AA201" s="41">
        <v>0</v>
      </c>
    </row>
    <row r="202" spans="2:27" x14ac:dyDescent="0.35">
      <c r="B202" s="40">
        <v>22</v>
      </c>
      <c r="C202" s="40" t="s">
        <v>758</v>
      </c>
      <c r="D202">
        <v>28</v>
      </c>
      <c r="E202" t="str">
        <f t="shared" si="9"/>
        <v>milk</v>
      </c>
      <c r="F202">
        <v>198</v>
      </c>
      <c r="G202" t="s">
        <v>603</v>
      </c>
      <c r="H202" s="34">
        <v>11158.81</v>
      </c>
      <c r="I202" s="34">
        <v>7445.34</v>
      </c>
      <c r="X202">
        <v>196</v>
      </c>
      <c r="Y202" s="38" t="s">
        <v>1693</v>
      </c>
      <c r="Z202" t="s">
        <v>1694</v>
      </c>
      <c r="AA202" s="37">
        <v>0.13126730178403542</v>
      </c>
    </row>
    <row r="203" spans="2:27" x14ac:dyDescent="0.35">
      <c r="B203" s="40">
        <v>36</v>
      </c>
      <c r="C203" s="40" t="s">
        <v>765</v>
      </c>
      <c r="D203">
        <v>42</v>
      </c>
      <c r="E203" t="str">
        <f t="shared" si="9"/>
        <v>dair</v>
      </c>
      <c r="F203">
        <v>199</v>
      </c>
      <c r="G203" t="s">
        <v>604</v>
      </c>
      <c r="H203" s="34">
        <v>51.40025</v>
      </c>
      <c r="I203" s="34">
        <v>0</v>
      </c>
      <c r="X203">
        <v>197</v>
      </c>
      <c r="Y203" s="39" t="s">
        <v>1695</v>
      </c>
      <c r="Z203" s="40" t="s">
        <v>1696</v>
      </c>
      <c r="AA203" s="41">
        <v>0.13126730178403542</v>
      </c>
    </row>
    <row r="204" spans="2:27" x14ac:dyDescent="0.35">
      <c r="B204" s="40">
        <v>36</v>
      </c>
      <c r="C204" s="40" t="s">
        <v>765</v>
      </c>
      <c r="D204">
        <v>42</v>
      </c>
      <c r="E204" t="str">
        <f t="shared" si="9"/>
        <v>dair</v>
      </c>
      <c r="F204">
        <v>200</v>
      </c>
      <c r="G204" t="s">
        <v>605</v>
      </c>
      <c r="H204" s="34">
        <v>1625.309</v>
      </c>
      <c r="I204" s="34">
        <v>0</v>
      </c>
      <c r="X204">
        <v>198</v>
      </c>
      <c r="Y204" s="39" t="s">
        <v>1697</v>
      </c>
      <c r="Z204" s="40" t="s">
        <v>1698</v>
      </c>
      <c r="AA204" s="41">
        <v>0</v>
      </c>
    </row>
    <row r="205" spans="2:27" x14ac:dyDescent="0.35">
      <c r="B205" s="40">
        <v>36</v>
      </c>
      <c r="C205" s="40" t="s">
        <v>765</v>
      </c>
      <c r="D205">
        <v>42</v>
      </c>
      <c r="E205" t="str">
        <f t="shared" si="9"/>
        <v>dair</v>
      </c>
      <c r="F205">
        <v>201</v>
      </c>
      <c r="G205" t="s">
        <v>606</v>
      </c>
      <c r="H205" s="34">
        <v>1325.76</v>
      </c>
      <c r="I205" s="34">
        <v>0</v>
      </c>
      <c r="X205">
        <v>199</v>
      </c>
      <c r="Y205" s="39" t="s">
        <v>1699</v>
      </c>
      <c r="Z205" s="40" t="s">
        <v>1700</v>
      </c>
      <c r="AA205" s="41">
        <v>0</v>
      </c>
    </row>
    <row r="206" spans="2:27" x14ac:dyDescent="0.35">
      <c r="B206" s="40">
        <v>36</v>
      </c>
      <c r="C206" s="40" t="s">
        <v>765</v>
      </c>
      <c r="D206">
        <v>42</v>
      </c>
      <c r="E206" t="str">
        <f t="shared" si="9"/>
        <v>dair</v>
      </c>
      <c r="F206">
        <v>202</v>
      </c>
      <c r="G206" t="s">
        <v>607</v>
      </c>
      <c r="H206" s="34">
        <v>41.348050000000001</v>
      </c>
      <c r="I206" s="34">
        <v>0</v>
      </c>
      <c r="X206">
        <v>200</v>
      </c>
      <c r="Y206" s="39" t="s">
        <v>1701</v>
      </c>
      <c r="Z206" s="40" t="s">
        <v>1702</v>
      </c>
      <c r="AA206" s="41">
        <v>0</v>
      </c>
    </row>
    <row r="207" spans="2:27" x14ac:dyDescent="0.35">
      <c r="B207" s="40">
        <v>36</v>
      </c>
      <c r="C207" s="40" t="s">
        <v>765</v>
      </c>
      <c r="D207">
        <v>42</v>
      </c>
      <c r="E207" t="str">
        <f t="shared" si="9"/>
        <v>dair</v>
      </c>
      <c r="F207">
        <v>203</v>
      </c>
      <c r="G207" t="s">
        <v>608</v>
      </c>
      <c r="H207" s="34">
        <v>239.9889</v>
      </c>
      <c r="I207" s="34">
        <v>0</v>
      </c>
      <c r="X207">
        <v>201</v>
      </c>
      <c r="Y207" s="39" t="s">
        <v>1703</v>
      </c>
      <c r="Z207" s="40" t="s">
        <v>1704</v>
      </c>
      <c r="AA207" s="41">
        <v>0</v>
      </c>
    </row>
    <row r="208" spans="2:27" x14ac:dyDescent="0.35">
      <c r="B208" s="40">
        <v>36</v>
      </c>
      <c r="C208" s="40" t="s">
        <v>765</v>
      </c>
      <c r="D208">
        <v>44</v>
      </c>
      <c r="E208" t="str">
        <f t="shared" si="9"/>
        <v>foil</v>
      </c>
      <c r="F208">
        <v>204</v>
      </c>
      <c r="G208" t="s">
        <v>609</v>
      </c>
      <c r="H208" s="34">
        <v>567.55809999999997</v>
      </c>
      <c r="I208" s="34">
        <v>355.15449999999998</v>
      </c>
      <c r="X208">
        <v>202</v>
      </c>
      <c r="Y208" s="38" t="s">
        <v>454</v>
      </c>
      <c r="Z208" t="s">
        <v>1705</v>
      </c>
      <c r="AA208" s="37">
        <v>3.0297294591831139E-3</v>
      </c>
    </row>
    <row r="209" spans="2:27" x14ac:dyDescent="0.35">
      <c r="B209" s="40">
        <v>36</v>
      </c>
      <c r="C209" s="40" t="s">
        <v>765</v>
      </c>
      <c r="D209">
        <v>44</v>
      </c>
      <c r="E209" t="str">
        <f t="shared" si="9"/>
        <v>foil</v>
      </c>
      <c r="F209">
        <v>205</v>
      </c>
      <c r="G209" t="s">
        <v>732</v>
      </c>
      <c r="H209" s="34">
        <v>0.76428830000000003</v>
      </c>
      <c r="I209" s="34">
        <v>0.76428830000000003</v>
      </c>
      <c r="X209">
        <v>203</v>
      </c>
      <c r="Y209" s="39" t="s">
        <v>454</v>
      </c>
      <c r="Z209" s="40" t="s">
        <v>1706</v>
      </c>
      <c r="AA209" s="41">
        <v>0</v>
      </c>
    </row>
    <row r="210" spans="2:27" x14ac:dyDescent="0.35">
      <c r="B210" s="40">
        <v>36</v>
      </c>
      <c r="C210" s="40" t="s">
        <v>765</v>
      </c>
      <c r="D210">
        <v>44</v>
      </c>
      <c r="E210" t="str">
        <f t="shared" si="9"/>
        <v>foil</v>
      </c>
      <c r="F210">
        <v>206</v>
      </c>
      <c r="G210" t="s">
        <v>610</v>
      </c>
      <c r="H210" s="34">
        <v>33.329659999999997</v>
      </c>
      <c r="I210" s="34">
        <v>0</v>
      </c>
      <c r="X210">
        <v>204</v>
      </c>
      <c r="Y210" s="36" t="s">
        <v>1707</v>
      </c>
      <c r="Z210" t="s">
        <v>1708</v>
      </c>
      <c r="AA210" s="37">
        <v>0.12713668377811485</v>
      </c>
    </row>
    <row r="211" spans="2:27" x14ac:dyDescent="0.35">
      <c r="B211" s="40">
        <v>35</v>
      </c>
      <c r="C211" s="40" t="s">
        <v>342</v>
      </c>
      <c r="D211">
        <v>44</v>
      </c>
      <c r="E211" t="str">
        <f t="shared" si="9"/>
        <v>foil</v>
      </c>
      <c r="F211">
        <v>207</v>
      </c>
      <c r="G211" t="s">
        <v>611</v>
      </c>
      <c r="H211" s="34">
        <v>386.22030000000001</v>
      </c>
      <c r="I211" s="34">
        <v>0</v>
      </c>
      <c r="X211">
        <v>205</v>
      </c>
      <c r="Y211" s="38" t="s">
        <v>1707</v>
      </c>
      <c r="Z211" t="s">
        <v>1709</v>
      </c>
      <c r="AA211" s="37">
        <v>0</v>
      </c>
    </row>
    <row r="212" spans="2:27" x14ac:dyDescent="0.35">
      <c r="B212" s="40">
        <v>35</v>
      </c>
      <c r="C212" s="40" t="s">
        <v>342</v>
      </c>
      <c r="D212">
        <v>44</v>
      </c>
      <c r="E212" t="str">
        <f t="shared" si="9"/>
        <v>foil</v>
      </c>
      <c r="F212">
        <v>208</v>
      </c>
      <c r="G212" t="s">
        <v>612</v>
      </c>
      <c r="H212" s="34">
        <v>43156.81</v>
      </c>
      <c r="I212" s="34">
        <v>0</v>
      </c>
      <c r="X212">
        <v>206</v>
      </c>
      <c r="Y212" s="39" t="s">
        <v>1710</v>
      </c>
      <c r="Z212" s="40" t="s">
        <v>1711</v>
      </c>
      <c r="AA212" s="41">
        <v>0</v>
      </c>
    </row>
    <row r="213" spans="2:27" x14ac:dyDescent="0.35">
      <c r="B213" s="40">
        <v>35</v>
      </c>
      <c r="C213" s="40" t="s">
        <v>342</v>
      </c>
      <c r="D213">
        <v>44</v>
      </c>
      <c r="E213" t="str">
        <f t="shared" si="9"/>
        <v>foil</v>
      </c>
      <c r="F213">
        <v>209</v>
      </c>
      <c r="G213" t="s">
        <v>613</v>
      </c>
      <c r="H213" s="34">
        <v>7036.8410000000003</v>
      </c>
      <c r="I213" s="34">
        <v>0</v>
      </c>
      <c r="X213">
        <v>207</v>
      </c>
      <c r="Y213" s="39" t="s">
        <v>457</v>
      </c>
      <c r="Z213" s="40" t="s">
        <v>1712</v>
      </c>
      <c r="AA213" s="41">
        <v>0</v>
      </c>
    </row>
    <row r="214" spans="2:27" x14ac:dyDescent="0.35">
      <c r="B214" s="40">
        <v>35</v>
      </c>
      <c r="C214" s="40" t="s">
        <v>342</v>
      </c>
      <c r="D214">
        <v>44</v>
      </c>
      <c r="E214" t="str">
        <f t="shared" si="9"/>
        <v>foil</v>
      </c>
      <c r="F214">
        <v>210</v>
      </c>
      <c r="G214" t="s">
        <v>614</v>
      </c>
      <c r="H214" s="34">
        <v>4385.1310000000003</v>
      </c>
      <c r="I214" s="34">
        <v>0</v>
      </c>
      <c r="X214">
        <v>208</v>
      </c>
      <c r="Y214" s="39" t="s">
        <v>1713</v>
      </c>
      <c r="Z214" s="40" t="s">
        <v>1714</v>
      </c>
      <c r="AA214" s="41">
        <v>0</v>
      </c>
    </row>
    <row r="215" spans="2:27" x14ac:dyDescent="0.35">
      <c r="B215" s="40">
        <v>35</v>
      </c>
      <c r="C215" s="40" t="s">
        <v>342</v>
      </c>
      <c r="D215">
        <v>44</v>
      </c>
      <c r="E215" t="str">
        <f t="shared" si="9"/>
        <v>foil</v>
      </c>
      <c r="F215">
        <v>211</v>
      </c>
      <c r="G215" t="s">
        <v>615</v>
      </c>
      <c r="H215" s="34">
        <v>110.8914</v>
      </c>
      <c r="I215" s="34">
        <v>0</v>
      </c>
      <c r="X215">
        <v>209</v>
      </c>
      <c r="Y215" s="39" t="s">
        <v>1715</v>
      </c>
      <c r="Z215" s="40" t="s">
        <v>1716</v>
      </c>
      <c r="AA215" s="41">
        <v>0</v>
      </c>
    </row>
    <row r="216" spans="2:27" x14ac:dyDescent="0.35">
      <c r="B216" s="40">
        <v>35</v>
      </c>
      <c r="C216" s="40" t="s">
        <v>342</v>
      </c>
      <c r="D216">
        <v>44</v>
      </c>
      <c r="E216" t="str">
        <f t="shared" si="9"/>
        <v>foil</v>
      </c>
      <c r="F216">
        <v>212</v>
      </c>
      <c r="G216" t="s">
        <v>734</v>
      </c>
      <c r="H216" s="34">
        <v>0</v>
      </c>
      <c r="I216" s="34">
        <v>0</v>
      </c>
      <c r="X216">
        <v>210</v>
      </c>
      <c r="Y216" s="36" t="s">
        <v>1717</v>
      </c>
      <c r="Z216" t="s">
        <v>1718</v>
      </c>
      <c r="AA216" s="37">
        <v>0.34559587727089708</v>
      </c>
    </row>
    <row r="217" spans="2:27" x14ac:dyDescent="0.35">
      <c r="B217" s="40">
        <v>15.2</v>
      </c>
      <c r="C217" s="40" t="s">
        <v>1319</v>
      </c>
      <c r="D217">
        <v>19</v>
      </c>
      <c r="E217" t="str">
        <f t="shared" si="9"/>
        <v>bana</v>
      </c>
      <c r="F217">
        <v>213</v>
      </c>
      <c r="G217" t="s">
        <v>616</v>
      </c>
      <c r="H217" s="34">
        <v>13119.68</v>
      </c>
      <c r="I217" s="34">
        <v>6457.4120000000003</v>
      </c>
      <c r="X217">
        <v>211</v>
      </c>
      <c r="Y217" s="38" t="s">
        <v>1719</v>
      </c>
      <c r="Z217" t="s">
        <v>1720</v>
      </c>
      <c r="AA217" s="37">
        <v>0</v>
      </c>
    </row>
    <row r="218" spans="2:27" x14ac:dyDescent="0.35">
      <c r="B218" s="40">
        <v>15.2</v>
      </c>
      <c r="C218" s="40" t="s">
        <v>1319</v>
      </c>
      <c r="D218">
        <v>19</v>
      </c>
      <c r="E218" t="str">
        <f t="shared" si="9"/>
        <v>bana</v>
      </c>
      <c r="F218">
        <v>214</v>
      </c>
      <c r="G218" t="s">
        <v>617</v>
      </c>
      <c r="H218" s="34">
        <v>3316.732</v>
      </c>
      <c r="I218" s="34">
        <v>2031.8340000000001</v>
      </c>
      <c r="X218">
        <v>212</v>
      </c>
      <c r="Y218" s="39" t="s">
        <v>1721</v>
      </c>
      <c r="Z218" s="40" t="s">
        <v>1722</v>
      </c>
      <c r="AA218" s="41">
        <v>0</v>
      </c>
    </row>
    <row r="219" spans="2:27" x14ac:dyDescent="0.35">
      <c r="B219" s="40">
        <v>15.2</v>
      </c>
      <c r="C219" s="40" t="s">
        <v>1319</v>
      </c>
      <c r="D219">
        <v>19</v>
      </c>
      <c r="E219" t="str">
        <f t="shared" si="9"/>
        <v>bana</v>
      </c>
      <c r="F219">
        <v>215</v>
      </c>
      <c r="G219" t="s">
        <v>618</v>
      </c>
      <c r="H219" s="34">
        <v>76850.899999999994</v>
      </c>
      <c r="I219" s="34">
        <v>47716.75</v>
      </c>
      <c r="X219">
        <v>213</v>
      </c>
      <c r="Y219" s="39" t="s">
        <v>1723</v>
      </c>
      <c r="Z219" s="40" t="s">
        <v>1724</v>
      </c>
      <c r="AA219" s="41">
        <v>0</v>
      </c>
    </row>
    <row r="220" spans="2:27" x14ac:dyDescent="0.35">
      <c r="B220" s="40">
        <v>15.1</v>
      </c>
      <c r="C220" s="40" t="s">
        <v>331</v>
      </c>
      <c r="D220">
        <v>20</v>
      </c>
      <c r="E220" t="str">
        <f t="shared" si="9"/>
        <v>frui</v>
      </c>
      <c r="F220">
        <v>216</v>
      </c>
      <c r="G220" t="s">
        <v>619</v>
      </c>
      <c r="H220" s="34">
        <v>2778.85</v>
      </c>
      <c r="I220" s="34">
        <v>1112.5429999999999</v>
      </c>
      <c r="X220">
        <v>214</v>
      </c>
      <c r="Y220" s="38" t="s">
        <v>1725</v>
      </c>
      <c r="Z220" t="s">
        <v>1726</v>
      </c>
      <c r="AA220" s="37">
        <v>0.34559587727089708</v>
      </c>
    </row>
    <row r="221" spans="2:27" x14ac:dyDescent="0.35">
      <c r="B221" s="40">
        <v>15.1</v>
      </c>
      <c r="C221" s="40" t="s">
        <v>331</v>
      </c>
      <c r="D221">
        <v>20</v>
      </c>
      <c r="E221" t="str">
        <f t="shared" si="9"/>
        <v>frui</v>
      </c>
      <c r="F221">
        <v>217</v>
      </c>
      <c r="G221" t="s">
        <v>620</v>
      </c>
      <c r="H221" s="34">
        <v>2087.8110000000001</v>
      </c>
      <c r="I221" s="34">
        <v>1476.191</v>
      </c>
      <c r="X221">
        <v>215</v>
      </c>
      <c r="Y221" s="39" t="s">
        <v>1727</v>
      </c>
      <c r="Z221" s="40" t="s">
        <v>1728</v>
      </c>
      <c r="AA221" s="41">
        <v>0.34559587727089708</v>
      </c>
    </row>
    <row r="222" spans="2:27" x14ac:dyDescent="0.35">
      <c r="B222" s="40">
        <v>15.1</v>
      </c>
      <c r="C222" s="40" t="s">
        <v>331</v>
      </c>
      <c r="D222">
        <v>20</v>
      </c>
      <c r="E222" t="str">
        <f t="shared" si="9"/>
        <v>frui</v>
      </c>
      <c r="F222">
        <v>218</v>
      </c>
      <c r="G222" t="s">
        <v>621</v>
      </c>
      <c r="H222" s="34">
        <v>9939.8979999999992</v>
      </c>
      <c r="I222" s="34">
        <v>4161.1409999999996</v>
      </c>
      <c r="X222">
        <v>216</v>
      </c>
      <c r="Y222" s="39" t="s">
        <v>1729</v>
      </c>
      <c r="Z222" s="40" t="s">
        <v>1730</v>
      </c>
      <c r="AA222" s="41">
        <v>0</v>
      </c>
    </row>
    <row r="223" spans="2:27" x14ac:dyDescent="0.35">
      <c r="B223" s="40">
        <v>15.1</v>
      </c>
      <c r="C223" s="40" t="s">
        <v>331</v>
      </c>
      <c r="D223">
        <v>20</v>
      </c>
      <c r="E223" t="str">
        <f t="shared" si="9"/>
        <v>frui</v>
      </c>
      <c r="F223">
        <v>219</v>
      </c>
      <c r="G223" t="s">
        <v>622</v>
      </c>
      <c r="H223" s="34">
        <v>3086.9279999999999</v>
      </c>
      <c r="I223" s="34">
        <v>496.85759999999999</v>
      </c>
      <c r="X223">
        <v>217</v>
      </c>
      <c r="Y223" s="39" t="s">
        <v>1731</v>
      </c>
      <c r="Z223" s="40" t="s">
        <v>1732</v>
      </c>
      <c r="AA223" s="41">
        <v>0</v>
      </c>
    </row>
    <row r="224" spans="2:27" x14ac:dyDescent="0.35">
      <c r="B224" s="40">
        <v>15.1</v>
      </c>
      <c r="C224" s="40" t="s">
        <v>331</v>
      </c>
      <c r="D224">
        <v>20</v>
      </c>
      <c r="E224" t="str">
        <f t="shared" si="9"/>
        <v>frui</v>
      </c>
      <c r="F224">
        <v>220</v>
      </c>
      <c r="G224" t="s">
        <v>623</v>
      </c>
      <c r="H224" s="34">
        <v>475.911</v>
      </c>
      <c r="I224" s="34">
        <v>371.90890000000002</v>
      </c>
      <c r="X224">
        <v>218</v>
      </c>
      <c r="Y224" s="36" t="s">
        <v>1733</v>
      </c>
      <c r="Z224" t="s">
        <v>1734</v>
      </c>
      <c r="AA224" s="37">
        <v>1.6247782565277165</v>
      </c>
    </row>
    <row r="225" spans="2:35" x14ac:dyDescent="0.35">
      <c r="B225" s="40">
        <v>15.1</v>
      </c>
      <c r="C225" s="40" t="s">
        <v>331</v>
      </c>
      <c r="D225">
        <v>20</v>
      </c>
      <c r="E225" t="str">
        <f t="shared" si="9"/>
        <v>frui</v>
      </c>
      <c r="F225">
        <v>221</v>
      </c>
      <c r="G225" t="s">
        <v>624</v>
      </c>
      <c r="H225" s="34">
        <v>1076.817</v>
      </c>
      <c r="I225" s="34">
        <v>70.998090000000005</v>
      </c>
      <c r="X225">
        <v>219</v>
      </c>
      <c r="Y225" s="38" t="s">
        <v>1735</v>
      </c>
      <c r="Z225" t="s">
        <v>1736</v>
      </c>
      <c r="AA225" s="37">
        <v>1.1578468786168603</v>
      </c>
    </row>
    <row r="226" spans="2:35" x14ac:dyDescent="0.35">
      <c r="B226" s="40">
        <v>15.1</v>
      </c>
      <c r="C226" s="40" t="s">
        <v>331</v>
      </c>
      <c r="D226">
        <v>20</v>
      </c>
      <c r="E226" t="str">
        <f t="shared" si="9"/>
        <v>frui</v>
      </c>
      <c r="F226">
        <v>222</v>
      </c>
      <c r="H226" s="34">
        <v>300.15800000000002</v>
      </c>
      <c r="I226" s="34">
        <v>0</v>
      </c>
      <c r="X226">
        <v>220</v>
      </c>
      <c r="Y226" s="39" t="s">
        <v>1737</v>
      </c>
      <c r="Z226" s="40" t="s">
        <v>1738</v>
      </c>
      <c r="AA226" s="41">
        <v>1.1578468786168603</v>
      </c>
    </row>
    <row r="227" spans="2:35" x14ac:dyDescent="0.35">
      <c r="B227" s="40">
        <v>15.1</v>
      </c>
      <c r="C227" s="40" t="s">
        <v>331</v>
      </c>
      <c r="D227">
        <v>20</v>
      </c>
      <c r="E227" t="str">
        <f t="shared" si="9"/>
        <v>frui</v>
      </c>
      <c r="F227">
        <v>223</v>
      </c>
      <c r="G227" t="s">
        <v>626</v>
      </c>
      <c r="H227" s="34">
        <v>740.95100000000002</v>
      </c>
      <c r="I227" s="34">
        <v>5.9436840000000002</v>
      </c>
      <c r="X227">
        <v>221</v>
      </c>
      <c r="Y227" s="39" t="s">
        <v>1739</v>
      </c>
      <c r="Z227" s="40" t="s">
        <v>1740</v>
      </c>
      <c r="AA227" s="41">
        <v>0</v>
      </c>
    </row>
    <row r="228" spans="2:35" x14ac:dyDescent="0.35">
      <c r="B228" s="40">
        <v>15.1</v>
      </c>
      <c r="C228" s="40" t="s">
        <v>331</v>
      </c>
      <c r="D228">
        <v>20</v>
      </c>
      <c r="E228" t="str">
        <f t="shared" si="9"/>
        <v>frui</v>
      </c>
      <c r="F228">
        <v>224</v>
      </c>
      <c r="G228" t="s">
        <v>627</v>
      </c>
      <c r="H228" s="34">
        <v>676.50149999999996</v>
      </c>
      <c r="I228" s="34">
        <v>118.0878</v>
      </c>
      <c r="X228">
        <v>222</v>
      </c>
      <c r="Y228" s="38" t="s">
        <v>1741</v>
      </c>
      <c r="Z228" t="s">
        <v>1742</v>
      </c>
      <c r="AA228" s="37">
        <v>0.4669313779108562</v>
      </c>
    </row>
    <row r="229" spans="2:35" x14ac:dyDescent="0.35">
      <c r="B229" s="40">
        <v>15.1</v>
      </c>
      <c r="C229" s="40" t="s">
        <v>331</v>
      </c>
      <c r="D229">
        <v>20</v>
      </c>
      <c r="E229" t="str">
        <f t="shared" si="9"/>
        <v>frui</v>
      </c>
      <c r="F229">
        <v>225</v>
      </c>
      <c r="G229" t="s">
        <v>628</v>
      </c>
      <c r="H229" s="34">
        <v>2302.3820000000001</v>
      </c>
      <c r="I229" s="34">
        <v>656.09389999999996</v>
      </c>
      <c r="X229">
        <v>223</v>
      </c>
      <c r="Y229" s="39" t="s">
        <v>1743</v>
      </c>
      <c r="Z229" s="40" t="s">
        <v>1744</v>
      </c>
      <c r="AA229" s="41">
        <v>0.4669313779108562</v>
      </c>
    </row>
    <row r="230" spans="2:35" x14ac:dyDescent="0.35">
      <c r="B230" s="40">
        <v>15.1</v>
      </c>
      <c r="C230" s="40" t="s">
        <v>331</v>
      </c>
      <c r="D230">
        <v>20</v>
      </c>
      <c r="E230" t="str">
        <f t="shared" si="9"/>
        <v>frui</v>
      </c>
      <c r="F230">
        <v>226</v>
      </c>
      <c r="G230" t="s">
        <v>629</v>
      </c>
      <c r="H230" s="34">
        <v>3144.1509999999998</v>
      </c>
      <c r="I230" s="34">
        <v>403.35289999999998</v>
      </c>
      <c r="X230">
        <v>224</v>
      </c>
      <c r="Y230" s="39" t="s">
        <v>1745</v>
      </c>
      <c r="Z230" s="40" t="s">
        <v>1746</v>
      </c>
      <c r="AA230" s="41">
        <v>0</v>
      </c>
    </row>
    <row r="231" spans="2:35" x14ac:dyDescent="0.35">
      <c r="B231" s="40">
        <v>15.1</v>
      </c>
      <c r="C231" s="40" t="s">
        <v>331</v>
      </c>
      <c r="D231">
        <v>20</v>
      </c>
      <c r="E231" t="str">
        <f t="shared" si="9"/>
        <v>frui</v>
      </c>
      <c r="F231">
        <v>227</v>
      </c>
      <c r="G231" t="s">
        <v>630</v>
      </c>
      <c r="H231" s="34">
        <v>4.731833</v>
      </c>
      <c r="I231" s="34">
        <v>0.66918060000000001</v>
      </c>
      <c r="X231">
        <v>225</v>
      </c>
      <c r="Y231" s="39" t="s">
        <v>1747</v>
      </c>
      <c r="Z231" s="40" t="s">
        <v>1748</v>
      </c>
      <c r="AA231" s="41">
        <v>0</v>
      </c>
    </row>
    <row r="232" spans="2:35" x14ac:dyDescent="0.35">
      <c r="B232" s="40">
        <v>15.1</v>
      </c>
      <c r="C232" s="40" t="s">
        <v>331</v>
      </c>
      <c r="D232">
        <v>20</v>
      </c>
      <c r="E232" t="str">
        <f t="shared" si="9"/>
        <v>frui</v>
      </c>
      <c r="F232">
        <v>228</v>
      </c>
      <c r="G232" t="s">
        <v>631</v>
      </c>
      <c r="H232" s="34">
        <v>902.76260000000002</v>
      </c>
      <c r="I232" s="34">
        <v>0</v>
      </c>
      <c r="X232">
        <v>226</v>
      </c>
      <c r="Y232" s="39" t="s">
        <v>1749</v>
      </c>
      <c r="Z232" s="40" t="s">
        <v>1750</v>
      </c>
      <c r="AA232" s="41">
        <v>0</v>
      </c>
    </row>
    <row r="233" spans="2:35" x14ac:dyDescent="0.35">
      <c r="B233" s="40">
        <v>15.1</v>
      </c>
      <c r="C233" s="40" t="s">
        <v>331</v>
      </c>
      <c r="D233">
        <v>20</v>
      </c>
      <c r="E233" t="str">
        <f t="shared" si="9"/>
        <v>frui</v>
      </c>
      <c r="F233">
        <v>229</v>
      </c>
      <c r="G233" t="s">
        <v>632</v>
      </c>
      <c r="H233" s="34">
        <v>426.68329999999997</v>
      </c>
      <c r="I233" s="34">
        <v>306.58170000000001</v>
      </c>
      <c r="X233">
        <v>227</v>
      </c>
      <c r="Y233" s="5" t="s">
        <v>1751</v>
      </c>
      <c r="Z233" s="5" t="s">
        <v>1752</v>
      </c>
      <c r="AA233" s="35">
        <v>0.65527060799465353</v>
      </c>
    </row>
    <row r="234" spans="2:35" x14ac:dyDescent="0.35">
      <c r="B234" s="40">
        <v>6</v>
      </c>
      <c r="C234" s="40" t="s">
        <v>344</v>
      </c>
      <c r="D234">
        <v>8</v>
      </c>
      <c r="E234" t="str">
        <f t="shared" si="9"/>
        <v>oils</v>
      </c>
      <c r="F234">
        <v>230</v>
      </c>
      <c r="G234" t="s">
        <v>633</v>
      </c>
      <c r="H234" s="34">
        <v>5731.12</v>
      </c>
      <c r="I234" s="34">
        <v>3814.1019999999999</v>
      </c>
      <c r="X234">
        <v>228</v>
      </c>
      <c r="Y234" s="36" t="s">
        <v>1753</v>
      </c>
      <c r="Z234" t="s">
        <v>1754</v>
      </c>
      <c r="AA234" s="37">
        <v>0.280527735806885</v>
      </c>
    </row>
    <row r="235" spans="2:35" x14ac:dyDescent="0.35">
      <c r="B235" s="40">
        <v>7</v>
      </c>
      <c r="C235" s="40" t="s">
        <v>345</v>
      </c>
      <c r="D235">
        <v>7</v>
      </c>
      <c r="E235" t="str">
        <f t="shared" si="9"/>
        <v>gnut</v>
      </c>
      <c r="F235">
        <v>231</v>
      </c>
      <c r="G235" t="s">
        <v>634</v>
      </c>
      <c r="H235" s="34">
        <v>20605.810000000001</v>
      </c>
      <c r="I235" s="34">
        <v>3425.5940000000001</v>
      </c>
      <c r="X235">
        <v>229</v>
      </c>
      <c r="Y235" s="38" t="s">
        <v>1755</v>
      </c>
      <c r="Z235" t="s">
        <v>1756</v>
      </c>
      <c r="AA235" s="37">
        <v>0.237041775912263</v>
      </c>
    </row>
    <row r="236" spans="2:35" x14ac:dyDescent="0.35">
      <c r="B236" s="40">
        <v>7</v>
      </c>
      <c r="C236" s="40" t="s">
        <v>345</v>
      </c>
      <c r="D236">
        <v>7</v>
      </c>
      <c r="E236" t="str">
        <f t="shared" si="9"/>
        <v>gnut</v>
      </c>
      <c r="F236">
        <v>232</v>
      </c>
      <c r="G236" t="s">
        <v>635</v>
      </c>
      <c r="H236" s="34">
        <v>1543.8320000000001</v>
      </c>
      <c r="I236" s="34">
        <v>677.14449999999999</v>
      </c>
      <c r="X236">
        <v>230</v>
      </c>
      <c r="Y236" s="39" t="s">
        <v>1755</v>
      </c>
      <c r="Z236" s="40" t="s">
        <v>1757</v>
      </c>
      <c r="AA236" s="41">
        <v>0</v>
      </c>
      <c r="AG236" s="36"/>
      <c r="AI236" s="37"/>
    </row>
    <row r="237" spans="2:35" x14ac:dyDescent="0.35">
      <c r="B237" s="40">
        <v>7</v>
      </c>
      <c r="C237" s="40" t="s">
        <v>345</v>
      </c>
      <c r="D237">
        <v>7</v>
      </c>
      <c r="E237" t="str">
        <f t="shared" si="9"/>
        <v>gnut</v>
      </c>
      <c r="F237">
        <v>233</v>
      </c>
      <c r="G237" t="s">
        <v>636</v>
      </c>
      <c r="H237" s="34">
        <v>707.00040000000001</v>
      </c>
      <c r="I237" s="34">
        <v>241.61060000000001</v>
      </c>
      <c r="X237">
        <v>231</v>
      </c>
      <c r="Y237" s="38" t="s">
        <v>1758</v>
      </c>
      <c r="Z237" t="s">
        <v>1759</v>
      </c>
      <c r="AA237" s="37">
        <v>1.3955572044069151E-2</v>
      </c>
      <c r="AG237" s="38"/>
      <c r="AI237" s="37"/>
    </row>
    <row r="238" spans="2:35" x14ac:dyDescent="0.35">
      <c r="B238" s="40">
        <v>11</v>
      </c>
      <c r="C238" s="40" t="s">
        <v>343</v>
      </c>
      <c r="D238">
        <v>6</v>
      </c>
      <c r="E238" t="str">
        <f t="shared" si="9"/>
        <v>puls</v>
      </c>
      <c r="F238">
        <v>234</v>
      </c>
      <c r="G238" t="s">
        <v>637</v>
      </c>
      <c r="H238" s="34">
        <v>1582.8910000000001</v>
      </c>
      <c r="I238" s="34">
        <v>465.41910000000001</v>
      </c>
      <c r="X238">
        <v>232</v>
      </c>
      <c r="Y238" s="39" t="s">
        <v>1760</v>
      </c>
      <c r="Z238" s="40" t="s">
        <v>1761</v>
      </c>
      <c r="AA238" s="41">
        <v>1.3955572044069151E-2</v>
      </c>
      <c r="AG238" s="39"/>
      <c r="AH238" s="40"/>
      <c r="AI238" s="41"/>
    </row>
    <row r="239" spans="2:35" x14ac:dyDescent="0.35">
      <c r="B239" s="40">
        <v>11</v>
      </c>
      <c r="C239" s="40" t="s">
        <v>343</v>
      </c>
      <c r="D239">
        <v>6</v>
      </c>
      <c r="E239" t="str">
        <f t="shared" si="9"/>
        <v>puls</v>
      </c>
      <c r="F239">
        <v>235</v>
      </c>
      <c r="G239" t="s">
        <v>638</v>
      </c>
      <c r="H239" s="34">
        <v>23593.15</v>
      </c>
      <c r="I239" s="34">
        <v>22600.38</v>
      </c>
      <c r="X239">
        <v>233</v>
      </c>
      <c r="Y239" s="39" t="s">
        <v>1762</v>
      </c>
      <c r="Z239" s="40" t="s">
        <v>1763</v>
      </c>
      <c r="AA239" s="41">
        <v>0</v>
      </c>
      <c r="AG239" s="39"/>
      <c r="AH239" s="40"/>
      <c r="AI239" s="41"/>
    </row>
    <row r="240" spans="2:35" x14ac:dyDescent="0.35">
      <c r="B240" s="40">
        <v>6</v>
      </c>
      <c r="C240" s="40" t="s">
        <v>344</v>
      </c>
      <c r="D240">
        <v>6</v>
      </c>
      <c r="E240" t="str">
        <f t="shared" si="9"/>
        <v>puls</v>
      </c>
      <c r="F240">
        <v>236</v>
      </c>
      <c r="G240" t="s">
        <v>639</v>
      </c>
      <c r="H240" s="34">
        <v>145541.4</v>
      </c>
      <c r="I240" s="34">
        <v>73300.59</v>
      </c>
      <c r="X240">
        <v>234</v>
      </c>
      <c r="Y240" s="38" t="s">
        <v>1764</v>
      </c>
      <c r="Z240" t="s">
        <v>1765</v>
      </c>
      <c r="AA240" s="37">
        <v>2.9530387850552956E-2</v>
      </c>
      <c r="AG240" s="39"/>
      <c r="AH240" s="40"/>
      <c r="AI240" s="41"/>
    </row>
    <row r="241" spans="2:35" x14ac:dyDescent="0.35">
      <c r="B241" s="40">
        <v>11</v>
      </c>
      <c r="C241" s="40" t="s">
        <v>343</v>
      </c>
      <c r="D241">
        <v>8</v>
      </c>
      <c r="E241" t="str">
        <f t="shared" si="9"/>
        <v>oils</v>
      </c>
      <c r="F241">
        <v>237</v>
      </c>
      <c r="G241" t="s">
        <v>640</v>
      </c>
      <c r="H241" s="34">
        <v>360.91989999999998</v>
      </c>
      <c r="I241" s="34">
        <v>338.78739999999999</v>
      </c>
      <c r="X241">
        <v>235</v>
      </c>
      <c r="Y241" s="39" t="s">
        <v>1766</v>
      </c>
      <c r="Z241" s="40" t="s">
        <v>1767</v>
      </c>
      <c r="AA241" s="41">
        <v>2.9530387850552956E-2</v>
      </c>
      <c r="AG241" s="39"/>
      <c r="AH241" s="40"/>
      <c r="AI241" s="41"/>
    </row>
    <row r="242" spans="2:35" x14ac:dyDescent="0.35">
      <c r="B242" s="40">
        <v>6</v>
      </c>
      <c r="C242" s="40" t="s">
        <v>344</v>
      </c>
      <c r="D242">
        <v>8</v>
      </c>
      <c r="E242" t="str">
        <f t="shared" si="9"/>
        <v>oils</v>
      </c>
      <c r="F242">
        <v>238</v>
      </c>
      <c r="G242" t="s">
        <v>641</v>
      </c>
      <c r="H242" s="34">
        <v>838.58709999999996</v>
      </c>
      <c r="I242" s="34">
        <v>133.45519999999999</v>
      </c>
      <c r="X242">
        <v>236</v>
      </c>
      <c r="Y242" s="39" t="s">
        <v>1768</v>
      </c>
      <c r="Z242" s="40" t="s">
        <v>1769</v>
      </c>
      <c r="AA242" s="41">
        <v>0</v>
      </c>
      <c r="AG242" s="38"/>
      <c r="AI242" s="37"/>
    </row>
    <row r="243" spans="2:35" x14ac:dyDescent="0.35">
      <c r="B243" s="40">
        <v>11</v>
      </c>
      <c r="C243" s="40" t="s">
        <v>343</v>
      </c>
      <c r="D243">
        <v>6</v>
      </c>
      <c r="E243" t="str">
        <f t="shared" si="9"/>
        <v>puls</v>
      </c>
      <c r="F243">
        <v>239</v>
      </c>
      <c r="G243" t="s">
        <v>642</v>
      </c>
      <c r="H243" s="34">
        <v>6049.5940000000001</v>
      </c>
      <c r="I243" s="34">
        <v>4379.8370000000004</v>
      </c>
      <c r="X243">
        <v>237</v>
      </c>
      <c r="Y243" s="39" t="s">
        <v>1770</v>
      </c>
      <c r="Z243" s="40" t="s">
        <v>1771</v>
      </c>
      <c r="AA243" s="41">
        <v>0</v>
      </c>
      <c r="AG243" s="39"/>
      <c r="AH243" s="40"/>
      <c r="AI243" s="41"/>
    </row>
    <row r="244" spans="2:35" x14ac:dyDescent="0.35">
      <c r="B244" s="40">
        <v>6</v>
      </c>
      <c r="C244" s="40" t="s">
        <v>344</v>
      </c>
      <c r="D244">
        <v>6</v>
      </c>
      <c r="E244" t="str">
        <f t="shared" si="9"/>
        <v>puls</v>
      </c>
      <c r="F244">
        <v>240</v>
      </c>
      <c r="G244" t="s">
        <v>643</v>
      </c>
      <c r="H244" s="34">
        <v>1344.933</v>
      </c>
      <c r="I244" s="34">
        <v>830.9923</v>
      </c>
      <c r="X244">
        <v>238</v>
      </c>
      <c r="Y244" s="39" t="s">
        <v>1772</v>
      </c>
      <c r="Z244" s="40" t="s">
        <v>1773</v>
      </c>
      <c r="AA244" s="41">
        <v>0</v>
      </c>
      <c r="AG244" s="38"/>
      <c r="AI244" s="37"/>
    </row>
    <row r="245" spans="2:35" x14ac:dyDescent="0.35">
      <c r="B245" s="40">
        <v>11</v>
      </c>
      <c r="C245" s="40" t="s">
        <v>343</v>
      </c>
      <c r="D245">
        <v>14</v>
      </c>
      <c r="E245" t="str">
        <f t="shared" si="9"/>
        <v>vege</v>
      </c>
      <c r="F245">
        <v>241</v>
      </c>
      <c r="G245" t="s">
        <v>644</v>
      </c>
      <c r="H245" s="34">
        <v>32073.69</v>
      </c>
      <c r="I245" s="34">
        <v>2765.62</v>
      </c>
      <c r="X245">
        <v>239</v>
      </c>
      <c r="Y245" s="36" t="s">
        <v>1774</v>
      </c>
      <c r="Z245" t="s">
        <v>1775</v>
      </c>
      <c r="AA245" s="37">
        <v>0.2534692908329626</v>
      </c>
      <c r="AG245" s="39"/>
      <c r="AH245" s="40"/>
      <c r="AI245" s="41"/>
    </row>
    <row r="246" spans="2:35" x14ac:dyDescent="0.35">
      <c r="B246" s="40">
        <v>11</v>
      </c>
      <c r="C246" s="40" t="s">
        <v>343</v>
      </c>
      <c r="D246">
        <v>14</v>
      </c>
      <c r="E246" t="str">
        <f t="shared" si="9"/>
        <v>vege</v>
      </c>
      <c r="F246">
        <v>242</v>
      </c>
      <c r="G246" t="s">
        <v>645</v>
      </c>
      <c r="H246" s="34">
        <v>9734.7960000000003</v>
      </c>
      <c r="I246" s="34">
        <v>335.67630000000003</v>
      </c>
      <c r="X246">
        <v>240</v>
      </c>
      <c r="Y246" s="38" t="s">
        <v>1776</v>
      </c>
      <c r="Z246" t="s">
        <v>1777</v>
      </c>
      <c r="AA246" s="37">
        <v>0.18992202901521194</v>
      </c>
      <c r="AG246" s="39"/>
      <c r="AH246" s="40"/>
      <c r="AI246" s="41"/>
    </row>
    <row r="247" spans="2:35" x14ac:dyDescent="0.35">
      <c r="B247" s="40">
        <v>11</v>
      </c>
      <c r="C247" s="40" t="s">
        <v>343</v>
      </c>
      <c r="D247">
        <v>14</v>
      </c>
      <c r="E247" t="str">
        <f t="shared" si="9"/>
        <v>vege</v>
      </c>
      <c r="F247">
        <v>243</v>
      </c>
      <c r="G247" t="s">
        <v>646</v>
      </c>
      <c r="H247" s="34">
        <v>1148.546</v>
      </c>
      <c r="I247" s="34">
        <v>39.511389999999999</v>
      </c>
      <c r="X247">
        <v>241</v>
      </c>
      <c r="Y247" s="39" t="s">
        <v>1778</v>
      </c>
      <c r="Z247" s="40" t="s">
        <v>1779</v>
      </c>
      <c r="AA247" s="41">
        <v>0.18992202901521194</v>
      </c>
      <c r="AG247" s="39"/>
      <c r="AH247" s="40"/>
      <c r="AI247" s="41"/>
    </row>
    <row r="248" spans="2:35" x14ac:dyDescent="0.35">
      <c r="B248" s="40">
        <v>11</v>
      </c>
      <c r="C248" s="40" t="s">
        <v>343</v>
      </c>
      <c r="D248">
        <v>14</v>
      </c>
      <c r="E248" t="str">
        <f t="shared" si="9"/>
        <v>vege</v>
      </c>
      <c r="F248">
        <v>244</v>
      </c>
      <c r="G248" t="s">
        <v>647</v>
      </c>
      <c r="H248" s="34">
        <v>3253.297</v>
      </c>
      <c r="I248" s="34">
        <v>2656.0659999999998</v>
      </c>
      <c r="X248">
        <v>242</v>
      </c>
      <c r="Y248" s="39" t="s">
        <v>1780</v>
      </c>
      <c r="Z248" s="40" t="s">
        <v>1781</v>
      </c>
      <c r="AA248" s="41">
        <v>0</v>
      </c>
      <c r="AG248" s="38"/>
      <c r="AI248" s="37"/>
    </row>
    <row r="249" spans="2:35" x14ac:dyDescent="0.35">
      <c r="B249" s="40">
        <v>11</v>
      </c>
      <c r="C249" s="40" t="s">
        <v>343</v>
      </c>
      <c r="D249">
        <v>13</v>
      </c>
      <c r="E249" t="str">
        <f t="shared" si="9"/>
        <v>leaf</v>
      </c>
      <c r="F249">
        <v>245</v>
      </c>
      <c r="G249" t="s">
        <v>648</v>
      </c>
      <c r="H249" s="34">
        <v>208.3142</v>
      </c>
      <c r="I249" s="34">
        <v>73.06814</v>
      </c>
      <c r="X249">
        <v>243</v>
      </c>
      <c r="Y249" s="38" t="s">
        <v>1782</v>
      </c>
      <c r="Z249" t="s">
        <v>1783</v>
      </c>
      <c r="AA249" s="37">
        <v>0</v>
      </c>
      <c r="AG249" s="39"/>
      <c r="AH249" s="40"/>
      <c r="AI249" s="41"/>
    </row>
    <row r="250" spans="2:35" x14ac:dyDescent="0.35">
      <c r="B250" s="40">
        <v>11</v>
      </c>
      <c r="C250" s="40" t="s">
        <v>343</v>
      </c>
      <c r="D250">
        <v>13</v>
      </c>
      <c r="E250" t="str">
        <f t="shared" si="9"/>
        <v>leaf</v>
      </c>
      <c r="F250">
        <v>246</v>
      </c>
      <c r="G250" t="s">
        <v>649</v>
      </c>
      <c r="H250" s="34">
        <v>10904.25</v>
      </c>
      <c r="I250" s="34">
        <v>2180.1819999999998</v>
      </c>
      <c r="X250">
        <v>244</v>
      </c>
      <c r="Y250" s="39" t="s">
        <v>1782</v>
      </c>
      <c r="Z250" s="40" t="s">
        <v>1784</v>
      </c>
      <c r="AA250" s="41">
        <v>0</v>
      </c>
      <c r="AG250" s="36"/>
      <c r="AI250" s="37"/>
    </row>
    <row r="251" spans="2:35" x14ac:dyDescent="0.35">
      <c r="B251" s="40">
        <v>11</v>
      </c>
      <c r="C251" s="40" t="s">
        <v>343</v>
      </c>
      <c r="D251">
        <v>14</v>
      </c>
      <c r="E251" t="str">
        <f t="shared" si="9"/>
        <v>vege</v>
      </c>
      <c r="F251">
        <v>247</v>
      </c>
      <c r="G251" t="s">
        <v>650</v>
      </c>
      <c r="H251" s="34">
        <v>5225.1930000000002</v>
      </c>
      <c r="I251" s="34">
        <v>278.09640000000002</v>
      </c>
      <c r="X251">
        <v>245</v>
      </c>
      <c r="Y251" s="38" t="s">
        <v>1785</v>
      </c>
      <c r="Z251" t="s">
        <v>1786</v>
      </c>
      <c r="AA251" s="37">
        <v>6.3547261817750694E-2</v>
      </c>
      <c r="AG251" s="38"/>
      <c r="AI251" s="37"/>
    </row>
    <row r="252" spans="2:35" x14ac:dyDescent="0.35">
      <c r="B252" s="40">
        <v>11</v>
      </c>
      <c r="C252" s="40" t="s">
        <v>343</v>
      </c>
      <c r="D252">
        <v>13</v>
      </c>
      <c r="E252" t="str">
        <f t="shared" si="9"/>
        <v>leaf</v>
      </c>
      <c r="F252">
        <v>248</v>
      </c>
      <c r="G252" t="s">
        <v>651</v>
      </c>
      <c r="H252" s="34">
        <v>988.03510000000006</v>
      </c>
      <c r="I252" s="34">
        <v>396.09469999999999</v>
      </c>
      <c r="X252">
        <v>246</v>
      </c>
      <c r="Y252" s="39" t="s">
        <v>1787</v>
      </c>
      <c r="Z252" s="40" t="s">
        <v>1788</v>
      </c>
      <c r="AA252" s="41">
        <v>6.3547261817750694E-2</v>
      </c>
      <c r="AG252" s="39"/>
      <c r="AH252" s="40"/>
      <c r="AI252" s="41"/>
    </row>
    <row r="253" spans="2:35" x14ac:dyDescent="0.35">
      <c r="B253" s="40">
        <v>11</v>
      </c>
      <c r="C253" s="40" t="s">
        <v>343</v>
      </c>
      <c r="D253">
        <v>13</v>
      </c>
      <c r="E253" t="str">
        <f t="shared" si="9"/>
        <v>leaf</v>
      </c>
      <c r="F253">
        <v>249</v>
      </c>
      <c r="G253" t="s">
        <v>652</v>
      </c>
      <c r="H253" s="34">
        <v>26.439869999999999</v>
      </c>
      <c r="I253" s="34">
        <v>4.3983569999999999</v>
      </c>
      <c r="X253">
        <v>247</v>
      </c>
      <c r="Y253" s="39" t="s">
        <v>1789</v>
      </c>
      <c r="Z253" s="40" t="s">
        <v>1790</v>
      </c>
      <c r="AA253" s="41">
        <v>0</v>
      </c>
      <c r="AG253" s="38"/>
      <c r="AI253" s="37"/>
    </row>
    <row r="254" spans="2:35" x14ac:dyDescent="0.35">
      <c r="B254" s="40">
        <v>11</v>
      </c>
      <c r="C254" s="40" t="s">
        <v>343</v>
      </c>
      <c r="D254">
        <v>13</v>
      </c>
      <c r="E254" t="str">
        <f t="shared" si="9"/>
        <v>leaf</v>
      </c>
      <c r="F254">
        <v>250</v>
      </c>
      <c r="G254" t="s">
        <v>653</v>
      </c>
      <c r="H254" s="34">
        <v>1093.1489999999999</v>
      </c>
      <c r="I254" s="34">
        <v>85.359380000000002</v>
      </c>
      <c r="X254">
        <v>248</v>
      </c>
      <c r="Y254" s="39" t="s">
        <v>1791</v>
      </c>
      <c r="Z254" s="40" t="s">
        <v>1792</v>
      </c>
      <c r="AA254" s="41">
        <v>0</v>
      </c>
      <c r="AG254" s="39"/>
      <c r="AH254" s="40"/>
      <c r="AI254" s="41"/>
    </row>
    <row r="255" spans="2:35" x14ac:dyDescent="0.35">
      <c r="B255" s="40">
        <v>11</v>
      </c>
      <c r="C255" s="40" t="s">
        <v>343</v>
      </c>
      <c r="D255">
        <v>13</v>
      </c>
      <c r="E255" t="str">
        <f t="shared" si="9"/>
        <v>leaf</v>
      </c>
      <c r="F255">
        <v>251</v>
      </c>
      <c r="G255" t="s">
        <v>654</v>
      </c>
      <c r="H255" s="34">
        <v>19.068200000000001</v>
      </c>
      <c r="I255" s="34">
        <v>4.1914680000000004</v>
      </c>
      <c r="X255">
        <v>249</v>
      </c>
      <c r="Y255" s="36" t="s">
        <v>1793</v>
      </c>
      <c r="Z255" t="s">
        <v>1794</v>
      </c>
      <c r="AA255" s="37">
        <v>0.1212735813548058</v>
      </c>
      <c r="AG255" s="39"/>
      <c r="AH255" s="40"/>
      <c r="AI255" s="41"/>
    </row>
    <row r="256" spans="2:35" x14ac:dyDescent="0.35">
      <c r="B256" s="40">
        <v>11</v>
      </c>
      <c r="C256" s="40" t="s">
        <v>343</v>
      </c>
      <c r="D256">
        <v>14</v>
      </c>
      <c r="E256" t="str">
        <f t="shared" si="9"/>
        <v>vege</v>
      </c>
      <c r="F256">
        <v>252</v>
      </c>
      <c r="G256" t="s">
        <v>655</v>
      </c>
      <c r="H256" s="34">
        <v>1369.779</v>
      </c>
      <c r="I256" s="34">
        <v>1177.566</v>
      </c>
      <c r="X256">
        <v>250</v>
      </c>
      <c r="Y256" s="38" t="s">
        <v>1793</v>
      </c>
      <c r="Z256" t="s">
        <v>1795</v>
      </c>
      <c r="AA256" s="37">
        <v>0</v>
      </c>
      <c r="AG256" s="39"/>
      <c r="AH256" s="40"/>
      <c r="AI256" s="41"/>
    </row>
    <row r="257" spans="2:35" x14ac:dyDescent="0.35">
      <c r="B257" s="40">
        <v>11</v>
      </c>
      <c r="C257" s="40" t="s">
        <v>343</v>
      </c>
      <c r="D257">
        <v>13</v>
      </c>
      <c r="E257" t="str">
        <f t="shared" si="9"/>
        <v>leaf</v>
      </c>
      <c r="F257">
        <v>253</v>
      </c>
      <c r="G257" t="s">
        <v>656</v>
      </c>
      <c r="H257" s="34">
        <v>9486.98</v>
      </c>
      <c r="I257" s="34">
        <v>7400.5230000000001</v>
      </c>
      <c r="X257">
        <v>251</v>
      </c>
      <c r="Y257" s="39" t="s">
        <v>1793</v>
      </c>
      <c r="Z257" s="40" t="s">
        <v>1796</v>
      </c>
      <c r="AA257" s="41">
        <v>0</v>
      </c>
      <c r="AG257" s="39"/>
      <c r="AH257" s="40"/>
      <c r="AI257" s="41"/>
    </row>
    <row r="258" spans="2:35" x14ac:dyDescent="0.35">
      <c r="B258" s="40">
        <v>11</v>
      </c>
      <c r="C258" s="40" t="s">
        <v>343</v>
      </c>
      <c r="D258">
        <v>13</v>
      </c>
      <c r="E258" t="str">
        <f t="shared" si="9"/>
        <v>leaf</v>
      </c>
      <c r="F258">
        <v>254</v>
      </c>
      <c r="G258" t="s">
        <v>657</v>
      </c>
      <c r="H258" s="34">
        <v>12573.05</v>
      </c>
      <c r="I258" s="34">
        <v>9109.2340000000004</v>
      </c>
      <c r="X258">
        <v>252</v>
      </c>
      <c r="Y258" s="5" t="s">
        <v>1797</v>
      </c>
      <c r="Z258" s="5" t="s">
        <v>1798</v>
      </c>
      <c r="AA258" s="35">
        <v>9.8200613377142218</v>
      </c>
      <c r="AG258" s="39"/>
      <c r="AH258" s="40"/>
      <c r="AI258" s="41"/>
    </row>
    <row r="259" spans="2:35" x14ac:dyDescent="0.35">
      <c r="B259" s="40">
        <v>11</v>
      </c>
      <c r="C259" s="40" t="s">
        <v>343</v>
      </c>
      <c r="D259">
        <v>13</v>
      </c>
      <c r="E259" t="str">
        <f t="shared" si="9"/>
        <v>leaf</v>
      </c>
      <c r="F259">
        <v>255</v>
      </c>
      <c r="G259" t="s">
        <v>658</v>
      </c>
      <c r="H259" s="34">
        <v>10066.030000000001</v>
      </c>
      <c r="I259" s="34">
        <v>1759.46</v>
      </c>
      <c r="X259">
        <v>253</v>
      </c>
      <c r="Y259" s="36" t="s">
        <v>1799</v>
      </c>
      <c r="Z259" t="s">
        <v>1800</v>
      </c>
      <c r="AA259" s="37">
        <v>3.1574087982956716</v>
      </c>
    </row>
    <row r="260" spans="2:35" x14ac:dyDescent="0.35">
      <c r="B260" s="40">
        <v>11</v>
      </c>
      <c r="C260" s="40" t="s">
        <v>343</v>
      </c>
      <c r="D260">
        <v>13</v>
      </c>
      <c r="E260" t="str">
        <f t="shared" si="9"/>
        <v>leaf</v>
      </c>
      <c r="F260">
        <v>256</v>
      </c>
      <c r="G260" t="s">
        <v>659</v>
      </c>
      <c r="H260" s="34">
        <v>427.65649999999999</v>
      </c>
      <c r="I260" s="34">
        <v>187.34540000000001</v>
      </c>
      <c r="X260">
        <v>254</v>
      </c>
      <c r="Y260" s="38" t="s">
        <v>1801</v>
      </c>
      <c r="Z260" t="s">
        <v>1802</v>
      </c>
      <c r="AA260" s="37">
        <v>2.7192833819877715</v>
      </c>
    </row>
    <row r="261" spans="2:35" x14ac:dyDescent="0.35">
      <c r="B261" s="40">
        <v>11</v>
      </c>
      <c r="C261" s="40" t="s">
        <v>343</v>
      </c>
      <c r="D261">
        <v>13</v>
      </c>
      <c r="E261" t="str">
        <f t="shared" si="9"/>
        <v>leaf</v>
      </c>
      <c r="F261">
        <v>257</v>
      </c>
      <c r="G261" t="s">
        <v>660</v>
      </c>
      <c r="H261" s="34">
        <v>1837.7629999999999</v>
      </c>
      <c r="I261" s="34">
        <v>1191.02</v>
      </c>
      <c r="X261">
        <v>255</v>
      </c>
      <c r="Y261" s="39" t="s">
        <v>1803</v>
      </c>
      <c r="Z261" s="40" t="s">
        <v>1804</v>
      </c>
      <c r="AA261" s="41">
        <v>2.7192833819877715</v>
      </c>
    </row>
    <row r="262" spans="2:35" x14ac:dyDescent="0.35">
      <c r="B262" s="40">
        <v>11</v>
      </c>
      <c r="C262" s="40" t="s">
        <v>343</v>
      </c>
      <c r="D262">
        <v>13</v>
      </c>
      <c r="E262" t="str">
        <f t="shared" si="9"/>
        <v>leaf</v>
      </c>
      <c r="F262">
        <v>258</v>
      </c>
      <c r="G262" t="s">
        <v>661</v>
      </c>
      <c r="H262" s="34">
        <v>2594.018</v>
      </c>
      <c r="I262" s="34">
        <v>2131.0770000000002</v>
      </c>
      <c r="X262">
        <v>256</v>
      </c>
      <c r="Y262" s="39" t="s">
        <v>1805</v>
      </c>
      <c r="Z262" s="40" t="s">
        <v>1806</v>
      </c>
      <c r="AA262" s="41">
        <v>0</v>
      </c>
    </row>
    <row r="263" spans="2:35" x14ac:dyDescent="0.35">
      <c r="B263" s="40">
        <v>11</v>
      </c>
      <c r="C263" s="40" t="s">
        <v>343</v>
      </c>
      <c r="D263">
        <v>14</v>
      </c>
      <c r="E263" t="str">
        <f t="shared" ref="E263:E316" si="10">IF(ISNA(VLOOKUP(D263,$K$7:$L$92,2,0)),"",VLOOKUP(D263,$K$7:$L$92,2,0))</f>
        <v>vege</v>
      </c>
      <c r="F263">
        <v>259</v>
      </c>
      <c r="G263" t="s">
        <v>662</v>
      </c>
      <c r="H263" s="34">
        <v>2097.2860000000001</v>
      </c>
      <c r="I263" s="34">
        <v>271.57600000000002</v>
      </c>
      <c r="X263">
        <v>257</v>
      </c>
      <c r="Y263" s="38" t="s">
        <v>1807</v>
      </c>
      <c r="Z263" t="s">
        <v>1808</v>
      </c>
      <c r="AA263" s="37">
        <v>0.23663849459128142</v>
      </c>
    </row>
    <row r="264" spans="2:35" x14ac:dyDescent="0.35">
      <c r="B264" s="40">
        <v>11</v>
      </c>
      <c r="C264" s="40" t="s">
        <v>343</v>
      </c>
      <c r="D264">
        <v>14</v>
      </c>
      <c r="E264" t="str">
        <f t="shared" si="10"/>
        <v>vege</v>
      </c>
      <c r="F264">
        <v>260</v>
      </c>
      <c r="G264" t="s">
        <v>728</v>
      </c>
      <c r="H264" s="34">
        <v>3161.8989999999999</v>
      </c>
      <c r="I264" s="34">
        <v>3161.8989999999999</v>
      </c>
      <c r="X264">
        <v>258</v>
      </c>
      <c r="Y264" s="39" t="s">
        <v>1807</v>
      </c>
      <c r="Z264" s="40" t="s">
        <v>1809</v>
      </c>
      <c r="AA264" s="41">
        <v>0</v>
      </c>
    </row>
    <row r="265" spans="2:35" x14ac:dyDescent="0.35">
      <c r="B265" s="40">
        <v>10.1</v>
      </c>
      <c r="C265" s="40" t="s">
        <v>1317</v>
      </c>
      <c r="D265">
        <v>10</v>
      </c>
      <c r="E265" t="str">
        <f t="shared" si="10"/>
        <v>ipot</v>
      </c>
      <c r="F265">
        <v>261</v>
      </c>
      <c r="G265" t="s">
        <v>663</v>
      </c>
      <c r="H265" s="34">
        <v>119897.2</v>
      </c>
      <c r="I265" s="34">
        <v>53346.879999999997</v>
      </c>
      <c r="X265">
        <v>259</v>
      </c>
      <c r="Y265" s="38" t="s">
        <v>1810</v>
      </c>
      <c r="Z265" t="s">
        <v>1811</v>
      </c>
      <c r="AA265" s="37">
        <v>0.20148692171661889</v>
      </c>
    </row>
    <row r="266" spans="2:35" x14ac:dyDescent="0.35">
      <c r="B266" s="40">
        <v>10.199999999999999</v>
      </c>
      <c r="C266" s="40" t="s">
        <v>1318</v>
      </c>
      <c r="D266">
        <v>11</v>
      </c>
      <c r="E266" t="str">
        <f t="shared" si="10"/>
        <v>spot</v>
      </c>
      <c r="F266">
        <v>262</v>
      </c>
      <c r="G266" t="s">
        <v>664</v>
      </c>
      <c r="H266" s="34">
        <v>102803.2</v>
      </c>
      <c r="I266" s="34">
        <v>77816.88</v>
      </c>
      <c r="X266">
        <v>260</v>
      </c>
      <c r="Y266" s="39" t="s">
        <v>1810</v>
      </c>
      <c r="Z266" s="40" t="s">
        <v>1812</v>
      </c>
      <c r="AA266" s="41">
        <v>0</v>
      </c>
    </row>
    <row r="267" spans="2:35" x14ac:dyDescent="0.35">
      <c r="B267" s="40">
        <v>9</v>
      </c>
      <c r="C267" s="40" t="s">
        <v>333</v>
      </c>
      <c r="D267">
        <v>9</v>
      </c>
      <c r="E267" t="str">
        <f t="shared" si="10"/>
        <v>cass</v>
      </c>
      <c r="F267">
        <v>263</v>
      </c>
      <c r="G267" t="s">
        <v>665</v>
      </c>
      <c r="H267" s="34">
        <v>37880.980000000003</v>
      </c>
      <c r="I267" s="34">
        <v>28027.56</v>
      </c>
      <c r="X267">
        <v>261</v>
      </c>
      <c r="Y267" s="38" t="s">
        <v>1813</v>
      </c>
      <c r="Z267" t="s">
        <v>1814</v>
      </c>
      <c r="AA267" s="37">
        <v>0</v>
      </c>
    </row>
    <row r="268" spans="2:35" x14ac:dyDescent="0.35">
      <c r="B268" s="40">
        <v>10.3</v>
      </c>
      <c r="C268" s="40" t="s">
        <v>332</v>
      </c>
      <c r="D268">
        <v>12</v>
      </c>
      <c r="E268" t="str">
        <f t="shared" si="10"/>
        <v>root</v>
      </c>
      <c r="F268">
        <v>264</v>
      </c>
      <c r="G268" t="s">
        <v>666</v>
      </c>
      <c r="H268" s="34">
        <v>13136.44</v>
      </c>
      <c r="I268" s="34">
        <v>9900.0490000000009</v>
      </c>
      <c r="X268">
        <v>262</v>
      </c>
      <c r="Y268" s="39" t="s">
        <v>1813</v>
      </c>
      <c r="Z268" s="40" t="s">
        <v>1815</v>
      </c>
      <c r="AA268" s="41">
        <v>0</v>
      </c>
    </row>
    <row r="269" spans="2:35" x14ac:dyDescent="0.35">
      <c r="B269" s="40">
        <v>10.3</v>
      </c>
      <c r="C269" s="40" t="s">
        <v>332</v>
      </c>
      <c r="D269">
        <v>12</v>
      </c>
      <c r="E269" t="str">
        <f t="shared" si="10"/>
        <v>root</v>
      </c>
      <c r="F269">
        <v>265</v>
      </c>
      <c r="G269" t="s">
        <v>667</v>
      </c>
      <c r="H269" s="34">
        <v>626.12210000000005</v>
      </c>
      <c r="I269" s="34">
        <v>483.637</v>
      </c>
      <c r="X269">
        <v>263</v>
      </c>
      <c r="Y269" s="36" t="s">
        <v>1816</v>
      </c>
      <c r="Z269" t="s">
        <v>1817</v>
      </c>
      <c r="AA269" s="37">
        <v>2.5172631982230498</v>
      </c>
    </row>
    <row r="270" spans="2:35" x14ac:dyDescent="0.35">
      <c r="B270" s="40">
        <v>10.3</v>
      </c>
      <c r="C270" s="40" t="s">
        <v>332</v>
      </c>
      <c r="D270">
        <v>12</v>
      </c>
      <c r="E270" t="str">
        <f t="shared" si="10"/>
        <v>root</v>
      </c>
      <c r="F270">
        <v>266</v>
      </c>
      <c r="G270" t="s">
        <v>668</v>
      </c>
      <c r="H270" s="34">
        <v>10.601749999999999</v>
      </c>
      <c r="I270" s="34">
        <v>0</v>
      </c>
      <c r="X270">
        <v>264</v>
      </c>
      <c r="Y270" s="38" t="s">
        <v>1818</v>
      </c>
      <c r="Z270" t="s">
        <v>1819</v>
      </c>
      <c r="AA270" s="37">
        <v>0.87594465225588702</v>
      </c>
    </row>
    <row r="271" spans="2:35" x14ac:dyDescent="0.35">
      <c r="B271" s="40">
        <v>9</v>
      </c>
      <c r="C271" s="40" t="s">
        <v>333</v>
      </c>
      <c r="D271">
        <v>9</v>
      </c>
      <c r="E271" t="str">
        <f t="shared" si="10"/>
        <v>cass</v>
      </c>
      <c r="F271">
        <v>267</v>
      </c>
      <c r="G271" t="s">
        <v>669</v>
      </c>
      <c r="H271" s="34">
        <v>7867.4949999999999</v>
      </c>
      <c r="I271" s="34">
        <v>1817.7270000000001</v>
      </c>
      <c r="X271">
        <v>265</v>
      </c>
      <c r="Y271" s="39" t="s">
        <v>1820</v>
      </c>
      <c r="Z271" s="40" t="s">
        <v>1821</v>
      </c>
      <c r="AA271" s="41">
        <v>0.87594465225588702</v>
      </c>
    </row>
    <row r="272" spans="2:35" x14ac:dyDescent="0.35">
      <c r="B272" s="40">
        <v>9</v>
      </c>
      <c r="C272" s="40" t="s">
        <v>333</v>
      </c>
      <c r="D272">
        <v>9</v>
      </c>
      <c r="E272" t="str">
        <f t="shared" si="10"/>
        <v>cass</v>
      </c>
      <c r="F272">
        <v>268</v>
      </c>
      <c r="G272" t="s">
        <v>670</v>
      </c>
      <c r="H272" s="34">
        <v>55644.5</v>
      </c>
      <c r="I272" s="34">
        <v>24393.31</v>
      </c>
      <c r="X272">
        <v>266</v>
      </c>
      <c r="Y272" s="39" t="s">
        <v>1822</v>
      </c>
      <c r="Z272" s="40" t="s">
        <v>1823</v>
      </c>
      <c r="AA272" s="41">
        <v>0</v>
      </c>
    </row>
    <row r="273" spans="2:27" x14ac:dyDescent="0.35">
      <c r="B273" s="40">
        <v>38</v>
      </c>
      <c r="C273" s="40" t="s">
        <v>346</v>
      </c>
      <c r="D273">
        <v>50</v>
      </c>
      <c r="E273" t="str">
        <f t="shared" si="10"/>
        <v>sref</v>
      </c>
      <c r="F273">
        <v>269</v>
      </c>
      <c r="G273" t="s">
        <v>671</v>
      </c>
      <c r="H273" s="34">
        <v>21006.57</v>
      </c>
      <c r="I273" s="34">
        <v>1499.835</v>
      </c>
      <c r="X273">
        <v>267</v>
      </c>
      <c r="Y273" s="39" t="s">
        <v>1824</v>
      </c>
      <c r="Z273" s="40" t="s">
        <v>1825</v>
      </c>
      <c r="AA273" s="41">
        <v>0</v>
      </c>
    </row>
    <row r="274" spans="2:27" x14ac:dyDescent="0.35">
      <c r="B274" s="40">
        <v>38</v>
      </c>
      <c r="C274" s="40" t="s">
        <v>346</v>
      </c>
      <c r="D274">
        <v>50</v>
      </c>
      <c r="E274" t="str">
        <f t="shared" si="10"/>
        <v>sref</v>
      </c>
      <c r="F274">
        <v>270</v>
      </c>
      <c r="G274" t="s">
        <v>672</v>
      </c>
      <c r="H274" s="34">
        <v>10447.24</v>
      </c>
      <c r="I274" s="34">
        <v>0</v>
      </c>
      <c r="X274">
        <v>268</v>
      </c>
      <c r="Y274" s="38" t="s">
        <v>1826</v>
      </c>
      <c r="Z274" t="s">
        <v>1827</v>
      </c>
      <c r="AA274" s="37">
        <v>1.2214734151670301</v>
      </c>
    </row>
    <row r="275" spans="2:27" x14ac:dyDescent="0.35">
      <c r="B275" s="40">
        <v>12</v>
      </c>
      <c r="C275" s="40" t="s">
        <v>357</v>
      </c>
      <c r="D275">
        <v>15</v>
      </c>
      <c r="E275" t="str">
        <f t="shared" si="10"/>
        <v>sugr</v>
      </c>
      <c r="F275">
        <v>271</v>
      </c>
      <c r="G275" t="s">
        <v>673</v>
      </c>
      <c r="H275" s="34">
        <v>1669.5050000000001</v>
      </c>
      <c r="I275" s="34">
        <v>0</v>
      </c>
      <c r="X275">
        <v>269</v>
      </c>
      <c r="Y275" s="39" t="s">
        <v>1828</v>
      </c>
      <c r="Z275" s="40" t="s">
        <v>1829</v>
      </c>
      <c r="AA275" s="41">
        <v>1.2214734151670301</v>
      </c>
    </row>
    <row r="276" spans="2:27" x14ac:dyDescent="0.35">
      <c r="B276" s="40">
        <v>39.299999999999997</v>
      </c>
      <c r="C276" s="40" t="s">
        <v>336</v>
      </c>
      <c r="D276">
        <v>53</v>
      </c>
      <c r="E276" t="str">
        <f t="shared" si="10"/>
        <v>food</v>
      </c>
      <c r="F276">
        <v>272</v>
      </c>
      <c r="G276" t="s">
        <v>674</v>
      </c>
      <c r="H276" s="34">
        <v>58.403399999999998</v>
      </c>
      <c r="I276" s="34">
        <v>0</v>
      </c>
      <c r="X276">
        <v>270</v>
      </c>
      <c r="Y276" s="39" t="s">
        <v>1830</v>
      </c>
      <c r="Z276" s="40" t="s">
        <v>1831</v>
      </c>
      <c r="AA276" s="41">
        <v>0</v>
      </c>
    </row>
    <row r="277" spans="2:27" x14ac:dyDescent="0.35">
      <c r="B277" s="40">
        <v>39.299999999999997</v>
      </c>
      <c r="C277" s="40" t="s">
        <v>336</v>
      </c>
      <c r="D277">
        <v>53</v>
      </c>
      <c r="E277" t="str">
        <f t="shared" si="10"/>
        <v>food</v>
      </c>
      <c r="F277">
        <v>273</v>
      </c>
      <c r="G277" t="s">
        <v>675</v>
      </c>
      <c r="H277" s="34">
        <v>1107.066</v>
      </c>
      <c r="I277" s="34">
        <v>131.2518</v>
      </c>
      <c r="X277">
        <v>271</v>
      </c>
      <c r="Y277" s="39" t="s">
        <v>1832</v>
      </c>
      <c r="Z277" s="40" t="s">
        <v>1833</v>
      </c>
      <c r="AA277" s="41">
        <v>0</v>
      </c>
    </row>
    <row r="278" spans="2:27" x14ac:dyDescent="0.35">
      <c r="B278" s="40">
        <v>39.299999999999997</v>
      </c>
      <c r="C278" s="40" t="s">
        <v>336</v>
      </c>
      <c r="D278">
        <v>53</v>
      </c>
      <c r="E278" t="str">
        <f t="shared" si="10"/>
        <v>food</v>
      </c>
      <c r="F278">
        <v>274</v>
      </c>
      <c r="G278" t="s">
        <v>676</v>
      </c>
      <c r="H278" s="34">
        <v>144.85230000000001</v>
      </c>
      <c r="I278" s="34">
        <v>0</v>
      </c>
      <c r="X278">
        <v>272</v>
      </c>
      <c r="Y278" s="39" t="s">
        <v>1834</v>
      </c>
      <c r="Z278" s="40" t="s">
        <v>1835</v>
      </c>
      <c r="AA278" s="41">
        <v>0</v>
      </c>
    </row>
    <row r="279" spans="2:27" x14ac:dyDescent="0.35">
      <c r="B279" s="40">
        <v>39.299999999999997</v>
      </c>
      <c r="C279" s="40" t="s">
        <v>336</v>
      </c>
      <c r="D279">
        <v>53</v>
      </c>
      <c r="E279" t="str">
        <f t="shared" si="10"/>
        <v>food</v>
      </c>
      <c r="F279">
        <v>275</v>
      </c>
      <c r="G279" t="s">
        <v>677</v>
      </c>
      <c r="H279" s="34">
        <v>1162.653</v>
      </c>
      <c r="I279" s="34">
        <v>0</v>
      </c>
      <c r="X279">
        <v>273</v>
      </c>
      <c r="Y279" s="38" t="s">
        <v>1836</v>
      </c>
      <c r="Z279" t="s">
        <v>1837</v>
      </c>
      <c r="AA279" s="37">
        <v>0.40315328822817242</v>
      </c>
    </row>
    <row r="280" spans="2:27" x14ac:dyDescent="0.35">
      <c r="B280" s="40">
        <v>39.299999999999997</v>
      </c>
      <c r="C280" s="40" t="s">
        <v>336</v>
      </c>
      <c r="D280">
        <v>53</v>
      </c>
      <c r="E280" t="str">
        <f t="shared" si="10"/>
        <v>food</v>
      </c>
      <c r="F280">
        <v>276</v>
      </c>
      <c r="G280" t="s">
        <v>678</v>
      </c>
      <c r="H280" s="34">
        <v>740.77589999999998</v>
      </c>
      <c r="I280" s="34">
        <v>0</v>
      </c>
      <c r="X280">
        <v>274</v>
      </c>
      <c r="Y280" s="39" t="s">
        <v>1836</v>
      </c>
      <c r="Z280" s="40" t="s">
        <v>1838</v>
      </c>
      <c r="AA280" s="41">
        <v>0</v>
      </c>
    </row>
    <row r="281" spans="2:27" x14ac:dyDescent="0.35">
      <c r="B281" s="40">
        <v>39.299999999999997</v>
      </c>
      <c r="C281" s="40" t="s">
        <v>336</v>
      </c>
      <c r="D281">
        <v>53</v>
      </c>
      <c r="E281" t="str">
        <f t="shared" si="10"/>
        <v>food</v>
      </c>
      <c r="F281">
        <v>277</v>
      </c>
      <c r="G281" t="s">
        <v>679</v>
      </c>
      <c r="H281" s="34">
        <v>15345.69</v>
      </c>
      <c r="I281" s="34">
        <v>0</v>
      </c>
      <c r="X281">
        <v>275</v>
      </c>
      <c r="Y281" s="38" t="s">
        <v>1839</v>
      </c>
      <c r="Z281" t="s">
        <v>1840</v>
      </c>
      <c r="AA281" s="37">
        <v>1.6691842571960075E-2</v>
      </c>
    </row>
    <row r="282" spans="2:27" x14ac:dyDescent="0.35">
      <c r="B282" s="40">
        <v>39.299999999999997</v>
      </c>
      <c r="C282" s="40" t="s">
        <v>336</v>
      </c>
      <c r="D282">
        <v>53</v>
      </c>
      <c r="E282" t="str">
        <f t="shared" si="10"/>
        <v>food</v>
      </c>
      <c r="F282">
        <v>278</v>
      </c>
      <c r="G282" t="s">
        <v>680</v>
      </c>
      <c r="H282" s="34">
        <v>1129.7760000000001</v>
      </c>
      <c r="I282" s="34">
        <v>718.70069999999998</v>
      </c>
      <c r="X282">
        <v>276</v>
      </c>
      <c r="Y282" s="39" t="s">
        <v>1841</v>
      </c>
      <c r="Z282" s="40" t="s">
        <v>1842</v>
      </c>
      <c r="AA282" s="41">
        <v>1.6691842571960075E-2</v>
      </c>
    </row>
    <row r="283" spans="2:27" x14ac:dyDescent="0.35">
      <c r="B283" s="40">
        <v>39.299999999999997</v>
      </c>
      <c r="C283" s="40" t="s">
        <v>336</v>
      </c>
      <c r="D283">
        <v>53</v>
      </c>
      <c r="E283" t="str">
        <f t="shared" si="10"/>
        <v>food</v>
      </c>
      <c r="F283">
        <v>279</v>
      </c>
      <c r="G283" t="s">
        <v>681</v>
      </c>
      <c r="H283" s="34">
        <v>47.237819999999999</v>
      </c>
      <c r="I283" s="34">
        <v>0</v>
      </c>
      <c r="X283">
        <v>277</v>
      </c>
      <c r="Y283" s="39" t="s">
        <v>1843</v>
      </c>
      <c r="Z283" s="40" t="s">
        <v>1844</v>
      </c>
      <c r="AA283" s="41">
        <v>0</v>
      </c>
    </row>
    <row r="284" spans="2:27" x14ac:dyDescent="0.35">
      <c r="B284" s="40">
        <v>39.299999999999997</v>
      </c>
      <c r="C284" s="40" t="s">
        <v>336</v>
      </c>
      <c r="D284">
        <v>53</v>
      </c>
      <c r="E284" t="str">
        <f t="shared" si="10"/>
        <v>food</v>
      </c>
      <c r="F284">
        <v>280</v>
      </c>
      <c r="G284" t="s">
        <v>682</v>
      </c>
      <c r="H284" s="34">
        <v>965.18759999999997</v>
      </c>
      <c r="I284" s="34">
        <v>0</v>
      </c>
      <c r="X284">
        <v>278</v>
      </c>
      <c r="Y284" s="39" t="s">
        <v>1845</v>
      </c>
      <c r="Z284" s="40" t="s">
        <v>1846</v>
      </c>
      <c r="AA284" s="41">
        <v>0</v>
      </c>
    </row>
    <row r="285" spans="2:27" x14ac:dyDescent="0.35">
      <c r="B285" s="40">
        <v>39.299999999999997</v>
      </c>
      <c r="C285" s="40" t="s">
        <v>336</v>
      </c>
      <c r="D285">
        <v>43</v>
      </c>
      <c r="E285" t="str">
        <f t="shared" si="10"/>
        <v>fveg</v>
      </c>
      <c r="F285">
        <v>281</v>
      </c>
      <c r="G285" t="s">
        <v>683</v>
      </c>
      <c r="H285" s="34">
        <v>7033.9759999999997</v>
      </c>
      <c r="I285" s="34">
        <v>0</v>
      </c>
      <c r="X285">
        <v>279</v>
      </c>
      <c r="Y285" s="36" t="s">
        <v>1847</v>
      </c>
      <c r="Z285" t="s">
        <v>1848</v>
      </c>
      <c r="AA285" s="37">
        <v>4.1453893411955001</v>
      </c>
    </row>
    <row r="286" spans="2:27" x14ac:dyDescent="0.35">
      <c r="B286" s="40">
        <v>39.299999999999997</v>
      </c>
      <c r="C286" s="40" t="s">
        <v>336</v>
      </c>
      <c r="D286">
        <v>43</v>
      </c>
      <c r="E286" t="str">
        <f t="shared" si="10"/>
        <v>fveg</v>
      </c>
      <c r="F286">
        <v>282</v>
      </c>
      <c r="G286" t="s">
        <v>684</v>
      </c>
      <c r="H286" s="34">
        <v>1070.5070000000001</v>
      </c>
      <c r="I286" s="34">
        <v>426.97250000000003</v>
      </c>
      <c r="X286">
        <v>280</v>
      </c>
      <c r="Y286" s="38" t="s">
        <v>1849</v>
      </c>
      <c r="Z286" t="s">
        <v>1850</v>
      </c>
      <c r="AA286" s="37">
        <v>0</v>
      </c>
    </row>
    <row r="287" spans="2:27" x14ac:dyDescent="0.35">
      <c r="B287" s="40">
        <v>39.299999999999997</v>
      </c>
      <c r="C287" s="40" t="s">
        <v>336</v>
      </c>
      <c r="D287">
        <v>53</v>
      </c>
      <c r="E287" t="str">
        <f t="shared" si="10"/>
        <v>food</v>
      </c>
      <c r="F287">
        <v>283</v>
      </c>
      <c r="G287" t="s">
        <v>685</v>
      </c>
      <c r="H287" s="34">
        <v>612.32910000000004</v>
      </c>
      <c r="I287" s="34">
        <v>0</v>
      </c>
      <c r="X287">
        <v>281</v>
      </c>
      <c r="Y287" s="39" t="s">
        <v>1851</v>
      </c>
      <c r="Z287" s="40" t="s">
        <v>1852</v>
      </c>
      <c r="AA287" s="41">
        <v>0</v>
      </c>
    </row>
    <row r="288" spans="2:27" x14ac:dyDescent="0.35">
      <c r="B288" s="40">
        <v>39.299999999999997</v>
      </c>
      <c r="C288" s="40" t="s">
        <v>336</v>
      </c>
      <c r="D288">
        <v>53</v>
      </c>
      <c r="E288" t="str">
        <f t="shared" si="10"/>
        <v>food</v>
      </c>
      <c r="F288">
        <v>284</v>
      </c>
      <c r="G288" t="s">
        <v>686</v>
      </c>
      <c r="H288" s="34">
        <v>941.61980000000005</v>
      </c>
      <c r="I288" s="34">
        <v>0</v>
      </c>
      <c r="X288">
        <v>282</v>
      </c>
      <c r="Y288" s="39" t="s">
        <v>1853</v>
      </c>
      <c r="Z288" s="40" t="s">
        <v>1854</v>
      </c>
      <c r="AA288" s="41">
        <v>0</v>
      </c>
    </row>
    <row r="289" spans="2:27" x14ac:dyDescent="0.35">
      <c r="B289" s="40">
        <v>39.299999999999997</v>
      </c>
      <c r="C289" s="40" t="s">
        <v>336</v>
      </c>
      <c r="D289">
        <v>53</v>
      </c>
      <c r="E289" t="str">
        <f t="shared" si="10"/>
        <v>food</v>
      </c>
      <c r="F289">
        <v>285</v>
      </c>
      <c r="G289" t="s">
        <v>687</v>
      </c>
      <c r="H289" s="34">
        <v>1074.037</v>
      </c>
      <c r="I289" s="34">
        <v>0</v>
      </c>
      <c r="X289">
        <v>283</v>
      </c>
      <c r="Y289" s="38" t="s">
        <v>1855</v>
      </c>
      <c r="Z289" t="s">
        <v>1856</v>
      </c>
      <c r="AA289" s="37">
        <v>4.12138751105027</v>
      </c>
    </row>
    <row r="290" spans="2:27" x14ac:dyDescent="0.35">
      <c r="B290" s="40">
        <v>17</v>
      </c>
      <c r="C290" s="40" t="s">
        <v>362</v>
      </c>
      <c r="D290">
        <v>51</v>
      </c>
      <c r="E290" t="str">
        <f t="shared" si="10"/>
        <v>pcof</v>
      </c>
      <c r="F290">
        <v>286</v>
      </c>
      <c r="G290" t="s">
        <v>688</v>
      </c>
      <c r="H290" s="34">
        <v>199.89670000000001</v>
      </c>
      <c r="I290" s="34">
        <v>4.8180810000000003</v>
      </c>
      <c r="X290">
        <v>284</v>
      </c>
      <c r="Y290" s="39" t="s">
        <v>1857</v>
      </c>
      <c r="Z290" s="40" t="s">
        <v>1858</v>
      </c>
      <c r="AA290" s="41">
        <v>4.12138751105027</v>
      </c>
    </row>
    <row r="291" spans="2:27" x14ac:dyDescent="0.35">
      <c r="B291" s="40">
        <v>39.1</v>
      </c>
      <c r="C291" s="40" t="s">
        <v>1320</v>
      </c>
      <c r="D291">
        <v>51</v>
      </c>
      <c r="E291" t="str">
        <f t="shared" si="10"/>
        <v>pcof</v>
      </c>
      <c r="F291">
        <v>287</v>
      </c>
      <c r="G291" t="s">
        <v>689</v>
      </c>
      <c r="H291" s="34">
        <v>119.8103</v>
      </c>
      <c r="I291" s="34">
        <v>0</v>
      </c>
      <c r="X291">
        <v>285</v>
      </c>
      <c r="Y291" s="39" t="s">
        <v>1859</v>
      </c>
      <c r="Z291" s="40" t="s">
        <v>1860</v>
      </c>
      <c r="AA291" s="41">
        <v>0</v>
      </c>
    </row>
    <row r="292" spans="2:27" x14ac:dyDescent="0.35">
      <c r="B292" s="40">
        <v>18</v>
      </c>
      <c r="C292" s="40" t="s">
        <v>756</v>
      </c>
      <c r="D292">
        <v>52</v>
      </c>
      <c r="E292" t="str">
        <f t="shared" si="10"/>
        <v>ptea</v>
      </c>
      <c r="F292">
        <v>288</v>
      </c>
      <c r="G292" t="s">
        <v>690</v>
      </c>
      <c r="H292" s="34">
        <v>1053.6659999999999</v>
      </c>
      <c r="I292" s="34">
        <v>1.340716</v>
      </c>
      <c r="X292">
        <v>286</v>
      </c>
      <c r="Y292" s="38" t="s">
        <v>1861</v>
      </c>
      <c r="Z292" t="s">
        <v>1862</v>
      </c>
      <c r="AA292" s="37">
        <v>2.4001830145231065E-2</v>
      </c>
    </row>
    <row r="293" spans="2:27" x14ac:dyDescent="0.35">
      <c r="B293" s="40">
        <v>39.200000000000003</v>
      </c>
      <c r="C293" s="40" t="s">
        <v>1321</v>
      </c>
      <c r="D293">
        <v>52</v>
      </c>
      <c r="E293" t="str">
        <f t="shared" si="10"/>
        <v>ptea</v>
      </c>
      <c r="F293">
        <v>289</v>
      </c>
      <c r="G293" t="s">
        <v>691</v>
      </c>
      <c r="H293" s="34">
        <v>421.83510000000001</v>
      </c>
      <c r="I293" s="34">
        <v>0</v>
      </c>
      <c r="X293">
        <v>287</v>
      </c>
      <c r="Y293" s="39" t="s">
        <v>1863</v>
      </c>
      <c r="Z293" s="40" t="s">
        <v>1864</v>
      </c>
      <c r="AA293" s="41">
        <v>2.4001830145231065E-2</v>
      </c>
    </row>
    <row r="294" spans="2:27" x14ac:dyDescent="0.35">
      <c r="B294" s="40">
        <v>39.299999999999997</v>
      </c>
      <c r="C294" s="40" t="s">
        <v>336</v>
      </c>
      <c r="D294">
        <v>53</v>
      </c>
      <c r="E294" t="str">
        <f t="shared" si="10"/>
        <v>food</v>
      </c>
      <c r="F294">
        <v>290</v>
      </c>
      <c r="G294" t="s">
        <v>692</v>
      </c>
      <c r="H294" s="34">
        <v>24.251349999999999</v>
      </c>
      <c r="I294" s="34">
        <v>0</v>
      </c>
      <c r="X294">
        <v>288</v>
      </c>
      <c r="Y294" s="39" t="s">
        <v>1865</v>
      </c>
      <c r="Z294" s="40" t="s">
        <v>1866</v>
      </c>
      <c r="AA294" s="41">
        <v>0</v>
      </c>
    </row>
    <row r="295" spans="2:27" x14ac:dyDescent="0.35">
      <c r="B295" s="40">
        <v>41</v>
      </c>
      <c r="C295" s="40" t="s">
        <v>347</v>
      </c>
      <c r="D295">
        <v>55</v>
      </c>
      <c r="E295" t="str">
        <f t="shared" si="10"/>
        <v>beve</v>
      </c>
      <c r="F295">
        <v>291</v>
      </c>
      <c r="G295" t="s">
        <v>693</v>
      </c>
      <c r="H295" s="34">
        <v>3257.8510000000001</v>
      </c>
      <c r="I295" s="34">
        <v>0</v>
      </c>
      <c r="X295">
        <v>289</v>
      </c>
      <c r="Y295" s="38" t="s">
        <v>1867</v>
      </c>
      <c r="Z295" t="s">
        <v>1868</v>
      </c>
      <c r="AA295" s="37">
        <v>0</v>
      </c>
    </row>
    <row r="296" spans="2:27" x14ac:dyDescent="0.35">
      <c r="B296" s="40">
        <v>41</v>
      </c>
      <c r="C296" s="40" t="s">
        <v>347</v>
      </c>
      <c r="D296">
        <v>55</v>
      </c>
      <c r="E296" t="str">
        <f t="shared" si="10"/>
        <v>beve</v>
      </c>
      <c r="F296">
        <v>292</v>
      </c>
      <c r="G296" t="s">
        <v>694</v>
      </c>
      <c r="H296" s="34">
        <v>13020.01</v>
      </c>
      <c r="I296" s="34">
        <v>0</v>
      </c>
      <c r="X296">
        <v>290</v>
      </c>
      <c r="Y296" s="39" t="s">
        <v>1869</v>
      </c>
      <c r="Z296" s="40" t="s">
        <v>1870</v>
      </c>
      <c r="AA296" s="41">
        <v>0</v>
      </c>
    </row>
    <row r="297" spans="2:27" x14ac:dyDescent="0.35">
      <c r="B297" s="40">
        <v>41</v>
      </c>
      <c r="C297" s="40" t="s">
        <v>347</v>
      </c>
      <c r="D297">
        <v>55</v>
      </c>
      <c r="E297" t="str">
        <f t="shared" si="10"/>
        <v>beve</v>
      </c>
      <c r="F297">
        <v>293</v>
      </c>
      <c r="G297" t="s">
        <v>695</v>
      </c>
      <c r="H297" s="34">
        <v>7206.4089999999997</v>
      </c>
      <c r="I297" s="34">
        <v>5077.549</v>
      </c>
      <c r="X297">
        <v>291</v>
      </c>
      <c r="Y297" s="39" t="s">
        <v>1871</v>
      </c>
      <c r="Z297" s="40" t="s">
        <v>1872</v>
      </c>
      <c r="AA297" s="41">
        <v>0</v>
      </c>
    </row>
    <row r="298" spans="2:27" x14ac:dyDescent="0.35">
      <c r="B298" s="40">
        <v>41</v>
      </c>
      <c r="C298" s="40" t="s">
        <v>347</v>
      </c>
      <c r="D298">
        <v>55</v>
      </c>
      <c r="E298" t="str">
        <f t="shared" si="10"/>
        <v>beve</v>
      </c>
      <c r="F298">
        <v>294</v>
      </c>
      <c r="G298" t="s">
        <v>696</v>
      </c>
      <c r="H298" s="34">
        <v>1034.797</v>
      </c>
      <c r="I298" s="34">
        <v>39.332909999999998</v>
      </c>
      <c r="X298">
        <v>292</v>
      </c>
      <c r="Y298" s="38" t="s">
        <v>1873</v>
      </c>
      <c r="Z298" t="s">
        <v>1874</v>
      </c>
      <c r="AA298" s="37">
        <v>0</v>
      </c>
    </row>
    <row r="299" spans="2:27" x14ac:dyDescent="0.35">
      <c r="B299" s="40">
        <v>41</v>
      </c>
      <c r="C299" s="40" t="s">
        <v>347</v>
      </c>
      <c r="D299">
        <v>55</v>
      </c>
      <c r="E299" t="str">
        <f t="shared" si="10"/>
        <v>beve</v>
      </c>
      <c r="F299">
        <v>295</v>
      </c>
      <c r="G299" t="s">
        <v>697</v>
      </c>
      <c r="H299" s="34">
        <v>2451.6260000000002</v>
      </c>
      <c r="I299" s="34">
        <v>0</v>
      </c>
      <c r="X299">
        <v>293</v>
      </c>
      <c r="Y299" s="39" t="s">
        <v>1873</v>
      </c>
      <c r="Z299" s="40" t="s">
        <v>1875</v>
      </c>
      <c r="AA299" s="41">
        <v>0</v>
      </c>
    </row>
    <row r="300" spans="2:27" x14ac:dyDescent="0.35">
      <c r="B300" s="40">
        <v>41</v>
      </c>
      <c r="C300" s="40" t="s">
        <v>347</v>
      </c>
      <c r="D300">
        <v>55</v>
      </c>
      <c r="E300" t="str">
        <f t="shared" si="10"/>
        <v>beve</v>
      </c>
      <c r="F300">
        <v>296</v>
      </c>
      <c r="G300" t="s">
        <v>698</v>
      </c>
      <c r="H300" s="34">
        <v>1846.4960000000001</v>
      </c>
      <c r="I300" s="34">
        <v>0</v>
      </c>
      <c r="X300">
        <v>294</v>
      </c>
      <c r="Y300" s="38" t="s">
        <v>1876</v>
      </c>
      <c r="Z300" t="s">
        <v>1877</v>
      </c>
      <c r="AA300" s="37">
        <v>0</v>
      </c>
    </row>
    <row r="301" spans="2:27" x14ac:dyDescent="0.35">
      <c r="B301" s="40">
        <v>41</v>
      </c>
      <c r="C301" s="40" t="s">
        <v>347</v>
      </c>
      <c r="D301">
        <v>55</v>
      </c>
      <c r="E301" t="str">
        <f t="shared" si="10"/>
        <v>beve</v>
      </c>
      <c r="F301">
        <v>297</v>
      </c>
      <c r="G301" t="s">
        <v>699</v>
      </c>
      <c r="H301" s="34">
        <v>21796.15</v>
      </c>
      <c r="I301" s="34">
        <v>5567.942</v>
      </c>
      <c r="X301">
        <v>295</v>
      </c>
      <c r="Y301" s="39" t="s">
        <v>1878</v>
      </c>
      <c r="Z301" s="40" t="s">
        <v>1879</v>
      </c>
      <c r="AA301" s="41">
        <v>0</v>
      </c>
    </row>
    <row r="302" spans="2:27" x14ac:dyDescent="0.35">
      <c r="B302" s="40">
        <v>41</v>
      </c>
      <c r="C302" s="40" t="s">
        <v>347</v>
      </c>
      <c r="D302">
        <v>55</v>
      </c>
      <c r="E302" t="str">
        <f t="shared" si="10"/>
        <v>beve</v>
      </c>
      <c r="F302">
        <v>298</v>
      </c>
      <c r="G302" t="s">
        <v>700</v>
      </c>
      <c r="H302" s="34">
        <v>4870.3230000000003</v>
      </c>
      <c r="I302" s="34">
        <v>0</v>
      </c>
      <c r="X302">
        <v>296</v>
      </c>
      <c r="Y302" s="39" t="s">
        <v>1880</v>
      </c>
      <c r="Z302" s="40" t="s">
        <v>1881</v>
      </c>
      <c r="AA302" s="41">
        <v>0</v>
      </c>
    </row>
    <row r="303" spans="2:27" x14ac:dyDescent="0.35">
      <c r="B303" s="40">
        <v>41</v>
      </c>
      <c r="C303" s="40" t="s">
        <v>347</v>
      </c>
      <c r="D303">
        <v>55</v>
      </c>
      <c r="E303" t="str">
        <f t="shared" si="10"/>
        <v>beve</v>
      </c>
      <c r="F303">
        <v>299</v>
      </c>
      <c r="G303" t="s">
        <v>701</v>
      </c>
      <c r="H303" s="34">
        <v>2277.3870000000002</v>
      </c>
      <c r="I303" s="34">
        <v>0</v>
      </c>
      <c r="X303">
        <v>297</v>
      </c>
      <c r="Y303" s="39" t="s">
        <v>1882</v>
      </c>
      <c r="Z303" s="40" t="s">
        <v>1883</v>
      </c>
      <c r="AA303" s="41">
        <v>0</v>
      </c>
    </row>
    <row r="304" spans="2:27" x14ac:dyDescent="0.35">
      <c r="B304" s="40">
        <v>41</v>
      </c>
      <c r="C304" s="40" t="s">
        <v>347</v>
      </c>
      <c r="D304">
        <v>55</v>
      </c>
      <c r="E304" t="str">
        <f t="shared" si="10"/>
        <v>beve</v>
      </c>
      <c r="F304">
        <v>300</v>
      </c>
      <c r="G304" t="s">
        <v>702</v>
      </c>
      <c r="H304" s="34">
        <v>182.87559999999999</v>
      </c>
      <c r="I304" s="34">
        <v>0</v>
      </c>
      <c r="X304">
        <v>298</v>
      </c>
      <c r="Y304" s="5" t="s">
        <v>1884</v>
      </c>
      <c r="Z304" s="5" t="s">
        <v>1885</v>
      </c>
      <c r="AA304" s="35">
        <v>2.0677789393577202</v>
      </c>
    </row>
    <row r="305" spans="2:27" x14ac:dyDescent="0.35">
      <c r="B305" s="40">
        <v>41</v>
      </c>
      <c r="C305" s="40" t="s">
        <v>347</v>
      </c>
      <c r="D305">
        <v>55</v>
      </c>
      <c r="E305" t="str">
        <f t="shared" si="10"/>
        <v>beve</v>
      </c>
      <c r="F305">
        <v>301</v>
      </c>
      <c r="G305" t="s">
        <v>703</v>
      </c>
      <c r="H305" s="34">
        <v>527.49220000000003</v>
      </c>
      <c r="I305" s="34">
        <v>0</v>
      </c>
      <c r="X305">
        <v>299</v>
      </c>
      <c r="Y305" s="36" t="s">
        <v>1886</v>
      </c>
      <c r="Z305" t="s">
        <v>1887</v>
      </c>
      <c r="AA305" s="37">
        <v>5.1628092885316152E-3</v>
      </c>
    </row>
    <row r="306" spans="2:27" x14ac:dyDescent="0.35">
      <c r="B306" s="40">
        <v>41</v>
      </c>
      <c r="C306" s="40" t="s">
        <v>347</v>
      </c>
      <c r="D306">
        <v>55</v>
      </c>
      <c r="E306" t="str">
        <f t="shared" si="10"/>
        <v>beve</v>
      </c>
      <c r="F306">
        <v>302</v>
      </c>
      <c r="G306" t="s">
        <v>704</v>
      </c>
      <c r="H306" s="34">
        <v>19917.45</v>
      </c>
      <c r="I306" s="34">
        <v>5686.3890000000001</v>
      </c>
      <c r="X306">
        <v>300</v>
      </c>
      <c r="Y306" s="38" t="s">
        <v>1886</v>
      </c>
      <c r="Z306" t="s">
        <v>1888</v>
      </c>
      <c r="AA306" s="37">
        <v>0</v>
      </c>
    </row>
    <row r="307" spans="2:27" x14ac:dyDescent="0.35">
      <c r="B307" s="40">
        <v>41</v>
      </c>
      <c r="C307" s="40" t="s">
        <v>347</v>
      </c>
      <c r="D307">
        <v>55</v>
      </c>
      <c r="E307" t="str">
        <f t="shared" si="10"/>
        <v>beve</v>
      </c>
      <c r="F307">
        <v>303</v>
      </c>
      <c r="G307" t="s">
        <v>705</v>
      </c>
      <c r="H307" s="34">
        <v>9600.0580000000009</v>
      </c>
      <c r="I307" s="34">
        <v>1578.7719999999999</v>
      </c>
      <c r="X307">
        <v>301</v>
      </c>
      <c r="Y307" s="39" t="s">
        <v>1889</v>
      </c>
      <c r="Z307" s="40" t="s">
        <v>1890</v>
      </c>
      <c r="AA307" s="41">
        <v>0</v>
      </c>
    </row>
    <row r="308" spans="2:27" x14ac:dyDescent="0.35">
      <c r="B308" s="40">
        <v>41</v>
      </c>
      <c r="C308" s="40" t="s">
        <v>347</v>
      </c>
      <c r="D308">
        <v>55</v>
      </c>
      <c r="E308" t="str">
        <f t="shared" si="10"/>
        <v>beve</v>
      </c>
      <c r="F308">
        <v>304</v>
      </c>
      <c r="G308" t="s">
        <v>706</v>
      </c>
      <c r="H308" s="34">
        <v>836.05070000000001</v>
      </c>
      <c r="I308" s="34">
        <v>0</v>
      </c>
      <c r="X308">
        <v>302</v>
      </c>
      <c r="Y308" s="39" t="s">
        <v>1891</v>
      </c>
      <c r="Z308" s="40" t="s">
        <v>1892</v>
      </c>
      <c r="AA308" s="41">
        <v>0</v>
      </c>
    </row>
    <row r="309" spans="2:27" x14ac:dyDescent="0.35">
      <c r="B309" s="40">
        <v>41</v>
      </c>
      <c r="C309" s="40" t="s">
        <v>347</v>
      </c>
      <c r="D309">
        <v>55</v>
      </c>
      <c r="E309" t="str">
        <f t="shared" si="10"/>
        <v>beve</v>
      </c>
      <c r="F309">
        <v>305</v>
      </c>
      <c r="G309" t="s">
        <v>707</v>
      </c>
      <c r="H309" s="34">
        <v>16420.05</v>
      </c>
      <c r="I309" s="34">
        <v>0</v>
      </c>
      <c r="X309">
        <v>303</v>
      </c>
      <c r="Y309" s="36" t="s">
        <v>1893</v>
      </c>
      <c r="Z309" t="s">
        <v>1894</v>
      </c>
      <c r="AA309" s="37">
        <v>0.25186215673308943</v>
      </c>
    </row>
    <row r="310" spans="2:27" x14ac:dyDescent="0.35">
      <c r="B310" s="40">
        <v>41</v>
      </c>
      <c r="C310" s="40" t="s">
        <v>347</v>
      </c>
      <c r="D310">
        <v>55</v>
      </c>
      <c r="E310" t="str">
        <f t="shared" si="10"/>
        <v>beve</v>
      </c>
      <c r="F310">
        <v>306</v>
      </c>
      <c r="G310" t="s">
        <v>708</v>
      </c>
      <c r="H310" s="34">
        <v>871.16690000000006</v>
      </c>
      <c r="I310" s="34">
        <v>0</v>
      </c>
      <c r="X310">
        <v>304</v>
      </c>
      <c r="Y310" s="38" t="s">
        <v>1893</v>
      </c>
      <c r="Z310" t="s">
        <v>1895</v>
      </c>
      <c r="AA310" s="37">
        <v>0</v>
      </c>
    </row>
    <row r="311" spans="2:27" x14ac:dyDescent="0.35">
      <c r="B311" s="40">
        <v>62</v>
      </c>
      <c r="C311" s="40" t="s">
        <v>377</v>
      </c>
      <c r="D311">
        <v>78</v>
      </c>
      <c r="E311" t="str">
        <f t="shared" si="10"/>
        <v>rest</v>
      </c>
      <c r="F311">
        <v>307</v>
      </c>
      <c r="G311" t="s">
        <v>709</v>
      </c>
      <c r="H311" s="34">
        <v>5509.3159999999998</v>
      </c>
      <c r="I311" s="34">
        <v>0</v>
      </c>
      <c r="X311">
        <v>305</v>
      </c>
      <c r="Y311" s="39" t="s">
        <v>1896</v>
      </c>
      <c r="Z311" s="40" t="s">
        <v>1897</v>
      </c>
      <c r="AA311" s="41">
        <v>0</v>
      </c>
    </row>
    <row r="312" spans="2:27" x14ac:dyDescent="0.35">
      <c r="B312" s="40">
        <v>62</v>
      </c>
      <c r="C312" s="40" t="s">
        <v>377</v>
      </c>
      <c r="D312">
        <v>78</v>
      </c>
      <c r="E312" t="str">
        <f t="shared" si="10"/>
        <v>rest</v>
      </c>
      <c r="F312">
        <v>308</v>
      </c>
      <c r="G312" t="s">
        <v>710</v>
      </c>
      <c r="H312" s="34">
        <v>508.51080000000002</v>
      </c>
      <c r="I312" s="34">
        <v>0</v>
      </c>
      <c r="X312">
        <v>306</v>
      </c>
      <c r="Y312" s="39" t="s">
        <v>1898</v>
      </c>
      <c r="Z312" s="40" t="s">
        <v>1899</v>
      </c>
      <c r="AA312" s="41">
        <v>0</v>
      </c>
    </row>
    <row r="313" spans="2:27" x14ac:dyDescent="0.35">
      <c r="B313" s="40">
        <v>62</v>
      </c>
      <c r="C313" s="40" t="s">
        <v>377</v>
      </c>
      <c r="D313">
        <v>78</v>
      </c>
      <c r="E313" t="str">
        <f t="shared" si="10"/>
        <v>rest</v>
      </c>
      <c r="F313">
        <v>309</v>
      </c>
      <c r="G313" t="s">
        <v>711</v>
      </c>
      <c r="H313" s="34">
        <v>43320.15</v>
      </c>
      <c r="I313" s="34">
        <v>0</v>
      </c>
      <c r="X313">
        <v>307</v>
      </c>
      <c r="Y313" s="39" t="s">
        <v>1900</v>
      </c>
      <c r="Z313" s="40" t="s">
        <v>1901</v>
      </c>
      <c r="AA313" s="41">
        <v>0</v>
      </c>
    </row>
    <row r="314" spans="2:27" x14ac:dyDescent="0.35">
      <c r="B314" s="40">
        <v>62</v>
      </c>
      <c r="C314" s="40" t="s">
        <v>377</v>
      </c>
      <c r="D314">
        <v>78</v>
      </c>
      <c r="E314" t="str">
        <f t="shared" si="10"/>
        <v>rest</v>
      </c>
      <c r="F314">
        <v>310</v>
      </c>
      <c r="G314" t="s">
        <v>712</v>
      </c>
      <c r="H314" s="34">
        <v>40807.65</v>
      </c>
      <c r="I314" s="34">
        <v>0</v>
      </c>
      <c r="X314">
        <v>308</v>
      </c>
      <c r="Y314" s="39" t="s">
        <v>1902</v>
      </c>
      <c r="Z314" s="40" t="s">
        <v>1903</v>
      </c>
      <c r="AA314" s="41">
        <v>0</v>
      </c>
    </row>
    <row r="315" spans="2:27" x14ac:dyDescent="0.35">
      <c r="B315" s="40">
        <v>62</v>
      </c>
      <c r="C315" s="40" t="s">
        <v>377</v>
      </c>
      <c r="D315">
        <v>78</v>
      </c>
      <c r="E315" t="str">
        <f t="shared" si="10"/>
        <v>rest</v>
      </c>
      <c r="F315">
        <v>311</v>
      </c>
      <c r="G315" t="s">
        <v>727</v>
      </c>
      <c r="H315" s="34">
        <v>9527.0540000000001</v>
      </c>
      <c r="I315" s="34">
        <v>0</v>
      </c>
      <c r="X315">
        <v>309</v>
      </c>
      <c r="Y315" s="36" t="s">
        <v>1904</v>
      </c>
      <c r="Z315" t="s">
        <v>1905</v>
      </c>
      <c r="AA315" s="37">
        <v>1.8107539733360989</v>
      </c>
    </row>
    <row r="316" spans="2:27" x14ac:dyDescent="0.35">
      <c r="B316" s="40">
        <v>13</v>
      </c>
      <c r="C316" s="40" t="s">
        <v>388</v>
      </c>
      <c r="D316">
        <v>16</v>
      </c>
      <c r="E316" t="str">
        <f t="shared" si="10"/>
        <v>toba</v>
      </c>
      <c r="F316">
        <v>312</v>
      </c>
      <c r="G316" t="s">
        <v>564</v>
      </c>
      <c r="H316" s="34">
        <v>130.27760000000001</v>
      </c>
      <c r="I316" s="34">
        <v>130.27760000000001</v>
      </c>
      <c r="X316">
        <v>310</v>
      </c>
      <c r="Y316" s="38" t="s">
        <v>1904</v>
      </c>
      <c r="Z316" t="s">
        <v>1906</v>
      </c>
      <c r="AA316" s="37">
        <v>0</v>
      </c>
    </row>
    <row r="317" spans="2:27" x14ac:dyDescent="0.35">
      <c r="B317" s="40">
        <v>400</v>
      </c>
      <c r="C317" s="40" t="s">
        <v>1152</v>
      </c>
      <c r="D317" s="51">
        <v>400</v>
      </c>
      <c r="E317" s="51" t="s">
        <v>1152</v>
      </c>
      <c r="F317">
        <v>313</v>
      </c>
      <c r="G317" t="s">
        <v>725</v>
      </c>
      <c r="H317" s="34">
        <v>16477</v>
      </c>
      <c r="I317" s="34">
        <v>0</v>
      </c>
      <c r="J317" s="34">
        <f t="shared" ref="J317:J318" si="11">H317</f>
        <v>16477</v>
      </c>
      <c r="X317">
        <v>311</v>
      </c>
      <c r="Y317" s="39" t="s">
        <v>1907</v>
      </c>
      <c r="Z317" s="40" t="s">
        <v>1908</v>
      </c>
      <c r="AA317" s="41">
        <v>0</v>
      </c>
    </row>
    <row r="318" spans="2:27" x14ac:dyDescent="0.35">
      <c r="B318" s="40">
        <v>400</v>
      </c>
      <c r="C318" s="40" t="s">
        <v>1152</v>
      </c>
      <c r="D318" s="51">
        <v>400</v>
      </c>
      <c r="E318" s="51" t="s">
        <v>1152</v>
      </c>
      <c r="F318">
        <v>314</v>
      </c>
      <c r="G318" t="s">
        <v>724</v>
      </c>
      <c r="H318" s="34">
        <v>17431.37</v>
      </c>
      <c r="I318" s="34">
        <v>0</v>
      </c>
      <c r="J318" s="34">
        <f t="shared" si="11"/>
        <v>17431.37</v>
      </c>
      <c r="X318">
        <v>312</v>
      </c>
      <c r="Y318" s="39" t="s">
        <v>1909</v>
      </c>
      <c r="Z318" s="40" t="s">
        <v>1910</v>
      </c>
      <c r="AA318" s="41">
        <v>0</v>
      </c>
    </row>
    <row r="319" spans="2:27" x14ac:dyDescent="0.35">
      <c r="B319" s="40">
        <v>70</v>
      </c>
      <c r="C319" s="40" t="s">
        <v>382</v>
      </c>
      <c r="D319">
        <v>86</v>
      </c>
      <c r="E319" t="str">
        <f t="shared" ref="E319:E328" si="12">IF(ISNA(VLOOKUP(D319,$K$7:$L$92,2,0)),"",VLOOKUP(D319,$K$7:$L$92,2,0))</f>
        <v>osrv</v>
      </c>
      <c r="F319">
        <v>315</v>
      </c>
      <c r="G319" t="s">
        <v>723</v>
      </c>
      <c r="H319" s="34">
        <v>18527.52</v>
      </c>
      <c r="I319" s="34">
        <v>0</v>
      </c>
      <c r="X319">
        <v>313</v>
      </c>
      <c r="Y319" s="39" t="s">
        <v>1911</v>
      </c>
      <c r="Z319" s="40" t="s">
        <v>1912</v>
      </c>
      <c r="AA319" s="41">
        <v>0</v>
      </c>
    </row>
    <row r="320" spans="2:27" x14ac:dyDescent="0.35">
      <c r="B320" s="40">
        <v>70</v>
      </c>
      <c r="C320" s="40" t="s">
        <v>382</v>
      </c>
      <c r="D320">
        <v>86</v>
      </c>
      <c r="E320" t="str">
        <f t="shared" si="12"/>
        <v>osrv</v>
      </c>
      <c r="F320">
        <v>316</v>
      </c>
      <c r="G320" t="s">
        <v>722</v>
      </c>
      <c r="H320" s="34">
        <v>13392.7</v>
      </c>
      <c r="I320" s="34">
        <v>0</v>
      </c>
      <c r="X320">
        <v>314</v>
      </c>
      <c r="Y320" s="39" t="s">
        <v>1913</v>
      </c>
      <c r="Z320" s="40" t="s">
        <v>1914</v>
      </c>
      <c r="AA320" s="41">
        <v>0</v>
      </c>
    </row>
    <row r="321" spans="2:27" x14ac:dyDescent="0.35">
      <c r="B321" s="40">
        <v>70</v>
      </c>
      <c r="C321" s="40" t="s">
        <v>382</v>
      </c>
      <c r="D321">
        <v>86</v>
      </c>
      <c r="E321" t="str">
        <f t="shared" si="12"/>
        <v>osrv</v>
      </c>
      <c r="F321">
        <v>317</v>
      </c>
      <c r="G321" t="s">
        <v>721</v>
      </c>
      <c r="H321" s="34">
        <v>18061.099999999999</v>
      </c>
      <c r="I321" s="34">
        <v>0</v>
      </c>
      <c r="X321">
        <v>315</v>
      </c>
      <c r="Y321" s="39" t="s">
        <v>1915</v>
      </c>
      <c r="Z321" s="40" t="s">
        <v>1916</v>
      </c>
      <c r="AA321" s="41">
        <v>0</v>
      </c>
    </row>
    <row r="322" spans="2:27" x14ac:dyDescent="0.35">
      <c r="B322" s="40">
        <v>70</v>
      </c>
      <c r="C322" s="40" t="s">
        <v>382</v>
      </c>
      <c r="D322">
        <v>86</v>
      </c>
      <c r="E322" t="str">
        <f t="shared" si="12"/>
        <v>osrv</v>
      </c>
      <c r="F322">
        <v>318</v>
      </c>
      <c r="G322" t="s">
        <v>720</v>
      </c>
      <c r="H322" s="34">
        <v>51199.12</v>
      </c>
      <c r="I322" s="34">
        <v>0</v>
      </c>
      <c r="X322">
        <v>316</v>
      </c>
      <c r="Y322" s="5" t="s">
        <v>1917</v>
      </c>
      <c r="Z322" s="5" t="s">
        <v>1918</v>
      </c>
      <c r="AA322" s="35">
        <v>1.337011241858179</v>
      </c>
    </row>
    <row r="323" spans="2:27" x14ac:dyDescent="0.35">
      <c r="B323" s="40">
        <v>70</v>
      </c>
      <c r="C323" s="40" t="s">
        <v>382</v>
      </c>
      <c r="D323">
        <v>86</v>
      </c>
      <c r="E323" t="str">
        <f t="shared" si="12"/>
        <v>osrv</v>
      </c>
      <c r="F323">
        <v>319</v>
      </c>
      <c r="G323" t="s">
        <v>719</v>
      </c>
      <c r="H323" s="34">
        <v>46668.25</v>
      </c>
      <c r="I323" s="34">
        <v>0</v>
      </c>
      <c r="X323">
        <v>317</v>
      </c>
      <c r="Y323" s="36" t="s">
        <v>1919</v>
      </c>
      <c r="Z323" t="s">
        <v>1920</v>
      </c>
      <c r="AA323" s="37">
        <v>0.42252099509908542</v>
      </c>
    </row>
    <row r="324" spans="2:27" x14ac:dyDescent="0.35">
      <c r="B324" s="40">
        <v>70</v>
      </c>
      <c r="C324" s="40" t="s">
        <v>382</v>
      </c>
      <c r="D324">
        <v>86</v>
      </c>
      <c r="E324" t="str">
        <f t="shared" si="12"/>
        <v>osrv</v>
      </c>
      <c r="F324">
        <v>320</v>
      </c>
      <c r="G324" t="s">
        <v>718</v>
      </c>
      <c r="H324" s="34">
        <v>17771.45</v>
      </c>
      <c r="I324" s="34">
        <v>0</v>
      </c>
      <c r="X324">
        <v>318</v>
      </c>
      <c r="Y324" s="38" t="s">
        <v>1921</v>
      </c>
      <c r="Z324" t="s">
        <v>1922</v>
      </c>
      <c r="AA324" s="37">
        <v>0.10735417672728186</v>
      </c>
    </row>
    <row r="325" spans="2:27" x14ac:dyDescent="0.35">
      <c r="B325" s="40">
        <v>70</v>
      </c>
      <c r="C325" s="40" t="s">
        <v>382</v>
      </c>
      <c r="D325">
        <v>86</v>
      </c>
      <c r="E325" t="str">
        <f t="shared" si="12"/>
        <v>osrv</v>
      </c>
      <c r="F325">
        <v>321</v>
      </c>
      <c r="G325" t="s">
        <v>717</v>
      </c>
      <c r="H325" s="34">
        <v>16532.84</v>
      </c>
      <c r="I325" s="34">
        <v>0</v>
      </c>
      <c r="X325">
        <v>319</v>
      </c>
      <c r="Y325" s="39" t="s">
        <v>1923</v>
      </c>
      <c r="Z325" s="40" t="s">
        <v>1924</v>
      </c>
      <c r="AA325" s="41">
        <v>4.9193697116677648E-2</v>
      </c>
    </row>
    <row r="326" spans="2:27" x14ac:dyDescent="0.35">
      <c r="B326" s="40">
        <v>70</v>
      </c>
      <c r="C326" s="40" t="s">
        <v>382</v>
      </c>
      <c r="D326">
        <v>86</v>
      </c>
      <c r="E326" t="str">
        <f t="shared" si="12"/>
        <v>osrv</v>
      </c>
      <c r="F326">
        <v>322</v>
      </c>
      <c r="G326" t="s">
        <v>716</v>
      </c>
      <c r="H326" s="34">
        <v>22402.77</v>
      </c>
      <c r="I326" s="34">
        <v>0</v>
      </c>
      <c r="X326">
        <v>320</v>
      </c>
      <c r="Y326" s="39" t="s">
        <v>1925</v>
      </c>
      <c r="Z326" s="40" t="s">
        <v>1926</v>
      </c>
      <c r="AA326" s="41">
        <v>5.8160479610604207E-2</v>
      </c>
    </row>
    <row r="327" spans="2:27" x14ac:dyDescent="0.35">
      <c r="B327" s="40">
        <v>70</v>
      </c>
      <c r="C327" s="40" t="s">
        <v>382</v>
      </c>
      <c r="D327">
        <v>86</v>
      </c>
      <c r="E327" t="str">
        <f t="shared" si="12"/>
        <v>osrv</v>
      </c>
      <c r="F327">
        <v>323</v>
      </c>
      <c r="G327" t="s">
        <v>715</v>
      </c>
      <c r="H327" s="34">
        <v>34248.82</v>
      </c>
      <c r="I327" s="34">
        <v>0</v>
      </c>
      <c r="X327">
        <v>321</v>
      </c>
      <c r="Y327" s="39" t="s">
        <v>1927</v>
      </c>
      <c r="Z327" s="40" t="s">
        <v>1928</v>
      </c>
      <c r="AA327" s="41">
        <v>0</v>
      </c>
    </row>
    <row r="328" spans="2:27" x14ac:dyDescent="0.35">
      <c r="B328" s="40">
        <v>70</v>
      </c>
      <c r="C328" s="40" t="s">
        <v>382</v>
      </c>
      <c r="D328">
        <v>86</v>
      </c>
      <c r="E328" t="str">
        <f t="shared" si="12"/>
        <v>osrv</v>
      </c>
      <c r="F328">
        <v>324</v>
      </c>
      <c r="G328" t="s">
        <v>714</v>
      </c>
      <c r="H328" s="34">
        <v>15760.83</v>
      </c>
      <c r="I328" s="34">
        <v>0</v>
      </c>
      <c r="X328">
        <v>322</v>
      </c>
      <c r="Y328" s="39" t="s">
        <v>1929</v>
      </c>
      <c r="Z328" s="40" t="s">
        <v>1930</v>
      </c>
      <c r="AA328" s="41">
        <v>0</v>
      </c>
    </row>
    <row r="329" spans="2:27" x14ac:dyDescent="0.35">
      <c r="B329" s="40">
        <v>200</v>
      </c>
      <c r="C329" s="40" t="s">
        <v>398</v>
      </c>
      <c r="D329" s="51">
        <v>200</v>
      </c>
      <c r="E329" s="51" t="s">
        <v>398</v>
      </c>
      <c r="F329">
        <v>325</v>
      </c>
      <c r="G329" t="s">
        <v>713</v>
      </c>
      <c r="H329" s="34">
        <v>23327.86</v>
      </c>
      <c r="I329" s="34">
        <v>0</v>
      </c>
      <c r="J329" s="34">
        <f t="shared" ref="J329:J330" si="13">H329</f>
        <v>23327.86</v>
      </c>
      <c r="X329">
        <v>323</v>
      </c>
      <c r="Y329" s="38" t="s">
        <v>1931</v>
      </c>
      <c r="Z329" t="s">
        <v>1932</v>
      </c>
      <c r="AA329" s="37">
        <v>4.3131916677363664E-2</v>
      </c>
    </row>
    <row r="330" spans="2:27" x14ac:dyDescent="0.35">
      <c r="B330" s="40">
        <v>300</v>
      </c>
      <c r="C330" s="40" t="s">
        <v>1334</v>
      </c>
      <c r="D330" s="51">
        <v>300</v>
      </c>
      <c r="E330" s="51" t="s">
        <v>1334</v>
      </c>
      <c r="F330">
        <v>400</v>
      </c>
      <c r="G330" t="s">
        <v>1333</v>
      </c>
      <c r="H330" s="34">
        <v>0</v>
      </c>
      <c r="I330" s="34">
        <v>0</v>
      </c>
      <c r="J330" s="34">
        <f t="shared" si="13"/>
        <v>0</v>
      </c>
      <c r="X330">
        <v>324</v>
      </c>
      <c r="Y330" s="39" t="s">
        <v>1933</v>
      </c>
      <c r="Z330" s="40" t="s">
        <v>1934</v>
      </c>
      <c r="AA330" s="41">
        <v>4.3131916677363664E-2</v>
      </c>
    </row>
    <row r="331" spans="2:27" x14ac:dyDescent="0.35">
      <c r="B331" s="40">
        <v>68</v>
      </c>
      <c r="C331" s="40" t="s">
        <v>392</v>
      </c>
      <c r="D331">
        <v>84</v>
      </c>
      <c r="E331" t="str">
        <f>IF(ISNA(VLOOKUP(D331,$K$7:$L$92,2,0)),"",VLOOKUP(D331,$K$7:$L$92,2,0))</f>
        <v>educ</v>
      </c>
      <c r="F331">
        <v>500</v>
      </c>
      <c r="G331" t="s">
        <v>395</v>
      </c>
      <c r="H331" s="34">
        <v>325184.90000000002</v>
      </c>
      <c r="I331" s="34">
        <v>0</v>
      </c>
      <c r="X331">
        <v>325</v>
      </c>
      <c r="Y331" s="39" t="s">
        <v>1935</v>
      </c>
      <c r="Z331" s="40" t="s">
        <v>1936</v>
      </c>
      <c r="AA331" s="41">
        <v>0</v>
      </c>
    </row>
    <row r="332" spans="2:27" x14ac:dyDescent="0.35">
      <c r="B332" s="40">
        <v>65</v>
      </c>
      <c r="C332" s="40" t="s">
        <v>397</v>
      </c>
      <c r="D332">
        <v>81</v>
      </c>
      <c r="E332" t="str">
        <f>IF(ISNA(VLOOKUP(D332,$K$7:$L$92,2,0)),"",VLOOKUP(D332,$K$7:$L$92,2,0))</f>
        <v>real</v>
      </c>
      <c r="F332">
        <v>600</v>
      </c>
      <c r="G332" t="s">
        <v>403</v>
      </c>
      <c r="H332" s="34">
        <v>335912.6</v>
      </c>
      <c r="I332" s="34">
        <v>0</v>
      </c>
      <c r="X332">
        <v>326</v>
      </c>
      <c r="Y332" s="39" t="s">
        <v>1937</v>
      </c>
      <c r="Z332" s="40" t="s">
        <v>1938</v>
      </c>
      <c r="AA332" s="41">
        <v>0</v>
      </c>
    </row>
    <row r="333" spans="2:27" x14ac:dyDescent="0.35">
      <c r="B333" s="40">
        <v>60</v>
      </c>
      <c r="C333" s="40" t="s">
        <v>352</v>
      </c>
      <c r="E333" t="str">
        <f>IF(ISNA(VLOOKUP(D333,$K$7:$L$92,2,0)),"",VLOOKUP(D333,$K$7:$L$92,2,0))</f>
        <v/>
      </c>
      <c r="F333">
        <v>700</v>
      </c>
      <c r="G333" t="s">
        <v>1150</v>
      </c>
      <c r="H333" s="34">
        <v>249889.4</v>
      </c>
      <c r="I333" s="34">
        <v>0</v>
      </c>
      <c r="J333" s="34">
        <f t="shared" ref="J333" si="14">H333</f>
        <v>249889.4</v>
      </c>
      <c r="X333">
        <v>327</v>
      </c>
      <c r="Y333" s="38" t="s">
        <v>1939</v>
      </c>
      <c r="Z333" t="s">
        <v>1940</v>
      </c>
      <c r="AA333" s="37">
        <v>7.131136807706559E-2</v>
      </c>
    </row>
    <row r="334" spans="2:27" x14ac:dyDescent="0.35">
      <c r="B334" s="40">
        <v>57</v>
      </c>
      <c r="C334" s="40" t="s">
        <v>401</v>
      </c>
      <c r="D334">
        <v>72</v>
      </c>
      <c r="E334" t="str">
        <f>IF(ISNA(VLOOKUP(D334,$K$7:$L$92,2,0)),"",VLOOKUP(D334,$K$7:$L$92,2,0))</f>
        <v>elec</v>
      </c>
      <c r="F334">
        <v>800</v>
      </c>
      <c r="G334" t="s">
        <v>396</v>
      </c>
      <c r="H334" s="34">
        <v>15662.68</v>
      </c>
      <c r="I334" s="34">
        <v>0</v>
      </c>
      <c r="X334">
        <v>328</v>
      </c>
      <c r="Y334" s="39" t="s">
        <v>1941</v>
      </c>
      <c r="Z334" s="40" t="s">
        <v>1942</v>
      </c>
      <c r="AA334" s="41">
        <v>7.131136807706559E-2</v>
      </c>
    </row>
    <row r="335" spans="2:27" x14ac:dyDescent="0.35">
      <c r="B335" s="40">
        <v>58</v>
      </c>
      <c r="C335" s="40" t="s">
        <v>400</v>
      </c>
      <c r="D335">
        <v>73</v>
      </c>
      <c r="E335" t="str">
        <f>IF(ISNA(VLOOKUP(D335,$K$7:$L$92,2,0)),"",VLOOKUP(D335,$K$7:$L$92,2,0))</f>
        <v>watr</v>
      </c>
      <c r="F335">
        <v>900</v>
      </c>
      <c r="G335" t="s">
        <v>1151</v>
      </c>
      <c r="H335" s="34">
        <v>20378.16</v>
      </c>
      <c r="I335" s="34">
        <v>0</v>
      </c>
      <c r="X335">
        <v>329</v>
      </c>
      <c r="Y335" s="39" t="s">
        <v>1943</v>
      </c>
      <c r="Z335" s="40" t="s">
        <v>1944</v>
      </c>
      <c r="AA335" s="41">
        <v>0</v>
      </c>
    </row>
    <row r="336" spans="2:27" x14ac:dyDescent="0.35">
      <c r="X336">
        <v>330</v>
      </c>
      <c r="Y336" s="39" t="s">
        <v>1945</v>
      </c>
      <c r="Z336" s="40" t="s">
        <v>1946</v>
      </c>
      <c r="AA336" s="41">
        <v>0</v>
      </c>
    </row>
    <row r="337" spans="24:27" x14ac:dyDescent="0.35">
      <c r="X337">
        <v>331</v>
      </c>
      <c r="Y337" s="39" t="s">
        <v>1947</v>
      </c>
      <c r="Z337" s="40" t="s">
        <v>1948</v>
      </c>
      <c r="AA337" s="41">
        <v>0</v>
      </c>
    </row>
    <row r="338" spans="24:27" x14ac:dyDescent="0.35">
      <c r="X338">
        <v>332</v>
      </c>
      <c r="Y338" s="38" t="s">
        <v>1949</v>
      </c>
      <c r="Z338" t="s">
        <v>1950</v>
      </c>
      <c r="AA338" s="37">
        <v>0.20072353361737422</v>
      </c>
    </row>
    <row r="339" spans="24:27" x14ac:dyDescent="0.35">
      <c r="X339">
        <v>333</v>
      </c>
      <c r="Y339" s="39" t="s">
        <v>1951</v>
      </c>
      <c r="Z339" s="40" t="s">
        <v>1952</v>
      </c>
      <c r="AA339" s="41">
        <v>0.20072353361737422</v>
      </c>
    </row>
    <row r="340" spans="24:27" x14ac:dyDescent="0.35">
      <c r="X340">
        <v>334</v>
      </c>
      <c r="Y340" s="39" t="s">
        <v>1953</v>
      </c>
      <c r="Z340" s="40" t="s">
        <v>1954</v>
      </c>
      <c r="AA340" s="41">
        <v>0</v>
      </c>
    </row>
    <row r="341" spans="24:27" x14ac:dyDescent="0.35">
      <c r="X341">
        <v>335</v>
      </c>
      <c r="Y341" s="39" t="s">
        <v>1955</v>
      </c>
      <c r="Z341" s="40" t="s">
        <v>1956</v>
      </c>
      <c r="AA341" s="41">
        <v>0</v>
      </c>
    </row>
    <row r="342" spans="24:27" x14ac:dyDescent="0.35">
      <c r="X342">
        <v>336</v>
      </c>
      <c r="Y342" s="38" t="s">
        <v>1957</v>
      </c>
      <c r="Z342" t="s">
        <v>1958</v>
      </c>
      <c r="AA342" s="37">
        <v>0</v>
      </c>
    </row>
    <row r="343" spans="24:27" x14ac:dyDescent="0.35">
      <c r="X343">
        <v>337</v>
      </c>
      <c r="Y343" s="39" t="s">
        <v>1957</v>
      </c>
      <c r="Z343" s="40" t="s">
        <v>1959</v>
      </c>
      <c r="AA343" s="41">
        <v>0</v>
      </c>
    </row>
    <row r="344" spans="24:27" x14ac:dyDescent="0.35">
      <c r="X344">
        <v>338</v>
      </c>
      <c r="Y344" s="36" t="s">
        <v>1960</v>
      </c>
      <c r="Z344" t="s">
        <v>1961</v>
      </c>
      <c r="AA344" s="37">
        <v>4.8623844575907696E-2</v>
      </c>
    </row>
    <row r="345" spans="24:27" x14ac:dyDescent="0.35">
      <c r="X345">
        <v>339</v>
      </c>
      <c r="Y345" s="38" t="s">
        <v>1962</v>
      </c>
      <c r="Z345" t="s">
        <v>1963</v>
      </c>
      <c r="AA345" s="37">
        <v>0</v>
      </c>
    </row>
    <row r="346" spans="24:27" x14ac:dyDescent="0.35">
      <c r="X346">
        <v>340</v>
      </c>
      <c r="Y346" s="39" t="s">
        <v>1964</v>
      </c>
      <c r="Z346" s="40" t="s">
        <v>1965</v>
      </c>
      <c r="AA346" s="41">
        <v>0</v>
      </c>
    </row>
    <row r="347" spans="24:27" x14ac:dyDescent="0.35">
      <c r="X347">
        <v>341</v>
      </c>
      <c r="Y347" s="39" t="s">
        <v>1966</v>
      </c>
      <c r="Z347" s="40" t="s">
        <v>1967</v>
      </c>
      <c r="AA347" s="41">
        <v>0</v>
      </c>
    </row>
    <row r="348" spans="24:27" x14ac:dyDescent="0.35">
      <c r="X348">
        <v>342</v>
      </c>
      <c r="Y348" s="39" t="s">
        <v>1968</v>
      </c>
      <c r="Z348" s="40" t="s">
        <v>1969</v>
      </c>
      <c r="AA348" s="41">
        <v>0</v>
      </c>
    </row>
    <row r="349" spans="24:27" x14ac:dyDescent="0.35">
      <c r="X349">
        <v>343</v>
      </c>
      <c r="Y349" s="39" t="s">
        <v>1970</v>
      </c>
      <c r="Z349" s="40" t="s">
        <v>1971</v>
      </c>
      <c r="AA349" s="41">
        <v>0</v>
      </c>
    </row>
    <row r="350" spans="24:27" x14ac:dyDescent="0.35">
      <c r="X350">
        <v>344</v>
      </c>
      <c r="Y350" s="39" t="s">
        <v>1972</v>
      </c>
      <c r="Z350" s="40" t="s">
        <v>1973</v>
      </c>
      <c r="AA350" s="41">
        <v>0</v>
      </c>
    </row>
    <row r="351" spans="24:27" x14ac:dyDescent="0.35">
      <c r="X351">
        <v>345</v>
      </c>
      <c r="Y351" s="38" t="s">
        <v>1974</v>
      </c>
      <c r="Z351" t="s">
        <v>1975</v>
      </c>
      <c r="AA351" s="37">
        <v>4.8623844575907696E-2</v>
      </c>
    </row>
    <row r="352" spans="24:27" x14ac:dyDescent="0.35">
      <c r="X352">
        <v>346</v>
      </c>
      <c r="Y352" s="39" t="s">
        <v>463</v>
      </c>
      <c r="Z352" s="40" t="s">
        <v>1976</v>
      </c>
      <c r="AA352" s="41">
        <v>4.8623844575907696E-2</v>
      </c>
    </row>
    <row r="353" spans="24:27" x14ac:dyDescent="0.35">
      <c r="X353">
        <v>347</v>
      </c>
      <c r="Y353" s="39" t="s">
        <v>1977</v>
      </c>
      <c r="Z353" s="40" t="s">
        <v>1978</v>
      </c>
      <c r="AA353" s="41">
        <v>0</v>
      </c>
    </row>
    <row r="354" spans="24:27" x14ac:dyDescent="0.35">
      <c r="X354">
        <v>348</v>
      </c>
      <c r="Y354" s="38" t="s">
        <v>1979</v>
      </c>
      <c r="Z354" t="s">
        <v>1980</v>
      </c>
      <c r="AA354" s="37">
        <v>0</v>
      </c>
    </row>
    <row r="355" spans="24:27" x14ac:dyDescent="0.35">
      <c r="X355">
        <v>349</v>
      </c>
      <c r="Y355" s="39" t="s">
        <v>1979</v>
      </c>
      <c r="Z355" s="40" t="s">
        <v>1981</v>
      </c>
      <c r="AA355" s="41">
        <v>0</v>
      </c>
    </row>
    <row r="356" spans="24:27" x14ac:dyDescent="0.35">
      <c r="X356">
        <v>350</v>
      </c>
      <c r="Y356" s="36" t="s">
        <v>1982</v>
      </c>
      <c r="Z356" t="s">
        <v>1983</v>
      </c>
      <c r="AA356" s="37">
        <v>5.0608038996125017E-2</v>
      </c>
    </row>
    <row r="357" spans="24:27" x14ac:dyDescent="0.35">
      <c r="X357">
        <v>351</v>
      </c>
      <c r="Y357" s="38" t="s">
        <v>1984</v>
      </c>
      <c r="Z357" t="s">
        <v>1985</v>
      </c>
      <c r="AA357" s="37">
        <v>1.5635704738732784E-2</v>
      </c>
    </row>
    <row r="358" spans="24:27" x14ac:dyDescent="0.35">
      <c r="X358">
        <v>352</v>
      </c>
      <c r="Y358" s="39" t="s">
        <v>1986</v>
      </c>
      <c r="Z358" s="40" t="s">
        <v>1987</v>
      </c>
      <c r="AA358" s="41">
        <v>1.5635704738732784E-2</v>
      </c>
    </row>
    <row r="359" spans="24:27" x14ac:dyDescent="0.35">
      <c r="X359">
        <v>353</v>
      </c>
      <c r="Y359" s="39" t="s">
        <v>1988</v>
      </c>
      <c r="Z359" s="40" t="s">
        <v>1989</v>
      </c>
      <c r="AA359" s="41">
        <v>0</v>
      </c>
    </row>
    <row r="360" spans="24:27" x14ac:dyDescent="0.35">
      <c r="X360">
        <v>354</v>
      </c>
      <c r="Y360" s="38" t="s">
        <v>1990</v>
      </c>
      <c r="Z360" t="s">
        <v>1991</v>
      </c>
      <c r="AA360" s="37">
        <v>8.5874489589579401E-3</v>
      </c>
    </row>
    <row r="361" spans="24:27" x14ac:dyDescent="0.35">
      <c r="X361">
        <v>355</v>
      </c>
      <c r="Y361" s="39" t="s">
        <v>1992</v>
      </c>
      <c r="Z361" s="40" t="s">
        <v>1993</v>
      </c>
      <c r="AA361" s="41">
        <v>8.5874489589579401E-3</v>
      </c>
    </row>
    <row r="362" spans="24:27" x14ac:dyDescent="0.35">
      <c r="X362">
        <v>356</v>
      </c>
      <c r="Y362" s="39" t="s">
        <v>1994</v>
      </c>
      <c r="Z362" s="40" t="s">
        <v>1995</v>
      </c>
      <c r="AA362" s="41">
        <v>0</v>
      </c>
    </row>
    <row r="363" spans="24:27" x14ac:dyDescent="0.35">
      <c r="X363">
        <v>357</v>
      </c>
      <c r="Y363" s="39" t="s">
        <v>1996</v>
      </c>
      <c r="Z363" s="40" t="s">
        <v>1997</v>
      </c>
      <c r="AA363" s="41">
        <v>0</v>
      </c>
    </row>
    <row r="364" spans="24:27" x14ac:dyDescent="0.35">
      <c r="X364">
        <v>358</v>
      </c>
      <c r="Y364" s="38" t="s">
        <v>1998</v>
      </c>
      <c r="Z364" t="s">
        <v>1999</v>
      </c>
      <c r="AA364" s="37">
        <v>2.6384885298434288E-2</v>
      </c>
    </row>
    <row r="365" spans="24:27" x14ac:dyDescent="0.35">
      <c r="X365">
        <v>359</v>
      </c>
      <c r="Y365" s="39" t="s">
        <v>2000</v>
      </c>
      <c r="Z365" s="40" t="s">
        <v>2001</v>
      </c>
      <c r="AA365" s="41">
        <v>2.6384885298434288E-2</v>
      </c>
    </row>
    <row r="366" spans="24:27" x14ac:dyDescent="0.35">
      <c r="X366">
        <v>360</v>
      </c>
      <c r="Y366" s="39" t="s">
        <v>2002</v>
      </c>
      <c r="Z366" s="40" t="s">
        <v>2003</v>
      </c>
      <c r="AA366" s="41">
        <v>0</v>
      </c>
    </row>
    <row r="367" spans="24:27" x14ac:dyDescent="0.35">
      <c r="X367">
        <v>361</v>
      </c>
      <c r="Y367" s="38" t="s">
        <v>2004</v>
      </c>
      <c r="Z367" t="s">
        <v>2005</v>
      </c>
      <c r="AA367" s="37">
        <v>0</v>
      </c>
    </row>
    <row r="368" spans="24:27" x14ac:dyDescent="0.35">
      <c r="X368">
        <v>362</v>
      </c>
      <c r="Y368" s="39" t="s">
        <v>2006</v>
      </c>
      <c r="Z368" s="40" t="s">
        <v>2007</v>
      </c>
      <c r="AA368" s="41">
        <v>0</v>
      </c>
    </row>
    <row r="369" spans="24:27" x14ac:dyDescent="0.35">
      <c r="X369">
        <v>363</v>
      </c>
      <c r="Y369" s="39" t="s">
        <v>2008</v>
      </c>
      <c r="Z369" s="40" t="s">
        <v>2009</v>
      </c>
      <c r="AA369" s="41">
        <v>0</v>
      </c>
    </row>
    <row r="370" spans="24:27" x14ac:dyDescent="0.35">
      <c r="X370">
        <v>364</v>
      </c>
      <c r="Y370" s="38" t="s">
        <v>2010</v>
      </c>
      <c r="Z370" t="s">
        <v>2011</v>
      </c>
      <c r="AA370" s="37">
        <v>0</v>
      </c>
    </row>
    <row r="371" spans="24:27" x14ac:dyDescent="0.35">
      <c r="X371">
        <v>365</v>
      </c>
      <c r="Y371" s="39" t="s">
        <v>2010</v>
      </c>
      <c r="Z371" s="40" t="s">
        <v>2012</v>
      </c>
      <c r="AA371" s="41">
        <v>0</v>
      </c>
    </row>
    <row r="372" spans="24:27" x14ac:dyDescent="0.35">
      <c r="X372">
        <v>366</v>
      </c>
      <c r="Y372" s="36" t="s">
        <v>2013</v>
      </c>
      <c r="Z372" t="s">
        <v>2014</v>
      </c>
      <c r="AA372" s="37">
        <v>0.13191888031138541</v>
      </c>
    </row>
    <row r="373" spans="24:27" x14ac:dyDescent="0.35">
      <c r="X373">
        <v>367</v>
      </c>
      <c r="Y373" s="38" t="s">
        <v>2015</v>
      </c>
      <c r="Z373" t="s">
        <v>2016</v>
      </c>
      <c r="AA373" s="37">
        <v>2.2583323442996042E-2</v>
      </c>
    </row>
    <row r="374" spans="24:27" x14ac:dyDescent="0.35">
      <c r="X374">
        <v>368</v>
      </c>
      <c r="Y374" s="39" t="s">
        <v>2017</v>
      </c>
      <c r="Z374" s="40" t="s">
        <v>2018</v>
      </c>
      <c r="AA374" s="41">
        <v>2.2583323442996042E-2</v>
      </c>
    </row>
    <row r="375" spans="24:27" x14ac:dyDescent="0.35">
      <c r="X375">
        <v>369</v>
      </c>
      <c r="Y375" s="39" t="s">
        <v>2019</v>
      </c>
      <c r="Z375" s="40" t="s">
        <v>2020</v>
      </c>
      <c r="AA375" s="41">
        <v>0</v>
      </c>
    </row>
    <row r="376" spans="24:27" x14ac:dyDescent="0.35">
      <c r="X376">
        <v>370</v>
      </c>
      <c r="Y376" s="38" t="s">
        <v>2021</v>
      </c>
      <c r="Z376" t="s">
        <v>2022</v>
      </c>
      <c r="AA376" s="37">
        <v>0.10933555686838939</v>
      </c>
    </row>
    <row r="377" spans="24:27" x14ac:dyDescent="0.35">
      <c r="X377">
        <v>371</v>
      </c>
      <c r="Y377" s="39" t="s">
        <v>2023</v>
      </c>
      <c r="Z377" s="40" t="s">
        <v>2024</v>
      </c>
      <c r="AA377" s="41">
        <v>9.6583388647709864E-2</v>
      </c>
    </row>
    <row r="378" spans="24:27" x14ac:dyDescent="0.35">
      <c r="X378">
        <v>372</v>
      </c>
      <c r="Y378" s="39" t="s">
        <v>2025</v>
      </c>
      <c r="Z378" s="40" t="s">
        <v>2026</v>
      </c>
      <c r="AA378" s="41">
        <v>0</v>
      </c>
    </row>
    <row r="379" spans="24:27" x14ac:dyDescent="0.35">
      <c r="X379">
        <v>373</v>
      </c>
      <c r="Y379" s="39" t="s">
        <v>2027</v>
      </c>
      <c r="Z379" s="40" t="s">
        <v>2028</v>
      </c>
      <c r="AA379" s="41">
        <v>0</v>
      </c>
    </row>
    <row r="380" spans="24:27" x14ac:dyDescent="0.35">
      <c r="X380">
        <v>374</v>
      </c>
      <c r="Y380" s="39" t="s">
        <v>2029</v>
      </c>
      <c r="Z380" s="40" t="s">
        <v>2030</v>
      </c>
      <c r="AA380" s="41">
        <v>1.2752168220679486E-2</v>
      </c>
    </row>
    <row r="381" spans="24:27" x14ac:dyDescent="0.35">
      <c r="X381">
        <v>375</v>
      </c>
      <c r="Y381" s="39" t="s">
        <v>2031</v>
      </c>
      <c r="Z381" s="40" t="s">
        <v>2032</v>
      </c>
      <c r="AA381" s="41">
        <v>0</v>
      </c>
    </row>
    <row r="382" spans="24:27" x14ac:dyDescent="0.35">
      <c r="X382">
        <v>376</v>
      </c>
      <c r="Y382" s="39" t="s">
        <v>2033</v>
      </c>
      <c r="Z382" s="40" t="s">
        <v>2034</v>
      </c>
      <c r="AA382" s="41">
        <v>0</v>
      </c>
    </row>
    <row r="383" spans="24:27" x14ac:dyDescent="0.35">
      <c r="X383">
        <v>377</v>
      </c>
      <c r="Y383" s="38" t="s">
        <v>2035</v>
      </c>
      <c r="Z383" t="s">
        <v>2036</v>
      </c>
      <c r="AA383" s="37">
        <v>0</v>
      </c>
    </row>
    <row r="384" spans="24:27" x14ac:dyDescent="0.35">
      <c r="X384">
        <v>378</v>
      </c>
      <c r="Y384" s="39" t="s">
        <v>2035</v>
      </c>
      <c r="Z384" s="40" t="s">
        <v>2037</v>
      </c>
      <c r="AA384" s="41">
        <v>0</v>
      </c>
    </row>
    <row r="385" spans="24:27" x14ac:dyDescent="0.35">
      <c r="X385">
        <v>379</v>
      </c>
      <c r="Y385" s="36" t="s">
        <v>2038</v>
      </c>
      <c r="Z385" t="s">
        <v>2039</v>
      </c>
      <c r="AA385" s="37">
        <v>0.68333948287567603</v>
      </c>
    </row>
    <row r="386" spans="24:27" x14ac:dyDescent="0.35">
      <c r="X386">
        <v>380</v>
      </c>
      <c r="Y386" s="38" t="s">
        <v>495</v>
      </c>
      <c r="Z386" t="s">
        <v>2040</v>
      </c>
      <c r="AA386" s="37">
        <v>0.60623061489427221</v>
      </c>
    </row>
    <row r="387" spans="24:27" x14ac:dyDescent="0.35">
      <c r="X387">
        <v>381</v>
      </c>
      <c r="Y387" s="39" t="s">
        <v>2041</v>
      </c>
      <c r="Z387" s="40" t="s">
        <v>2042</v>
      </c>
      <c r="AA387" s="41">
        <v>0.60623061489427221</v>
      </c>
    </row>
    <row r="388" spans="24:27" x14ac:dyDescent="0.35">
      <c r="X388">
        <v>382</v>
      </c>
      <c r="Y388" s="39" t="s">
        <v>2043</v>
      </c>
      <c r="Z388" s="40" t="s">
        <v>2044</v>
      </c>
      <c r="AA388" s="41">
        <v>0</v>
      </c>
    </row>
    <row r="389" spans="24:27" x14ac:dyDescent="0.35">
      <c r="X389">
        <v>383</v>
      </c>
      <c r="Y389" s="39" t="s">
        <v>2045</v>
      </c>
      <c r="Z389" s="40" t="s">
        <v>2046</v>
      </c>
      <c r="AA389" s="41">
        <v>0</v>
      </c>
    </row>
    <row r="390" spans="24:27" x14ac:dyDescent="0.35">
      <c r="X390">
        <v>384</v>
      </c>
      <c r="Y390" s="39" t="s">
        <v>2047</v>
      </c>
      <c r="Z390" s="40" t="s">
        <v>2048</v>
      </c>
      <c r="AA390" s="41">
        <v>0</v>
      </c>
    </row>
    <row r="391" spans="24:27" x14ac:dyDescent="0.35">
      <c r="X391">
        <v>385</v>
      </c>
      <c r="Y391" s="38" t="s">
        <v>2049</v>
      </c>
      <c r="Z391" t="s">
        <v>2050</v>
      </c>
      <c r="AA391" s="37">
        <v>1.8515512768632447E-2</v>
      </c>
    </row>
    <row r="392" spans="24:27" x14ac:dyDescent="0.35">
      <c r="X392">
        <v>386</v>
      </c>
      <c r="Y392" s="39" t="s">
        <v>534</v>
      </c>
      <c r="Z392" s="40" t="s">
        <v>2051</v>
      </c>
      <c r="AA392" s="41">
        <v>1.8515512768632447E-2</v>
      </c>
    </row>
    <row r="393" spans="24:27" x14ac:dyDescent="0.35">
      <c r="X393">
        <v>387</v>
      </c>
      <c r="Y393" s="39" t="s">
        <v>2052</v>
      </c>
      <c r="Z393" s="40" t="s">
        <v>2053</v>
      </c>
      <c r="AA393" s="41">
        <v>0</v>
      </c>
    </row>
    <row r="394" spans="24:27" x14ac:dyDescent="0.35">
      <c r="X394">
        <v>388</v>
      </c>
      <c r="Y394" s="38" t="s">
        <v>2054</v>
      </c>
      <c r="Z394" t="s">
        <v>2055</v>
      </c>
      <c r="AA394" s="37">
        <v>0</v>
      </c>
    </row>
    <row r="395" spans="24:27" x14ac:dyDescent="0.35">
      <c r="X395">
        <v>389</v>
      </c>
      <c r="Y395" s="39" t="s">
        <v>2054</v>
      </c>
      <c r="Z395" s="40" t="s">
        <v>2056</v>
      </c>
      <c r="AA395" s="41">
        <v>0</v>
      </c>
    </row>
    <row r="396" spans="24:27" x14ac:dyDescent="0.35">
      <c r="X396">
        <v>390</v>
      </c>
      <c r="Y396" s="38" t="s">
        <v>2057</v>
      </c>
      <c r="Z396" t="s">
        <v>2058</v>
      </c>
      <c r="AA396" s="37">
        <v>5.8593355212771175E-2</v>
      </c>
    </row>
    <row r="397" spans="24:27" x14ac:dyDescent="0.35">
      <c r="X397">
        <v>391</v>
      </c>
      <c r="Y397" s="39" t="s">
        <v>2059</v>
      </c>
      <c r="Z397" t="s">
        <v>2060</v>
      </c>
      <c r="AA397" s="37">
        <v>5.8593355212771175E-2</v>
      </c>
    </row>
    <row r="398" spans="24:27" x14ac:dyDescent="0.35">
      <c r="X398">
        <v>392</v>
      </c>
      <c r="Y398" s="39" t="s">
        <v>2061</v>
      </c>
      <c r="Z398" s="40" t="s">
        <v>2062</v>
      </c>
      <c r="AA398" s="41">
        <v>0</v>
      </c>
    </row>
    <row r="399" spans="24:27" x14ac:dyDescent="0.35">
      <c r="X399">
        <v>393</v>
      </c>
      <c r="Y399" s="36" t="s">
        <v>2063</v>
      </c>
      <c r="Z399" t="s">
        <v>2064</v>
      </c>
      <c r="AA399" s="37">
        <v>0</v>
      </c>
    </row>
    <row r="400" spans="24:27" x14ac:dyDescent="0.35">
      <c r="X400">
        <v>394</v>
      </c>
      <c r="Y400" s="38" t="s">
        <v>2063</v>
      </c>
      <c r="Z400" t="s">
        <v>2065</v>
      </c>
      <c r="AA400" s="37">
        <v>0</v>
      </c>
    </row>
    <row r="401" spans="24:27" x14ac:dyDescent="0.35">
      <c r="X401">
        <v>395</v>
      </c>
      <c r="Y401" s="39" t="s">
        <v>2066</v>
      </c>
      <c r="Z401" s="40" t="s">
        <v>2067</v>
      </c>
      <c r="AA401" s="41">
        <v>0</v>
      </c>
    </row>
    <row r="402" spans="24:27" x14ac:dyDescent="0.35">
      <c r="X402">
        <v>396</v>
      </c>
      <c r="Y402" s="39" t="s">
        <v>2068</v>
      </c>
      <c r="Z402" s="40" t="s">
        <v>2069</v>
      </c>
      <c r="AA402" s="41">
        <v>0</v>
      </c>
    </row>
    <row r="403" spans="24:27" x14ac:dyDescent="0.35">
      <c r="X403">
        <v>397</v>
      </c>
      <c r="Y403" s="5" t="s">
        <v>2070</v>
      </c>
      <c r="Z403" s="5" t="s">
        <v>2071</v>
      </c>
      <c r="AA403" s="35">
        <v>3.7412357757166315</v>
      </c>
    </row>
    <row r="404" spans="24:27" x14ac:dyDescent="0.35">
      <c r="X404">
        <v>398</v>
      </c>
      <c r="Y404" s="36" t="s">
        <v>2072</v>
      </c>
      <c r="Z404" t="s">
        <v>2073</v>
      </c>
      <c r="AA404" s="37">
        <v>0.26543022084520707</v>
      </c>
    </row>
    <row r="405" spans="24:27" x14ac:dyDescent="0.35">
      <c r="X405">
        <v>399</v>
      </c>
      <c r="Y405" s="38" t="s">
        <v>2072</v>
      </c>
      <c r="Z405" t="s">
        <v>2074</v>
      </c>
      <c r="AA405" s="37">
        <v>0</v>
      </c>
    </row>
    <row r="406" spans="24:27" x14ac:dyDescent="0.35">
      <c r="X406">
        <v>400</v>
      </c>
      <c r="Y406" s="39" t="s">
        <v>2075</v>
      </c>
      <c r="Z406" s="40" t="s">
        <v>2076</v>
      </c>
      <c r="AA406" s="41">
        <v>0</v>
      </c>
    </row>
    <row r="407" spans="24:27" x14ac:dyDescent="0.35">
      <c r="X407">
        <v>401</v>
      </c>
      <c r="Y407" s="39" t="s">
        <v>1036</v>
      </c>
      <c r="Z407" s="40" t="s">
        <v>2077</v>
      </c>
      <c r="AA407" s="41">
        <v>0</v>
      </c>
    </row>
    <row r="408" spans="24:27" x14ac:dyDescent="0.35">
      <c r="X408">
        <v>402</v>
      </c>
      <c r="Y408" s="36" t="s">
        <v>2078</v>
      </c>
      <c r="Z408" t="s">
        <v>2079</v>
      </c>
      <c r="AA408" s="37">
        <v>2.7727947712599272</v>
      </c>
    </row>
    <row r="409" spans="24:27" x14ac:dyDescent="0.35">
      <c r="X409">
        <v>403</v>
      </c>
      <c r="Y409" s="38" t="s">
        <v>2078</v>
      </c>
      <c r="Z409" t="s">
        <v>2080</v>
      </c>
      <c r="AA409" s="37">
        <v>0</v>
      </c>
    </row>
    <row r="410" spans="24:27" x14ac:dyDescent="0.35">
      <c r="X410">
        <v>404</v>
      </c>
      <c r="Y410" s="39" t="s">
        <v>2078</v>
      </c>
      <c r="Z410" s="40" t="s">
        <v>2081</v>
      </c>
      <c r="AA410" s="41">
        <v>0</v>
      </c>
    </row>
    <row r="411" spans="24:27" x14ac:dyDescent="0.35">
      <c r="X411">
        <v>405</v>
      </c>
      <c r="Y411" s="36" t="s">
        <v>2082</v>
      </c>
      <c r="Z411" t="s">
        <v>2083</v>
      </c>
      <c r="AA411" s="37">
        <v>0.11730158043923022</v>
      </c>
    </row>
    <row r="412" spans="24:27" x14ac:dyDescent="0.35">
      <c r="X412">
        <v>406</v>
      </c>
      <c r="Y412" s="38" t="s">
        <v>2082</v>
      </c>
      <c r="Z412" t="s">
        <v>2084</v>
      </c>
      <c r="AA412" s="37">
        <v>0</v>
      </c>
    </row>
    <row r="413" spans="24:27" x14ac:dyDescent="0.35">
      <c r="X413">
        <v>407</v>
      </c>
      <c r="Y413" s="39" t="s">
        <v>2082</v>
      </c>
      <c r="Z413" s="40" t="s">
        <v>2085</v>
      </c>
      <c r="AA413" s="41">
        <v>0</v>
      </c>
    </row>
    <row r="414" spans="24:27" x14ac:dyDescent="0.35">
      <c r="X414">
        <v>408</v>
      </c>
      <c r="Y414" s="36" t="s">
        <v>2086</v>
      </c>
      <c r="Z414" t="s">
        <v>2087</v>
      </c>
      <c r="AA414" s="37">
        <v>0.58570920317226782</v>
      </c>
    </row>
    <row r="415" spans="24:27" x14ac:dyDescent="0.35">
      <c r="X415">
        <v>409</v>
      </c>
      <c r="Y415" s="38" t="s">
        <v>2086</v>
      </c>
      <c r="Z415" t="s">
        <v>2088</v>
      </c>
      <c r="AA415" s="37">
        <v>0</v>
      </c>
    </row>
    <row r="416" spans="24:27" x14ac:dyDescent="0.35">
      <c r="X416">
        <v>410</v>
      </c>
      <c r="Y416" s="39" t="s">
        <v>2086</v>
      </c>
      <c r="Z416" s="40" t="s">
        <v>2089</v>
      </c>
      <c r="AA416" s="41">
        <v>0</v>
      </c>
    </row>
    <row r="417" spans="24:27" x14ac:dyDescent="0.35">
      <c r="X417">
        <v>411</v>
      </c>
      <c r="Y417" s="36" t="s">
        <v>2090</v>
      </c>
      <c r="Z417" t="s">
        <v>2091</v>
      </c>
      <c r="AA417" s="37">
        <v>0</v>
      </c>
    </row>
    <row r="418" spans="24:27" x14ac:dyDescent="0.35">
      <c r="X418">
        <v>412</v>
      </c>
      <c r="Y418" s="38" t="s">
        <v>2090</v>
      </c>
      <c r="Z418" t="s">
        <v>2092</v>
      </c>
      <c r="AA418" s="37">
        <v>0</v>
      </c>
    </row>
    <row r="419" spans="24:27" x14ac:dyDescent="0.35">
      <c r="X419">
        <v>413</v>
      </c>
      <c r="Y419" s="39" t="s">
        <v>2090</v>
      </c>
      <c r="Z419" s="40" t="s">
        <v>2093</v>
      </c>
      <c r="AA419" s="41">
        <v>0</v>
      </c>
    </row>
    <row r="420" spans="24:27" x14ac:dyDescent="0.35">
      <c r="X420">
        <v>414</v>
      </c>
      <c r="Y420" s="5" t="s">
        <v>2094</v>
      </c>
      <c r="Z420" s="5" t="s">
        <v>2095</v>
      </c>
      <c r="AA420" s="35">
        <v>3.1304278374480852</v>
      </c>
    </row>
    <row r="421" spans="24:27" x14ac:dyDescent="0.35">
      <c r="X421">
        <v>415</v>
      </c>
      <c r="Y421" s="36" t="s">
        <v>2096</v>
      </c>
      <c r="Z421" t="s">
        <v>2097</v>
      </c>
      <c r="AA421" s="37">
        <v>2.7561490288670303</v>
      </c>
    </row>
    <row r="422" spans="24:27" x14ac:dyDescent="0.35">
      <c r="X422">
        <v>416</v>
      </c>
      <c r="Y422" s="38" t="s">
        <v>2098</v>
      </c>
      <c r="Z422" t="s">
        <v>2099</v>
      </c>
      <c r="AA422" s="37">
        <v>2.7561490288670303</v>
      </c>
    </row>
    <row r="423" spans="24:27" x14ac:dyDescent="0.35">
      <c r="X423">
        <v>417</v>
      </c>
      <c r="Y423" s="39" t="s">
        <v>2100</v>
      </c>
      <c r="Z423" s="40" t="s">
        <v>2101</v>
      </c>
      <c r="AA423" s="41">
        <v>0</v>
      </c>
    </row>
    <row r="424" spans="24:27" x14ac:dyDescent="0.35">
      <c r="X424">
        <v>418</v>
      </c>
      <c r="Y424" s="39" t="s">
        <v>2102</v>
      </c>
      <c r="Z424" s="40" t="s">
        <v>2103</v>
      </c>
      <c r="AA424" s="41">
        <v>0</v>
      </c>
    </row>
    <row r="425" spans="24:27" x14ac:dyDescent="0.35">
      <c r="X425">
        <v>419</v>
      </c>
      <c r="Y425" s="38" t="s">
        <v>2104</v>
      </c>
      <c r="Z425" t="s">
        <v>2105</v>
      </c>
      <c r="AA425" s="37">
        <v>0</v>
      </c>
    </row>
    <row r="426" spans="24:27" x14ac:dyDescent="0.35">
      <c r="X426">
        <v>420</v>
      </c>
      <c r="Y426" s="39" t="s">
        <v>2104</v>
      </c>
      <c r="Z426" s="40" t="s">
        <v>2106</v>
      </c>
      <c r="AA426" s="41">
        <v>0</v>
      </c>
    </row>
    <row r="427" spans="24:27" x14ac:dyDescent="0.35">
      <c r="X427">
        <v>421</v>
      </c>
      <c r="Y427" s="36" t="s">
        <v>2107</v>
      </c>
      <c r="Z427" t="s">
        <v>2108</v>
      </c>
      <c r="AA427" s="37">
        <v>0.37427880858105456</v>
      </c>
    </row>
    <row r="428" spans="24:27" x14ac:dyDescent="0.35">
      <c r="X428">
        <v>422</v>
      </c>
      <c r="Y428" s="38" t="s">
        <v>2107</v>
      </c>
      <c r="Z428" t="s">
        <v>2109</v>
      </c>
      <c r="AA428" s="37">
        <v>0</v>
      </c>
    </row>
    <row r="429" spans="24:27" x14ac:dyDescent="0.35">
      <c r="X429">
        <v>423</v>
      </c>
      <c r="Y429" s="39" t="s">
        <v>2110</v>
      </c>
      <c r="Z429" s="40" t="s">
        <v>2111</v>
      </c>
      <c r="AA429" s="41">
        <v>0</v>
      </c>
    </row>
    <row r="430" spans="24:27" x14ac:dyDescent="0.35">
      <c r="X430">
        <v>424</v>
      </c>
      <c r="Y430" s="39" t="s">
        <v>2112</v>
      </c>
      <c r="Z430" s="40" t="s">
        <v>2113</v>
      </c>
      <c r="AA430" s="41">
        <v>0</v>
      </c>
    </row>
    <row r="431" spans="24:27" x14ac:dyDescent="0.35">
      <c r="X431">
        <v>425</v>
      </c>
      <c r="Y431" s="39" t="s">
        <v>2114</v>
      </c>
      <c r="Z431" s="40" t="s">
        <v>2115</v>
      </c>
      <c r="AA431" s="41">
        <v>0</v>
      </c>
    </row>
    <row r="432" spans="24:27" x14ac:dyDescent="0.35">
      <c r="X432">
        <v>426</v>
      </c>
      <c r="Y432" s="5" t="s">
        <v>2116</v>
      </c>
      <c r="Z432" s="5" t="s">
        <v>2117</v>
      </c>
      <c r="AA432" s="35">
        <v>3.318983187900403</v>
      </c>
    </row>
    <row r="433" spans="24:27" x14ac:dyDescent="0.35">
      <c r="X433">
        <v>427</v>
      </c>
      <c r="Y433" s="36" t="s">
        <v>2118</v>
      </c>
      <c r="Z433" t="s">
        <v>2119</v>
      </c>
      <c r="AA433" s="37">
        <v>1.7124827375973075</v>
      </c>
    </row>
    <row r="434" spans="24:27" x14ac:dyDescent="0.35">
      <c r="X434">
        <v>428</v>
      </c>
      <c r="Y434" s="38" t="s">
        <v>2120</v>
      </c>
      <c r="Z434" t="s">
        <v>2121</v>
      </c>
      <c r="AA434" s="37">
        <v>1.0418929174957006</v>
      </c>
    </row>
    <row r="435" spans="24:27" x14ac:dyDescent="0.35">
      <c r="X435">
        <v>429</v>
      </c>
      <c r="Y435" s="39" t="s">
        <v>2122</v>
      </c>
      <c r="Z435" s="40" t="s">
        <v>2123</v>
      </c>
      <c r="AA435" s="41">
        <v>1.0418929174957006</v>
      </c>
    </row>
    <row r="436" spans="24:27" x14ac:dyDescent="0.35">
      <c r="X436">
        <v>430</v>
      </c>
      <c r="Y436" s="39" t="s">
        <v>2124</v>
      </c>
      <c r="Z436" s="40" t="s">
        <v>2125</v>
      </c>
      <c r="AA436" s="41">
        <v>0</v>
      </c>
    </row>
    <row r="437" spans="24:27" x14ac:dyDescent="0.35">
      <c r="X437">
        <v>431</v>
      </c>
      <c r="Y437" s="39" t="s">
        <v>2126</v>
      </c>
      <c r="Z437" s="40" t="s">
        <v>2127</v>
      </c>
      <c r="AA437" s="41">
        <v>0</v>
      </c>
    </row>
    <row r="438" spans="24:27" x14ac:dyDescent="0.35">
      <c r="X438">
        <v>432</v>
      </c>
      <c r="Y438" s="38" t="s">
        <v>2128</v>
      </c>
      <c r="Z438" t="s">
        <v>2129</v>
      </c>
      <c r="AA438" s="37">
        <v>0</v>
      </c>
    </row>
    <row r="439" spans="24:27" x14ac:dyDescent="0.35">
      <c r="X439">
        <v>433</v>
      </c>
      <c r="Y439" s="39" t="s">
        <v>2128</v>
      </c>
      <c r="Z439" s="40" t="s">
        <v>2130</v>
      </c>
      <c r="AA439" s="41">
        <v>0</v>
      </c>
    </row>
    <row r="440" spans="24:27" x14ac:dyDescent="0.35">
      <c r="X440">
        <v>434</v>
      </c>
      <c r="Y440" s="39" t="s">
        <v>2131</v>
      </c>
      <c r="Z440" s="40" t="s">
        <v>2132</v>
      </c>
      <c r="AA440" s="41">
        <v>0</v>
      </c>
    </row>
    <row r="441" spans="24:27" x14ac:dyDescent="0.35">
      <c r="X441">
        <v>435</v>
      </c>
      <c r="Y441" s="38" t="s">
        <v>2133</v>
      </c>
      <c r="Z441" t="s">
        <v>2134</v>
      </c>
      <c r="AA441" s="37">
        <v>0.67058982010160761</v>
      </c>
    </row>
    <row r="442" spans="24:27" x14ac:dyDescent="0.35">
      <c r="X442">
        <v>436</v>
      </c>
      <c r="Y442" s="39" t="s">
        <v>2135</v>
      </c>
      <c r="Z442" s="40" t="s">
        <v>2136</v>
      </c>
      <c r="AA442" s="41">
        <v>0.67058982010160761</v>
      </c>
    </row>
    <row r="443" spans="24:27" x14ac:dyDescent="0.35">
      <c r="X443">
        <v>437</v>
      </c>
      <c r="Y443" s="39" t="s">
        <v>2137</v>
      </c>
      <c r="Z443" s="40" t="s">
        <v>2138</v>
      </c>
      <c r="AA443" s="41">
        <v>0</v>
      </c>
    </row>
    <row r="444" spans="24:27" x14ac:dyDescent="0.35">
      <c r="X444">
        <v>438</v>
      </c>
      <c r="Y444" s="36" t="s">
        <v>2139</v>
      </c>
      <c r="Z444" t="s">
        <v>2140</v>
      </c>
      <c r="AA444" s="37">
        <v>0</v>
      </c>
    </row>
    <row r="445" spans="24:27" x14ac:dyDescent="0.35">
      <c r="X445">
        <v>439</v>
      </c>
      <c r="Y445" s="38" t="s">
        <v>2139</v>
      </c>
      <c r="Z445" t="s">
        <v>2141</v>
      </c>
      <c r="AA445" s="37">
        <v>0</v>
      </c>
    </row>
    <row r="446" spans="24:27" x14ac:dyDescent="0.35">
      <c r="X446">
        <v>440</v>
      </c>
      <c r="Y446" s="39" t="s">
        <v>2139</v>
      </c>
      <c r="Z446" s="40" t="s">
        <v>2142</v>
      </c>
      <c r="AA446" s="41">
        <v>0</v>
      </c>
    </row>
    <row r="447" spans="24:27" x14ac:dyDescent="0.35">
      <c r="X447">
        <v>441</v>
      </c>
      <c r="Y447" s="36" t="s">
        <v>2143</v>
      </c>
      <c r="Z447" t="s">
        <v>2144</v>
      </c>
      <c r="AA447" s="37">
        <v>0.67047837347198802</v>
      </c>
    </row>
    <row r="448" spans="24:27" x14ac:dyDescent="0.35">
      <c r="X448">
        <v>442</v>
      </c>
      <c r="Y448" s="38" t="s">
        <v>2145</v>
      </c>
      <c r="Z448" t="s">
        <v>2146</v>
      </c>
      <c r="AA448" s="37">
        <v>5.6607824419345434E-2</v>
      </c>
    </row>
    <row r="449" spans="24:27" x14ac:dyDescent="0.35">
      <c r="X449">
        <v>443</v>
      </c>
      <c r="Y449" s="39" t="s">
        <v>2147</v>
      </c>
      <c r="Z449" s="40" t="s">
        <v>2148</v>
      </c>
      <c r="AA449" s="41">
        <v>5.6607824419345434E-2</v>
      </c>
    </row>
    <row r="450" spans="24:27" x14ac:dyDescent="0.35">
      <c r="X450">
        <v>444</v>
      </c>
      <c r="Y450" s="39" t="s">
        <v>2149</v>
      </c>
      <c r="Z450" s="40" t="s">
        <v>2150</v>
      </c>
      <c r="AA450" s="41">
        <v>0</v>
      </c>
    </row>
    <row r="451" spans="24:27" x14ac:dyDescent="0.35">
      <c r="X451">
        <v>445</v>
      </c>
      <c r="Y451" s="39" t="s">
        <v>2151</v>
      </c>
      <c r="Z451" s="40" t="s">
        <v>2152</v>
      </c>
      <c r="AA451" s="41">
        <v>0</v>
      </c>
    </row>
    <row r="452" spans="24:27" x14ac:dyDescent="0.35">
      <c r="X452">
        <v>446</v>
      </c>
      <c r="Y452" s="38" t="s">
        <v>2153</v>
      </c>
      <c r="Z452" t="s">
        <v>2154</v>
      </c>
      <c r="AA452" s="37">
        <v>0.61387054905264249</v>
      </c>
    </row>
    <row r="453" spans="24:27" x14ac:dyDescent="0.35">
      <c r="X453">
        <v>447</v>
      </c>
      <c r="Y453" s="39" t="s">
        <v>2155</v>
      </c>
      <c r="Z453" s="40" t="s">
        <v>2156</v>
      </c>
      <c r="AA453" s="41">
        <v>0.19895905590945454</v>
      </c>
    </row>
    <row r="454" spans="24:27" x14ac:dyDescent="0.35">
      <c r="X454">
        <v>448</v>
      </c>
      <c r="Y454" s="39" t="s">
        <v>2157</v>
      </c>
      <c r="Z454" s="40" t="s">
        <v>2158</v>
      </c>
      <c r="AA454" s="41">
        <v>0.41491149314318793</v>
      </c>
    </row>
    <row r="455" spans="24:27" x14ac:dyDescent="0.35">
      <c r="X455">
        <v>449</v>
      </c>
      <c r="Y455" s="39" t="s">
        <v>2159</v>
      </c>
      <c r="Z455" s="40" t="s">
        <v>2160</v>
      </c>
      <c r="AA455" s="41">
        <v>0</v>
      </c>
    </row>
    <row r="456" spans="24:27" x14ac:dyDescent="0.35">
      <c r="X456">
        <v>450</v>
      </c>
      <c r="Y456" s="39" t="s">
        <v>2161</v>
      </c>
      <c r="Z456" s="40" t="s">
        <v>2162</v>
      </c>
      <c r="AA456" s="41">
        <v>0</v>
      </c>
    </row>
    <row r="457" spans="24:27" x14ac:dyDescent="0.35">
      <c r="X457">
        <v>451</v>
      </c>
      <c r="Y457" s="36" t="s">
        <v>2163</v>
      </c>
      <c r="Z457" t="s">
        <v>2164</v>
      </c>
      <c r="AA457" s="37">
        <v>0</v>
      </c>
    </row>
    <row r="458" spans="24:27" x14ac:dyDescent="0.35">
      <c r="X458">
        <v>452</v>
      </c>
      <c r="Y458" s="38" t="s">
        <v>2163</v>
      </c>
      <c r="Z458" t="s">
        <v>2165</v>
      </c>
      <c r="AA458" s="37">
        <v>0</v>
      </c>
    </row>
    <row r="459" spans="24:27" x14ac:dyDescent="0.35">
      <c r="X459">
        <v>453</v>
      </c>
      <c r="Y459" s="39" t="s">
        <v>2166</v>
      </c>
      <c r="Z459" s="40" t="s">
        <v>2167</v>
      </c>
      <c r="AA459" s="41">
        <v>0</v>
      </c>
    </row>
    <row r="460" spans="24:27" x14ac:dyDescent="0.35">
      <c r="X460">
        <v>454</v>
      </c>
      <c r="Y460" s="39" t="s">
        <v>2168</v>
      </c>
      <c r="Z460" s="40" t="s">
        <v>2169</v>
      </c>
      <c r="AA460" s="41">
        <v>0</v>
      </c>
    </row>
    <row r="461" spans="24:27" x14ac:dyDescent="0.35">
      <c r="X461">
        <v>455</v>
      </c>
      <c r="Y461" s="39" t="s">
        <v>2170</v>
      </c>
      <c r="Z461" s="40" t="s">
        <v>2171</v>
      </c>
      <c r="AA461" s="41">
        <v>0</v>
      </c>
    </row>
    <row r="462" spans="24:27" x14ac:dyDescent="0.35">
      <c r="X462">
        <v>456</v>
      </c>
      <c r="Y462" s="39" t="s">
        <v>2172</v>
      </c>
      <c r="Z462" s="40" t="s">
        <v>2173</v>
      </c>
      <c r="AA462" s="41">
        <v>0</v>
      </c>
    </row>
    <row r="463" spans="24:27" x14ac:dyDescent="0.35">
      <c r="X463">
        <v>457</v>
      </c>
      <c r="Y463" s="36" t="s">
        <v>2174</v>
      </c>
      <c r="Z463" t="s">
        <v>2175</v>
      </c>
      <c r="AA463" s="37">
        <v>0.47722173218264091</v>
      </c>
    </row>
    <row r="464" spans="24:27" x14ac:dyDescent="0.35">
      <c r="X464">
        <v>458</v>
      </c>
      <c r="Y464" s="38" t="s">
        <v>989</v>
      </c>
      <c r="Z464" t="s">
        <v>2176</v>
      </c>
      <c r="AA464" s="37">
        <v>0</v>
      </c>
    </row>
    <row r="465" spans="24:27" x14ac:dyDescent="0.35">
      <c r="X465">
        <v>459</v>
      </c>
      <c r="Y465" s="39" t="s">
        <v>989</v>
      </c>
      <c r="Z465" s="40" t="s">
        <v>2177</v>
      </c>
      <c r="AA465" s="41">
        <v>0</v>
      </c>
    </row>
    <row r="466" spans="24:27" x14ac:dyDescent="0.35">
      <c r="X466">
        <v>460</v>
      </c>
      <c r="Y466" s="38" t="s">
        <v>2178</v>
      </c>
      <c r="Z466" t="s">
        <v>2179</v>
      </c>
      <c r="AA466" s="37">
        <v>0</v>
      </c>
    </row>
    <row r="467" spans="24:27" x14ac:dyDescent="0.35">
      <c r="X467">
        <v>461</v>
      </c>
      <c r="Y467" s="39" t="s">
        <v>2178</v>
      </c>
      <c r="Z467" s="40" t="s">
        <v>2180</v>
      </c>
      <c r="AA467" s="41">
        <v>0</v>
      </c>
    </row>
    <row r="468" spans="24:27" x14ac:dyDescent="0.35">
      <c r="X468">
        <v>462</v>
      </c>
      <c r="Y468" s="38" t="s">
        <v>2181</v>
      </c>
      <c r="Z468" t="s">
        <v>2182</v>
      </c>
      <c r="AA468" s="37">
        <v>0.33187660185997708</v>
      </c>
    </row>
    <row r="469" spans="24:27" x14ac:dyDescent="0.35">
      <c r="X469">
        <v>463</v>
      </c>
      <c r="Y469" s="39" t="s">
        <v>2183</v>
      </c>
      <c r="Z469" s="40" t="s">
        <v>2184</v>
      </c>
      <c r="AA469" s="41">
        <v>0.33187660185997708</v>
      </c>
    </row>
    <row r="470" spans="24:27" x14ac:dyDescent="0.35">
      <c r="X470">
        <v>464</v>
      </c>
      <c r="Y470" s="39" t="s">
        <v>2185</v>
      </c>
      <c r="Z470" s="40" t="s">
        <v>2186</v>
      </c>
      <c r="AA470" s="41">
        <v>0</v>
      </c>
    </row>
    <row r="471" spans="24:27" x14ac:dyDescent="0.35">
      <c r="X471">
        <v>465</v>
      </c>
      <c r="Y471" s="38" t="s">
        <v>2187</v>
      </c>
      <c r="Z471" t="s">
        <v>2188</v>
      </c>
      <c r="AA471" s="37">
        <v>0.14534513032266372</v>
      </c>
    </row>
    <row r="472" spans="24:27" x14ac:dyDescent="0.35">
      <c r="X472">
        <v>466</v>
      </c>
      <c r="Y472" s="39" t="s">
        <v>2189</v>
      </c>
      <c r="Z472" s="40" t="s">
        <v>2190</v>
      </c>
      <c r="AA472" s="41">
        <v>0.14534513032266372</v>
      </c>
    </row>
    <row r="473" spans="24:27" x14ac:dyDescent="0.35">
      <c r="X473">
        <v>467</v>
      </c>
      <c r="Y473" s="39" t="s">
        <v>2191</v>
      </c>
      <c r="Z473" s="40" t="s">
        <v>2192</v>
      </c>
      <c r="AA473" s="41">
        <v>0</v>
      </c>
    </row>
    <row r="474" spans="24:27" x14ac:dyDescent="0.35">
      <c r="X474">
        <v>468</v>
      </c>
      <c r="Y474" s="38" t="s">
        <v>2193</v>
      </c>
      <c r="Z474" t="s">
        <v>2194</v>
      </c>
      <c r="AA474" s="37">
        <v>0</v>
      </c>
    </row>
    <row r="475" spans="24:27" x14ac:dyDescent="0.35">
      <c r="X475">
        <v>469</v>
      </c>
      <c r="Y475" s="39" t="s">
        <v>2193</v>
      </c>
      <c r="Z475" s="40" t="s">
        <v>2195</v>
      </c>
      <c r="AA475" s="41">
        <v>0</v>
      </c>
    </row>
    <row r="476" spans="24:27" x14ac:dyDescent="0.35">
      <c r="X476">
        <v>470</v>
      </c>
      <c r="Y476" s="36" t="s">
        <v>2196</v>
      </c>
      <c r="Z476" t="s">
        <v>2197</v>
      </c>
      <c r="AA476" s="37">
        <v>0</v>
      </c>
    </row>
    <row r="477" spans="24:27" x14ac:dyDescent="0.35">
      <c r="X477">
        <v>471</v>
      </c>
      <c r="Y477" s="38" t="s">
        <v>2198</v>
      </c>
      <c r="Z477" t="s">
        <v>2199</v>
      </c>
      <c r="AA477" s="37">
        <v>0</v>
      </c>
    </row>
    <row r="478" spans="24:27" x14ac:dyDescent="0.35">
      <c r="X478">
        <v>472</v>
      </c>
      <c r="Y478" s="39" t="s">
        <v>2198</v>
      </c>
      <c r="Z478" s="40" t="s">
        <v>2200</v>
      </c>
      <c r="AA478" s="41">
        <v>0</v>
      </c>
    </row>
    <row r="479" spans="24:27" x14ac:dyDescent="0.35">
      <c r="X479">
        <v>473</v>
      </c>
      <c r="Y479" s="38" t="s">
        <v>2201</v>
      </c>
      <c r="Z479" t="s">
        <v>2202</v>
      </c>
      <c r="AA479" s="37">
        <v>0</v>
      </c>
    </row>
    <row r="480" spans="24:27" x14ac:dyDescent="0.35">
      <c r="X480">
        <v>474</v>
      </c>
      <c r="Y480" s="39" t="s">
        <v>2203</v>
      </c>
      <c r="Z480" s="40" t="s">
        <v>2204</v>
      </c>
      <c r="AA480" s="41">
        <v>0</v>
      </c>
    </row>
    <row r="481" spans="24:27" x14ac:dyDescent="0.35">
      <c r="X481">
        <v>475</v>
      </c>
      <c r="Y481" s="39" t="s">
        <v>2205</v>
      </c>
      <c r="Z481" s="40" t="s">
        <v>2206</v>
      </c>
      <c r="AA481" s="41">
        <v>0</v>
      </c>
    </row>
    <row r="482" spans="24:27" x14ac:dyDescent="0.35">
      <c r="X482">
        <v>476</v>
      </c>
      <c r="Y482" s="36" t="s">
        <v>2207</v>
      </c>
      <c r="Z482" t="s">
        <v>2208</v>
      </c>
      <c r="AA482" s="37">
        <v>0.45880034464846847</v>
      </c>
    </row>
    <row r="483" spans="24:27" x14ac:dyDescent="0.35">
      <c r="X483">
        <v>477</v>
      </c>
      <c r="Y483" s="38" t="s">
        <v>2207</v>
      </c>
      <c r="Z483" t="s">
        <v>2209</v>
      </c>
      <c r="AA483" s="37">
        <v>7.7316128068175269E-2</v>
      </c>
    </row>
    <row r="484" spans="24:27" x14ac:dyDescent="0.35">
      <c r="X484">
        <v>478</v>
      </c>
      <c r="Y484" s="39" t="s">
        <v>2210</v>
      </c>
      <c r="Z484" s="40" t="s">
        <v>2211</v>
      </c>
      <c r="AA484" s="41">
        <v>7.7316128068175269E-2</v>
      </c>
    </row>
    <row r="485" spans="24:27" x14ac:dyDescent="0.35">
      <c r="X485">
        <v>479</v>
      </c>
      <c r="Y485" s="39" t="s">
        <v>2212</v>
      </c>
      <c r="Z485" s="40" t="s">
        <v>2213</v>
      </c>
      <c r="AA485" s="41">
        <v>0</v>
      </c>
    </row>
    <row r="486" spans="24:27" x14ac:dyDescent="0.35">
      <c r="X486">
        <v>480</v>
      </c>
      <c r="Y486" s="39" t="s">
        <v>2214</v>
      </c>
      <c r="Z486" s="40" t="s">
        <v>2215</v>
      </c>
      <c r="AA486" s="41">
        <v>0</v>
      </c>
    </row>
    <row r="487" spans="24:27" x14ac:dyDescent="0.35">
      <c r="X487">
        <v>481</v>
      </c>
      <c r="Y487" s="39" t="s">
        <v>2216</v>
      </c>
      <c r="Z487" s="40" t="s">
        <v>2217</v>
      </c>
      <c r="AA487" s="41">
        <v>0</v>
      </c>
    </row>
  </sheetData>
  <sortState xmlns:xlrd2="http://schemas.microsoft.com/office/spreadsheetml/2017/richdata2" ref="AF7:AI235">
    <sortCondition ref="AF7:AF23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16"/>
  <sheetViews>
    <sheetView workbookViewId="0">
      <pane ySplit="2" topLeftCell="A3" activePane="bottomLeft" state="frozen"/>
      <selection activeCell="J1" sqref="J1"/>
      <selection pane="bottomLeft" activeCell="A3" sqref="A3"/>
    </sheetView>
  </sheetViews>
  <sheetFormatPr defaultRowHeight="14.5" x14ac:dyDescent="0.35"/>
  <cols>
    <col min="2" max="2" width="8.81640625" style="2"/>
    <col min="4" max="4" width="18.26953125" customWidth="1"/>
    <col min="5" max="5" width="13.7265625" customWidth="1"/>
    <col min="7" max="7" width="46.7265625" bestFit="1" customWidth="1"/>
    <col min="10" max="11" width="11.1796875" customWidth="1"/>
    <col min="12" max="12" width="44.453125" customWidth="1"/>
    <col min="15" max="15" width="17.453125" customWidth="1"/>
    <col min="22" max="22" width="18.7265625" customWidth="1"/>
    <col min="24" max="24" width="35.453125" customWidth="1"/>
  </cols>
  <sheetData>
    <row r="1" spans="1:33" x14ac:dyDescent="0.35">
      <c r="A1" s="8" t="s">
        <v>1141</v>
      </c>
      <c r="B1" s="5"/>
      <c r="H1" s="7"/>
      <c r="I1" s="8" t="s">
        <v>1142</v>
      </c>
      <c r="K1" s="2" t="s">
        <v>751</v>
      </c>
      <c r="L1" s="2"/>
      <c r="M1" s="2" t="s">
        <v>749</v>
      </c>
      <c r="N1" s="2" t="s">
        <v>1145</v>
      </c>
    </row>
    <row r="2" spans="1:33" x14ac:dyDescent="0.35">
      <c r="A2" t="s">
        <v>391</v>
      </c>
      <c r="B2" s="2" t="s">
        <v>383</v>
      </c>
      <c r="C2" t="s">
        <v>384</v>
      </c>
      <c r="D2" t="s">
        <v>385</v>
      </c>
      <c r="H2" s="7"/>
      <c r="I2" t="s">
        <v>391</v>
      </c>
      <c r="J2" s="6" t="s">
        <v>383</v>
      </c>
      <c r="K2" s="2" t="s">
        <v>384</v>
      </c>
      <c r="L2" s="2" t="s">
        <v>385</v>
      </c>
      <c r="M2" s="2" t="s">
        <v>752</v>
      </c>
      <c r="N2" s="1" t="s">
        <v>1144</v>
      </c>
      <c r="P2" s="1" t="s">
        <v>1147</v>
      </c>
      <c r="W2" s="9">
        <v>111</v>
      </c>
      <c r="X2" s="9" t="s">
        <v>773</v>
      </c>
      <c r="Y2" s="9">
        <v>1</v>
      </c>
      <c r="Z2" s="10" t="s">
        <v>335</v>
      </c>
      <c r="AB2" s="17" t="s">
        <v>1156</v>
      </c>
      <c r="AC2" s="17" t="s">
        <v>1157</v>
      </c>
      <c r="AD2" s="17" t="s">
        <v>1158</v>
      </c>
      <c r="AE2" s="17" t="s">
        <v>1159</v>
      </c>
      <c r="AF2" s="17" t="s">
        <v>1160</v>
      </c>
      <c r="AG2" s="17"/>
    </row>
    <row r="3" spans="1:33" x14ac:dyDescent="0.35">
      <c r="A3">
        <v>36</v>
      </c>
      <c r="B3" s="2" t="s">
        <v>348</v>
      </c>
      <c r="C3">
        <v>1</v>
      </c>
      <c r="D3" t="s">
        <v>204</v>
      </c>
      <c r="H3" s="7"/>
      <c r="I3" s="13">
        <v>44</v>
      </c>
      <c r="J3" s="14" t="s">
        <v>348</v>
      </c>
      <c r="K3">
        <v>1</v>
      </c>
      <c r="L3" t="s">
        <v>406</v>
      </c>
      <c r="M3">
        <v>1</v>
      </c>
      <c r="N3" t="s">
        <v>405</v>
      </c>
      <c r="W3" s="9">
        <v>112</v>
      </c>
      <c r="X3" s="9" t="s">
        <v>774</v>
      </c>
      <c r="Y3" s="9">
        <v>11</v>
      </c>
      <c r="Z3" s="10" t="s">
        <v>343</v>
      </c>
      <c r="AB3">
        <v>1</v>
      </c>
      <c r="AC3">
        <v>1</v>
      </c>
      <c r="AD3" t="s">
        <v>1161</v>
      </c>
      <c r="AE3" t="s">
        <v>1162</v>
      </c>
      <c r="AF3" t="s">
        <v>1073</v>
      </c>
    </row>
    <row r="4" spans="1:33" x14ac:dyDescent="0.35">
      <c r="A4">
        <v>36</v>
      </c>
      <c r="B4" s="2" t="s">
        <v>348</v>
      </c>
      <c r="C4">
        <v>2</v>
      </c>
      <c r="D4" t="s">
        <v>205</v>
      </c>
      <c r="H4" s="7"/>
      <c r="I4" s="13">
        <v>44</v>
      </c>
      <c r="J4" s="14" t="s">
        <v>348</v>
      </c>
      <c r="K4">
        <v>2</v>
      </c>
      <c r="L4" t="s">
        <v>407</v>
      </c>
      <c r="M4">
        <v>2</v>
      </c>
      <c r="W4" s="9">
        <v>113</v>
      </c>
      <c r="X4" s="9" t="s">
        <v>775</v>
      </c>
      <c r="Y4" s="9">
        <v>15</v>
      </c>
      <c r="Z4" s="10" t="s">
        <v>331</v>
      </c>
      <c r="AB4">
        <v>2</v>
      </c>
      <c r="AC4">
        <v>2</v>
      </c>
      <c r="AD4" t="s">
        <v>1163</v>
      </c>
      <c r="AE4" t="s">
        <v>1164</v>
      </c>
      <c r="AF4" t="s">
        <v>1074</v>
      </c>
    </row>
    <row r="5" spans="1:33" x14ac:dyDescent="0.35">
      <c r="A5">
        <v>36</v>
      </c>
      <c r="B5" s="2" t="s">
        <v>348</v>
      </c>
      <c r="C5">
        <v>3</v>
      </c>
      <c r="D5" t="s">
        <v>206</v>
      </c>
      <c r="H5" s="7"/>
      <c r="I5" s="13">
        <v>44</v>
      </c>
      <c r="J5" s="14" t="s">
        <v>348</v>
      </c>
      <c r="K5">
        <v>3</v>
      </c>
      <c r="L5" t="s">
        <v>408</v>
      </c>
      <c r="M5">
        <v>3</v>
      </c>
      <c r="W5" s="9">
        <v>121</v>
      </c>
      <c r="X5" s="9" t="s">
        <v>776</v>
      </c>
      <c r="Y5" s="9">
        <v>21</v>
      </c>
      <c r="Z5" s="10" t="s">
        <v>338</v>
      </c>
      <c r="AB5">
        <v>3</v>
      </c>
      <c r="AC5">
        <v>3</v>
      </c>
      <c r="AD5" t="s">
        <v>1165</v>
      </c>
      <c r="AE5" t="s">
        <v>1166</v>
      </c>
      <c r="AF5" t="s">
        <v>1075</v>
      </c>
    </row>
    <row r="6" spans="1:33" x14ac:dyDescent="0.35">
      <c r="A6">
        <v>36</v>
      </c>
      <c r="B6" s="2" t="s">
        <v>348</v>
      </c>
      <c r="C6">
        <v>4</v>
      </c>
      <c r="D6" t="s">
        <v>207</v>
      </c>
      <c r="H6" s="7"/>
      <c r="I6" s="13">
        <v>44</v>
      </c>
      <c r="J6" s="14" t="s">
        <v>348</v>
      </c>
      <c r="K6">
        <v>4</v>
      </c>
      <c r="L6" t="s">
        <v>409</v>
      </c>
      <c r="M6">
        <v>4</v>
      </c>
      <c r="W6" s="9">
        <v>122</v>
      </c>
      <c r="X6" s="9" t="s">
        <v>777</v>
      </c>
      <c r="Y6" s="9">
        <v>25</v>
      </c>
      <c r="Z6" s="10" t="s">
        <v>759</v>
      </c>
      <c r="AB6">
        <v>4</v>
      </c>
      <c r="AC6">
        <v>4</v>
      </c>
      <c r="AD6" t="s">
        <v>1167</v>
      </c>
      <c r="AE6" t="s">
        <v>1168</v>
      </c>
      <c r="AF6" t="s">
        <v>1076</v>
      </c>
    </row>
    <row r="7" spans="1:33" x14ac:dyDescent="0.35">
      <c r="A7">
        <v>36</v>
      </c>
      <c r="B7" s="2" t="s">
        <v>348</v>
      </c>
      <c r="C7">
        <v>5</v>
      </c>
      <c r="D7" t="s">
        <v>208</v>
      </c>
      <c r="H7" s="7"/>
      <c r="I7" s="13">
        <v>44</v>
      </c>
      <c r="J7" s="14" t="s">
        <v>348</v>
      </c>
      <c r="K7">
        <v>5</v>
      </c>
      <c r="L7" t="s">
        <v>410</v>
      </c>
      <c r="M7">
        <v>5</v>
      </c>
      <c r="W7" s="9">
        <v>130</v>
      </c>
      <c r="X7" s="9" t="s">
        <v>778</v>
      </c>
      <c r="Y7" s="9" t="s">
        <v>779</v>
      </c>
      <c r="Z7" s="10" t="s">
        <v>780</v>
      </c>
      <c r="AB7">
        <v>5</v>
      </c>
      <c r="AC7">
        <v>5</v>
      </c>
      <c r="AD7" t="s">
        <v>1169</v>
      </c>
      <c r="AE7" t="s">
        <v>1170</v>
      </c>
      <c r="AF7" t="s">
        <v>574</v>
      </c>
    </row>
    <row r="8" spans="1:33" x14ac:dyDescent="0.35">
      <c r="A8">
        <v>36</v>
      </c>
      <c r="B8" s="2" t="s">
        <v>348</v>
      </c>
      <c r="C8">
        <v>6</v>
      </c>
      <c r="D8" t="s">
        <v>209</v>
      </c>
      <c r="H8" s="7"/>
      <c r="I8" s="13">
        <v>44</v>
      </c>
      <c r="J8" s="14" t="s">
        <v>348</v>
      </c>
      <c r="K8">
        <v>6</v>
      </c>
      <c r="L8" t="s">
        <v>411</v>
      </c>
      <c r="M8">
        <v>6</v>
      </c>
      <c r="W8" s="9">
        <v>140</v>
      </c>
      <c r="X8" s="9" t="s">
        <v>781</v>
      </c>
      <c r="Y8" s="9">
        <v>25</v>
      </c>
      <c r="Z8" s="10" t="s">
        <v>759</v>
      </c>
      <c r="AB8">
        <v>6</v>
      </c>
      <c r="AC8">
        <v>6</v>
      </c>
      <c r="AD8" t="s">
        <v>1171</v>
      </c>
      <c r="AE8" t="s">
        <v>1172</v>
      </c>
      <c r="AF8" t="s">
        <v>1077</v>
      </c>
    </row>
    <row r="9" spans="1:33" x14ac:dyDescent="0.35">
      <c r="A9">
        <v>36</v>
      </c>
      <c r="B9" s="2" t="s">
        <v>348</v>
      </c>
      <c r="C9">
        <v>7</v>
      </c>
      <c r="D9" t="s">
        <v>210</v>
      </c>
      <c r="H9" s="7"/>
      <c r="I9" s="13">
        <v>44</v>
      </c>
      <c r="J9" s="14" t="s">
        <v>348</v>
      </c>
      <c r="K9">
        <v>7</v>
      </c>
      <c r="L9" t="s">
        <v>412</v>
      </c>
      <c r="M9">
        <v>7</v>
      </c>
      <c r="W9" s="9">
        <v>150</v>
      </c>
      <c r="X9" s="9" t="s">
        <v>782</v>
      </c>
      <c r="Y9" s="9">
        <v>25</v>
      </c>
      <c r="Z9" s="10" t="s">
        <v>759</v>
      </c>
      <c r="AB9">
        <v>7</v>
      </c>
      <c r="AC9">
        <v>7</v>
      </c>
      <c r="AD9" t="s">
        <v>1173</v>
      </c>
      <c r="AE9" t="s">
        <v>1174</v>
      </c>
      <c r="AF9" t="s">
        <v>1078</v>
      </c>
    </row>
    <row r="10" spans="1:33" x14ac:dyDescent="0.35">
      <c r="A10">
        <v>36</v>
      </c>
      <c r="B10" s="2" t="s">
        <v>348</v>
      </c>
      <c r="C10">
        <v>8</v>
      </c>
      <c r="D10" t="s">
        <v>211</v>
      </c>
      <c r="H10" s="7"/>
      <c r="I10" s="13">
        <v>44</v>
      </c>
      <c r="J10" s="14" t="s">
        <v>348</v>
      </c>
      <c r="K10">
        <v>8</v>
      </c>
      <c r="L10" t="s">
        <v>413</v>
      </c>
      <c r="M10">
        <v>8</v>
      </c>
      <c r="W10" s="9">
        <v>200</v>
      </c>
      <c r="X10" s="9" t="s">
        <v>783</v>
      </c>
      <c r="Y10" s="9">
        <v>26</v>
      </c>
      <c r="Z10" s="10" t="s">
        <v>372</v>
      </c>
      <c r="AB10">
        <v>8</v>
      </c>
      <c r="AC10">
        <v>8</v>
      </c>
      <c r="AD10" t="s">
        <v>1175</v>
      </c>
      <c r="AE10" t="s">
        <v>1176</v>
      </c>
      <c r="AF10" t="s">
        <v>1079</v>
      </c>
    </row>
    <row r="11" spans="1:33" x14ac:dyDescent="0.35">
      <c r="A11">
        <v>36</v>
      </c>
      <c r="B11" s="2" t="s">
        <v>348</v>
      </c>
      <c r="C11">
        <v>9</v>
      </c>
      <c r="D11" t="s">
        <v>212</v>
      </c>
      <c r="H11" s="7"/>
      <c r="I11" s="13">
        <v>44</v>
      </c>
      <c r="J11" s="14" t="s">
        <v>348</v>
      </c>
      <c r="K11">
        <v>9</v>
      </c>
      <c r="L11" t="s">
        <v>414</v>
      </c>
      <c r="M11">
        <v>9</v>
      </c>
      <c r="W11" s="9">
        <v>501</v>
      </c>
      <c r="X11" s="9" t="s">
        <v>784</v>
      </c>
      <c r="Y11" s="9">
        <v>27</v>
      </c>
      <c r="Z11" s="10" t="s">
        <v>340</v>
      </c>
      <c r="AB11">
        <v>9</v>
      </c>
      <c r="AC11">
        <v>9</v>
      </c>
      <c r="AD11" t="s">
        <v>1177</v>
      </c>
      <c r="AE11" t="s">
        <v>1178</v>
      </c>
      <c r="AF11" t="s">
        <v>1080</v>
      </c>
    </row>
    <row r="12" spans="1:33" x14ac:dyDescent="0.35">
      <c r="A12">
        <v>36</v>
      </c>
      <c r="B12" s="2" t="s">
        <v>348</v>
      </c>
      <c r="C12">
        <v>10</v>
      </c>
      <c r="D12" t="s">
        <v>213</v>
      </c>
      <c r="H12" s="7"/>
      <c r="I12" s="13">
        <v>44</v>
      </c>
      <c r="J12" s="14" t="s">
        <v>348</v>
      </c>
      <c r="K12">
        <v>10</v>
      </c>
      <c r="L12" t="s">
        <v>415</v>
      </c>
      <c r="M12">
        <v>10</v>
      </c>
      <c r="W12" s="9">
        <v>502</v>
      </c>
      <c r="X12" s="9" t="s">
        <v>785</v>
      </c>
      <c r="Y12" s="9">
        <v>27</v>
      </c>
      <c r="Z12" s="10" t="s">
        <v>340</v>
      </c>
      <c r="AC12">
        <v>10.1</v>
      </c>
      <c r="AD12" s="18" t="s">
        <v>1179</v>
      </c>
      <c r="AE12" s="19" t="str">
        <f>"c"&amp;MID(AD12,2,10)</f>
        <v>cipot</v>
      </c>
      <c r="AF12" s="20" t="s">
        <v>1180</v>
      </c>
    </row>
    <row r="13" spans="1:33" x14ac:dyDescent="0.35">
      <c r="A13">
        <v>36</v>
      </c>
      <c r="B13" s="2" t="s">
        <v>348</v>
      </c>
      <c r="C13">
        <v>11</v>
      </c>
      <c r="D13" t="s">
        <v>214</v>
      </c>
      <c r="H13" s="7"/>
      <c r="I13" s="13">
        <v>44</v>
      </c>
      <c r="J13" s="14" t="s">
        <v>348</v>
      </c>
      <c r="K13">
        <v>11</v>
      </c>
      <c r="L13" t="s">
        <v>416</v>
      </c>
      <c r="M13">
        <v>11</v>
      </c>
      <c r="W13" s="9">
        <v>1010</v>
      </c>
      <c r="X13" s="9" t="s">
        <v>786</v>
      </c>
      <c r="Y13" s="9">
        <v>28</v>
      </c>
      <c r="Z13" s="10" t="s">
        <v>760</v>
      </c>
      <c r="AC13">
        <v>10.199999999999999</v>
      </c>
      <c r="AD13" s="21" t="s">
        <v>1181</v>
      </c>
      <c r="AE13" s="22" t="str">
        <f>"c"&amp;MID(AD13,2,10)</f>
        <v>cspot</v>
      </c>
      <c r="AF13" s="23" t="s">
        <v>1182</v>
      </c>
    </row>
    <row r="14" spans="1:33" x14ac:dyDescent="0.35">
      <c r="A14">
        <v>36</v>
      </c>
      <c r="B14" s="2" t="s">
        <v>348</v>
      </c>
      <c r="C14">
        <v>12</v>
      </c>
      <c r="D14" t="s">
        <v>215</v>
      </c>
      <c r="H14" s="7"/>
      <c r="I14" s="13">
        <v>44</v>
      </c>
      <c r="J14" s="14" t="s">
        <v>348</v>
      </c>
      <c r="K14">
        <v>12</v>
      </c>
      <c r="L14" t="s">
        <v>417</v>
      </c>
      <c r="M14">
        <v>12</v>
      </c>
      <c r="W14" s="9">
        <v>1020</v>
      </c>
      <c r="X14" s="9" t="s">
        <v>787</v>
      </c>
      <c r="Y14" s="9">
        <v>28</v>
      </c>
      <c r="Z14" s="10" t="s">
        <v>760</v>
      </c>
      <c r="AB14">
        <v>10</v>
      </c>
      <c r="AC14">
        <v>10.3</v>
      </c>
      <c r="AD14" s="24" t="s">
        <v>1183</v>
      </c>
      <c r="AE14" s="25" t="s">
        <v>1184</v>
      </c>
      <c r="AF14" s="26" t="s">
        <v>1081</v>
      </c>
    </row>
    <row r="15" spans="1:33" x14ac:dyDescent="0.35">
      <c r="A15">
        <v>37</v>
      </c>
      <c r="B15" s="2" t="s">
        <v>350</v>
      </c>
      <c r="C15">
        <v>13</v>
      </c>
      <c r="D15" t="s">
        <v>216</v>
      </c>
      <c r="H15" s="7"/>
      <c r="I15" s="13">
        <v>44</v>
      </c>
      <c r="J15" s="14" t="s">
        <v>348</v>
      </c>
      <c r="K15">
        <v>13</v>
      </c>
      <c r="L15" t="s">
        <v>418</v>
      </c>
      <c r="M15">
        <v>13</v>
      </c>
      <c r="W15" s="9">
        <v>1030</v>
      </c>
      <c r="X15" s="9" t="s">
        <v>788</v>
      </c>
      <c r="Y15" s="9">
        <v>28</v>
      </c>
      <c r="Z15" s="10" t="s">
        <v>760</v>
      </c>
      <c r="AB15">
        <v>11</v>
      </c>
      <c r="AC15">
        <v>11</v>
      </c>
      <c r="AD15" t="s">
        <v>1185</v>
      </c>
      <c r="AE15" t="s">
        <v>1186</v>
      </c>
      <c r="AF15" t="s">
        <v>1082</v>
      </c>
    </row>
    <row r="16" spans="1:33" x14ac:dyDescent="0.35">
      <c r="A16">
        <v>37</v>
      </c>
      <c r="B16" s="2" t="s">
        <v>350</v>
      </c>
      <c r="C16">
        <v>14</v>
      </c>
      <c r="D16" t="s">
        <v>217</v>
      </c>
      <c r="H16" s="7"/>
      <c r="I16" s="13">
        <v>44</v>
      </c>
      <c r="J16" s="14" t="s">
        <v>348</v>
      </c>
      <c r="K16">
        <v>14</v>
      </c>
      <c r="L16" t="s">
        <v>419</v>
      </c>
      <c r="M16">
        <v>14</v>
      </c>
      <c r="W16" s="9">
        <v>1110</v>
      </c>
      <c r="X16" s="9" t="s">
        <v>789</v>
      </c>
      <c r="Y16" s="9">
        <v>29</v>
      </c>
      <c r="Z16" s="10" t="s">
        <v>761</v>
      </c>
      <c r="AB16">
        <v>12</v>
      </c>
      <c r="AC16">
        <v>12</v>
      </c>
      <c r="AD16" t="s">
        <v>1187</v>
      </c>
      <c r="AE16" t="s">
        <v>1188</v>
      </c>
      <c r="AF16" t="s">
        <v>1083</v>
      </c>
    </row>
    <row r="17" spans="1:32" x14ac:dyDescent="0.35">
      <c r="A17">
        <v>37</v>
      </c>
      <c r="B17" s="2" t="s">
        <v>350</v>
      </c>
      <c r="C17">
        <v>15</v>
      </c>
      <c r="D17" t="s">
        <v>218</v>
      </c>
      <c r="H17" s="7"/>
      <c r="I17" s="13">
        <v>45</v>
      </c>
      <c r="J17" s="14" t="s">
        <v>350</v>
      </c>
      <c r="K17">
        <v>15</v>
      </c>
      <c r="L17" t="s">
        <v>420</v>
      </c>
      <c r="M17">
        <v>15</v>
      </c>
      <c r="W17" s="9">
        <v>1120</v>
      </c>
      <c r="X17" s="9" t="s">
        <v>790</v>
      </c>
      <c r="Y17" s="9">
        <v>29</v>
      </c>
      <c r="Z17" s="10" t="s">
        <v>761</v>
      </c>
      <c r="AB17">
        <v>13</v>
      </c>
      <c r="AC17">
        <v>13</v>
      </c>
      <c r="AD17" t="s">
        <v>1189</v>
      </c>
      <c r="AE17" t="s">
        <v>1190</v>
      </c>
      <c r="AF17" t="s">
        <v>1084</v>
      </c>
    </row>
    <row r="18" spans="1:32" x14ac:dyDescent="0.35">
      <c r="A18">
        <v>36</v>
      </c>
      <c r="B18" s="2" t="s">
        <v>348</v>
      </c>
      <c r="C18">
        <v>16</v>
      </c>
      <c r="D18" t="s">
        <v>219</v>
      </c>
      <c r="H18" s="7"/>
      <c r="I18" s="13">
        <v>45</v>
      </c>
      <c r="J18" s="14" t="s">
        <v>350</v>
      </c>
      <c r="K18">
        <v>16</v>
      </c>
      <c r="L18" t="s">
        <v>421</v>
      </c>
      <c r="M18">
        <v>16</v>
      </c>
      <c r="W18" s="9">
        <v>1200</v>
      </c>
      <c r="X18" s="9" t="s">
        <v>791</v>
      </c>
      <c r="Y18" s="9">
        <v>31</v>
      </c>
      <c r="Z18" s="10" t="s">
        <v>762</v>
      </c>
      <c r="AB18">
        <v>14</v>
      </c>
      <c r="AC18">
        <v>14</v>
      </c>
      <c r="AD18" t="s">
        <v>1191</v>
      </c>
      <c r="AE18" t="s">
        <v>1192</v>
      </c>
      <c r="AF18" t="s">
        <v>1085</v>
      </c>
    </row>
    <row r="19" spans="1:32" x14ac:dyDescent="0.35">
      <c r="A19">
        <v>36</v>
      </c>
      <c r="B19" s="2" t="s">
        <v>348</v>
      </c>
      <c r="C19">
        <v>17</v>
      </c>
      <c r="D19" t="s">
        <v>220</v>
      </c>
      <c r="H19" s="7"/>
      <c r="I19" s="13">
        <v>45</v>
      </c>
      <c r="J19" s="14" t="s">
        <v>350</v>
      </c>
      <c r="K19">
        <v>17</v>
      </c>
      <c r="L19" t="s">
        <v>422</v>
      </c>
      <c r="M19">
        <v>17</v>
      </c>
      <c r="W19" s="9">
        <v>1310</v>
      </c>
      <c r="X19" s="9" t="s">
        <v>792</v>
      </c>
      <c r="Y19" s="9">
        <v>31</v>
      </c>
      <c r="Z19" s="10" t="s">
        <v>762</v>
      </c>
      <c r="AB19">
        <v>15</v>
      </c>
      <c r="AC19">
        <v>15.1</v>
      </c>
      <c r="AD19" s="27" t="s">
        <v>1193</v>
      </c>
      <c r="AE19" s="28" t="s">
        <v>1194</v>
      </c>
      <c r="AF19" s="29" t="s">
        <v>1086</v>
      </c>
    </row>
    <row r="20" spans="1:32" x14ac:dyDescent="0.35">
      <c r="A20">
        <v>44</v>
      </c>
      <c r="B20" s="2" t="s">
        <v>351</v>
      </c>
      <c r="C20">
        <v>18</v>
      </c>
      <c r="D20" t="s">
        <v>221</v>
      </c>
      <c r="H20" s="7"/>
      <c r="I20" s="13">
        <v>56</v>
      </c>
      <c r="J20" s="14" t="s">
        <v>351</v>
      </c>
      <c r="K20">
        <v>18</v>
      </c>
      <c r="L20" t="s">
        <v>423</v>
      </c>
      <c r="M20">
        <v>18</v>
      </c>
      <c r="W20" s="9">
        <v>1320</v>
      </c>
      <c r="X20" s="9" t="s">
        <v>793</v>
      </c>
      <c r="Y20" s="9">
        <v>31</v>
      </c>
      <c r="Z20" s="10" t="s">
        <v>762</v>
      </c>
      <c r="AC20">
        <v>15.2</v>
      </c>
      <c r="AD20" s="30" t="s">
        <v>1195</v>
      </c>
      <c r="AE20" s="31" t="s">
        <v>1196</v>
      </c>
      <c r="AF20" s="32" t="s">
        <v>1197</v>
      </c>
    </row>
    <row r="21" spans="1:32" x14ac:dyDescent="0.35">
      <c r="A21">
        <v>44</v>
      </c>
      <c r="B21" s="2" t="s">
        <v>351</v>
      </c>
      <c r="C21">
        <v>19</v>
      </c>
      <c r="D21" t="s">
        <v>222</v>
      </c>
      <c r="H21" s="7"/>
      <c r="I21" s="13">
        <v>53</v>
      </c>
      <c r="J21" s="14" t="s">
        <v>770</v>
      </c>
      <c r="K21">
        <v>19</v>
      </c>
      <c r="L21" t="s">
        <v>424</v>
      </c>
      <c r="M21">
        <v>19</v>
      </c>
      <c r="W21" s="9">
        <v>1410</v>
      </c>
      <c r="X21" s="9" t="s">
        <v>794</v>
      </c>
      <c r="Y21" s="9">
        <v>31</v>
      </c>
      <c r="Z21" s="10" t="s">
        <v>762</v>
      </c>
      <c r="AB21">
        <v>16</v>
      </c>
      <c r="AC21">
        <v>16</v>
      </c>
      <c r="AD21" t="s">
        <v>1198</v>
      </c>
      <c r="AE21" t="s">
        <v>1199</v>
      </c>
      <c r="AF21" t="s">
        <v>1087</v>
      </c>
    </row>
    <row r="22" spans="1:32" x14ac:dyDescent="0.35">
      <c r="A22">
        <v>44</v>
      </c>
      <c r="B22" s="2" t="s">
        <v>351</v>
      </c>
      <c r="C22">
        <v>20</v>
      </c>
      <c r="D22" t="s">
        <v>223</v>
      </c>
      <c r="H22" s="7"/>
      <c r="I22" s="13">
        <v>53</v>
      </c>
      <c r="J22" s="14" t="s">
        <v>770</v>
      </c>
      <c r="K22">
        <v>20</v>
      </c>
      <c r="L22" t="s">
        <v>425</v>
      </c>
      <c r="M22">
        <v>20</v>
      </c>
      <c r="W22" s="9">
        <v>1421</v>
      </c>
      <c r="X22" s="9" t="s">
        <v>795</v>
      </c>
      <c r="Y22" s="9">
        <v>31</v>
      </c>
      <c r="Z22" s="10" t="s">
        <v>762</v>
      </c>
      <c r="AB22">
        <v>17</v>
      </c>
      <c r="AC22">
        <v>17</v>
      </c>
      <c r="AD22" t="s">
        <v>1200</v>
      </c>
      <c r="AE22" t="s">
        <v>1201</v>
      </c>
      <c r="AF22" t="s">
        <v>1088</v>
      </c>
    </row>
    <row r="23" spans="1:32" x14ac:dyDescent="0.35">
      <c r="A23">
        <v>44</v>
      </c>
      <c r="B23" s="2" t="s">
        <v>351</v>
      </c>
      <c r="C23">
        <v>21</v>
      </c>
      <c r="D23" t="s">
        <v>224</v>
      </c>
      <c r="H23" s="7"/>
      <c r="I23" s="13">
        <v>56</v>
      </c>
      <c r="J23" s="14" t="s">
        <v>351</v>
      </c>
      <c r="K23">
        <v>21</v>
      </c>
      <c r="L23" t="s">
        <v>426</v>
      </c>
      <c r="M23">
        <v>21</v>
      </c>
      <c r="W23" s="9">
        <v>1422</v>
      </c>
      <c r="X23" s="9" t="s">
        <v>796</v>
      </c>
      <c r="Y23" s="9">
        <v>31</v>
      </c>
      <c r="Z23" s="10" t="s">
        <v>762</v>
      </c>
      <c r="AB23">
        <v>18</v>
      </c>
      <c r="AC23">
        <v>18</v>
      </c>
      <c r="AD23" t="s">
        <v>1202</v>
      </c>
      <c r="AE23" t="s">
        <v>1203</v>
      </c>
      <c r="AF23" t="s">
        <v>1089</v>
      </c>
    </row>
    <row r="24" spans="1:32" x14ac:dyDescent="0.35">
      <c r="A24">
        <v>42</v>
      </c>
      <c r="B24" s="2" t="s">
        <v>370</v>
      </c>
      <c r="C24" s="1">
        <v>22</v>
      </c>
      <c r="D24" t="s">
        <v>225</v>
      </c>
      <c r="H24" s="7"/>
      <c r="I24" s="13">
        <v>45</v>
      </c>
      <c r="J24" s="14" t="s">
        <v>350</v>
      </c>
      <c r="K24">
        <v>22</v>
      </c>
      <c r="L24" t="s">
        <v>427</v>
      </c>
      <c r="M24">
        <v>22</v>
      </c>
      <c r="W24" s="9">
        <v>1429</v>
      </c>
      <c r="X24" s="9" t="s">
        <v>797</v>
      </c>
      <c r="Y24" s="9">
        <v>31</v>
      </c>
      <c r="Z24" s="10" t="s">
        <v>762</v>
      </c>
      <c r="AB24">
        <v>19</v>
      </c>
      <c r="AC24">
        <v>19</v>
      </c>
      <c r="AD24" t="s">
        <v>1204</v>
      </c>
      <c r="AE24" t="s">
        <v>1205</v>
      </c>
      <c r="AF24" t="s">
        <v>1090</v>
      </c>
    </row>
    <row r="25" spans="1:32" x14ac:dyDescent="0.35">
      <c r="A25">
        <v>37</v>
      </c>
      <c r="B25" s="2" t="s">
        <v>350</v>
      </c>
      <c r="C25">
        <v>23</v>
      </c>
      <c r="D25" t="s">
        <v>226</v>
      </c>
      <c r="H25" s="7"/>
      <c r="I25" s="13">
        <v>45</v>
      </c>
      <c r="J25" s="14" t="s">
        <v>350</v>
      </c>
      <c r="K25">
        <v>23</v>
      </c>
      <c r="L25" t="s">
        <v>428</v>
      </c>
      <c r="M25">
        <v>23</v>
      </c>
      <c r="W25" s="9">
        <v>1511</v>
      </c>
      <c r="X25" s="9" t="s">
        <v>798</v>
      </c>
      <c r="Y25" s="9">
        <v>32</v>
      </c>
      <c r="Z25" s="10" t="s">
        <v>341</v>
      </c>
      <c r="AC25">
        <v>20.100000000000001</v>
      </c>
      <c r="AD25" s="18" t="s">
        <v>1206</v>
      </c>
      <c r="AE25" s="19" t="s">
        <v>1207</v>
      </c>
      <c r="AF25" s="20" t="s">
        <v>1208</v>
      </c>
    </row>
    <row r="26" spans="1:32" x14ac:dyDescent="0.35">
      <c r="A26">
        <v>35</v>
      </c>
      <c r="B26" s="2" t="s">
        <v>349</v>
      </c>
      <c r="C26">
        <v>24</v>
      </c>
      <c r="D26" t="s">
        <v>227</v>
      </c>
      <c r="H26" s="7"/>
      <c r="I26" s="13">
        <v>45</v>
      </c>
      <c r="J26" s="14" t="s">
        <v>350</v>
      </c>
      <c r="K26">
        <v>24</v>
      </c>
      <c r="L26" t="s">
        <v>429</v>
      </c>
      <c r="M26">
        <v>24</v>
      </c>
      <c r="W26" s="9">
        <v>1512</v>
      </c>
      <c r="X26" s="9" t="s">
        <v>799</v>
      </c>
      <c r="Y26" s="9">
        <v>33</v>
      </c>
      <c r="Z26" s="10" t="s">
        <v>763</v>
      </c>
      <c r="AB26">
        <v>20</v>
      </c>
      <c r="AC26">
        <v>20.2</v>
      </c>
      <c r="AD26" s="24" t="s">
        <v>1209</v>
      </c>
      <c r="AE26" s="25" t="s">
        <v>1210</v>
      </c>
      <c r="AF26" s="26" t="s">
        <v>1091</v>
      </c>
    </row>
    <row r="27" spans="1:32" x14ac:dyDescent="0.35">
      <c r="A27">
        <v>35</v>
      </c>
      <c r="B27" s="2" t="s">
        <v>349</v>
      </c>
      <c r="C27">
        <v>25</v>
      </c>
      <c r="D27" t="s">
        <v>228</v>
      </c>
      <c r="H27" s="7"/>
      <c r="I27" s="13">
        <v>45</v>
      </c>
      <c r="J27" s="14" t="s">
        <v>350</v>
      </c>
      <c r="K27">
        <v>25</v>
      </c>
      <c r="L27" t="s">
        <v>430</v>
      </c>
      <c r="M27">
        <v>25</v>
      </c>
      <c r="W27" s="9">
        <v>1513</v>
      </c>
      <c r="X27" s="9" t="s">
        <v>800</v>
      </c>
      <c r="Y27" s="9">
        <v>34</v>
      </c>
      <c r="Z27" s="10" t="s">
        <v>764</v>
      </c>
      <c r="AB27">
        <v>21</v>
      </c>
      <c r="AC27">
        <v>21</v>
      </c>
      <c r="AD27" t="s">
        <v>1211</v>
      </c>
      <c r="AE27" t="s">
        <v>1212</v>
      </c>
      <c r="AF27" t="s">
        <v>1092</v>
      </c>
    </row>
    <row r="28" spans="1:32" x14ac:dyDescent="0.35">
      <c r="A28">
        <v>44</v>
      </c>
      <c r="B28" s="2" t="s">
        <v>351</v>
      </c>
      <c r="C28">
        <v>26</v>
      </c>
      <c r="D28" t="s">
        <v>229</v>
      </c>
      <c r="H28" s="7"/>
      <c r="I28" s="13">
        <v>56</v>
      </c>
      <c r="J28" s="14" t="s">
        <v>351</v>
      </c>
      <c r="K28">
        <v>26</v>
      </c>
      <c r="L28" t="s">
        <v>431</v>
      </c>
      <c r="M28">
        <v>26</v>
      </c>
      <c r="W28" s="9">
        <v>1514</v>
      </c>
      <c r="X28" s="9" t="s">
        <v>801</v>
      </c>
      <c r="Y28" s="9">
        <v>35</v>
      </c>
      <c r="Z28" s="10" t="s">
        <v>342</v>
      </c>
      <c r="AB28">
        <v>22</v>
      </c>
      <c r="AC28">
        <v>22</v>
      </c>
      <c r="AD28" t="s">
        <v>1213</v>
      </c>
      <c r="AE28" t="s">
        <v>1214</v>
      </c>
      <c r="AF28" t="s">
        <v>1093</v>
      </c>
    </row>
    <row r="29" spans="1:32" x14ac:dyDescent="0.35">
      <c r="A29">
        <v>44</v>
      </c>
      <c r="B29" s="2" t="s">
        <v>351</v>
      </c>
      <c r="C29">
        <v>27</v>
      </c>
      <c r="D29" t="s">
        <v>230</v>
      </c>
      <c r="H29" s="7"/>
      <c r="I29" s="13">
        <v>56</v>
      </c>
      <c r="J29" s="14" t="s">
        <v>351</v>
      </c>
      <c r="K29">
        <v>27</v>
      </c>
      <c r="L29" t="s">
        <v>432</v>
      </c>
      <c r="M29">
        <v>27</v>
      </c>
      <c r="W29" s="9">
        <v>1520</v>
      </c>
      <c r="X29" s="9" t="s">
        <v>802</v>
      </c>
      <c r="Y29" s="9">
        <v>36</v>
      </c>
      <c r="Z29" s="10" t="s">
        <v>765</v>
      </c>
      <c r="AB29">
        <v>23</v>
      </c>
      <c r="AC29">
        <v>23</v>
      </c>
      <c r="AD29" t="s">
        <v>1215</v>
      </c>
      <c r="AE29" t="s">
        <v>1216</v>
      </c>
      <c r="AF29" t="s">
        <v>1094</v>
      </c>
    </row>
    <row r="30" spans="1:32" x14ac:dyDescent="0.35">
      <c r="A30">
        <v>48</v>
      </c>
      <c r="B30" s="2" t="s">
        <v>352</v>
      </c>
      <c r="C30">
        <v>28</v>
      </c>
      <c r="D30" t="s">
        <v>231</v>
      </c>
      <c r="H30" s="7"/>
      <c r="I30" s="13">
        <v>56</v>
      </c>
      <c r="J30" s="14" t="s">
        <v>351</v>
      </c>
      <c r="K30">
        <v>28</v>
      </c>
      <c r="L30" t="s">
        <v>433</v>
      </c>
      <c r="M30">
        <v>28</v>
      </c>
      <c r="W30" s="9">
        <v>1531</v>
      </c>
      <c r="X30" s="9" t="s">
        <v>803</v>
      </c>
      <c r="Y30" s="9">
        <v>37</v>
      </c>
      <c r="Z30" s="10" t="s">
        <v>386</v>
      </c>
      <c r="AB30">
        <v>24</v>
      </c>
      <c r="AC30">
        <v>24.1</v>
      </c>
      <c r="AD30" s="27" t="s">
        <v>1217</v>
      </c>
      <c r="AE30" s="28" t="s">
        <v>1218</v>
      </c>
      <c r="AF30" s="29" t="s">
        <v>1095</v>
      </c>
    </row>
    <row r="31" spans="1:32" x14ac:dyDescent="0.35">
      <c r="A31">
        <v>48</v>
      </c>
      <c r="B31" s="3" t="s">
        <v>352</v>
      </c>
      <c r="C31">
        <v>29</v>
      </c>
      <c r="D31" t="s">
        <v>232</v>
      </c>
      <c r="H31" s="7"/>
      <c r="I31" s="13">
        <v>60</v>
      </c>
      <c r="J31" s="14" t="s">
        <v>352</v>
      </c>
      <c r="K31">
        <v>29</v>
      </c>
      <c r="L31" s="7" t="s">
        <v>434</v>
      </c>
      <c r="M31" s="7">
        <v>29</v>
      </c>
      <c r="N31" t="s">
        <v>753</v>
      </c>
      <c r="W31" s="9">
        <v>1532</v>
      </c>
      <c r="X31" s="9" t="s">
        <v>804</v>
      </c>
      <c r="Y31" s="9">
        <v>37</v>
      </c>
      <c r="Z31" s="10" t="s">
        <v>386</v>
      </c>
      <c r="AC31">
        <v>24.2</v>
      </c>
      <c r="AD31" s="30" t="s">
        <v>1219</v>
      </c>
      <c r="AE31" s="31" t="s">
        <v>1220</v>
      </c>
      <c r="AF31" s="32" t="s">
        <v>596</v>
      </c>
    </row>
    <row r="32" spans="1:32" x14ac:dyDescent="0.35">
      <c r="A32">
        <v>44</v>
      </c>
      <c r="B32" s="3" t="s">
        <v>351</v>
      </c>
      <c r="C32">
        <v>30</v>
      </c>
      <c r="D32" t="s">
        <v>233</v>
      </c>
      <c r="H32" s="7"/>
      <c r="I32" s="13">
        <v>60</v>
      </c>
      <c r="J32" s="14" t="s">
        <v>352</v>
      </c>
      <c r="K32">
        <v>30</v>
      </c>
      <c r="L32" s="7" t="s">
        <v>435</v>
      </c>
      <c r="M32" s="7">
        <v>30</v>
      </c>
      <c r="W32" s="9">
        <v>1533</v>
      </c>
      <c r="X32" s="9" t="s">
        <v>805</v>
      </c>
      <c r="Y32" s="9">
        <v>40</v>
      </c>
      <c r="Z32" s="10" t="s">
        <v>766</v>
      </c>
      <c r="AB32">
        <v>25</v>
      </c>
      <c r="AC32">
        <v>25</v>
      </c>
      <c r="AD32" t="s">
        <v>1221</v>
      </c>
      <c r="AE32" t="s">
        <v>1222</v>
      </c>
      <c r="AF32" t="s">
        <v>1096</v>
      </c>
    </row>
    <row r="33" spans="1:32" x14ac:dyDescent="0.35">
      <c r="A33">
        <v>35</v>
      </c>
      <c r="B33" s="2" t="s">
        <v>349</v>
      </c>
      <c r="C33">
        <v>31</v>
      </c>
      <c r="D33" t="s">
        <v>234</v>
      </c>
      <c r="H33" s="7"/>
      <c r="I33" s="13">
        <v>43</v>
      </c>
      <c r="J33" s="14" t="s">
        <v>349</v>
      </c>
      <c r="K33">
        <v>31</v>
      </c>
      <c r="L33" t="s">
        <v>436</v>
      </c>
      <c r="M33">
        <v>31</v>
      </c>
      <c r="W33" s="9">
        <v>1541</v>
      </c>
      <c r="X33" s="9" t="s">
        <v>806</v>
      </c>
      <c r="Y33" s="9">
        <v>39</v>
      </c>
      <c r="Z33" s="10" t="s">
        <v>336</v>
      </c>
      <c r="AB33">
        <v>26</v>
      </c>
      <c r="AC33">
        <v>26</v>
      </c>
      <c r="AD33" t="s">
        <v>1223</v>
      </c>
      <c r="AE33" t="s">
        <v>1224</v>
      </c>
      <c r="AF33" t="s">
        <v>1097</v>
      </c>
    </row>
    <row r="34" spans="1:32" x14ac:dyDescent="0.35">
      <c r="A34">
        <v>35</v>
      </c>
      <c r="B34" s="2" t="s">
        <v>349</v>
      </c>
      <c r="C34">
        <v>32</v>
      </c>
      <c r="D34" t="s">
        <v>235</v>
      </c>
      <c r="H34" s="7"/>
      <c r="I34" s="13">
        <v>43</v>
      </c>
      <c r="J34" s="14" t="s">
        <v>349</v>
      </c>
      <c r="K34">
        <v>32</v>
      </c>
      <c r="L34" t="s">
        <v>437</v>
      </c>
      <c r="M34">
        <v>32</v>
      </c>
      <c r="W34" s="9">
        <v>1542</v>
      </c>
      <c r="X34" s="9" t="s">
        <v>807</v>
      </c>
      <c r="Y34" s="9">
        <v>38</v>
      </c>
      <c r="Z34" s="10" t="s">
        <v>346</v>
      </c>
      <c r="AB34">
        <v>27</v>
      </c>
      <c r="AC34">
        <v>27</v>
      </c>
      <c r="AD34" t="s">
        <v>1225</v>
      </c>
      <c r="AE34" t="s">
        <v>1226</v>
      </c>
      <c r="AF34" t="s">
        <v>784</v>
      </c>
    </row>
    <row r="35" spans="1:32" x14ac:dyDescent="0.35">
      <c r="A35">
        <v>35</v>
      </c>
      <c r="B35" s="2" t="s">
        <v>349</v>
      </c>
      <c r="C35">
        <v>33</v>
      </c>
      <c r="D35" t="s">
        <v>236</v>
      </c>
      <c r="H35" s="7"/>
      <c r="I35" s="13">
        <v>43</v>
      </c>
      <c r="J35" s="14" t="s">
        <v>349</v>
      </c>
      <c r="K35">
        <v>33</v>
      </c>
      <c r="L35" t="s">
        <v>438</v>
      </c>
      <c r="M35">
        <v>33</v>
      </c>
      <c r="W35" s="9">
        <v>1543</v>
      </c>
      <c r="X35" s="9" t="s">
        <v>808</v>
      </c>
      <c r="Y35" s="9">
        <v>39</v>
      </c>
      <c r="Z35" s="10" t="s">
        <v>336</v>
      </c>
      <c r="AB35">
        <v>28</v>
      </c>
      <c r="AC35">
        <v>28</v>
      </c>
      <c r="AD35" t="s">
        <v>1227</v>
      </c>
      <c r="AE35" t="s">
        <v>1228</v>
      </c>
      <c r="AF35" t="s">
        <v>1098</v>
      </c>
    </row>
    <row r="36" spans="1:32" x14ac:dyDescent="0.35">
      <c r="A36">
        <v>35</v>
      </c>
      <c r="B36" s="2" t="s">
        <v>349</v>
      </c>
      <c r="C36">
        <v>34</v>
      </c>
      <c r="D36" t="s">
        <v>237</v>
      </c>
      <c r="H36" s="7"/>
      <c r="I36" s="13">
        <v>60</v>
      </c>
      <c r="J36" s="14" t="s">
        <v>352</v>
      </c>
      <c r="K36">
        <v>34</v>
      </c>
      <c r="L36" t="s">
        <v>439</v>
      </c>
      <c r="M36">
        <v>34</v>
      </c>
      <c r="W36" s="9">
        <v>1544</v>
      </c>
      <c r="X36" s="9" t="s">
        <v>809</v>
      </c>
      <c r="Y36" s="9">
        <v>39</v>
      </c>
      <c r="Z36" s="10" t="s">
        <v>336</v>
      </c>
      <c r="AB36">
        <v>29</v>
      </c>
      <c r="AC36">
        <v>29</v>
      </c>
      <c r="AD36" t="s">
        <v>1229</v>
      </c>
      <c r="AE36" t="s">
        <v>1230</v>
      </c>
      <c r="AF36" t="s">
        <v>1099</v>
      </c>
    </row>
    <row r="37" spans="1:32" x14ac:dyDescent="0.35">
      <c r="A37">
        <v>35</v>
      </c>
      <c r="B37" s="2" t="s">
        <v>349</v>
      </c>
      <c r="C37">
        <v>35</v>
      </c>
      <c r="D37" t="s">
        <v>238</v>
      </c>
      <c r="H37" s="7"/>
      <c r="I37" s="13">
        <v>43</v>
      </c>
      <c r="J37" s="14" t="s">
        <v>349</v>
      </c>
      <c r="K37">
        <v>35</v>
      </c>
      <c r="L37" t="s">
        <v>440</v>
      </c>
      <c r="M37">
        <v>35</v>
      </c>
      <c r="W37" s="9">
        <v>1549</v>
      </c>
      <c r="X37" s="9" t="s">
        <v>810</v>
      </c>
      <c r="Y37" s="9">
        <v>39</v>
      </c>
      <c r="Z37" s="10" t="s">
        <v>336</v>
      </c>
      <c r="AB37">
        <v>30</v>
      </c>
      <c r="AC37">
        <v>30</v>
      </c>
      <c r="AD37" t="s">
        <v>1231</v>
      </c>
      <c r="AE37" t="s">
        <v>1232</v>
      </c>
      <c r="AF37" t="s">
        <v>1100</v>
      </c>
    </row>
    <row r="38" spans="1:32" x14ac:dyDescent="0.35">
      <c r="A38">
        <v>35</v>
      </c>
      <c r="B38" s="2" t="s">
        <v>349</v>
      </c>
      <c r="C38">
        <v>36</v>
      </c>
      <c r="D38" t="s">
        <v>239</v>
      </c>
      <c r="H38" s="7"/>
      <c r="I38" s="13">
        <v>43</v>
      </c>
      <c r="J38" s="14" t="s">
        <v>349</v>
      </c>
      <c r="K38">
        <v>36</v>
      </c>
      <c r="L38" t="s">
        <v>441</v>
      </c>
      <c r="M38">
        <v>36</v>
      </c>
      <c r="W38" s="9">
        <v>1551</v>
      </c>
      <c r="X38" s="9" t="s">
        <v>811</v>
      </c>
      <c r="Y38" s="9">
        <v>41</v>
      </c>
      <c r="Z38" s="10" t="s">
        <v>347</v>
      </c>
      <c r="AB38">
        <v>31</v>
      </c>
      <c r="AC38">
        <v>31</v>
      </c>
      <c r="AD38" t="s">
        <v>1233</v>
      </c>
      <c r="AE38" t="s">
        <v>1234</v>
      </c>
      <c r="AF38" t="s">
        <v>1101</v>
      </c>
    </row>
    <row r="39" spans="1:32" x14ac:dyDescent="0.35">
      <c r="A39">
        <v>35</v>
      </c>
      <c r="B39" s="2" t="s">
        <v>349</v>
      </c>
      <c r="C39">
        <v>37</v>
      </c>
      <c r="D39" t="s">
        <v>240</v>
      </c>
      <c r="H39" s="7"/>
      <c r="I39" s="13">
        <v>43</v>
      </c>
      <c r="J39" s="14" t="s">
        <v>349</v>
      </c>
      <c r="K39">
        <v>37</v>
      </c>
      <c r="L39" t="s">
        <v>442</v>
      </c>
      <c r="M39">
        <v>37</v>
      </c>
      <c r="W39" s="9">
        <v>1552</v>
      </c>
      <c r="X39" s="9" t="s">
        <v>812</v>
      </c>
      <c r="Y39" s="9">
        <v>41</v>
      </c>
      <c r="Z39" s="10" t="s">
        <v>347</v>
      </c>
      <c r="AB39">
        <v>32</v>
      </c>
      <c r="AC39">
        <v>32</v>
      </c>
      <c r="AD39" t="s">
        <v>1235</v>
      </c>
      <c r="AE39" t="s">
        <v>1236</v>
      </c>
      <c r="AF39" t="s">
        <v>1102</v>
      </c>
    </row>
    <row r="40" spans="1:32" x14ac:dyDescent="0.35">
      <c r="A40">
        <v>35</v>
      </c>
      <c r="B40" s="2" t="s">
        <v>349</v>
      </c>
      <c r="C40">
        <v>38</v>
      </c>
      <c r="D40" t="s">
        <v>241</v>
      </c>
      <c r="F40">
        <f>365/28</f>
        <v>13.035714285714286</v>
      </c>
      <c r="H40" s="7"/>
      <c r="I40" s="13">
        <v>43</v>
      </c>
      <c r="J40" s="14" t="s">
        <v>349</v>
      </c>
      <c r="K40">
        <v>38</v>
      </c>
      <c r="L40" t="s">
        <v>443</v>
      </c>
      <c r="M40">
        <v>38</v>
      </c>
      <c r="W40" s="9">
        <v>1553</v>
      </c>
      <c r="X40" s="9" t="s">
        <v>813</v>
      </c>
      <c r="Y40" s="9">
        <v>41</v>
      </c>
      <c r="Z40" s="10" t="s">
        <v>347</v>
      </c>
      <c r="AB40">
        <v>33</v>
      </c>
      <c r="AC40">
        <v>33</v>
      </c>
      <c r="AD40" t="s">
        <v>1237</v>
      </c>
      <c r="AE40" t="s">
        <v>1238</v>
      </c>
      <c r="AF40" t="s">
        <v>1103</v>
      </c>
    </row>
    <row r="41" spans="1:32" x14ac:dyDescent="0.35">
      <c r="A41">
        <v>35</v>
      </c>
      <c r="B41" s="2" t="s">
        <v>349</v>
      </c>
      <c r="C41">
        <v>39</v>
      </c>
      <c r="D41" t="s">
        <v>242</v>
      </c>
      <c r="H41" s="7"/>
      <c r="I41" s="13">
        <v>43</v>
      </c>
      <c r="J41" s="14" t="s">
        <v>349</v>
      </c>
      <c r="K41">
        <v>39</v>
      </c>
      <c r="L41" t="s">
        <v>444</v>
      </c>
      <c r="M41">
        <v>39</v>
      </c>
      <c r="W41" s="9">
        <v>1554</v>
      </c>
      <c r="X41" s="9" t="s">
        <v>814</v>
      </c>
      <c r="Y41" s="9">
        <v>41</v>
      </c>
      <c r="Z41" s="10" t="s">
        <v>347</v>
      </c>
      <c r="AB41">
        <v>34</v>
      </c>
      <c r="AC41">
        <v>34</v>
      </c>
      <c r="AD41" t="s">
        <v>1239</v>
      </c>
      <c r="AE41" t="s">
        <v>1240</v>
      </c>
      <c r="AF41" t="s">
        <v>1104</v>
      </c>
    </row>
    <row r="42" spans="1:32" x14ac:dyDescent="0.35">
      <c r="A42">
        <v>35</v>
      </c>
      <c r="B42" s="2" t="s">
        <v>349</v>
      </c>
      <c r="C42">
        <v>40</v>
      </c>
      <c r="D42" t="s">
        <v>243</v>
      </c>
      <c r="H42" s="7"/>
      <c r="I42" s="13">
        <v>43</v>
      </c>
      <c r="J42" s="14" t="s">
        <v>349</v>
      </c>
      <c r="K42">
        <v>40</v>
      </c>
      <c r="L42" t="s">
        <v>445</v>
      </c>
      <c r="M42">
        <v>40</v>
      </c>
      <c r="W42" s="9">
        <v>1600</v>
      </c>
      <c r="X42" s="9" t="s">
        <v>815</v>
      </c>
      <c r="Y42" s="9">
        <v>42</v>
      </c>
      <c r="Z42" s="10" t="s">
        <v>387</v>
      </c>
      <c r="AB42">
        <v>35</v>
      </c>
      <c r="AC42">
        <v>35</v>
      </c>
      <c r="AD42" t="s">
        <v>1241</v>
      </c>
      <c r="AE42" t="s">
        <v>1242</v>
      </c>
      <c r="AF42" t="s">
        <v>1105</v>
      </c>
    </row>
    <row r="43" spans="1:32" x14ac:dyDescent="0.35">
      <c r="A43">
        <v>35</v>
      </c>
      <c r="B43" s="2" t="s">
        <v>349</v>
      </c>
      <c r="C43">
        <v>41</v>
      </c>
      <c r="D43" t="s">
        <v>244</v>
      </c>
      <c r="H43" s="7"/>
      <c r="I43" s="13">
        <v>43</v>
      </c>
      <c r="J43" s="14" t="s">
        <v>349</v>
      </c>
      <c r="K43">
        <v>41</v>
      </c>
      <c r="L43" t="s">
        <v>446</v>
      </c>
      <c r="M43">
        <v>41</v>
      </c>
      <c r="W43" s="9">
        <v>1711</v>
      </c>
      <c r="X43" s="9" t="s">
        <v>816</v>
      </c>
      <c r="Y43" s="9">
        <v>43</v>
      </c>
      <c r="Z43" s="10" t="s">
        <v>349</v>
      </c>
      <c r="AB43">
        <v>36</v>
      </c>
      <c r="AC43">
        <v>36</v>
      </c>
      <c r="AD43" t="s">
        <v>1243</v>
      </c>
      <c r="AE43" t="s">
        <v>1244</v>
      </c>
      <c r="AF43" t="s">
        <v>1106</v>
      </c>
    </row>
    <row r="44" spans="1:32" x14ac:dyDescent="0.35">
      <c r="A44">
        <v>35</v>
      </c>
      <c r="B44" s="2" t="s">
        <v>349</v>
      </c>
      <c r="C44">
        <v>42</v>
      </c>
      <c r="D44" t="s">
        <v>245</v>
      </c>
      <c r="H44" s="7"/>
      <c r="I44" s="13">
        <v>43</v>
      </c>
      <c r="J44" s="14" t="s">
        <v>349</v>
      </c>
      <c r="K44">
        <v>42</v>
      </c>
      <c r="L44" t="s">
        <v>447</v>
      </c>
      <c r="M44">
        <v>42</v>
      </c>
      <c r="W44" s="9">
        <v>1712</v>
      </c>
      <c r="X44" s="9" t="s">
        <v>817</v>
      </c>
      <c r="Y44" s="9">
        <v>43</v>
      </c>
      <c r="Z44" s="10" t="s">
        <v>349</v>
      </c>
      <c r="AB44">
        <v>37</v>
      </c>
      <c r="AC44">
        <v>37</v>
      </c>
      <c r="AD44" t="s">
        <v>1245</v>
      </c>
      <c r="AE44" t="s">
        <v>1246</v>
      </c>
      <c r="AF44" t="s">
        <v>1107</v>
      </c>
    </row>
    <row r="45" spans="1:32" x14ac:dyDescent="0.35">
      <c r="A45">
        <v>35</v>
      </c>
      <c r="B45" s="2" t="s">
        <v>349</v>
      </c>
      <c r="C45">
        <v>43</v>
      </c>
      <c r="D45" t="s">
        <v>246</v>
      </c>
      <c r="H45" s="7"/>
      <c r="I45" s="13">
        <v>43</v>
      </c>
      <c r="J45" s="14" t="s">
        <v>349</v>
      </c>
      <c r="K45">
        <v>43</v>
      </c>
      <c r="L45" t="s">
        <v>448</v>
      </c>
      <c r="M45">
        <v>43</v>
      </c>
      <c r="W45" s="9">
        <v>1721</v>
      </c>
      <c r="X45" s="9" t="s">
        <v>818</v>
      </c>
      <c r="Y45" s="9">
        <v>43</v>
      </c>
      <c r="Z45" s="10" t="s">
        <v>349</v>
      </c>
      <c r="AB45">
        <v>38</v>
      </c>
      <c r="AC45">
        <v>38</v>
      </c>
      <c r="AD45" t="s">
        <v>1247</v>
      </c>
      <c r="AE45" t="s">
        <v>1248</v>
      </c>
      <c r="AF45" t="s">
        <v>1108</v>
      </c>
    </row>
    <row r="46" spans="1:32" x14ac:dyDescent="0.35">
      <c r="A46">
        <v>35</v>
      </c>
      <c r="B46" s="2" t="s">
        <v>349</v>
      </c>
      <c r="C46">
        <v>44</v>
      </c>
      <c r="D46" t="s">
        <v>247</v>
      </c>
      <c r="H46" s="7"/>
      <c r="I46" s="13">
        <v>53</v>
      </c>
      <c r="J46" s="14" t="s">
        <v>770</v>
      </c>
      <c r="K46">
        <v>44</v>
      </c>
      <c r="L46" t="s">
        <v>449</v>
      </c>
      <c r="M46">
        <v>44</v>
      </c>
      <c r="W46" s="9">
        <v>1722</v>
      </c>
      <c r="X46" s="9" t="s">
        <v>819</v>
      </c>
      <c r="Y46" s="9">
        <v>43</v>
      </c>
      <c r="Z46" s="10" t="s">
        <v>349</v>
      </c>
      <c r="AC46">
        <v>39.1</v>
      </c>
      <c r="AD46" s="18" t="s">
        <v>1249</v>
      </c>
      <c r="AE46" s="19" t="str">
        <f>"c"&amp;MID(AD46,2,10)</f>
        <v>cpcof</v>
      </c>
      <c r="AF46" s="20" t="s">
        <v>1250</v>
      </c>
    </row>
    <row r="47" spans="1:32" x14ac:dyDescent="0.35">
      <c r="A47">
        <v>43</v>
      </c>
      <c r="B47" s="2" t="s">
        <v>353</v>
      </c>
      <c r="C47">
        <v>45</v>
      </c>
      <c r="D47" t="s">
        <v>248</v>
      </c>
      <c r="H47" s="7"/>
      <c r="I47" s="13">
        <v>53</v>
      </c>
      <c r="J47" s="14" t="s">
        <v>770</v>
      </c>
      <c r="K47">
        <v>45</v>
      </c>
      <c r="L47" t="s">
        <v>450</v>
      </c>
      <c r="M47">
        <v>45</v>
      </c>
      <c r="W47" s="9">
        <v>1723</v>
      </c>
      <c r="X47" s="9" t="s">
        <v>820</v>
      </c>
      <c r="Y47" s="9">
        <v>43</v>
      </c>
      <c r="Z47" s="10" t="s">
        <v>349</v>
      </c>
      <c r="AC47">
        <v>39.200000000000003</v>
      </c>
      <c r="AD47" s="21" t="s">
        <v>1251</v>
      </c>
      <c r="AE47" s="22" t="str">
        <f>"c"&amp;MID(AD47,2,10)</f>
        <v>cptea</v>
      </c>
      <c r="AF47" s="23" t="s">
        <v>1252</v>
      </c>
    </row>
    <row r="48" spans="1:32" x14ac:dyDescent="0.35">
      <c r="A48">
        <v>43</v>
      </c>
      <c r="B48" s="2" t="s">
        <v>353</v>
      </c>
      <c r="C48">
        <v>46</v>
      </c>
      <c r="D48" t="s">
        <v>249</v>
      </c>
      <c r="H48" s="7"/>
      <c r="I48" s="13">
        <v>53</v>
      </c>
      <c r="J48" s="14" t="s">
        <v>770</v>
      </c>
      <c r="K48">
        <v>46</v>
      </c>
      <c r="L48" t="s">
        <v>451</v>
      </c>
      <c r="M48">
        <v>46</v>
      </c>
      <c r="W48" s="9">
        <v>1729</v>
      </c>
      <c r="X48" s="9" t="s">
        <v>821</v>
      </c>
      <c r="Y48" s="9">
        <v>43</v>
      </c>
      <c r="Z48" s="10" t="s">
        <v>349</v>
      </c>
      <c r="AB48">
        <v>39</v>
      </c>
      <c r="AC48">
        <v>39.299999999999997</v>
      </c>
      <c r="AD48" s="24" t="s">
        <v>1253</v>
      </c>
      <c r="AE48" s="25" t="s">
        <v>1254</v>
      </c>
      <c r="AF48" s="26" t="s">
        <v>1109</v>
      </c>
    </row>
    <row r="49" spans="1:32" x14ac:dyDescent="0.35">
      <c r="A49">
        <v>43</v>
      </c>
      <c r="B49" s="2" t="s">
        <v>353</v>
      </c>
      <c r="C49">
        <v>47</v>
      </c>
      <c r="D49" t="s">
        <v>250</v>
      </c>
      <c r="H49" s="7"/>
      <c r="I49" s="13">
        <v>53</v>
      </c>
      <c r="J49" s="14" t="s">
        <v>770</v>
      </c>
      <c r="K49">
        <v>47</v>
      </c>
      <c r="L49" t="s">
        <v>452</v>
      </c>
      <c r="M49">
        <v>47</v>
      </c>
      <c r="W49" s="9">
        <v>1730</v>
      </c>
      <c r="X49" s="9" t="s">
        <v>822</v>
      </c>
      <c r="Y49" s="9">
        <v>43</v>
      </c>
      <c r="Z49" s="10" t="s">
        <v>349</v>
      </c>
      <c r="AB49">
        <v>40</v>
      </c>
      <c r="AC49">
        <v>40</v>
      </c>
      <c r="AD49" t="s">
        <v>1255</v>
      </c>
      <c r="AE49" t="s">
        <v>1256</v>
      </c>
      <c r="AF49" t="s">
        <v>1110</v>
      </c>
    </row>
    <row r="50" spans="1:32" x14ac:dyDescent="0.35">
      <c r="A50">
        <v>43</v>
      </c>
      <c r="B50" s="2" t="s">
        <v>353</v>
      </c>
      <c r="C50">
        <v>48</v>
      </c>
      <c r="D50" t="s">
        <v>251</v>
      </c>
      <c r="H50" s="7"/>
      <c r="I50" s="13">
        <v>53</v>
      </c>
      <c r="J50" s="14" t="s">
        <v>770</v>
      </c>
      <c r="K50">
        <v>48</v>
      </c>
      <c r="L50" t="s">
        <v>453</v>
      </c>
      <c r="M50">
        <v>48</v>
      </c>
      <c r="W50" s="9">
        <v>1810</v>
      </c>
      <c r="X50" s="9" t="s">
        <v>823</v>
      </c>
      <c r="Y50" s="9">
        <v>44</v>
      </c>
      <c r="Z50" s="10" t="s">
        <v>348</v>
      </c>
      <c r="AB50">
        <v>41</v>
      </c>
      <c r="AC50">
        <v>41</v>
      </c>
      <c r="AD50" t="s">
        <v>1257</v>
      </c>
      <c r="AE50" t="s">
        <v>1258</v>
      </c>
      <c r="AF50" t="s">
        <v>1111</v>
      </c>
    </row>
    <row r="51" spans="1:32" x14ac:dyDescent="0.35">
      <c r="A51">
        <v>43</v>
      </c>
      <c r="B51" s="2" t="s">
        <v>353</v>
      </c>
      <c r="C51">
        <v>49</v>
      </c>
      <c r="D51" t="s">
        <v>252</v>
      </c>
      <c r="H51" s="7"/>
      <c r="I51" s="13">
        <v>60</v>
      </c>
      <c r="J51" s="14" t="s">
        <v>352</v>
      </c>
      <c r="K51">
        <v>49</v>
      </c>
      <c r="L51" t="s">
        <v>454</v>
      </c>
      <c r="M51">
        <v>49</v>
      </c>
      <c r="W51" s="9">
        <v>1820</v>
      </c>
      <c r="X51" s="9" t="s">
        <v>824</v>
      </c>
      <c r="Y51" s="9">
        <v>45</v>
      </c>
      <c r="Z51" s="10" t="s">
        <v>350</v>
      </c>
      <c r="AB51">
        <v>42</v>
      </c>
      <c r="AC51">
        <v>42</v>
      </c>
      <c r="AD51" t="s">
        <v>1259</v>
      </c>
      <c r="AE51" t="s">
        <v>1260</v>
      </c>
      <c r="AF51" t="s">
        <v>1112</v>
      </c>
    </row>
    <row r="52" spans="1:32" x14ac:dyDescent="0.35">
      <c r="A52">
        <v>43</v>
      </c>
      <c r="B52" s="2" t="s">
        <v>353</v>
      </c>
      <c r="C52">
        <v>50</v>
      </c>
      <c r="D52" t="s">
        <v>253</v>
      </c>
      <c r="H52" s="7"/>
      <c r="I52" s="13">
        <v>56</v>
      </c>
      <c r="J52" s="14" t="s">
        <v>351</v>
      </c>
      <c r="K52">
        <v>50</v>
      </c>
      <c r="L52" t="s">
        <v>455</v>
      </c>
      <c r="M52">
        <v>50</v>
      </c>
      <c r="W52" s="9">
        <v>1911</v>
      </c>
      <c r="X52" s="9" t="s">
        <v>825</v>
      </c>
      <c r="Y52" s="9">
        <v>45</v>
      </c>
      <c r="Z52" s="10" t="s">
        <v>350</v>
      </c>
      <c r="AB52">
        <v>43</v>
      </c>
      <c r="AC52">
        <v>43</v>
      </c>
      <c r="AD52" t="s">
        <v>1261</v>
      </c>
      <c r="AE52" t="s">
        <v>1262</v>
      </c>
      <c r="AF52" t="s">
        <v>1113</v>
      </c>
    </row>
    <row r="53" spans="1:32" x14ac:dyDescent="0.35">
      <c r="A53">
        <v>43</v>
      </c>
      <c r="B53" s="2" t="s">
        <v>353</v>
      </c>
      <c r="C53">
        <v>51</v>
      </c>
      <c r="D53" t="s">
        <v>254</v>
      </c>
      <c r="H53" s="7"/>
      <c r="I53" s="13">
        <v>56</v>
      </c>
      <c r="J53" s="14" t="s">
        <v>351</v>
      </c>
      <c r="K53">
        <v>51</v>
      </c>
      <c r="L53" t="s">
        <v>456</v>
      </c>
      <c r="M53">
        <v>51</v>
      </c>
      <c r="W53" s="9">
        <v>1912</v>
      </c>
      <c r="X53" s="9" t="s">
        <v>826</v>
      </c>
      <c r="Y53" s="9">
        <v>45</v>
      </c>
      <c r="Z53" s="10" t="s">
        <v>350</v>
      </c>
      <c r="AB53">
        <v>44</v>
      </c>
      <c r="AC53">
        <v>44</v>
      </c>
      <c r="AD53" t="s">
        <v>1263</v>
      </c>
      <c r="AE53" t="s">
        <v>1264</v>
      </c>
      <c r="AF53" t="s">
        <v>1114</v>
      </c>
    </row>
    <row r="54" spans="1:32" x14ac:dyDescent="0.35">
      <c r="A54">
        <v>43</v>
      </c>
      <c r="B54" s="2" t="s">
        <v>353</v>
      </c>
      <c r="C54">
        <v>52</v>
      </c>
      <c r="D54" t="s">
        <v>255</v>
      </c>
      <c r="H54" s="7"/>
      <c r="I54" s="13">
        <v>52</v>
      </c>
      <c r="J54" s="14" t="s">
        <v>370</v>
      </c>
      <c r="K54">
        <v>52</v>
      </c>
      <c r="L54" t="s">
        <v>457</v>
      </c>
      <c r="M54">
        <v>52</v>
      </c>
      <c r="W54" s="9">
        <v>1920</v>
      </c>
      <c r="X54" s="9" t="s">
        <v>827</v>
      </c>
      <c r="Y54" s="9">
        <v>45</v>
      </c>
      <c r="Z54" s="10" t="s">
        <v>350</v>
      </c>
      <c r="AB54">
        <v>45</v>
      </c>
      <c r="AC54">
        <v>45</v>
      </c>
      <c r="AD54" t="s">
        <v>1265</v>
      </c>
      <c r="AE54" t="s">
        <v>1266</v>
      </c>
      <c r="AF54" t="s">
        <v>1115</v>
      </c>
    </row>
    <row r="55" spans="1:32" x14ac:dyDescent="0.35">
      <c r="A55">
        <v>43</v>
      </c>
      <c r="B55" s="2" t="s">
        <v>353</v>
      </c>
      <c r="C55">
        <v>53</v>
      </c>
      <c r="D55" t="s">
        <v>256</v>
      </c>
      <c r="H55" s="7"/>
      <c r="I55" s="13">
        <v>53</v>
      </c>
      <c r="J55" s="14" t="s">
        <v>770</v>
      </c>
      <c r="K55">
        <v>53</v>
      </c>
      <c r="L55" t="s">
        <v>458</v>
      </c>
      <c r="M55">
        <v>53</v>
      </c>
      <c r="W55" s="9">
        <v>2010</v>
      </c>
      <c r="X55" s="9" t="s">
        <v>828</v>
      </c>
      <c r="Y55" s="9">
        <v>46</v>
      </c>
      <c r="Z55" s="10" t="s">
        <v>369</v>
      </c>
      <c r="AB55">
        <v>46</v>
      </c>
      <c r="AC55">
        <v>46</v>
      </c>
      <c r="AD55" t="s">
        <v>1267</v>
      </c>
      <c r="AE55" t="s">
        <v>1268</v>
      </c>
      <c r="AF55" t="s">
        <v>1116</v>
      </c>
    </row>
    <row r="56" spans="1:32" x14ac:dyDescent="0.35">
      <c r="A56">
        <v>48</v>
      </c>
      <c r="B56" s="2" t="s">
        <v>352</v>
      </c>
      <c r="C56">
        <v>54</v>
      </c>
      <c r="D56" t="s">
        <v>257</v>
      </c>
      <c r="H56" s="7"/>
      <c r="I56" s="13">
        <v>61</v>
      </c>
      <c r="J56" s="14" t="s">
        <v>376</v>
      </c>
      <c r="K56">
        <v>54</v>
      </c>
      <c r="L56" t="s">
        <v>459</v>
      </c>
      <c r="M56">
        <v>54</v>
      </c>
      <c r="W56" s="9">
        <v>2021</v>
      </c>
      <c r="X56" s="9" t="s">
        <v>829</v>
      </c>
      <c r="Y56" s="9">
        <v>46</v>
      </c>
      <c r="Z56" s="10" t="s">
        <v>369</v>
      </c>
      <c r="AB56">
        <v>47</v>
      </c>
      <c r="AC56">
        <v>47</v>
      </c>
      <c r="AD56" t="s">
        <v>1269</v>
      </c>
      <c r="AE56" t="s">
        <v>1270</v>
      </c>
      <c r="AF56" t="s">
        <v>1117</v>
      </c>
    </row>
    <row r="57" spans="1:32" x14ac:dyDescent="0.35">
      <c r="A57">
        <v>42</v>
      </c>
      <c r="B57" s="2" t="s">
        <v>370</v>
      </c>
      <c r="C57">
        <v>55</v>
      </c>
      <c r="D57" t="s">
        <v>258</v>
      </c>
      <c r="H57" s="7"/>
      <c r="I57" s="13">
        <v>61</v>
      </c>
      <c r="J57" s="14" t="s">
        <v>376</v>
      </c>
      <c r="K57">
        <v>55</v>
      </c>
      <c r="L57" t="s">
        <v>460</v>
      </c>
      <c r="M57">
        <v>55</v>
      </c>
      <c r="W57" s="9">
        <v>2022</v>
      </c>
      <c r="X57" s="9" t="s">
        <v>830</v>
      </c>
      <c r="Y57" s="9">
        <v>46</v>
      </c>
      <c r="Z57" s="10" t="s">
        <v>369</v>
      </c>
      <c r="AB57">
        <v>48</v>
      </c>
      <c r="AC57">
        <v>48</v>
      </c>
      <c r="AD57" t="s">
        <v>1271</v>
      </c>
      <c r="AE57" t="s">
        <v>1272</v>
      </c>
      <c r="AF57" t="s">
        <v>1118</v>
      </c>
    </row>
    <row r="58" spans="1:32" x14ac:dyDescent="0.35">
      <c r="A58">
        <v>42</v>
      </c>
      <c r="B58" s="2" t="s">
        <v>370</v>
      </c>
      <c r="C58">
        <v>56</v>
      </c>
      <c r="D58" t="s">
        <v>259</v>
      </c>
      <c r="H58" s="7"/>
      <c r="I58" s="13">
        <v>61</v>
      </c>
      <c r="J58" s="14" t="s">
        <v>376</v>
      </c>
      <c r="K58">
        <v>56</v>
      </c>
      <c r="L58" t="s">
        <v>461</v>
      </c>
      <c r="M58">
        <v>56</v>
      </c>
      <c r="W58" s="9">
        <v>2023</v>
      </c>
      <c r="X58" s="9" t="s">
        <v>831</v>
      </c>
      <c r="Y58" s="9">
        <v>46</v>
      </c>
      <c r="Z58" s="10" t="s">
        <v>369</v>
      </c>
      <c r="AB58">
        <v>49</v>
      </c>
      <c r="AC58">
        <v>49</v>
      </c>
      <c r="AD58" t="s">
        <v>1273</v>
      </c>
      <c r="AE58" t="s">
        <v>1274</v>
      </c>
      <c r="AF58" t="s">
        <v>1119</v>
      </c>
    </row>
    <row r="59" spans="1:32" x14ac:dyDescent="0.35">
      <c r="A59">
        <v>42</v>
      </c>
      <c r="B59" s="2" t="s">
        <v>370</v>
      </c>
      <c r="C59">
        <v>57</v>
      </c>
      <c r="D59" t="s">
        <v>260</v>
      </c>
      <c r="H59" s="7"/>
      <c r="I59" s="13">
        <v>64</v>
      </c>
      <c r="J59" s="14" t="s">
        <v>378</v>
      </c>
      <c r="K59">
        <v>57</v>
      </c>
      <c r="L59" t="s">
        <v>462</v>
      </c>
      <c r="M59">
        <v>57</v>
      </c>
      <c r="W59" s="9">
        <v>2029</v>
      </c>
      <c r="X59" s="9" t="s">
        <v>832</v>
      </c>
      <c r="Y59" s="9">
        <v>46</v>
      </c>
      <c r="Z59" s="10" t="s">
        <v>369</v>
      </c>
      <c r="AB59">
        <v>50</v>
      </c>
      <c r="AC59">
        <v>50</v>
      </c>
      <c r="AD59" t="s">
        <v>1275</v>
      </c>
      <c r="AE59" t="s">
        <v>1276</v>
      </c>
      <c r="AF59" t="s">
        <v>1120</v>
      </c>
    </row>
    <row r="60" spans="1:32" x14ac:dyDescent="0.35">
      <c r="A60">
        <v>42</v>
      </c>
      <c r="B60" s="2" t="s">
        <v>370</v>
      </c>
      <c r="C60">
        <v>58</v>
      </c>
      <c r="D60" t="s">
        <v>261</v>
      </c>
      <c r="H60" s="7"/>
      <c r="I60" s="13">
        <v>56</v>
      </c>
      <c r="J60" s="14" t="s">
        <v>351</v>
      </c>
      <c r="K60">
        <v>58</v>
      </c>
      <c r="L60" t="s">
        <v>463</v>
      </c>
      <c r="M60">
        <v>58</v>
      </c>
      <c r="W60" s="9">
        <v>2101</v>
      </c>
      <c r="X60" s="9" t="s">
        <v>833</v>
      </c>
      <c r="Y60" s="9">
        <v>47</v>
      </c>
      <c r="Z60" s="10" t="s">
        <v>767</v>
      </c>
      <c r="AB60">
        <v>51</v>
      </c>
      <c r="AC60">
        <v>51</v>
      </c>
      <c r="AD60" t="s">
        <v>1277</v>
      </c>
      <c r="AE60" t="s">
        <v>1278</v>
      </c>
      <c r="AF60" t="s">
        <v>1121</v>
      </c>
    </row>
    <row r="61" spans="1:32" x14ac:dyDescent="0.35">
      <c r="A61">
        <v>42</v>
      </c>
      <c r="B61" s="2" t="s">
        <v>370</v>
      </c>
      <c r="C61">
        <v>59</v>
      </c>
      <c r="D61" t="s">
        <v>262</v>
      </c>
      <c r="H61" s="7"/>
      <c r="I61" s="13">
        <v>56</v>
      </c>
      <c r="J61" s="14" t="s">
        <v>351</v>
      </c>
      <c r="K61">
        <v>59</v>
      </c>
      <c r="L61" t="s">
        <v>464</v>
      </c>
      <c r="M61">
        <v>59</v>
      </c>
      <c r="W61" s="9">
        <v>2102</v>
      </c>
      <c r="X61" s="9" t="s">
        <v>834</v>
      </c>
      <c r="Y61" s="9">
        <v>47</v>
      </c>
      <c r="Z61" s="10" t="s">
        <v>767</v>
      </c>
      <c r="AB61">
        <v>52</v>
      </c>
      <c r="AC61">
        <v>52</v>
      </c>
      <c r="AD61" t="s">
        <v>1279</v>
      </c>
      <c r="AE61" t="s">
        <v>1280</v>
      </c>
      <c r="AF61" t="s">
        <v>1122</v>
      </c>
    </row>
    <row r="62" spans="1:32" x14ac:dyDescent="0.35">
      <c r="A62">
        <v>43</v>
      </c>
      <c r="B62" s="2" t="s">
        <v>353</v>
      </c>
      <c r="C62">
        <v>60</v>
      </c>
      <c r="D62" t="s">
        <v>263</v>
      </c>
      <c r="H62" s="7"/>
      <c r="I62" s="13">
        <v>66</v>
      </c>
      <c r="J62" s="14" t="s">
        <v>380</v>
      </c>
      <c r="K62">
        <v>60</v>
      </c>
      <c r="L62" t="s">
        <v>465</v>
      </c>
      <c r="M62">
        <v>60</v>
      </c>
      <c r="W62" s="9">
        <v>2109</v>
      </c>
      <c r="X62" s="9" t="s">
        <v>835</v>
      </c>
      <c r="Y62" s="9">
        <v>47</v>
      </c>
      <c r="Z62" s="10" t="s">
        <v>767</v>
      </c>
      <c r="AB62">
        <v>53</v>
      </c>
      <c r="AC62">
        <v>53</v>
      </c>
      <c r="AD62" t="s">
        <v>1281</v>
      </c>
      <c r="AE62" t="s">
        <v>1282</v>
      </c>
      <c r="AF62" t="s">
        <v>1123</v>
      </c>
    </row>
    <row r="63" spans="1:32" x14ac:dyDescent="0.35">
      <c r="A63">
        <v>43</v>
      </c>
      <c r="B63" s="2" t="s">
        <v>353</v>
      </c>
      <c r="C63">
        <v>61</v>
      </c>
      <c r="D63" t="s">
        <v>264</v>
      </c>
      <c r="H63" s="7"/>
      <c r="I63" s="13">
        <v>62</v>
      </c>
      <c r="J63" s="14" t="s">
        <v>377</v>
      </c>
      <c r="K63">
        <v>61</v>
      </c>
      <c r="L63" t="s">
        <v>466</v>
      </c>
      <c r="M63">
        <v>61</v>
      </c>
      <c r="W63" s="9">
        <v>2211</v>
      </c>
      <c r="X63" s="9" t="s">
        <v>836</v>
      </c>
      <c r="Y63" s="9">
        <v>47</v>
      </c>
      <c r="Z63" s="10" t="s">
        <v>767</v>
      </c>
      <c r="AB63">
        <v>54</v>
      </c>
      <c r="AC63">
        <v>54</v>
      </c>
      <c r="AD63" t="s">
        <v>1283</v>
      </c>
      <c r="AE63" t="s">
        <v>1284</v>
      </c>
      <c r="AF63" t="s">
        <v>1124</v>
      </c>
    </row>
    <row r="64" spans="1:32" x14ac:dyDescent="0.35">
      <c r="A64">
        <v>49</v>
      </c>
      <c r="B64" s="2" t="s">
        <v>376</v>
      </c>
      <c r="C64">
        <v>62</v>
      </c>
      <c r="D64" t="s">
        <v>265</v>
      </c>
      <c r="H64" s="7"/>
      <c r="I64" s="13">
        <v>69</v>
      </c>
      <c r="J64" s="14" t="s">
        <v>374</v>
      </c>
      <c r="K64">
        <v>62</v>
      </c>
      <c r="L64" t="s">
        <v>467</v>
      </c>
      <c r="M64">
        <v>62</v>
      </c>
      <c r="W64" s="9">
        <v>2212</v>
      </c>
      <c r="X64" s="9" t="s">
        <v>837</v>
      </c>
      <c r="Y64" s="9">
        <v>47</v>
      </c>
      <c r="Z64" s="10" t="s">
        <v>767</v>
      </c>
      <c r="AB64">
        <v>55</v>
      </c>
      <c r="AC64">
        <v>55</v>
      </c>
      <c r="AD64" t="s">
        <v>1285</v>
      </c>
      <c r="AE64" t="s">
        <v>1286</v>
      </c>
      <c r="AF64" t="s">
        <v>1125</v>
      </c>
    </row>
    <row r="65" spans="1:32" x14ac:dyDescent="0.35">
      <c r="A65">
        <v>49</v>
      </c>
      <c r="B65" s="2" t="s">
        <v>376</v>
      </c>
      <c r="C65">
        <v>63</v>
      </c>
      <c r="D65" t="s">
        <v>266</v>
      </c>
      <c r="H65" s="7"/>
      <c r="I65" s="13">
        <v>69</v>
      </c>
      <c r="J65" s="14" t="s">
        <v>374</v>
      </c>
      <c r="K65">
        <v>63</v>
      </c>
      <c r="L65" t="s">
        <v>468</v>
      </c>
      <c r="M65">
        <v>63</v>
      </c>
      <c r="W65" s="9">
        <v>2213</v>
      </c>
      <c r="X65" s="9" t="s">
        <v>838</v>
      </c>
      <c r="Y65" s="9">
        <v>47</v>
      </c>
      <c r="Z65" s="10" t="s">
        <v>767</v>
      </c>
      <c r="AB65">
        <v>56</v>
      </c>
      <c r="AC65">
        <v>56</v>
      </c>
      <c r="AD65" t="s">
        <v>1287</v>
      </c>
      <c r="AE65" t="s">
        <v>1288</v>
      </c>
      <c r="AF65" t="s">
        <v>1126</v>
      </c>
    </row>
    <row r="66" spans="1:32" x14ac:dyDescent="0.35">
      <c r="A66">
        <v>52</v>
      </c>
      <c r="B66" s="2" t="s">
        <v>378</v>
      </c>
      <c r="C66">
        <v>64</v>
      </c>
      <c r="D66" t="s">
        <v>267</v>
      </c>
      <c r="H66" s="7"/>
      <c r="I66" s="13">
        <v>69</v>
      </c>
      <c r="J66" s="14" t="s">
        <v>374</v>
      </c>
      <c r="K66">
        <v>64</v>
      </c>
      <c r="L66" t="s">
        <v>469</v>
      </c>
      <c r="M66">
        <v>64</v>
      </c>
      <c r="W66" s="9">
        <v>2219</v>
      </c>
      <c r="X66" s="9" t="s">
        <v>839</v>
      </c>
      <c r="Y66" s="9">
        <v>47</v>
      </c>
      <c r="Z66" s="10" t="s">
        <v>767</v>
      </c>
      <c r="AB66">
        <v>57</v>
      </c>
      <c r="AC66">
        <v>57</v>
      </c>
      <c r="AD66" t="s">
        <v>1289</v>
      </c>
      <c r="AE66" t="s">
        <v>1290</v>
      </c>
      <c r="AF66" t="s">
        <v>1127</v>
      </c>
    </row>
    <row r="67" spans="1:32" x14ac:dyDescent="0.35">
      <c r="A67">
        <v>44</v>
      </c>
      <c r="B67" s="2" t="s">
        <v>351</v>
      </c>
      <c r="C67">
        <v>65</v>
      </c>
      <c r="D67" t="s">
        <v>268</v>
      </c>
      <c r="H67" s="7"/>
      <c r="I67" s="13">
        <v>69</v>
      </c>
      <c r="J67" s="14" t="s">
        <v>374</v>
      </c>
      <c r="K67">
        <v>65</v>
      </c>
      <c r="L67" t="s">
        <v>470</v>
      </c>
      <c r="M67">
        <v>65</v>
      </c>
      <c r="W67" s="9">
        <v>2221</v>
      </c>
      <c r="X67" s="9" t="s">
        <v>840</v>
      </c>
      <c r="Y67" s="9">
        <v>47</v>
      </c>
      <c r="Z67" s="10" t="s">
        <v>767</v>
      </c>
      <c r="AB67">
        <v>58</v>
      </c>
      <c r="AC67">
        <v>58</v>
      </c>
      <c r="AD67" t="s">
        <v>1291</v>
      </c>
      <c r="AE67" t="s">
        <v>1292</v>
      </c>
      <c r="AF67" t="s">
        <v>1128</v>
      </c>
    </row>
    <row r="68" spans="1:32" x14ac:dyDescent="0.35">
      <c r="A68">
        <v>44</v>
      </c>
      <c r="B68" s="2" t="s">
        <v>351</v>
      </c>
      <c r="C68">
        <v>66</v>
      </c>
      <c r="D68" t="s">
        <v>269</v>
      </c>
      <c r="H68" s="7"/>
      <c r="I68" s="13">
        <v>69</v>
      </c>
      <c r="J68" s="14" t="s">
        <v>374</v>
      </c>
      <c r="K68">
        <v>66</v>
      </c>
      <c r="L68" t="s">
        <v>471</v>
      </c>
      <c r="M68">
        <v>66</v>
      </c>
      <c r="W68" s="9">
        <v>2222</v>
      </c>
      <c r="X68" s="9" t="s">
        <v>841</v>
      </c>
      <c r="Y68" s="9">
        <v>47</v>
      </c>
      <c r="Z68" s="10" t="s">
        <v>767</v>
      </c>
      <c r="AB68">
        <v>59</v>
      </c>
      <c r="AC68">
        <v>59</v>
      </c>
      <c r="AD68" t="s">
        <v>1293</v>
      </c>
      <c r="AE68" t="s">
        <v>1294</v>
      </c>
      <c r="AF68" t="s">
        <v>1129</v>
      </c>
    </row>
    <row r="69" spans="1:32" x14ac:dyDescent="0.35">
      <c r="A69">
        <v>44</v>
      </c>
      <c r="B69" s="2" t="s">
        <v>351</v>
      </c>
      <c r="C69">
        <v>67</v>
      </c>
      <c r="D69" t="s">
        <v>270</v>
      </c>
      <c r="H69" s="7"/>
      <c r="I69" s="13">
        <v>64</v>
      </c>
      <c r="J69" s="14" t="s">
        <v>378</v>
      </c>
      <c r="K69">
        <v>67</v>
      </c>
      <c r="L69" t="s">
        <v>472</v>
      </c>
      <c r="M69">
        <v>67</v>
      </c>
      <c r="W69" s="9">
        <v>2230</v>
      </c>
      <c r="X69" s="9" t="s">
        <v>842</v>
      </c>
      <c r="Y69" s="9">
        <v>47</v>
      </c>
      <c r="Z69" s="10" t="s">
        <v>767</v>
      </c>
      <c r="AB69">
        <v>60</v>
      </c>
      <c r="AC69">
        <v>60</v>
      </c>
      <c r="AD69" t="s">
        <v>1295</v>
      </c>
      <c r="AE69" t="s">
        <v>1296</v>
      </c>
      <c r="AF69" t="s">
        <v>1130</v>
      </c>
    </row>
    <row r="70" spans="1:32" x14ac:dyDescent="0.35">
      <c r="A70">
        <v>44</v>
      </c>
      <c r="B70" s="2" t="s">
        <v>351</v>
      </c>
      <c r="C70">
        <v>68</v>
      </c>
      <c r="D70" t="s">
        <v>271</v>
      </c>
      <c r="H70" s="7"/>
      <c r="I70" s="13">
        <v>70</v>
      </c>
      <c r="J70" s="14" t="s">
        <v>382</v>
      </c>
      <c r="K70">
        <v>68</v>
      </c>
      <c r="L70" t="s">
        <v>473</v>
      </c>
      <c r="M70">
        <v>68</v>
      </c>
      <c r="W70" s="9">
        <v>2310</v>
      </c>
      <c r="X70" s="9" t="s">
        <v>843</v>
      </c>
      <c r="Y70" s="9">
        <v>48</v>
      </c>
      <c r="Z70" s="10" t="s">
        <v>379</v>
      </c>
      <c r="AB70">
        <v>61</v>
      </c>
      <c r="AC70">
        <v>61</v>
      </c>
      <c r="AD70" t="s">
        <v>1297</v>
      </c>
      <c r="AE70" t="s">
        <v>1298</v>
      </c>
      <c r="AF70" t="s">
        <v>1131</v>
      </c>
    </row>
    <row r="71" spans="1:32" x14ac:dyDescent="0.35">
      <c r="A71">
        <v>58</v>
      </c>
      <c r="B71" s="2" t="s">
        <v>382</v>
      </c>
      <c r="C71">
        <v>69</v>
      </c>
      <c r="D71" t="s">
        <v>272</v>
      </c>
      <c r="H71" s="7"/>
      <c r="I71" s="13">
        <v>67</v>
      </c>
      <c r="J71" s="14" t="s">
        <v>381</v>
      </c>
      <c r="K71">
        <v>69</v>
      </c>
      <c r="L71" t="s">
        <v>474</v>
      </c>
      <c r="M71">
        <v>69</v>
      </c>
      <c r="W71" s="9">
        <v>2320</v>
      </c>
      <c r="X71" s="9" t="s">
        <v>844</v>
      </c>
      <c r="Y71" s="9">
        <v>48</v>
      </c>
      <c r="Z71" s="10" t="s">
        <v>379</v>
      </c>
      <c r="AB71">
        <v>62</v>
      </c>
      <c r="AC71">
        <v>62</v>
      </c>
      <c r="AD71" t="s">
        <v>1299</v>
      </c>
      <c r="AE71" t="s">
        <v>1300</v>
      </c>
      <c r="AF71" t="s">
        <v>1132</v>
      </c>
    </row>
    <row r="72" spans="1:32" x14ac:dyDescent="0.35">
      <c r="A72">
        <v>58</v>
      </c>
      <c r="B72" s="2" t="s">
        <v>382</v>
      </c>
      <c r="C72">
        <v>70</v>
      </c>
      <c r="D72" t="s">
        <v>273</v>
      </c>
      <c r="H72" s="7"/>
      <c r="I72" s="13">
        <v>70</v>
      </c>
      <c r="J72" s="14" t="s">
        <v>382</v>
      </c>
      <c r="K72" s="7">
        <v>70</v>
      </c>
      <c r="L72" s="7" t="s">
        <v>475</v>
      </c>
      <c r="M72" s="7">
        <v>1</v>
      </c>
      <c r="N72" s="7" t="s">
        <v>750</v>
      </c>
      <c r="W72" s="9">
        <v>2330</v>
      </c>
      <c r="X72" s="9" t="s">
        <v>845</v>
      </c>
      <c r="Y72" s="9">
        <v>48</v>
      </c>
      <c r="Z72" s="10" t="s">
        <v>379</v>
      </c>
      <c r="AB72">
        <v>63</v>
      </c>
      <c r="AC72">
        <v>63</v>
      </c>
      <c r="AD72" t="s">
        <v>1301</v>
      </c>
      <c r="AE72" t="s">
        <v>1302</v>
      </c>
      <c r="AF72" t="s">
        <v>1133</v>
      </c>
    </row>
    <row r="73" spans="1:32" x14ac:dyDescent="0.35">
      <c r="A73">
        <v>50</v>
      </c>
      <c r="B73" s="2" t="s">
        <v>377</v>
      </c>
      <c r="C73">
        <v>71</v>
      </c>
      <c r="D73" t="s">
        <v>274</v>
      </c>
      <c r="H73" s="7"/>
      <c r="I73" s="13">
        <v>70</v>
      </c>
      <c r="J73" s="14" t="s">
        <v>382</v>
      </c>
      <c r="K73">
        <v>71</v>
      </c>
      <c r="L73" t="s">
        <v>476</v>
      </c>
      <c r="M73">
        <v>2</v>
      </c>
      <c r="W73" s="9">
        <v>2411</v>
      </c>
      <c r="X73" s="9" t="s">
        <v>846</v>
      </c>
      <c r="Y73" s="9">
        <v>50</v>
      </c>
      <c r="Z73" s="10" t="s">
        <v>371</v>
      </c>
      <c r="AB73">
        <v>64</v>
      </c>
      <c r="AC73">
        <v>64</v>
      </c>
      <c r="AD73" t="s">
        <v>1303</v>
      </c>
      <c r="AE73" t="s">
        <v>1304</v>
      </c>
      <c r="AF73" t="s">
        <v>1134</v>
      </c>
    </row>
    <row r="74" spans="1:32" x14ac:dyDescent="0.35">
      <c r="A74">
        <v>57</v>
      </c>
      <c r="B74" s="2" t="s">
        <v>374</v>
      </c>
      <c r="C74">
        <v>72</v>
      </c>
      <c r="D74" t="s">
        <v>275</v>
      </c>
      <c r="H74" s="7"/>
      <c r="I74" s="13">
        <v>50</v>
      </c>
      <c r="J74" s="14" t="s">
        <v>371</v>
      </c>
      <c r="K74">
        <v>72</v>
      </c>
      <c r="L74" t="s">
        <v>477</v>
      </c>
      <c r="M74">
        <v>3</v>
      </c>
      <c r="W74" s="9">
        <v>2412</v>
      </c>
      <c r="X74" s="9" t="s">
        <v>847</v>
      </c>
      <c r="Y74" s="9">
        <v>49</v>
      </c>
      <c r="Z74" s="10" t="s">
        <v>768</v>
      </c>
      <c r="AB74">
        <v>65</v>
      </c>
      <c r="AC74">
        <v>65</v>
      </c>
      <c r="AD74" t="s">
        <v>1305</v>
      </c>
      <c r="AE74" t="s">
        <v>1306</v>
      </c>
      <c r="AF74" t="s">
        <v>1135</v>
      </c>
    </row>
    <row r="75" spans="1:32" x14ac:dyDescent="0.35">
      <c r="A75">
        <v>57</v>
      </c>
      <c r="B75" s="2" t="s">
        <v>374</v>
      </c>
      <c r="C75">
        <v>73</v>
      </c>
      <c r="D75" t="s">
        <v>276</v>
      </c>
      <c r="H75" s="7"/>
      <c r="I75" s="13">
        <v>50</v>
      </c>
      <c r="J75" s="14" t="s">
        <v>371</v>
      </c>
      <c r="K75">
        <v>73</v>
      </c>
      <c r="L75" t="s">
        <v>478</v>
      </c>
      <c r="M75">
        <v>4</v>
      </c>
      <c r="W75" s="9">
        <v>2413</v>
      </c>
      <c r="X75" s="9" t="s">
        <v>848</v>
      </c>
      <c r="Y75" s="9">
        <v>50</v>
      </c>
      <c r="Z75" s="10" t="s">
        <v>371</v>
      </c>
      <c r="AB75">
        <v>66</v>
      </c>
      <c r="AC75">
        <v>66</v>
      </c>
      <c r="AD75" t="s">
        <v>1307</v>
      </c>
      <c r="AE75" t="s">
        <v>1308</v>
      </c>
      <c r="AF75" t="s">
        <v>1136</v>
      </c>
    </row>
    <row r="76" spans="1:32" x14ac:dyDescent="0.35">
      <c r="A76">
        <v>57</v>
      </c>
      <c r="B76" s="2" t="s">
        <v>374</v>
      </c>
      <c r="C76">
        <v>74</v>
      </c>
      <c r="D76" t="s">
        <v>277</v>
      </c>
      <c r="H76" s="7"/>
      <c r="I76" s="13">
        <v>50</v>
      </c>
      <c r="J76" s="14" t="s">
        <v>371</v>
      </c>
      <c r="K76">
        <v>74</v>
      </c>
      <c r="L76" t="s">
        <v>479</v>
      </c>
      <c r="M76">
        <v>5</v>
      </c>
      <c r="W76" s="9">
        <v>2421</v>
      </c>
      <c r="X76" s="9" t="s">
        <v>849</v>
      </c>
      <c r="Y76" s="9">
        <v>49</v>
      </c>
      <c r="Z76" s="10" t="s">
        <v>768</v>
      </c>
      <c r="AB76">
        <v>67</v>
      </c>
      <c r="AC76">
        <v>67</v>
      </c>
      <c r="AD76" t="s">
        <v>1309</v>
      </c>
      <c r="AE76" t="s">
        <v>1310</v>
      </c>
      <c r="AF76" t="s">
        <v>1137</v>
      </c>
    </row>
    <row r="77" spans="1:32" x14ac:dyDescent="0.35">
      <c r="A77">
        <v>57</v>
      </c>
      <c r="B77" s="2" t="s">
        <v>374</v>
      </c>
      <c r="C77">
        <v>75</v>
      </c>
      <c r="D77" t="s">
        <v>278</v>
      </c>
      <c r="H77" s="7"/>
      <c r="I77" s="13">
        <v>50</v>
      </c>
      <c r="J77" s="14" t="s">
        <v>371</v>
      </c>
      <c r="K77">
        <v>75</v>
      </c>
      <c r="L77" t="s">
        <v>480</v>
      </c>
      <c r="M77">
        <v>6</v>
      </c>
      <c r="W77" s="9">
        <v>2422</v>
      </c>
      <c r="X77" s="9" t="s">
        <v>850</v>
      </c>
      <c r="Y77" s="9">
        <v>50</v>
      </c>
      <c r="Z77" s="10" t="s">
        <v>371</v>
      </c>
      <c r="AB77">
        <v>68</v>
      </c>
      <c r="AC77">
        <v>68</v>
      </c>
      <c r="AD77" t="s">
        <v>1311</v>
      </c>
      <c r="AE77" t="s">
        <v>1312</v>
      </c>
      <c r="AF77" t="s">
        <v>1138</v>
      </c>
    </row>
    <row r="78" spans="1:32" x14ac:dyDescent="0.35">
      <c r="A78">
        <v>57</v>
      </c>
      <c r="B78" s="2" t="s">
        <v>374</v>
      </c>
      <c r="C78">
        <v>76</v>
      </c>
      <c r="D78" t="s">
        <v>279</v>
      </c>
      <c r="H78" s="7"/>
      <c r="I78" s="13">
        <v>50</v>
      </c>
      <c r="J78" s="14" t="s">
        <v>371</v>
      </c>
      <c r="K78">
        <v>76</v>
      </c>
      <c r="L78" t="s">
        <v>481</v>
      </c>
      <c r="M78">
        <v>7</v>
      </c>
      <c r="W78" s="9">
        <v>2423</v>
      </c>
      <c r="X78" s="9" t="s">
        <v>851</v>
      </c>
      <c r="Y78" s="9">
        <v>50</v>
      </c>
      <c r="Z78" s="10" t="s">
        <v>371</v>
      </c>
      <c r="AB78">
        <v>69</v>
      </c>
      <c r="AC78">
        <v>69</v>
      </c>
      <c r="AD78" t="s">
        <v>1313</v>
      </c>
      <c r="AE78" t="s">
        <v>1314</v>
      </c>
      <c r="AF78" t="s">
        <v>1139</v>
      </c>
    </row>
    <row r="79" spans="1:32" x14ac:dyDescent="0.35">
      <c r="A79">
        <v>40</v>
      </c>
      <c r="B79" s="2" t="s">
        <v>371</v>
      </c>
      <c r="C79">
        <v>77</v>
      </c>
      <c r="D79" t="s">
        <v>280</v>
      </c>
      <c r="H79" s="7"/>
      <c r="I79" s="13">
        <v>50</v>
      </c>
      <c r="J79" s="14" t="s">
        <v>371</v>
      </c>
      <c r="K79">
        <v>77</v>
      </c>
      <c r="L79" t="s">
        <v>482</v>
      </c>
      <c r="M79">
        <v>8</v>
      </c>
      <c r="W79" s="9">
        <v>2424</v>
      </c>
      <c r="X79" s="9" t="s">
        <v>852</v>
      </c>
      <c r="Y79" s="9">
        <v>50</v>
      </c>
      <c r="Z79" s="10" t="s">
        <v>371</v>
      </c>
      <c r="AB79">
        <v>70</v>
      </c>
      <c r="AC79">
        <v>70</v>
      </c>
      <c r="AD79" t="s">
        <v>1315</v>
      </c>
      <c r="AE79" t="s">
        <v>1316</v>
      </c>
      <c r="AF79" t="s">
        <v>1140</v>
      </c>
    </row>
    <row r="80" spans="1:32" x14ac:dyDescent="0.35">
      <c r="A80">
        <v>40</v>
      </c>
      <c r="B80" s="2" t="s">
        <v>371</v>
      </c>
      <c r="C80">
        <v>78</v>
      </c>
      <c r="D80" t="s">
        <v>281</v>
      </c>
      <c r="H80" s="7"/>
      <c r="I80" s="13">
        <v>70</v>
      </c>
      <c r="J80" s="14" t="s">
        <v>382</v>
      </c>
      <c r="K80">
        <v>78</v>
      </c>
      <c r="L80" t="s">
        <v>483</v>
      </c>
      <c r="M80">
        <v>9</v>
      </c>
      <c r="W80" s="9">
        <v>2429</v>
      </c>
      <c r="X80" s="9" t="s">
        <v>853</v>
      </c>
      <c r="Y80" s="9">
        <v>50</v>
      </c>
      <c r="Z80" s="10" t="s">
        <v>371</v>
      </c>
    </row>
    <row r="81" spans="1:26" x14ac:dyDescent="0.35">
      <c r="A81">
        <v>40</v>
      </c>
      <c r="B81" s="2" t="s">
        <v>371</v>
      </c>
      <c r="C81">
        <v>79</v>
      </c>
      <c r="D81" t="s">
        <v>282</v>
      </c>
      <c r="H81" s="7"/>
      <c r="I81" s="13">
        <v>55</v>
      </c>
      <c r="J81" s="14" t="s">
        <v>771</v>
      </c>
      <c r="K81">
        <v>79</v>
      </c>
      <c r="L81" t="s">
        <v>484</v>
      </c>
      <c r="M81">
        <v>10</v>
      </c>
      <c r="W81" s="9">
        <v>2430</v>
      </c>
      <c r="X81" s="9" t="s">
        <v>854</v>
      </c>
      <c r="Y81" s="9">
        <v>50</v>
      </c>
      <c r="Z81" s="10" t="s">
        <v>371</v>
      </c>
    </row>
    <row r="82" spans="1:26" x14ac:dyDescent="0.35">
      <c r="A82">
        <v>40</v>
      </c>
      <c r="B82" s="2" t="s">
        <v>371</v>
      </c>
      <c r="C82">
        <v>80</v>
      </c>
      <c r="D82" t="s">
        <v>283</v>
      </c>
      <c r="H82" s="7"/>
      <c r="I82" s="13">
        <v>55</v>
      </c>
      <c r="J82" s="14" t="s">
        <v>771</v>
      </c>
      <c r="K82">
        <v>80</v>
      </c>
      <c r="L82" t="s">
        <v>485</v>
      </c>
      <c r="M82">
        <v>11</v>
      </c>
      <c r="W82" s="9">
        <v>2511</v>
      </c>
      <c r="X82" s="9" t="s">
        <v>855</v>
      </c>
      <c r="Y82" s="9">
        <v>50</v>
      </c>
      <c r="Z82" s="10" t="s">
        <v>371</v>
      </c>
    </row>
    <row r="83" spans="1:26" x14ac:dyDescent="0.35">
      <c r="A83">
        <v>40</v>
      </c>
      <c r="B83" s="2" t="s">
        <v>371</v>
      </c>
      <c r="C83">
        <v>81</v>
      </c>
      <c r="D83" t="s">
        <v>284</v>
      </c>
      <c r="H83" s="7"/>
      <c r="I83" s="13">
        <v>60</v>
      </c>
      <c r="J83" s="14" t="s">
        <v>352</v>
      </c>
      <c r="K83">
        <v>81</v>
      </c>
      <c r="L83" t="s">
        <v>486</v>
      </c>
      <c r="M83">
        <v>12</v>
      </c>
      <c r="W83" s="9">
        <v>2519</v>
      </c>
      <c r="X83" s="9" t="s">
        <v>856</v>
      </c>
      <c r="Y83" s="9">
        <v>50</v>
      </c>
      <c r="Z83" s="10" t="s">
        <v>371</v>
      </c>
    </row>
    <row r="84" spans="1:26" x14ac:dyDescent="0.35">
      <c r="A84">
        <v>40</v>
      </c>
      <c r="B84" s="2" t="s">
        <v>371</v>
      </c>
      <c r="C84">
        <v>82</v>
      </c>
      <c r="D84" t="s">
        <v>285</v>
      </c>
      <c r="H84" s="7"/>
      <c r="I84" s="13">
        <v>60</v>
      </c>
      <c r="J84" s="14" t="s">
        <v>352</v>
      </c>
      <c r="K84">
        <v>82</v>
      </c>
      <c r="L84" t="s">
        <v>487</v>
      </c>
      <c r="M84">
        <v>13</v>
      </c>
      <c r="W84" s="9">
        <v>2520</v>
      </c>
      <c r="X84" s="9" t="s">
        <v>857</v>
      </c>
      <c r="Y84" s="9">
        <v>50</v>
      </c>
      <c r="Z84" s="10" t="s">
        <v>371</v>
      </c>
    </row>
    <row r="85" spans="1:26" x14ac:dyDescent="0.35">
      <c r="A85">
        <v>40</v>
      </c>
      <c r="B85" s="2" t="s">
        <v>371</v>
      </c>
      <c r="C85">
        <v>83</v>
      </c>
      <c r="D85" t="s">
        <v>286</v>
      </c>
      <c r="H85" s="7"/>
      <c r="I85" s="13">
        <v>56</v>
      </c>
      <c r="J85" s="14" t="s">
        <v>351</v>
      </c>
      <c r="K85">
        <v>83</v>
      </c>
      <c r="L85" t="s">
        <v>488</v>
      </c>
      <c r="M85">
        <v>14</v>
      </c>
      <c r="W85" s="9">
        <v>2610</v>
      </c>
      <c r="X85" s="9" t="s">
        <v>858</v>
      </c>
      <c r="Y85" s="9">
        <v>51</v>
      </c>
      <c r="Z85" s="10" t="s">
        <v>769</v>
      </c>
    </row>
    <row r="86" spans="1:26" x14ac:dyDescent="0.35">
      <c r="A86">
        <v>40</v>
      </c>
      <c r="B86" s="2" t="s">
        <v>371</v>
      </c>
      <c r="C86">
        <v>84</v>
      </c>
      <c r="D86" t="s">
        <v>287</v>
      </c>
      <c r="H86" s="7"/>
      <c r="I86" s="13">
        <v>70</v>
      </c>
      <c r="J86" s="14" t="s">
        <v>382</v>
      </c>
      <c r="K86">
        <v>84</v>
      </c>
      <c r="L86" t="s">
        <v>489</v>
      </c>
      <c r="M86">
        <v>15</v>
      </c>
      <c r="W86" s="9">
        <v>2691</v>
      </c>
      <c r="X86" s="9" t="s">
        <v>859</v>
      </c>
      <c r="Y86" s="9">
        <v>51</v>
      </c>
      <c r="Z86" s="10" t="s">
        <v>769</v>
      </c>
    </row>
    <row r="87" spans="1:26" x14ac:dyDescent="0.35">
      <c r="A87">
        <v>40</v>
      </c>
      <c r="B87" s="2" t="s">
        <v>371</v>
      </c>
      <c r="C87">
        <v>85</v>
      </c>
      <c r="D87" t="s">
        <v>288</v>
      </c>
      <c r="H87" s="7"/>
      <c r="I87" s="13">
        <v>66</v>
      </c>
      <c r="J87" s="14" t="s">
        <v>380</v>
      </c>
      <c r="K87">
        <v>85</v>
      </c>
      <c r="L87" t="s">
        <v>490</v>
      </c>
      <c r="M87">
        <v>16</v>
      </c>
      <c r="W87" s="9">
        <v>2692</v>
      </c>
      <c r="X87" s="9" t="s">
        <v>860</v>
      </c>
      <c r="Y87" s="9">
        <v>51</v>
      </c>
      <c r="Z87" s="10" t="s">
        <v>769</v>
      </c>
    </row>
    <row r="88" spans="1:26" x14ac:dyDescent="0.35">
      <c r="A88">
        <v>44</v>
      </c>
      <c r="B88" s="2" t="s">
        <v>351</v>
      </c>
      <c r="C88">
        <v>86</v>
      </c>
      <c r="D88" t="s">
        <v>289</v>
      </c>
      <c r="H88" s="7"/>
      <c r="I88" s="13">
        <v>56</v>
      </c>
      <c r="J88" s="14" t="s">
        <v>351</v>
      </c>
      <c r="K88">
        <v>86</v>
      </c>
      <c r="L88" t="s">
        <v>491</v>
      </c>
      <c r="M88">
        <v>17</v>
      </c>
      <c r="W88" s="9">
        <v>2693</v>
      </c>
      <c r="X88" s="9" t="s">
        <v>861</v>
      </c>
      <c r="Y88" s="9">
        <v>51</v>
      </c>
      <c r="Z88" s="10" t="s">
        <v>769</v>
      </c>
    </row>
    <row r="89" spans="1:26" x14ac:dyDescent="0.35">
      <c r="A89">
        <v>44</v>
      </c>
      <c r="B89" s="2" t="s">
        <v>351</v>
      </c>
      <c r="C89">
        <v>87</v>
      </c>
      <c r="D89" t="s">
        <v>290</v>
      </c>
      <c r="H89" s="7"/>
      <c r="I89" s="13">
        <v>19</v>
      </c>
      <c r="J89" s="14" t="s">
        <v>757</v>
      </c>
      <c r="K89">
        <v>87</v>
      </c>
      <c r="L89" t="s">
        <v>492</v>
      </c>
      <c r="M89">
        <v>18</v>
      </c>
      <c r="W89" s="9">
        <v>2694</v>
      </c>
      <c r="X89" s="9" t="s">
        <v>862</v>
      </c>
      <c r="Y89" s="9">
        <v>51</v>
      </c>
      <c r="Z89" s="10" t="s">
        <v>769</v>
      </c>
    </row>
    <row r="90" spans="1:26" x14ac:dyDescent="0.35">
      <c r="A90">
        <v>55</v>
      </c>
      <c r="B90" s="2" t="s">
        <v>381</v>
      </c>
      <c r="C90">
        <v>88</v>
      </c>
      <c r="D90" t="s">
        <v>291</v>
      </c>
      <c r="H90" s="7"/>
      <c r="I90" s="13">
        <v>56</v>
      </c>
      <c r="J90" s="14" t="s">
        <v>351</v>
      </c>
      <c r="K90">
        <v>88</v>
      </c>
      <c r="L90" t="s">
        <v>493</v>
      </c>
      <c r="M90">
        <v>19</v>
      </c>
      <c r="W90" s="9">
        <v>2695</v>
      </c>
      <c r="X90" s="9" t="s">
        <v>863</v>
      </c>
      <c r="Y90" s="9">
        <v>51</v>
      </c>
      <c r="Z90" s="10" t="s">
        <v>769</v>
      </c>
    </row>
    <row r="91" spans="1:26" x14ac:dyDescent="0.35">
      <c r="A91">
        <v>58</v>
      </c>
      <c r="B91" s="2" t="s">
        <v>382</v>
      </c>
      <c r="C91">
        <v>89</v>
      </c>
      <c r="D91" t="s">
        <v>292</v>
      </c>
      <c r="H91" s="7"/>
      <c r="I91" s="13">
        <v>70</v>
      </c>
      <c r="J91" s="14" t="s">
        <v>382</v>
      </c>
      <c r="K91">
        <v>89</v>
      </c>
      <c r="L91" t="s">
        <v>494</v>
      </c>
      <c r="M91">
        <v>20</v>
      </c>
      <c r="W91" s="9">
        <v>2696</v>
      </c>
      <c r="X91" s="9" t="s">
        <v>864</v>
      </c>
      <c r="Y91" s="9">
        <v>51</v>
      </c>
      <c r="Z91" s="10" t="s">
        <v>769</v>
      </c>
    </row>
    <row r="92" spans="1:26" x14ac:dyDescent="0.35">
      <c r="A92">
        <v>40</v>
      </c>
      <c r="B92" s="2" t="s">
        <v>373</v>
      </c>
      <c r="C92" s="7">
        <v>90</v>
      </c>
      <c r="D92" s="7" t="s">
        <v>158</v>
      </c>
      <c r="E92" s="7"/>
      <c r="F92" s="7"/>
      <c r="G92" s="7"/>
      <c r="H92" s="7"/>
      <c r="I92" s="13">
        <v>47</v>
      </c>
      <c r="J92" s="14" t="s">
        <v>767</v>
      </c>
      <c r="K92">
        <v>90</v>
      </c>
      <c r="L92" t="s">
        <v>495</v>
      </c>
      <c r="M92">
        <v>21</v>
      </c>
      <c r="W92" s="9">
        <v>2699</v>
      </c>
      <c r="X92" s="9" t="s">
        <v>865</v>
      </c>
      <c r="Y92" s="9">
        <v>51</v>
      </c>
      <c r="Z92" s="10" t="s">
        <v>769</v>
      </c>
    </row>
    <row r="93" spans="1:26" x14ac:dyDescent="0.35">
      <c r="A93">
        <v>40</v>
      </c>
      <c r="B93" s="2" t="s">
        <v>373</v>
      </c>
      <c r="C93">
        <v>91</v>
      </c>
      <c r="D93" t="s">
        <v>159</v>
      </c>
      <c r="H93" s="7"/>
      <c r="I93" s="13">
        <v>47</v>
      </c>
      <c r="J93" s="14" t="s">
        <v>767</v>
      </c>
      <c r="K93">
        <v>91</v>
      </c>
      <c r="L93" t="s">
        <v>496</v>
      </c>
      <c r="M93">
        <v>22</v>
      </c>
      <c r="W93" s="9">
        <v>2710</v>
      </c>
      <c r="X93" s="9" t="s">
        <v>866</v>
      </c>
      <c r="Y93" s="9">
        <v>52</v>
      </c>
      <c r="Z93" s="10" t="s">
        <v>370</v>
      </c>
    </row>
    <row r="94" spans="1:26" x14ac:dyDescent="0.35">
      <c r="A94">
        <v>40</v>
      </c>
      <c r="B94" s="2" t="s">
        <v>373</v>
      </c>
      <c r="C94">
        <v>92</v>
      </c>
      <c r="D94" t="s">
        <v>160</v>
      </c>
      <c r="H94" s="7"/>
      <c r="I94" s="13">
        <v>53</v>
      </c>
      <c r="J94" s="14" t="s">
        <v>770</v>
      </c>
      <c r="K94">
        <v>92</v>
      </c>
      <c r="L94" t="s">
        <v>497</v>
      </c>
      <c r="M94">
        <v>23</v>
      </c>
      <c r="W94" s="9">
        <v>2720</v>
      </c>
      <c r="X94" s="9" t="s">
        <v>867</v>
      </c>
      <c r="Y94" s="9">
        <v>52</v>
      </c>
      <c r="Z94" s="10" t="s">
        <v>370</v>
      </c>
    </row>
    <row r="95" spans="1:26" x14ac:dyDescent="0.35">
      <c r="A95">
        <v>40</v>
      </c>
      <c r="B95" s="2" t="s">
        <v>373</v>
      </c>
      <c r="C95">
        <v>93</v>
      </c>
      <c r="D95" t="s">
        <v>161</v>
      </c>
      <c r="H95" s="7"/>
      <c r="I95" s="13">
        <v>66</v>
      </c>
      <c r="J95" s="14" t="s">
        <v>380</v>
      </c>
      <c r="K95">
        <v>93</v>
      </c>
      <c r="L95" t="s">
        <v>498</v>
      </c>
      <c r="M95">
        <v>24</v>
      </c>
      <c r="W95" s="9">
        <v>2731</v>
      </c>
      <c r="X95" s="9" t="s">
        <v>868</v>
      </c>
      <c r="Y95" s="9">
        <v>52</v>
      </c>
      <c r="Z95" s="10" t="s">
        <v>370</v>
      </c>
    </row>
    <row r="96" spans="1:26" x14ac:dyDescent="0.35">
      <c r="A96">
        <v>44</v>
      </c>
      <c r="B96" s="2" t="s">
        <v>351</v>
      </c>
      <c r="C96">
        <v>94</v>
      </c>
      <c r="D96" t="s">
        <v>162</v>
      </c>
      <c r="H96" s="7"/>
      <c r="I96" s="13">
        <v>70</v>
      </c>
      <c r="J96" s="14" t="s">
        <v>382</v>
      </c>
      <c r="K96">
        <v>94</v>
      </c>
      <c r="L96" t="s">
        <v>499</v>
      </c>
      <c r="M96">
        <v>25</v>
      </c>
      <c r="W96" s="9">
        <v>2732</v>
      </c>
      <c r="X96" s="9" t="s">
        <v>869</v>
      </c>
      <c r="Y96" s="9">
        <v>52</v>
      </c>
      <c r="Z96" s="10" t="s">
        <v>370</v>
      </c>
    </row>
    <row r="97" spans="1:26" x14ac:dyDescent="0.35">
      <c r="A97">
        <v>58</v>
      </c>
      <c r="B97" s="2" t="s">
        <v>382</v>
      </c>
      <c r="C97">
        <v>95</v>
      </c>
      <c r="D97" t="s">
        <v>163</v>
      </c>
      <c r="H97" s="7"/>
      <c r="I97" s="13">
        <v>70</v>
      </c>
      <c r="J97" s="14" t="s">
        <v>382</v>
      </c>
      <c r="K97">
        <v>95</v>
      </c>
      <c r="L97" t="s">
        <v>500</v>
      </c>
      <c r="M97">
        <v>26</v>
      </c>
      <c r="W97" s="9">
        <v>2811</v>
      </c>
      <c r="X97" s="9" t="s">
        <v>870</v>
      </c>
      <c r="Y97" s="9">
        <v>52</v>
      </c>
      <c r="Z97" s="10" t="s">
        <v>370</v>
      </c>
    </row>
    <row r="98" spans="1:26" x14ac:dyDescent="0.35">
      <c r="A98">
        <v>58</v>
      </c>
      <c r="B98" s="2" t="s">
        <v>382</v>
      </c>
      <c r="C98">
        <v>96</v>
      </c>
      <c r="D98" t="s">
        <v>164</v>
      </c>
      <c r="H98" s="7"/>
      <c r="I98" s="13">
        <v>70</v>
      </c>
      <c r="J98" s="14" t="s">
        <v>382</v>
      </c>
      <c r="K98">
        <v>96</v>
      </c>
      <c r="L98" t="s">
        <v>501</v>
      </c>
      <c r="M98">
        <v>27</v>
      </c>
      <c r="W98" s="9">
        <v>2812</v>
      </c>
      <c r="X98" s="9" t="s">
        <v>871</v>
      </c>
      <c r="Y98" s="9">
        <v>52</v>
      </c>
      <c r="Z98" s="10" t="s">
        <v>370</v>
      </c>
    </row>
    <row r="99" spans="1:26" x14ac:dyDescent="0.35">
      <c r="A99">
        <v>58</v>
      </c>
      <c r="B99" s="2" t="s">
        <v>382</v>
      </c>
      <c r="C99">
        <v>97</v>
      </c>
      <c r="D99" t="s">
        <v>165</v>
      </c>
      <c r="H99" s="7"/>
      <c r="I99" s="13">
        <v>50</v>
      </c>
      <c r="J99" s="14" t="s">
        <v>371</v>
      </c>
      <c r="K99">
        <v>97</v>
      </c>
      <c r="L99" t="s">
        <v>502</v>
      </c>
      <c r="M99">
        <v>28</v>
      </c>
      <c r="W99" s="9">
        <v>2813</v>
      </c>
      <c r="X99" s="9" t="s">
        <v>872</v>
      </c>
      <c r="Y99" s="9">
        <v>52</v>
      </c>
      <c r="Z99" s="10" t="s">
        <v>370</v>
      </c>
    </row>
    <row r="100" spans="1:26" x14ac:dyDescent="0.35">
      <c r="A100">
        <v>43</v>
      </c>
      <c r="B100" s="2" t="s">
        <v>353</v>
      </c>
      <c r="C100">
        <v>98</v>
      </c>
      <c r="D100" t="s">
        <v>166</v>
      </c>
      <c r="H100" s="7"/>
      <c r="I100" s="13">
        <v>50</v>
      </c>
      <c r="J100" s="14" t="s">
        <v>371</v>
      </c>
      <c r="K100">
        <v>98</v>
      </c>
      <c r="L100" t="s">
        <v>503</v>
      </c>
      <c r="M100">
        <v>29</v>
      </c>
      <c r="W100" s="9">
        <v>2891</v>
      </c>
      <c r="X100" s="9" t="s">
        <v>873</v>
      </c>
      <c r="Y100" s="9">
        <v>52</v>
      </c>
      <c r="Z100" s="10" t="s">
        <v>370</v>
      </c>
    </row>
    <row r="101" spans="1:26" x14ac:dyDescent="0.35">
      <c r="A101">
        <v>48</v>
      </c>
      <c r="B101" s="2" t="s">
        <v>352</v>
      </c>
      <c r="C101">
        <v>99</v>
      </c>
      <c r="D101" t="s">
        <v>167</v>
      </c>
      <c r="H101" s="7"/>
      <c r="I101" s="13">
        <v>50</v>
      </c>
      <c r="J101" s="14" t="s">
        <v>371</v>
      </c>
      <c r="K101">
        <v>99</v>
      </c>
      <c r="L101" t="s">
        <v>504</v>
      </c>
      <c r="M101">
        <v>30</v>
      </c>
      <c r="W101" s="9">
        <v>2892</v>
      </c>
      <c r="X101" s="9" t="s">
        <v>874</v>
      </c>
      <c r="Y101" s="9">
        <v>52</v>
      </c>
      <c r="Z101" s="10" t="s">
        <v>370</v>
      </c>
    </row>
    <row r="102" spans="1:26" x14ac:dyDescent="0.35">
      <c r="A102">
        <v>43</v>
      </c>
      <c r="B102" s="2" t="s">
        <v>353</v>
      </c>
      <c r="C102">
        <v>100</v>
      </c>
      <c r="D102" t="s">
        <v>168</v>
      </c>
      <c r="H102" s="7"/>
      <c r="I102" s="13">
        <v>50</v>
      </c>
      <c r="J102" s="14" t="s">
        <v>371</v>
      </c>
      <c r="K102">
        <v>100</v>
      </c>
      <c r="L102" t="s">
        <v>505</v>
      </c>
      <c r="M102">
        <v>31</v>
      </c>
      <c r="W102" s="9">
        <v>2893</v>
      </c>
      <c r="X102" s="9" t="s">
        <v>875</v>
      </c>
      <c r="Y102" s="9">
        <v>52</v>
      </c>
      <c r="Z102" s="10" t="s">
        <v>370</v>
      </c>
    </row>
    <row r="103" spans="1:26" x14ac:dyDescent="0.35">
      <c r="A103">
        <v>48</v>
      </c>
      <c r="B103" s="2" t="s">
        <v>352</v>
      </c>
      <c r="C103">
        <v>101</v>
      </c>
      <c r="D103" t="s">
        <v>169</v>
      </c>
      <c r="H103" s="7"/>
      <c r="I103" s="13">
        <v>50</v>
      </c>
      <c r="J103" s="14" t="s">
        <v>371</v>
      </c>
      <c r="K103">
        <v>101</v>
      </c>
      <c r="L103" t="s">
        <v>506</v>
      </c>
      <c r="M103">
        <v>32</v>
      </c>
      <c r="W103" s="9">
        <v>2899</v>
      </c>
      <c r="X103" s="9" t="s">
        <v>876</v>
      </c>
      <c r="Y103" s="9">
        <v>52</v>
      </c>
      <c r="Z103" s="10" t="s">
        <v>370</v>
      </c>
    </row>
    <row r="104" spans="1:26" x14ac:dyDescent="0.35">
      <c r="A104">
        <v>43</v>
      </c>
      <c r="B104" s="2" t="s">
        <v>353</v>
      </c>
      <c r="C104">
        <v>102</v>
      </c>
      <c r="D104" t="s">
        <v>170</v>
      </c>
      <c r="H104" s="7"/>
      <c r="I104" s="13">
        <v>50</v>
      </c>
      <c r="J104" s="14" t="s">
        <v>371</v>
      </c>
      <c r="K104">
        <v>102</v>
      </c>
      <c r="L104" t="s">
        <v>507</v>
      </c>
      <c r="M104">
        <v>33</v>
      </c>
      <c r="W104" s="9">
        <v>2911</v>
      </c>
      <c r="X104" s="9" t="s">
        <v>877</v>
      </c>
      <c r="Y104" s="9">
        <v>54</v>
      </c>
      <c r="Z104" s="10" t="s">
        <v>353</v>
      </c>
    </row>
    <row r="105" spans="1:26" x14ac:dyDescent="0.35">
      <c r="A105">
        <v>44</v>
      </c>
      <c r="B105" s="2" t="s">
        <v>351</v>
      </c>
      <c r="C105">
        <v>103</v>
      </c>
      <c r="D105" t="s">
        <v>171</v>
      </c>
      <c r="H105" s="7"/>
      <c r="I105" s="13">
        <v>50</v>
      </c>
      <c r="J105" s="14" t="s">
        <v>371</v>
      </c>
      <c r="K105">
        <v>103</v>
      </c>
      <c r="L105" t="s">
        <v>508</v>
      </c>
      <c r="M105">
        <v>34</v>
      </c>
      <c r="W105" s="9">
        <v>2912</v>
      </c>
      <c r="X105" s="9" t="s">
        <v>878</v>
      </c>
      <c r="Y105" s="9">
        <v>54</v>
      </c>
      <c r="Z105" s="10" t="s">
        <v>353</v>
      </c>
    </row>
    <row r="106" spans="1:26" x14ac:dyDescent="0.35">
      <c r="A106">
        <v>44</v>
      </c>
      <c r="B106" s="2" t="s">
        <v>351</v>
      </c>
      <c r="C106">
        <v>104</v>
      </c>
      <c r="D106" t="s">
        <v>172</v>
      </c>
      <c r="H106" s="7"/>
      <c r="I106" s="13">
        <v>47</v>
      </c>
      <c r="J106" s="14" t="s">
        <v>767</v>
      </c>
      <c r="K106">
        <v>104</v>
      </c>
      <c r="L106" t="s">
        <v>509</v>
      </c>
      <c r="M106">
        <v>35</v>
      </c>
      <c r="W106" s="9">
        <v>2913</v>
      </c>
      <c r="X106" s="9" t="s">
        <v>879</v>
      </c>
      <c r="Y106" s="9">
        <v>54</v>
      </c>
      <c r="Z106" s="10" t="s">
        <v>353</v>
      </c>
    </row>
    <row r="107" spans="1:26" x14ac:dyDescent="0.35">
      <c r="A107">
        <v>38</v>
      </c>
      <c r="B107" s="2" t="s">
        <v>369</v>
      </c>
      <c r="C107">
        <v>105</v>
      </c>
      <c r="D107" t="s">
        <v>173</v>
      </c>
      <c r="H107" s="7"/>
      <c r="I107" s="13">
        <v>63</v>
      </c>
      <c r="J107" s="14" t="s">
        <v>375</v>
      </c>
      <c r="K107">
        <v>105</v>
      </c>
      <c r="L107" t="s">
        <v>510</v>
      </c>
      <c r="M107">
        <v>36</v>
      </c>
      <c r="W107" s="9">
        <v>2914</v>
      </c>
      <c r="X107" s="9" t="s">
        <v>880</v>
      </c>
      <c r="Y107" s="9">
        <v>54</v>
      </c>
      <c r="Z107" s="10" t="s">
        <v>353</v>
      </c>
    </row>
    <row r="108" spans="1:26" x14ac:dyDescent="0.35">
      <c r="A108">
        <v>38</v>
      </c>
      <c r="B108" s="2" t="s">
        <v>369</v>
      </c>
      <c r="C108">
        <v>106</v>
      </c>
      <c r="D108" t="s">
        <v>174</v>
      </c>
      <c r="H108" s="7"/>
      <c r="I108" s="13">
        <v>63</v>
      </c>
      <c r="J108" s="14" t="s">
        <v>375</v>
      </c>
      <c r="K108">
        <v>106</v>
      </c>
      <c r="L108" t="s">
        <v>511</v>
      </c>
      <c r="M108">
        <v>37</v>
      </c>
      <c r="W108" s="9">
        <v>2915</v>
      </c>
      <c r="X108" s="9" t="s">
        <v>881</v>
      </c>
      <c r="Y108" s="9">
        <v>54</v>
      </c>
      <c r="Z108" s="10" t="s">
        <v>353</v>
      </c>
    </row>
    <row r="109" spans="1:26" x14ac:dyDescent="0.35">
      <c r="A109">
        <v>38</v>
      </c>
      <c r="B109" s="2" t="s">
        <v>369</v>
      </c>
      <c r="C109">
        <v>107</v>
      </c>
      <c r="D109" t="s">
        <v>175</v>
      </c>
      <c r="H109" s="7"/>
      <c r="I109" s="13">
        <v>63</v>
      </c>
      <c r="J109" s="14" t="s">
        <v>375</v>
      </c>
      <c r="K109">
        <v>107</v>
      </c>
      <c r="L109" t="s">
        <v>512</v>
      </c>
      <c r="M109">
        <v>38</v>
      </c>
      <c r="W109" s="9">
        <v>2919</v>
      </c>
      <c r="X109" s="9" t="s">
        <v>882</v>
      </c>
      <c r="Y109" s="9">
        <v>54</v>
      </c>
      <c r="Z109" s="10" t="s">
        <v>353</v>
      </c>
    </row>
    <row r="110" spans="1:26" x14ac:dyDescent="0.35">
      <c r="A110">
        <v>38</v>
      </c>
      <c r="B110" s="2" t="s">
        <v>369</v>
      </c>
      <c r="C110">
        <v>108</v>
      </c>
      <c r="D110" t="s">
        <v>176</v>
      </c>
      <c r="H110" s="7"/>
      <c r="I110" s="13">
        <v>63</v>
      </c>
      <c r="J110" s="14" t="s">
        <v>375</v>
      </c>
      <c r="K110">
        <v>108</v>
      </c>
      <c r="L110" t="s">
        <v>513</v>
      </c>
      <c r="M110">
        <v>39</v>
      </c>
      <c r="W110" s="9">
        <v>2921</v>
      </c>
      <c r="X110" s="9" t="s">
        <v>883</v>
      </c>
      <c r="Y110" s="9">
        <v>54</v>
      </c>
      <c r="Z110" s="10" t="s">
        <v>353</v>
      </c>
    </row>
    <row r="111" spans="1:26" x14ac:dyDescent="0.35">
      <c r="A111">
        <v>44</v>
      </c>
      <c r="B111" s="2" t="s">
        <v>351</v>
      </c>
      <c r="C111">
        <v>109</v>
      </c>
      <c r="D111" t="s">
        <v>389</v>
      </c>
      <c r="H111" s="7"/>
      <c r="I111" s="13">
        <v>70</v>
      </c>
      <c r="J111" s="14" t="s">
        <v>382</v>
      </c>
      <c r="K111">
        <v>109</v>
      </c>
      <c r="L111" t="s">
        <v>514</v>
      </c>
      <c r="M111">
        <v>40</v>
      </c>
      <c r="W111" s="9">
        <v>2922</v>
      </c>
      <c r="X111" s="9" t="s">
        <v>884</v>
      </c>
      <c r="Y111" s="9">
        <v>54</v>
      </c>
      <c r="Z111" s="10" t="s">
        <v>353</v>
      </c>
    </row>
    <row r="112" spans="1:26" x14ac:dyDescent="0.35">
      <c r="A112">
        <v>44</v>
      </c>
      <c r="B112" s="2" t="s">
        <v>351</v>
      </c>
      <c r="C112">
        <v>110</v>
      </c>
      <c r="D112" t="s">
        <v>178</v>
      </c>
      <c r="H112" s="7"/>
      <c r="I112" s="13">
        <v>66</v>
      </c>
      <c r="J112" s="14" t="s">
        <v>380</v>
      </c>
      <c r="K112">
        <v>110</v>
      </c>
      <c r="L112" t="s">
        <v>515</v>
      </c>
      <c r="M112">
        <v>41</v>
      </c>
      <c r="W112" s="9">
        <v>2923</v>
      </c>
      <c r="X112" s="9" t="s">
        <v>885</v>
      </c>
      <c r="Y112" s="9">
        <v>54</v>
      </c>
      <c r="Z112" s="10" t="s">
        <v>353</v>
      </c>
    </row>
    <row r="113" spans="1:26" x14ac:dyDescent="0.35">
      <c r="A113">
        <v>44</v>
      </c>
      <c r="B113" s="2" t="s">
        <v>351</v>
      </c>
      <c r="C113">
        <v>111</v>
      </c>
      <c r="D113" t="s">
        <v>179</v>
      </c>
      <c r="H113" s="7"/>
      <c r="I113" s="13">
        <v>50</v>
      </c>
      <c r="J113" s="14" t="s">
        <v>371</v>
      </c>
      <c r="K113">
        <v>111</v>
      </c>
      <c r="L113" t="s">
        <v>516</v>
      </c>
      <c r="M113">
        <v>42</v>
      </c>
      <c r="W113" s="9">
        <v>2924</v>
      </c>
      <c r="X113" s="9" t="s">
        <v>886</v>
      </c>
      <c r="Y113" s="9">
        <v>54</v>
      </c>
      <c r="Z113" s="10" t="s">
        <v>353</v>
      </c>
    </row>
    <row r="114" spans="1:26" x14ac:dyDescent="0.35">
      <c r="A114">
        <v>44</v>
      </c>
      <c r="B114" s="2" t="s">
        <v>351</v>
      </c>
      <c r="C114">
        <v>112</v>
      </c>
      <c r="D114" t="s">
        <v>180</v>
      </c>
      <c r="H114" s="7"/>
      <c r="I114" s="13">
        <v>50</v>
      </c>
      <c r="J114" s="14" t="s">
        <v>371</v>
      </c>
      <c r="K114">
        <v>112</v>
      </c>
      <c r="L114" t="s">
        <v>517</v>
      </c>
      <c r="M114">
        <v>43</v>
      </c>
      <c r="W114" s="9">
        <v>2925</v>
      </c>
      <c r="X114" s="9" t="s">
        <v>887</v>
      </c>
      <c r="Y114" s="9">
        <v>54</v>
      </c>
      <c r="Z114" s="10" t="s">
        <v>353</v>
      </c>
    </row>
    <row r="115" spans="1:26" x14ac:dyDescent="0.35">
      <c r="A115">
        <v>54</v>
      </c>
      <c r="B115" s="2" t="s">
        <v>380</v>
      </c>
      <c r="C115">
        <v>113</v>
      </c>
      <c r="D115" t="s">
        <v>181</v>
      </c>
      <c r="H115" s="7"/>
      <c r="I115" s="13">
        <v>50</v>
      </c>
      <c r="J115" s="14" t="s">
        <v>371</v>
      </c>
      <c r="K115">
        <v>113</v>
      </c>
      <c r="L115" t="s">
        <v>518</v>
      </c>
      <c r="M115">
        <v>44</v>
      </c>
      <c r="W115" s="9">
        <v>2926</v>
      </c>
      <c r="X115" s="9" t="s">
        <v>888</v>
      </c>
      <c r="Y115" s="9">
        <v>54</v>
      </c>
      <c r="Z115" s="10" t="s">
        <v>353</v>
      </c>
    </row>
    <row r="116" spans="1:26" x14ac:dyDescent="0.35">
      <c r="A116">
        <v>54</v>
      </c>
      <c r="B116" s="2" t="s">
        <v>380</v>
      </c>
      <c r="C116">
        <v>114</v>
      </c>
      <c r="D116" t="s">
        <v>182</v>
      </c>
      <c r="H116" s="7"/>
      <c r="I116" s="13">
        <v>50</v>
      </c>
      <c r="J116" s="14" t="s">
        <v>371</v>
      </c>
      <c r="K116">
        <v>114</v>
      </c>
      <c r="L116" t="s">
        <v>519</v>
      </c>
      <c r="M116">
        <v>45</v>
      </c>
      <c r="W116" s="9">
        <v>2927</v>
      </c>
      <c r="X116" s="9" t="s">
        <v>889</v>
      </c>
      <c r="Y116" s="9">
        <v>54</v>
      </c>
      <c r="Z116" s="10" t="s">
        <v>353</v>
      </c>
    </row>
    <row r="117" spans="1:26" x14ac:dyDescent="0.35">
      <c r="A117">
        <v>40</v>
      </c>
      <c r="B117" s="2" t="s">
        <v>371</v>
      </c>
      <c r="C117">
        <v>115</v>
      </c>
      <c r="D117" t="s">
        <v>183</v>
      </c>
      <c r="H117" s="7"/>
      <c r="I117" s="13">
        <v>50</v>
      </c>
      <c r="J117" s="14" t="s">
        <v>371</v>
      </c>
      <c r="K117">
        <v>115</v>
      </c>
      <c r="L117" t="s">
        <v>520</v>
      </c>
      <c r="M117">
        <v>46</v>
      </c>
      <c r="W117" s="9">
        <v>2929</v>
      </c>
      <c r="X117" s="9" t="s">
        <v>890</v>
      </c>
      <c r="Y117" s="9">
        <v>54</v>
      </c>
      <c r="Z117" s="10" t="s">
        <v>353</v>
      </c>
    </row>
    <row r="118" spans="1:26" x14ac:dyDescent="0.35">
      <c r="A118">
        <v>40</v>
      </c>
      <c r="B118" s="2" t="s">
        <v>371</v>
      </c>
      <c r="C118">
        <v>116</v>
      </c>
      <c r="D118" t="s">
        <v>184</v>
      </c>
      <c r="H118" s="7"/>
      <c r="I118" s="13">
        <v>50</v>
      </c>
      <c r="J118" s="14" t="s">
        <v>371</v>
      </c>
      <c r="K118">
        <v>116</v>
      </c>
      <c r="L118" t="s">
        <v>521</v>
      </c>
      <c r="M118">
        <v>47</v>
      </c>
      <c r="W118" s="9">
        <v>2930</v>
      </c>
      <c r="X118" s="9" t="s">
        <v>891</v>
      </c>
      <c r="Y118" s="9">
        <v>53</v>
      </c>
      <c r="Z118" s="10" t="s">
        <v>770</v>
      </c>
    </row>
    <row r="119" spans="1:26" x14ac:dyDescent="0.35">
      <c r="A119">
        <v>40</v>
      </c>
      <c r="B119" s="2" t="s">
        <v>371</v>
      </c>
      <c r="C119">
        <v>117</v>
      </c>
      <c r="D119" t="s">
        <v>185</v>
      </c>
      <c r="H119" s="7"/>
      <c r="I119" s="13">
        <v>50</v>
      </c>
      <c r="J119" s="14" t="s">
        <v>371</v>
      </c>
      <c r="K119">
        <v>117</v>
      </c>
      <c r="L119" t="s">
        <v>522</v>
      </c>
      <c r="M119">
        <v>48</v>
      </c>
      <c r="W119" s="9">
        <v>3000</v>
      </c>
      <c r="X119" s="9" t="s">
        <v>892</v>
      </c>
      <c r="Y119" s="9">
        <v>53</v>
      </c>
      <c r="Z119" s="10" t="s">
        <v>770</v>
      </c>
    </row>
    <row r="120" spans="1:26" x14ac:dyDescent="0.35">
      <c r="A120">
        <v>40</v>
      </c>
      <c r="B120" s="2" t="s">
        <v>371</v>
      </c>
      <c r="C120">
        <v>118</v>
      </c>
      <c r="D120" t="s">
        <v>186</v>
      </c>
      <c r="H120" s="7"/>
      <c r="I120" s="13">
        <v>50</v>
      </c>
      <c r="J120" s="14" t="s">
        <v>371</v>
      </c>
      <c r="K120">
        <v>118</v>
      </c>
      <c r="L120" t="s">
        <v>523</v>
      </c>
      <c r="M120">
        <v>49</v>
      </c>
      <c r="W120" s="9">
        <v>3110</v>
      </c>
      <c r="X120" s="9" t="s">
        <v>893</v>
      </c>
      <c r="Y120" s="9">
        <v>53</v>
      </c>
      <c r="Z120" s="10" t="s">
        <v>770</v>
      </c>
    </row>
    <row r="121" spans="1:26" x14ac:dyDescent="0.35">
      <c r="A121">
        <v>40</v>
      </c>
      <c r="B121" s="2" t="s">
        <v>371</v>
      </c>
      <c r="C121">
        <v>119</v>
      </c>
      <c r="D121" t="s">
        <v>187</v>
      </c>
      <c r="H121" s="7"/>
      <c r="I121" s="13">
        <v>50</v>
      </c>
      <c r="J121" s="14" t="s">
        <v>371</v>
      </c>
      <c r="K121">
        <v>119</v>
      </c>
      <c r="L121" t="s">
        <v>524</v>
      </c>
      <c r="M121">
        <v>50</v>
      </c>
      <c r="W121" s="9">
        <v>3120</v>
      </c>
      <c r="X121" s="9" t="s">
        <v>894</v>
      </c>
      <c r="Y121" s="9">
        <v>53</v>
      </c>
      <c r="Z121" s="10" t="s">
        <v>770</v>
      </c>
    </row>
    <row r="122" spans="1:26" x14ac:dyDescent="0.35">
      <c r="A122">
        <v>40</v>
      </c>
      <c r="B122" s="2" t="s">
        <v>371</v>
      </c>
      <c r="C122">
        <v>120</v>
      </c>
      <c r="D122" t="s">
        <v>188</v>
      </c>
      <c r="H122" s="7"/>
      <c r="I122" s="13">
        <v>50</v>
      </c>
      <c r="J122" s="14" t="s">
        <v>371</v>
      </c>
      <c r="K122">
        <v>120</v>
      </c>
      <c r="L122" t="s">
        <v>525</v>
      </c>
      <c r="M122">
        <v>51</v>
      </c>
      <c r="W122" s="9">
        <v>3130</v>
      </c>
      <c r="X122" s="9" t="s">
        <v>895</v>
      </c>
      <c r="Y122" s="9">
        <v>53</v>
      </c>
      <c r="Z122" s="10" t="s">
        <v>770</v>
      </c>
    </row>
    <row r="123" spans="1:26" x14ac:dyDescent="0.35">
      <c r="A123">
        <v>40</v>
      </c>
      <c r="B123" s="2" t="s">
        <v>371</v>
      </c>
      <c r="C123">
        <v>121</v>
      </c>
      <c r="D123" t="s">
        <v>189</v>
      </c>
      <c r="H123" s="7"/>
      <c r="I123" s="13">
        <v>50</v>
      </c>
      <c r="J123" s="14" t="s">
        <v>371</v>
      </c>
      <c r="K123">
        <v>121</v>
      </c>
      <c r="L123" t="s">
        <v>526</v>
      </c>
      <c r="M123">
        <v>52</v>
      </c>
      <c r="W123" s="9">
        <v>3140</v>
      </c>
      <c r="X123" s="9" t="s">
        <v>896</v>
      </c>
      <c r="Y123" s="9">
        <v>53</v>
      </c>
      <c r="Z123" s="10" t="s">
        <v>770</v>
      </c>
    </row>
    <row r="124" spans="1:26" x14ac:dyDescent="0.35">
      <c r="A124">
        <v>40</v>
      </c>
      <c r="B124" s="2" t="s">
        <v>371</v>
      </c>
      <c r="C124">
        <v>122</v>
      </c>
      <c r="D124" t="s">
        <v>190</v>
      </c>
      <c r="H124" s="7"/>
      <c r="I124" s="13">
        <v>50</v>
      </c>
      <c r="J124" s="14" t="s">
        <v>371</v>
      </c>
      <c r="K124">
        <v>122</v>
      </c>
      <c r="L124" t="s">
        <v>527</v>
      </c>
      <c r="M124">
        <v>53</v>
      </c>
      <c r="W124" s="9">
        <v>3150</v>
      </c>
      <c r="X124" s="9" t="s">
        <v>897</v>
      </c>
      <c r="Y124" s="9">
        <v>53</v>
      </c>
      <c r="Z124" s="10" t="s">
        <v>770</v>
      </c>
    </row>
    <row r="125" spans="1:26" x14ac:dyDescent="0.35">
      <c r="A125">
        <v>40</v>
      </c>
      <c r="B125" s="2" t="s">
        <v>371</v>
      </c>
      <c r="C125">
        <v>123</v>
      </c>
      <c r="D125" t="s">
        <v>191</v>
      </c>
      <c r="H125" s="7"/>
      <c r="I125" s="13">
        <v>69</v>
      </c>
      <c r="J125" s="14" t="s">
        <v>374</v>
      </c>
      <c r="K125">
        <v>123</v>
      </c>
      <c r="L125" t="s">
        <v>528</v>
      </c>
      <c r="M125">
        <v>54</v>
      </c>
      <c r="W125" s="9">
        <v>3190</v>
      </c>
      <c r="X125" s="9" t="s">
        <v>898</v>
      </c>
      <c r="Y125" s="9">
        <v>53</v>
      </c>
      <c r="Z125" s="10" t="s">
        <v>770</v>
      </c>
    </row>
    <row r="126" spans="1:26" x14ac:dyDescent="0.35">
      <c r="A126">
        <v>51</v>
      </c>
      <c r="B126" s="2" t="s">
        <v>375</v>
      </c>
      <c r="C126">
        <v>124</v>
      </c>
      <c r="D126" t="s">
        <v>192</v>
      </c>
      <c r="H126" s="7"/>
      <c r="I126" s="13">
        <v>69</v>
      </c>
      <c r="J126" s="14" t="s">
        <v>374</v>
      </c>
      <c r="K126">
        <v>124</v>
      </c>
      <c r="L126" t="s">
        <v>529</v>
      </c>
      <c r="M126">
        <v>55</v>
      </c>
      <c r="W126" s="9">
        <v>3210</v>
      </c>
      <c r="X126" s="9" t="s">
        <v>899</v>
      </c>
      <c r="Y126" s="9">
        <v>53</v>
      </c>
      <c r="Z126" s="10" t="s">
        <v>770</v>
      </c>
    </row>
    <row r="127" spans="1:26" x14ac:dyDescent="0.35">
      <c r="A127">
        <v>51</v>
      </c>
      <c r="B127" s="2" t="s">
        <v>375</v>
      </c>
      <c r="C127">
        <v>125</v>
      </c>
      <c r="D127" t="s">
        <v>193</v>
      </c>
      <c r="H127" s="7"/>
      <c r="I127" s="13">
        <v>70</v>
      </c>
      <c r="J127" s="14" t="s">
        <v>382</v>
      </c>
      <c r="K127" s="7">
        <v>125</v>
      </c>
      <c r="L127" s="7" t="s">
        <v>531</v>
      </c>
      <c r="M127" s="7">
        <v>1</v>
      </c>
      <c r="N127" s="7" t="s">
        <v>530</v>
      </c>
      <c r="W127" s="9">
        <v>3220</v>
      </c>
      <c r="X127" s="9" t="s">
        <v>900</v>
      </c>
      <c r="Y127" s="9">
        <v>53</v>
      </c>
      <c r="Z127" s="10" t="s">
        <v>770</v>
      </c>
    </row>
    <row r="128" spans="1:26" x14ac:dyDescent="0.35">
      <c r="A128">
        <v>51</v>
      </c>
      <c r="B128" s="2" t="s">
        <v>375</v>
      </c>
      <c r="C128">
        <v>126</v>
      </c>
      <c r="D128" t="s">
        <v>194</v>
      </c>
      <c r="H128" s="7"/>
      <c r="I128" s="13">
        <v>70</v>
      </c>
      <c r="J128" s="14" t="s">
        <v>382</v>
      </c>
      <c r="K128">
        <v>126</v>
      </c>
      <c r="L128" t="s">
        <v>532</v>
      </c>
      <c r="M128">
        <v>2</v>
      </c>
      <c r="W128" s="9">
        <v>3230</v>
      </c>
      <c r="X128" s="9" t="s">
        <v>901</v>
      </c>
      <c r="Y128" s="9">
        <v>53</v>
      </c>
      <c r="Z128" s="10" t="s">
        <v>770</v>
      </c>
    </row>
    <row r="129" spans="1:26" x14ac:dyDescent="0.35">
      <c r="A129">
        <v>51</v>
      </c>
      <c r="B129" s="2" t="s">
        <v>375</v>
      </c>
      <c r="C129">
        <v>127</v>
      </c>
      <c r="D129" t="s">
        <v>195</v>
      </c>
      <c r="H129" s="7"/>
      <c r="I129" s="13">
        <v>70</v>
      </c>
      <c r="J129" s="14" t="s">
        <v>382</v>
      </c>
      <c r="K129">
        <v>127</v>
      </c>
      <c r="L129" t="s">
        <v>533</v>
      </c>
      <c r="M129">
        <v>3</v>
      </c>
      <c r="W129" s="9">
        <v>3311</v>
      </c>
      <c r="X129" s="9" t="s">
        <v>902</v>
      </c>
      <c r="Y129" s="9">
        <v>53</v>
      </c>
      <c r="Z129" s="10" t="s">
        <v>770</v>
      </c>
    </row>
    <row r="130" spans="1:26" x14ac:dyDescent="0.35">
      <c r="A130">
        <v>54</v>
      </c>
      <c r="B130" s="2" t="s">
        <v>380</v>
      </c>
      <c r="C130">
        <v>128</v>
      </c>
      <c r="D130" t="s">
        <v>196</v>
      </c>
      <c r="H130" s="7"/>
      <c r="I130" s="13">
        <v>47</v>
      </c>
      <c r="J130" s="14" t="s">
        <v>767</v>
      </c>
      <c r="K130">
        <v>128</v>
      </c>
      <c r="L130" t="s">
        <v>534</v>
      </c>
      <c r="M130">
        <v>4</v>
      </c>
      <c r="W130" s="9">
        <v>3312</v>
      </c>
      <c r="X130" s="9" t="s">
        <v>903</v>
      </c>
      <c r="Y130" s="9">
        <v>53</v>
      </c>
      <c r="Z130" s="10" t="s">
        <v>770</v>
      </c>
    </row>
    <row r="131" spans="1:26" x14ac:dyDescent="0.35">
      <c r="A131">
        <v>58</v>
      </c>
      <c r="B131" s="2" t="s">
        <v>382</v>
      </c>
      <c r="C131">
        <v>129</v>
      </c>
      <c r="D131" t="s">
        <v>197</v>
      </c>
      <c r="H131" s="7"/>
      <c r="I131" s="13">
        <v>47</v>
      </c>
      <c r="J131" s="14" t="s">
        <v>767</v>
      </c>
      <c r="K131">
        <v>129</v>
      </c>
      <c r="L131" t="s">
        <v>535</v>
      </c>
      <c r="M131">
        <v>5</v>
      </c>
      <c r="W131" s="9">
        <v>3313</v>
      </c>
      <c r="X131" s="9" t="s">
        <v>904</v>
      </c>
      <c r="Y131" s="9">
        <v>53</v>
      </c>
      <c r="Z131" s="10" t="s">
        <v>770</v>
      </c>
    </row>
    <row r="132" spans="1:26" x14ac:dyDescent="0.35">
      <c r="A132">
        <v>40</v>
      </c>
      <c r="B132" s="2" t="s">
        <v>371</v>
      </c>
      <c r="C132">
        <v>130</v>
      </c>
      <c r="D132" t="s">
        <v>390</v>
      </c>
      <c r="H132" s="7"/>
      <c r="I132" s="13">
        <v>50</v>
      </c>
      <c r="J132" s="14" t="s">
        <v>371</v>
      </c>
      <c r="K132">
        <v>130</v>
      </c>
      <c r="L132" t="s">
        <v>536</v>
      </c>
      <c r="M132">
        <v>6</v>
      </c>
      <c r="W132" s="9">
        <v>3320</v>
      </c>
      <c r="X132" s="9" t="s">
        <v>905</v>
      </c>
      <c r="Y132" s="9">
        <v>53</v>
      </c>
      <c r="Z132" s="10" t="s">
        <v>770</v>
      </c>
    </row>
    <row r="133" spans="1:26" x14ac:dyDescent="0.35">
      <c r="A133">
        <v>40</v>
      </c>
      <c r="B133" s="2" t="s">
        <v>371</v>
      </c>
      <c r="C133">
        <v>131</v>
      </c>
      <c r="D133" t="s">
        <v>198</v>
      </c>
      <c r="H133" s="7"/>
      <c r="I133" s="13">
        <v>50</v>
      </c>
      <c r="J133" s="14" t="s">
        <v>371</v>
      </c>
      <c r="K133">
        <v>131</v>
      </c>
      <c r="L133" t="s">
        <v>537</v>
      </c>
      <c r="M133">
        <v>7</v>
      </c>
      <c r="W133" s="9">
        <v>3330</v>
      </c>
      <c r="X133" s="9" t="s">
        <v>906</v>
      </c>
      <c r="Y133" s="9">
        <v>53</v>
      </c>
      <c r="Z133" s="10" t="s">
        <v>770</v>
      </c>
    </row>
    <row r="134" spans="1:26" x14ac:dyDescent="0.35">
      <c r="A134">
        <v>40</v>
      </c>
      <c r="B134" s="2" t="s">
        <v>371</v>
      </c>
      <c r="C134">
        <v>132</v>
      </c>
      <c r="D134" t="s">
        <v>199</v>
      </c>
      <c r="H134" s="7"/>
      <c r="I134" s="13">
        <v>50</v>
      </c>
      <c r="J134" s="14" t="s">
        <v>371</v>
      </c>
      <c r="K134">
        <v>132</v>
      </c>
      <c r="L134" t="s">
        <v>538</v>
      </c>
      <c r="M134">
        <v>8</v>
      </c>
      <c r="W134" s="9">
        <v>3410</v>
      </c>
      <c r="X134" s="9" t="s">
        <v>907</v>
      </c>
      <c r="Y134" s="9">
        <v>55</v>
      </c>
      <c r="Z134" s="10" t="s">
        <v>771</v>
      </c>
    </row>
    <row r="135" spans="1:26" x14ac:dyDescent="0.35">
      <c r="A135">
        <v>40</v>
      </c>
      <c r="B135" s="2" t="s">
        <v>371</v>
      </c>
      <c r="C135">
        <v>133</v>
      </c>
      <c r="D135" t="s">
        <v>200</v>
      </c>
      <c r="H135" s="7"/>
      <c r="I135" s="13">
        <v>50</v>
      </c>
      <c r="J135" s="14" t="s">
        <v>371</v>
      </c>
      <c r="K135">
        <v>133</v>
      </c>
      <c r="L135" t="s">
        <v>539</v>
      </c>
      <c r="M135">
        <v>9</v>
      </c>
      <c r="W135" s="9">
        <v>3420</v>
      </c>
      <c r="X135" s="9" t="s">
        <v>908</v>
      </c>
      <c r="Y135" s="9">
        <v>55</v>
      </c>
      <c r="Z135" s="10" t="s">
        <v>771</v>
      </c>
    </row>
    <row r="136" spans="1:26" x14ac:dyDescent="0.35">
      <c r="A136">
        <v>40</v>
      </c>
      <c r="B136" s="2" t="s">
        <v>371</v>
      </c>
      <c r="C136">
        <v>134</v>
      </c>
      <c r="D136" t="s">
        <v>201</v>
      </c>
      <c r="H136" s="7"/>
      <c r="I136" s="13">
        <v>47</v>
      </c>
      <c r="J136" s="14" t="s">
        <v>767</v>
      </c>
      <c r="K136">
        <v>134</v>
      </c>
      <c r="L136" t="s">
        <v>540</v>
      </c>
      <c r="M136">
        <v>10</v>
      </c>
      <c r="W136" s="9">
        <v>3430</v>
      </c>
      <c r="X136" s="9" t="s">
        <v>909</v>
      </c>
      <c r="Y136" s="9">
        <v>55</v>
      </c>
      <c r="Z136" s="10" t="s">
        <v>771</v>
      </c>
    </row>
    <row r="137" spans="1:26" x14ac:dyDescent="0.35">
      <c r="A137">
        <v>40</v>
      </c>
      <c r="B137" s="2" t="s">
        <v>371</v>
      </c>
      <c r="C137">
        <v>135</v>
      </c>
      <c r="D137" t="s">
        <v>202</v>
      </c>
      <c r="H137" s="7"/>
      <c r="I137" s="13">
        <v>48</v>
      </c>
      <c r="J137" s="14" t="s">
        <v>379</v>
      </c>
      <c r="K137">
        <v>135</v>
      </c>
      <c r="L137" t="s">
        <v>541</v>
      </c>
      <c r="M137">
        <v>11</v>
      </c>
      <c r="W137" s="9">
        <v>3511</v>
      </c>
      <c r="X137" s="9" t="s">
        <v>910</v>
      </c>
      <c r="Y137" s="9">
        <v>55</v>
      </c>
      <c r="Z137" s="10" t="s">
        <v>771</v>
      </c>
    </row>
    <row r="138" spans="1:26" x14ac:dyDescent="0.35">
      <c r="A138">
        <v>40</v>
      </c>
      <c r="B138" s="2" t="s">
        <v>371</v>
      </c>
      <c r="C138">
        <v>136</v>
      </c>
      <c r="D138" t="s">
        <v>203</v>
      </c>
      <c r="H138" s="7"/>
      <c r="I138" s="13">
        <v>48</v>
      </c>
      <c r="J138" s="14" t="s">
        <v>379</v>
      </c>
      <c r="K138">
        <v>136</v>
      </c>
      <c r="L138" t="s">
        <v>542</v>
      </c>
      <c r="M138">
        <v>12</v>
      </c>
      <c r="W138" s="9">
        <v>3512</v>
      </c>
      <c r="X138" s="9" t="s">
        <v>911</v>
      </c>
      <c r="Y138" s="9">
        <v>55</v>
      </c>
      <c r="Z138" s="10" t="s">
        <v>771</v>
      </c>
    </row>
    <row r="139" spans="1:26" x14ac:dyDescent="0.35">
      <c r="A139">
        <v>58</v>
      </c>
      <c r="B139" s="2" t="s">
        <v>382</v>
      </c>
      <c r="C139">
        <v>137</v>
      </c>
      <c r="D139" t="s">
        <v>293</v>
      </c>
      <c r="H139" s="7"/>
      <c r="I139" s="13">
        <v>48</v>
      </c>
      <c r="J139" s="14" t="s">
        <v>379</v>
      </c>
      <c r="K139">
        <v>137</v>
      </c>
      <c r="L139" t="s">
        <v>543</v>
      </c>
      <c r="M139">
        <v>13</v>
      </c>
      <c r="W139" s="9">
        <v>3520</v>
      </c>
      <c r="X139" s="9" t="s">
        <v>912</v>
      </c>
      <c r="Y139" s="9">
        <v>55</v>
      </c>
      <c r="Z139" s="10" t="s">
        <v>771</v>
      </c>
    </row>
    <row r="140" spans="1:26" x14ac:dyDescent="0.35">
      <c r="A140">
        <v>58</v>
      </c>
      <c r="B140" s="2" t="s">
        <v>382</v>
      </c>
      <c r="C140">
        <v>138</v>
      </c>
      <c r="D140" t="s">
        <v>294</v>
      </c>
      <c r="H140" s="7"/>
      <c r="I140" s="13">
        <v>61</v>
      </c>
      <c r="J140" s="14" t="s">
        <v>376</v>
      </c>
      <c r="K140">
        <v>138</v>
      </c>
      <c r="L140" t="s">
        <v>544</v>
      </c>
      <c r="M140">
        <v>14</v>
      </c>
      <c r="W140" s="9">
        <v>3530</v>
      </c>
      <c r="X140" s="9" t="s">
        <v>913</v>
      </c>
      <c r="Y140" s="9">
        <v>55</v>
      </c>
      <c r="Z140" s="10" t="s">
        <v>771</v>
      </c>
    </row>
    <row r="141" spans="1:26" x14ac:dyDescent="0.35">
      <c r="A141">
        <v>58</v>
      </c>
      <c r="B141" s="2" t="s">
        <v>382</v>
      </c>
      <c r="C141">
        <v>139</v>
      </c>
      <c r="D141" t="s">
        <v>295</v>
      </c>
      <c r="H141" s="7"/>
      <c r="I141" s="13">
        <v>61</v>
      </c>
      <c r="J141" s="14" t="s">
        <v>376</v>
      </c>
      <c r="K141">
        <v>139</v>
      </c>
      <c r="L141" t="s">
        <v>545</v>
      </c>
      <c r="M141">
        <v>15</v>
      </c>
      <c r="W141" s="9">
        <v>3591</v>
      </c>
      <c r="X141" s="9" t="s">
        <v>914</v>
      </c>
      <c r="Y141" s="9">
        <v>55</v>
      </c>
      <c r="Z141" s="10" t="s">
        <v>771</v>
      </c>
    </row>
    <row r="142" spans="1:26" x14ac:dyDescent="0.35">
      <c r="A142">
        <v>38</v>
      </c>
      <c r="B142" s="2" t="s">
        <v>369</v>
      </c>
      <c r="C142">
        <v>140</v>
      </c>
      <c r="D142" t="s">
        <v>296</v>
      </c>
      <c r="H142" s="7"/>
      <c r="I142" s="13">
        <v>61</v>
      </c>
      <c r="J142" s="14" t="s">
        <v>376</v>
      </c>
      <c r="K142">
        <v>140</v>
      </c>
      <c r="L142" t="s">
        <v>546</v>
      </c>
      <c r="M142">
        <v>16</v>
      </c>
      <c r="W142" s="9">
        <v>3592</v>
      </c>
      <c r="X142" s="9" t="s">
        <v>915</v>
      </c>
      <c r="Y142" s="9">
        <v>55</v>
      </c>
      <c r="Z142" s="10" t="s">
        <v>771</v>
      </c>
    </row>
    <row r="143" spans="1:26" x14ac:dyDescent="0.35">
      <c r="A143">
        <v>38</v>
      </c>
      <c r="B143" s="2" t="s">
        <v>369</v>
      </c>
      <c r="C143">
        <v>141</v>
      </c>
      <c r="D143" t="s">
        <v>297</v>
      </c>
      <c r="H143" s="7"/>
      <c r="I143" s="13">
        <v>55</v>
      </c>
      <c r="J143" s="14" t="s">
        <v>771</v>
      </c>
      <c r="K143">
        <v>141</v>
      </c>
      <c r="L143" t="s">
        <v>547</v>
      </c>
      <c r="M143">
        <v>17</v>
      </c>
      <c r="W143" s="9">
        <v>3599</v>
      </c>
      <c r="X143" s="9" t="s">
        <v>916</v>
      </c>
      <c r="Y143" s="9">
        <v>55</v>
      </c>
      <c r="Z143" s="10" t="s">
        <v>771</v>
      </c>
    </row>
    <row r="144" spans="1:26" x14ac:dyDescent="0.35">
      <c r="A144">
        <v>40</v>
      </c>
      <c r="B144" s="2" t="s">
        <v>371</v>
      </c>
      <c r="C144">
        <v>142</v>
      </c>
      <c r="D144" t="s">
        <v>298</v>
      </c>
      <c r="H144" s="7"/>
      <c r="I144" s="13">
        <v>61</v>
      </c>
      <c r="J144" s="14" t="s">
        <v>376</v>
      </c>
      <c r="K144">
        <v>142</v>
      </c>
      <c r="L144" t="s">
        <v>548</v>
      </c>
      <c r="M144">
        <v>18</v>
      </c>
      <c r="W144" s="9">
        <v>3610</v>
      </c>
      <c r="X144" s="9" t="s">
        <v>917</v>
      </c>
      <c r="Y144" s="9">
        <v>56</v>
      </c>
      <c r="Z144" s="10" t="s">
        <v>351</v>
      </c>
    </row>
    <row r="145" spans="1:26" x14ac:dyDescent="0.35">
      <c r="A145">
        <v>38</v>
      </c>
      <c r="B145" s="2" t="s">
        <v>369</v>
      </c>
      <c r="C145">
        <v>143</v>
      </c>
      <c r="D145" t="s">
        <v>299</v>
      </c>
      <c r="H145" s="7"/>
      <c r="I145" s="13">
        <v>48</v>
      </c>
      <c r="J145" s="14" t="s">
        <v>379</v>
      </c>
      <c r="K145">
        <v>143</v>
      </c>
      <c r="L145" t="s">
        <v>549</v>
      </c>
      <c r="M145">
        <v>19</v>
      </c>
      <c r="W145" s="9">
        <v>3691</v>
      </c>
      <c r="X145" s="9" t="s">
        <v>918</v>
      </c>
      <c r="Y145" s="9">
        <v>56</v>
      </c>
      <c r="Z145" s="10" t="s">
        <v>351</v>
      </c>
    </row>
    <row r="146" spans="1:26" x14ac:dyDescent="0.35">
      <c r="A146">
        <v>40</v>
      </c>
      <c r="B146" s="2" t="s">
        <v>371</v>
      </c>
      <c r="C146">
        <v>144</v>
      </c>
      <c r="D146" t="s">
        <v>300</v>
      </c>
      <c r="H146" s="7"/>
      <c r="I146" s="13">
        <v>48</v>
      </c>
      <c r="J146" s="14" t="s">
        <v>379</v>
      </c>
      <c r="K146">
        <v>144</v>
      </c>
      <c r="L146" t="s">
        <v>550</v>
      </c>
      <c r="M146">
        <v>20</v>
      </c>
      <c r="W146" s="9">
        <v>3692</v>
      </c>
      <c r="X146" s="9" t="s">
        <v>919</v>
      </c>
      <c r="Y146" s="9">
        <v>56</v>
      </c>
      <c r="Z146" s="10" t="s">
        <v>351</v>
      </c>
    </row>
    <row r="147" spans="1:26" x14ac:dyDescent="0.35">
      <c r="A147">
        <v>40</v>
      </c>
      <c r="B147" s="2" t="s">
        <v>371</v>
      </c>
      <c r="C147">
        <v>145</v>
      </c>
      <c r="D147" t="s">
        <v>301</v>
      </c>
      <c r="H147" s="7"/>
      <c r="I147" s="13">
        <v>26</v>
      </c>
      <c r="J147" s="14" t="s">
        <v>372</v>
      </c>
      <c r="K147">
        <v>145</v>
      </c>
      <c r="L147" t="s">
        <v>551</v>
      </c>
      <c r="M147">
        <v>21</v>
      </c>
      <c r="W147" s="9">
        <v>3693</v>
      </c>
      <c r="X147" s="9" t="s">
        <v>920</v>
      </c>
      <c r="Y147" s="9">
        <v>56</v>
      </c>
      <c r="Z147" s="10" t="s">
        <v>351</v>
      </c>
    </row>
    <row r="148" spans="1:26" x14ac:dyDescent="0.35">
      <c r="A148">
        <v>40</v>
      </c>
      <c r="B148" s="2" t="s">
        <v>371</v>
      </c>
      <c r="C148">
        <v>146</v>
      </c>
      <c r="D148" t="s">
        <v>302</v>
      </c>
      <c r="H148" s="7"/>
      <c r="I148" s="13">
        <v>26</v>
      </c>
      <c r="J148" s="14" t="s">
        <v>372</v>
      </c>
      <c r="K148">
        <v>146</v>
      </c>
      <c r="L148" t="s">
        <v>552</v>
      </c>
      <c r="M148">
        <v>22</v>
      </c>
      <c r="W148" s="9">
        <v>3694</v>
      </c>
      <c r="X148" s="9" t="s">
        <v>921</v>
      </c>
      <c r="Y148" s="9">
        <v>56</v>
      </c>
      <c r="Z148" s="10" t="s">
        <v>351</v>
      </c>
    </row>
    <row r="149" spans="1:26" x14ac:dyDescent="0.35">
      <c r="A149">
        <v>49</v>
      </c>
      <c r="B149" s="2" t="s">
        <v>376</v>
      </c>
      <c r="C149">
        <v>147</v>
      </c>
      <c r="D149" t="s">
        <v>303</v>
      </c>
      <c r="H149" s="7"/>
      <c r="I149" s="13">
        <v>50</v>
      </c>
      <c r="J149" s="14" t="s">
        <v>371</v>
      </c>
      <c r="K149">
        <v>147</v>
      </c>
      <c r="L149" t="s">
        <v>553</v>
      </c>
      <c r="M149">
        <v>23</v>
      </c>
      <c r="W149" s="9">
        <v>3699</v>
      </c>
      <c r="X149" s="9" t="s">
        <v>922</v>
      </c>
      <c r="Y149" s="9">
        <v>56</v>
      </c>
      <c r="Z149" s="10" t="s">
        <v>351</v>
      </c>
    </row>
    <row r="150" spans="1:26" x14ac:dyDescent="0.35">
      <c r="A150">
        <v>49</v>
      </c>
      <c r="B150" s="2" t="s">
        <v>376</v>
      </c>
      <c r="C150">
        <v>148</v>
      </c>
      <c r="D150" t="s">
        <v>304</v>
      </c>
      <c r="H150" s="7"/>
      <c r="I150" s="13">
        <v>50</v>
      </c>
      <c r="J150" s="14" t="s">
        <v>371</v>
      </c>
      <c r="K150">
        <v>148</v>
      </c>
      <c r="L150" t="s">
        <v>554</v>
      </c>
      <c r="M150">
        <v>24</v>
      </c>
      <c r="W150" s="9">
        <v>3710</v>
      </c>
      <c r="X150" s="9" t="s">
        <v>923</v>
      </c>
      <c r="Y150" s="9">
        <v>56</v>
      </c>
      <c r="Z150" s="10" t="s">
        <v>351</v>
      </c>
    </row>
    <row r="151" spans="1:26" x14ac:dyDescent="0.35">
      <c r="A151">
        <v>49</v>
      </c>
      <c r="B151" s="2" t="s">
        <v>376</v>
      </c>
      <c r="C151">
        <v>149</v>
      </c>
      <c r="D151" t="s">
        <v>305</v>
      </c>
      <c r="H151" s="7"/>
      <c r="I151" s="13">
        <v>50</v>
      </c>
      <c r="J151" s="14" t="s">
        <v>371</v>
      </c>
      <c r="K151">
        <v>149</v>
      </c>
      <c r="L151" t="s">
        <v>555</v>
      </c>
      <c r="M151">
        <v>25</v>
      </c>
      <c r="W151" s="9">
        <v>3720</v>
      </c>
      <c r="X151" s="9" t="s">
        <v>924</v>
      </c>
      <c r="Y151" s="9">
        <v>56</v>
      </c>
      <c r="Z151" s="10" t="s">
        <v>351</v>
      </c>
    </row>
    <row r="152" spans="1:26" x14ac:dyDescent="0.35">
      <c r="A152">
        <v>49</v>
      </c>
      <c r="B152" s="2" t="s">
        <v>376</v>
      </c>
      <c r="C152">
        <v>150</v>
      </c>
      <c r="D152" t="s">
        <v>306</v>
      </c>
      <c r="H152" s="7"/>
      <c r="I152" s="13">
        <v>50</v>
      </c>
      <c r="J152" s="14" t="s">
        <v>371</v>
      </c>
      <c r="K152">
        <v>150</v>
      </c>
      <c r="L152" t="s">
        <v>556</v>
      </c>
      <c r="M152">
        <v>26</v>
      </c>
      <c r="W152" s="9">
        <v>4010</v>
      </c>
      <c r="X152" s="9" t="s">
        <v>925</v>
      </c>
      <c r="Y152" s="9">
        <v>57</v>
      </c>
      <c r="Z152" s="10" t="s">
        <v>401</v>
      </c>
    </row>
    <row r="153" spans="1:26" x14ac:dyDescent="0.35">
      <c r="A153">
        <v>49</v>
      </c>
      <c r="B153" s="2" t="s">
        <v>376</v>
      </c>
      <c r="C153">
        <v>151</v>
      </c>
      <c r="D153" t="s">
        <v>307</v>
      </c>
      <c r="H153" s="7"/>
      <c r="I153" s="13">
        <v>48</v>
      </c>
      <c r="J153" s="14" t="s">
        <v>379</v>
      </c>
      <c r="K153">
        <v>151</v>
      </c>
      <c r="L153" t="s">
        <v>557</v>
      </c>
      <c r="M153">
        <v>27</v>
      </c>
      <c r="W153" s="9">
        <v>4020</v>
      </c>
      <c r="X153" s="9" t="s">
        <v>926</v>
      </c>
      <c r="Y153" s="9">
        <v>57</v>
      </c>
      <c r="Z153" s="10" t="s">
        <v>401</v>
      </c>
    </row>
    <row r="154" spans="1:26" x14ac:dyDescent="0.35">
      <c r="A154">
        <v>49</v>
      </c>
      <c r="B154" s="2" t="s">
        <v>376</v>
      </c>
      <c r="C154">
        <v>152</v>
      </c>
      <c r="D154" t="s">
        <v>308</v>
      </c>
      <c r="H154" s="7"/>
      <c r="I154" s="13">
        <v>60</v>
      </c>
      <c r="J154" s="14" t="s">
        <v>352</v>
      </c>
      <c r="K154">
        <v>152</v>
      </c>
      <c r="L154" t="s">
        <v>558</v>
      </c>
      <c r="M154">
        <v>28</v>
      </c>
      <c r="W154" s="9">
        <v>4030</v>
      </c>
      <c r="X154" s="9" t="s">
        <v>927</v>
      </c>
      <c r="Y154" s="9">
        <v>58</v>
      </c>
      <c r="Z154" s="10" t="s">
        <v>400</v>
      </c>
    </row>
    <row r="155" spans="1:26" x14ac:dyDescent="0.35">
      <c r="A155">
        <v>39</v>
      </c>
      <c r="B155" s="2" t="s">
        <v>379</v>
      </c>
      <c r="C155">
        <v>153</v>
      </c>
      <c r="D155" t="s">
        <v>309</v>
      </c>
      <c r="H155" s="7"/>
      <c r="I155" s="13">
        <v>60</v>
      </c>
      <c r="J155" s="14" t="s">
        <v>352</v>
      </c>
      <c r="K155">
        <v>153</v>
      </c>
      <c r="L155" t="s">
        <v>559</v>
      </c>
      <c r="M155">
        <v>29</v>
      </c>
      <c r="W155" s="9">
        <v>4100</v>
      </c>
      <c r="X155" s="9" t="s">
        <v>928</v>
      </c>
      <c r="Y155" s="9">
        <v>58</v>
      </c>
      <c r="Z155" s="10" t="s">
        <v>400</v>
      </c>
    </row>
    <row r="156" spans="1:26" x14ac:dyDescent="0.35">
      <c r="A156">
        <v>39</v>
      </c>
      <c r="B156" s="2" t="s">
        <v>379</v>
      </c>
      <c r="C156">
        <v>154</v>
      </c>
      <c r="D156" t="s">
        <v>310</v>
      </c>
      <c r="H156" s="7"/>
      <c r="I156" s="13">
        <v>60</v>
      </c>
      <c r="J156" s="14" t="s">
        <v>352</v>
      </c>
      <c r="K156">
        <v>154</v>
      </c>
      <c r="L156" t="s">
        <v>754</v>
      </c>
      <c r="M156">
        <v>30</v>
      </c>
      <c r="W156" s="9">
        <v>4510</v>
      </c>
      <c r="X156" s="9" t="s">
        <v>929</v>
      </c>
      <c r="Y156" s="9">
        <v>59</v>
      </c>
      <c r="Z156" s="10" t="s">
        <v>772</v>
      </c>
    </row>
    <row r="157" spans="1:26" x14ac:dyDescent="0.35">
      <c r="A157">
        <v>40</v>
      </c>
      <c r="B157" s="2" t="s">
        <v>371</v>
      </c>
      <c r="C157">
        <v>155</v>
      </c>
      <c r="D157" t="s">
        <v>311</v>
      </c>
      <c r="H157" s="7"/>
      <c r="I157" s="13">
        <v>70</v>
      </c>
      <c r="J157" s="14" t="s">
        <v>382</v>
      </c>
      <c r="K157">
        <v>155</v>
      </c>
      <c r="L157" t="s">
        <v>560</v>
      </c>
      <c r="M157">
        <v>31</v>
      </c>
      <c r="W157" s="9">
        <v>4520</v>
      </c>
      <c r="X157" s="9" t="s">
        <v>930</v>
      </c>
      <c r="Y157" s="9">
        <v>59</v>
      </c>
      <c r="Z157" s="10" t="s">
        <v>772</v>
      </c>
    </row>
    <row r="158" spans="1:26" x14ac:dyDescent="0.35">
      <c r="A158">
        <v>21</v>
      </c>
      <c r="B158" s="2" t="s">
        <v>372</v>
      </c>
      <c r="C158">
        <v>156</v>
      </c>
      <c r="D158" t="s">
        <v>312</v>
      </c>
      <c r="H158" s="7"/>
      <c r="I158" s="13">
        <v>70</v>
      </c>
      <c r="J158" s="14" t="s">
        <v>382</v>
      </c>
      <c r="K158">
        <v>156</v>
      </c>
      <c r="L158" t="s">
        <v>561</v>
      </c>
      <c r="M158">
        <v>32</v>
      </c>
      <c r="W158" s="9">
        <v>4530</v>
      </c>
      <c r="X158" s="9" t="s">
        <v>931</v>
      </c>
      <c r="Y158" s="9">
        <v>59</v>
      </c>
      <c r="Z158" s="10" t="s">
        <v>772</v>
      </c>
    </row>
    <row r="159" spans="1:26" x14ac:dyDescent="0.35">
      <c r="A159">
        <v>21</v>
      </c>
      <c r="B159" s="2" t="s">
        <v>372</v>
      </c>
      <c r="C159">
        <v>157</v>
      </c>
      <c r="D159" t="s">
        <v>313</v>
      </c>
      <c r="H159" s="7"/>
      <c r="I159" s="13">
        <v>70</v>
      </c>
      <c r="J159" s="14" t="s">
        <v>382</v>
      </c>
      <c r="K159">
        <v>157</v>
      </c>
      <c r="L159" t="s">
        <v>562</v>
      </c>
      <c r="M159">
        <v>33</v>
      </c>
      <c r="W159" s="9">
        <v>4540</v>
      </c>
      <c r="X159" s="9" t="s">
        <v>932</v>
      </c>
      <c r="Y159" s="9">
        <v>59</v>
      </c>
      <c r="Z159" s="10" t="s">
        <v>772</v>
      </c>
    </row>
    <row r="160" spans="1:26" x14ac:dyDescent="0.35">
      <c r="A160">
        <v>21</v>
      </c>
      <c r="B160" s="2" t="s">
        <v>379</v>
      </c>
      <c r="C160">
        <v>158</v>
      </c>
      <c r="D160" t="s">
        <v>314</v>
      </c>
      <c r="H160" s="7"/>
      <c r="I160" s="13">
        <v>70</v>
      </c>
      <c r="J160" s="14" t="s">
        <v>382</v>
      </c>
      <c r="K160">
        <v>158</v>
      </c>
      <c r="L160" t="s">
        <v>563</v>
      </c>
      <c r="M160">
        <v>34</v>
      </c>
      <c r="W160" s="9">
        <v>4550</v>
      </c>
      <c r="X160" s="9" t="s">
        <v>933</v>
      </c>
      <c r="Y160" s="9">
        <v>59</v>
      </c>
      <c r="Z160" s="10" t="s">
        <v>772</v>
      </c>
    </row>
    <row r="161" spans="1:26" x14ac:dyDescent="0.35">
      <c r="A161">
        <v>21</v>
      </c>
      <c r="B161" s="2" t="s">
        <v>379</v>
      </c>
      <c r="C161">
        <v>159</v>
      </c>
      <c r="D161" t="s">
        <v>315</v>
      </c>
      <c r="H161" s="7"/>
      <c r="I161" s="13">
        <v>13</v>
      </c>
      <c r="J161" s="14" t="s">
        <v>388</v>
      </c>
      <c r="K161">
        <v>159</v>
      </c>
      <c r="L161" t="s">
        <v>564</v>
      </c>
      <c r="M161">
        <v>35</v>
      </c>
      <c r="W161" s="9">
        <v>5010</v>
      </c>
      <c r="X161" s="9" t="s">
        <v>934</v>
      </c>
      <c r="Y161" s="9">
        <v>60</v>
      </c>
      <c r="Z161" s="10" t="s">
        <v>352</v>
      </c>
    </row>
    <row r="162" spans="1:26" x14ac:dyDescent="0.35">
      <c r="A162">
        <v>21</v>
      </c>
      <c r="B162" s="2" t="s">
        <v>379</v>
      </c>
      <c r="C162">
        <v>160</v>
      </c>
      <c r="D162" t="s">
        <v>316</v>
      </c>
      <c r="H162" s="7"/>
      <c r="I162" s="13">
        <v>42</v>
      </c>
      <c r="J162" s="14" t="s">
        <v>387</v>
      </c>
      <c r="K162">
        <v>160</v>
      </c>
      <c r="L162" t="s">
        <v>565</v>
      </c>
      <c r="M162">
        <v>36</v>
      </c>
      <c r="W162" s="9">
        <v>5020</v>
      </c>
      <c r="X162" s="9" t="s">
        <v>935</v>
      </c>
      <c r="Y162" s="9">
        <v>60</v>
      </c>
      <c r="Z162" s="10" t="s">
        <v>352</v>
      </c>
    </row>
    <row r="163" spans="1:26" x14ac:dyDescent="0.35">
      <c r="A163">
        <v>40</v>
      </c>
      <c r="B163" s="2" t="s">
        <v>371</v>
      </c>
      <c r="C163">
        <v>161</v>
      </c>
      <c r="D163" t="s">
        <v>317</v>
      </c>
      <c r="H163" s="7"/>
      <c r="I163" s="15">
        <v>200</v>
      </c>
      <c r="J163" s="16" t="s">
        <v>398</v>
      </c>
      <c r="K163">
        <v>161</v>
      </c>
      <c r="L163" t="s">
        <v>566</v>
      </c>
      <c r="M163">
        <v>37</v>
      </c>
      <c r="W163" s="9">
        <v>5030</v>
      </c>
      <c r="X163" s="9" t="s">
        <v>936</v>
      </c>
      <c r="Y163" s="9">
        <v>60</v>
      </c>
      <c r="Z163" s="10" t="s">
        <v>352</v>
      </c>
    </row>
    <row r="164" spans="1:26" x14ac:dyDescent="0.35">
      <c r="A164">
        <v>40</v>
      </c>
      <c r="B164" s="2" t="s">
        <v>371</v>
      </c>
      <c r="C164">
        <v>162</v>
      </c>
      <c r="D164" t="s">
        <v>318</v>
      </c>
      <c r="H164" s="7"/>
      <c r="W164" s="9">
        <v>5040</v>
      </c>
      <c r="X164" s="9" t="s">
        <v>937</v>
      </c>
      <c r="Y164" s="9">
        <v>60</v>
      </c>
      <c r="Z164" s="10" t="s">
        <v>352</v>
      </c>
    </row>
    <row r="165" spans="1:26" x14ac:dyDescent="0.35">
      <c r="A165">
        <v>40</v>
      </c>
      <c r="B165" s="2" t="s">
        <v>371</v>
      </c>
      <c r="C165">
        <v>163</v>
      </c>
      <c r="D165" t="s">
        <v>319</v>
      </c>
      <c r="H165" s="7"/>
      <c r="W165" s="9">
        <v>5050</v>
      </c>
      <c r="X165" s="9" t="s">
        <v>938</v>
      </c>
      <c r="Y165" s="9">
        <v>60</v>
      </c>
      <c r="Z165" s="10" t="s">
        <v>352</v>
      </c>
    </row>
    <row r="166" spans="1:26" x14ac:dyDescent="0.35">
      <c r="A166">
        <v>40</v>
      </c>
      <c r="B166" s="2" t="s">
        <v>371</v>
      </c>
      <c r="C166">
        <v>164</v>
      </c>
      <c r="D166" t="s">
        <v>320</v>
      </c>
      <c r="H166" s="7"/>
      <c r="W166" s="9">
        <v>5110</v>
      </c>
      <c r="X166" s="9" t="s">
        <v>939</v>
      </c>
      <c r="Y166" s="9">
        <v>60</v>
      </c>
      <c r="Z166" s="10" t="s">
        <v>352</v>
      </c>
    </row>
    <row r="167" spans="1:26" x14ac:dyDescent="0.35">
      <c r="A167">
        <v>48</v>
      </c>
      <c r="B167" s="2" t="s">
        <v>352</v>
      </c>
      <c r="C167">
        <v>165</v>
      </c>
      <c r="D167" t="s">
        <v>321</v>
      </c>
      <c r="H167" s="7"/>
      <c r="W167" s="9">
        <v>5121</v>
      </c>
      <c r="X167" s="9" t="s">
        <v>940</v>
      </c>
      <c r="Y167" s="9">
        <v>60</v>
      </c>
      <c r="Z167" s="10" t="s">
        <v>352</v>
      </c>
    </row>
    <row r="168" spans="1:26" x14ac:dyDescent="0.35">
      <c r="A168">
        <v>48</v>
      </c>
      <c r="B168" s="2" t="s">
        <v>352</v>
      </c>
      <c r="C168">
        <v>166</v>
      </c>
      <c r="D168" t="s">
        <v>322</v>
      </c>
      <c r="H168" s="7"/>
      <c r="W168" s="9">
        <v>5122</v>
      </c>
      <c r="X168" s="9" t="s">
        <v>941</v>
      </c>
      <c r="Y168" s="9">
        <v>60</v>
      </c>
      <c r="Z168" s="10" t="s">
        <v>352</v>
      </c>
    </row>
    <row r="169" spans="1:26" x14ac:dyDescent="0.35">
      <c r="A169">
        <v>48</v>
      </c>
      <c r="B169" s="2" t="s">
        <v>352</v>
      </c>
      <c r="C169">
        <v>167</v>
      </c>
      <c r="D169" t="s">
        <v>323</v>
      </c>
      <c r="H169" s="7"/>
      <c r="W169" s="9">
        <v>5131</v>
      </c>
      <c r="X169" s="9" t="s">
        <v>942</v>
      </c>
      <c r="Y169" s="9">
        <v>60</v>
      </c>
      <c r="Z169" s="10" t="s">
        <v>352</v>
      </c>
    </row>
    <row r="170" spans="1:26" x14ac:dyDescent="0.35">
      <c r="A170">
        <v>51</v>
      </c>
      <c r="B170" s="2" t="s">
        <v>375</v>
      </c>
      <c r="C170">
        <v>168</v>
      </c>
      <c r="D170" t="s">
        <v>324</v>
      </c>
      <c r="H170" s="7"/>
      <c r="W170" s="9">
        <v>5139</v>
      </c>
      <c r="X170" s="9" t="s">
        <v>943</v>
      </c>
      <c r="Y170" s="9">
        <v>60</v>
      </c>
      <c r="Z170" s="10" t="s">
        <v>352</v>
      </c>
    </row>
    <row r="171" spans="1:26" x14ac:dyDescent="0.35">
      <c r="A171">
        <v>51</v>
      </c>
      <c r="B171" s="2" t="s">
        <v>375</v>
      </c>
      <c r="C171">
        <v>169</v>
      </c>
      <c r="D171" t="s">
        <v>325</v>
      </c>
      <c r="H171" s="7"/>
      <c r="W171" s="9">
        <v>5141</v>
      </c>
      <c r="X171" s="9" t="s">
        <v>944</v>
      </c>
      <c r="Y171" s="9">
        <v>60</v>
      </c>
      <c r="Z171" s="10" t="s">
        <v>352</v>
      </c>
    </row>
    <row r="172" spans="1:26" x14ac:dyDescent="0.35">
      <c r="A172">
        <v>51</v>
      </c>
      <c r="B172" s="2" t="s">
        <v>375</v>
      </c>
      <c r="C172">
        <v>170</v>
      </c>
      <c r="D172" t="s">
        <v>326</v>
      </c>
      <c r="H172" s="7"/>
      <c r="W172" s="9">
        <v>5142</v>
      </c>
      <c r="X172" s="9" t="s">
        <v>945</v>
      </c>
      <c r="Y172" s="9">
        <v>60</v>
      </c>
      <c r="Z172" s="10" t="s">
        <v>352</v>
      </c>
    </row>
    <row r="173" spans="1:26" x14ac:dyDescent="0.35">
      <c r="A173">
        <v>51</v>
      </c>
      <c r="B173" s="2" t="s">
        <v>375</v>
      </c>
      <c r="C173">
        <v>171</v>
      </c>
      <c r="D173" t="s">
        <v>327</v>
      </c>
      <c r="H173" s="7"/>
      <c r="W173" s="9">
        <v>5143</v>
      </c>
      <c r="X173" s="9" t="s">
        <v>946</v>
      </c>
      <c r="Y173" s="9">
        <v>60</v>
      </c>
      <c r="Z173" s="10" t="s">
        <v>352</v>
      </c>
    </row>
    <row r="174" spans="1:26" x14ac:dyDescent="0.35">
      <c r="A174">
        <v>12</v>
      </c>
      <c r="B174" s="2" t="s">
        <v>388</v>
      </c>
      <c r="C174">
        <v>172</v>
      </c>
      <c r="D174" t="s">
        <v>328</v>
      </c>
      <c r="H174" s="7"/>
      <c r="W174" s="9">
        <v>5149</v>
      </c>
      <c r="X174" s="9" t="s">
        <v>947</v>
      </c>
      <c r="Y174" s="9">
        <v>60</v>
      </c>
      <c r="Z174" s="10" t="s">
        <v>352</v>
      </c>
    </row>
    <row r="175" spans="1:26" x14ac:dyDescent="0.35">
      <c r="A175">
        <v>34</v>
      </c>
      <c r="B175" s="2" t="s">
        <v>387</v>
      </c>
      <c r="C175">
        <v>173</v>
      </c>
      <c r="D175" t="s">
        <v>329</v>
      </c>
      <c r="H175" s="7"/>
      <c r="W175" s="9">
        <v>5151</v>
      </c>
      <c r="X175" s="9" t="s">
        <v>948</v>
      </c>
      <c r="Y175" s="9">
        <v>60</v>
      </c>
      <c r="Z175" s="10" t="s">
        <v>352</v>
      </c>
    </row>
    <row r="176" spans="1:26" x14ac:dyDescent="0.35">
      <c r="A176" s="1">
        <v>200</v>
      </c>
      <c r="B176" s="2" t="s">
        <v>398</v>
      </c>
      <c r="C176">
        <v>174</v>
      </c>
      <c r="D176" t="s">
        <v>330</v>
      </c>
      <c r="H176" s="7"/>
      <c r="W176" s="9">
        <v>5152</v>
      </c>
      <c r="X176" s="9" t="s">
        <v>949</v>
      </c>
      <c r="Y176" s="9">
        <v>60</v>
      </c>
      <c r="Z176" s="10" t="s">
        <v>352</v>
      </c>
    </row>
    <row r="177" spans="1:26" x14ac:dyDescent="0.35">
      <c r="A177" s="1">
        <v>300</v>
      </c>
      <c r="B177" s="2" t="s">
        <v>399</v>
      </c>
      <c r="C177" s="1">
        <v>400</v>
      </c>
      <c r="D177" s="1" t="s">
        <v>393</v>
      </c>
      <c r="H177" s="7"/>
      <c r="I177" s="1">
        <v>300</v>
      </c>
      <c r="J177" s="1" t="s">
        <v>399</v>
      </c>
      <c r="K177" s="1">
        <v>400</v>
      </c>
      <c r="L177" s="1" t="s">
        <v>1149</v>
      </c>
      <c r="W177" s="9">
        <v>5159</v>
      </c>
      <c r="X177" s="9" t="s">
        <v>950</v>
      </c>
      <c r="Y177" s="9">
        <v>60</v>
      </c>
      <c r="Z177" s="10" t="s">
        <v>352</v>
      </c>
    </row>
    <row r="178" spans="1:26" x14ac:dyDescent="0.35">
      <c r="A178" s="1">
        <v>56</v>
      </c>
      <c r="B178" s="2" t="s">
        <v>392</v>
      </c>
      <c r="C178" s="1">
        <v>500</v>
      </c>
      <c r="D178" s="1" t="s">
        <v>395</v>
      </c>
      <c r="H178" s="7"/>
      <c r="I178" s="1">
        <v>68</v>
      </c>
      <c r="J178" s="1" t="s">
        <v>392</v>
      </c>
      <c r="K178" s="1">
        <v>500</v>
      </c>
      <c r="L178" s="1" t="s">
        <v>395</v>
      </c>
      <c r="W178" s="9">
        <v>5190</v>
      </c>
      <c r="X178" s="9" t="s">
        <v>951</v>
      </c>
      <c r="Y178" s="9">
        <v>60</v>
      </c>
      <c r="Z178" s="10" t="s">
        <v>352</v>
      </c>
    </row>
    <row r="179" spans="1:26" x14ac:dyDescent="0.35">
      <c r="A179" s="1">
        <v>57</v>
      </c>
      <c r="B179" s="2" t="s">
        <v>374</v>
      </c>
      <c r="C179" s="1">
        <v>600</v>
      </c>
      <c r="D179" s="1" t="s">
        <v>394</v>
      </c>
      <c r="H179" s="7"/>
      <c r="I179" s="1">
        <v>65</v>
      </c>
      <c r="J179" s="1" t="s">
        <v>397</v>
      </c>
      <c r="K179" s="1">
        <v>600</v>
      </c>
      <c r="L179" s="1" t="s">
        <v>403</v>
      </c>
      <c r="W179" s="9">
        <v>5211</v>
      </c>
      <c r="X179" s="9" t="s">
        <v>952</v>
      </c>
      <c r="Y179" s="9">
        <v>60</v>
      </c>
      <c r="Z179" s="10" t="s">
        <v>352</v>
      </c>
    </row>
    <row r="180" spans="1:26" x14ac:dyDescent="0.35">
      <c r="A180" s="1">
        <v>53</v>
      </c>
      <c r="B180" s="2" t="s">
        <v>397</v>
      </c>
      <c r="C180" s="1">
        <v>700</v>
      </c>
      <c r="D180" s="1" t="s">
        <v>403</v>
      </c>
      <c r="H180" s="7"/>
      <c r="I180" s="1">
        <v>60</v>
      </c>
      <c r="J180" s="1" t="s">
        <v>352</v>
      </c>
      <c r="K180" s="1">
        <v>700</v>
      </c>
      <c r="L180" s="1" t="s">
        <v>1150</v>
      </c>
      <c r="W180" s="9">
        <v>5219</v>
      </c>
      <c r="X180" s="9" t="s">
        <v>953</v>
      </c>
      <c r="Y180" s="9">
        <v>60</v>
      </c>
      <c r="Z180" s="10" t="s">
        <v>352</v>
      </c>
    </row>
    <row r="181" spans="1:26" x14ac:dyDescent="0.35">
      <c r="A181" s="1">
        <v>45</v>
      </c>
      <c r="B181" s="2" t="s">
        <v>401</v>
      </c>
      <c r="C181" s="1">
        <v>800</v>
      </c>
      <c r="D181" s="1" t="s">
        <v>396</v>
      </c>
      <c r="H181" s="7"/>
      <c r="I181" s="1">
        <v>57</v>
      </c>
      <c r="J181" s="1" t="s">
        <v>401</v>
      </c>
      <c r="K181" s="1">
        <v>800</v>
      </c>
      <c r="L181" s="1" t="s">
        <v>396</v>
      </c>
      <c r="W181" s="9">
        <v>5220</v>
      </c>
      <c r="X181" s="9" t="s">
        <v>954</v>
      </c>
      <c r="Y181" s="9">
        <v>60</v>
      </c>
      <c r="Z181" s="10" t="s">
        <v>352</v>
      </c>
    </row>
    <row r="182" spans="1:26" x14ac:dyDescent="0.35">
      <c r="A182" s="1">
        <v>46</v>
      </c>
      <c r="B182" s="2" t="s">
        <v>400</v>
      </c>
      <c r="C182" s="1">
        <v>900</v>
      </c>
      <c r="D182" s="1" t="s">
        <v>404</v>
      </c>
      <c r="H182" s="7"/>
      <c r="I182" s="1">
        <v>58</v>
      </c>
      <c r="J182" s="1" t="s">
        <v>400</v>
      </c>
      <c r="K182" s="1">
        <v>900</v>
      </c>
      <c r="L182" s="1" t="s">
        <v>1151</v>
      </c>
      <c r="N182" s="2" t="s">
        <v>1143</v>
      </c>
      <c r="O182" s="2"/>
      <c r="P182" s="2" t="s">
        <v>1146</v>
      </c>
      <c r="S182" s="1" t="s">
        <v>1153</v>
      </c>
      <c r="W182" s="9">
        <v>5231</v>
      </c>
      <c r="X182" s="9" t="s">
        <v>955</v>
      </c>
      <c r="Y182" s="9">
        <v>60</v>
      </c>
      <c r="Z182" s="10" t="s">
        <v>352</v>
      </c>
    </row>
    <row r="183" spans="1:26" x14ac:dyDescent="0.35">
      <c r="A183">
        <v>3</v>
      </c>
      <c r="B183" s="2" t="s">
        <v>334</v>
      </c>
      <c r="C183">
        <v>175</v>
      </c>
      <c r="D183" t="s">
        <v>0</v>
      </c>
      <c r="E183" s="1" t="s">
        <v>402</v>
      </c>
      <c r="F183">
        <v>1</v>
      </c>
      <c r="G183" t="s">
        <v>0</v>
      </c>
      <c r="H183" s="7"/>
      <c r="I183" s="9">
        <v>3</v>
      </c>
      <c r="J183" s="10" t="s">
        <v>334</v>
      </c>
      <c r="K183">
        <v>162</v>
      </c>
      <c r="L183" t="s">
        <v>567</v>
      </c>
      <c r="M183">
        <v>1</v>
      </c>
      <c r="O183" t="s">
        <v>567</v>
      </c>
      <c r="Q183">
        <v>1</v>
      </c>
      <c r="R183" t="s">
        <v>567</v>
      </c>
      <c r="W183" s="9">
        <v>5232</v>
      </c>
      <c r="X183" s="9" t="s">
        <v>956</v>
      </c>
      <c r="Y183" s="9">
        <v>60</v>
      </c>
      <c r="Z183" s="10" t="s">
        <v>352</v>
      </c>
    </row>
    <row r="184" spans="1:26" x14ac:dyDescent="0.35">
      <c r="A184">
        <v>3</v>
      </c>
      <c r="B184" s="2" t="s">
        <v>334</v>
      </c>
      <c r="C184">
        <v>176</v>
      </c>
      <c r="D184" t="s">
        <v>102</v>
      </c>
      <c r="H184" s="7"/>
      <c r="I184" s="9">
        <v>3</v>
      </c>
      <c r="J184" s="10" t="s">
        <v>334</v>
      </c>
      <c r="K184">
        <v>163</v>
      </c>
      <c r="L184" t="s">
        <v>568</v>
      </c>
      <c r="M184">
        <v>2</v>
      </c>
      <c r="O184" t="s">
        <v>568</v>
      </c>
      <c r="W184" s="9">
        <v>5233</v>
      </c>
      <c r="X184" s="9" t="s">
        <v>957</v>
      </c>
      <c r="Y184" s="9">
        <v>60</v>
      </c>
      <c r="Z184" s="10" t="s">
        <v>352</v>
      </c>
    </row>
    <row r="185" spans="1:26" x14ac:dyDescent="0.35">
      <c r="A185">
        <v>1</v>
      </c>
      <c r="B185" s="2" t="s">
        <v>335</v>
      </c>
      <c r="C185">
        <v>177</v>
      </c>
      <c r="D185" t="s">
        <v>1</v>
      </c>
      <c r="F185">
        <v>2</v>
      </c>
      <c r="G185" t="s">
        <v>1</v>
      </c>
      <c r="H185" s="7"/>
      <c r="I185" s="9">
        <v>1</v>
      </c>
      <c r="J185" s="10" t="s">
        <v>335</v>
      </c>
      <c r="K185">
        <v>164</v>
      </c>
      <c r="L185" t="s">
        <v>569</v>
      </c>
      <c r="M185">
        <v>3</v>
      </c>
      <c r="O185" t="s">
        <v>569</v>
      </c>
      <c r="Q185">
        <v>2</v>
      </c>
      <c r="R185" t="s">
        <v>569</v>
      </c>
      <c r="W185" s="9">
        <v>5234</v>
      </c>
      <c r="X185" s="9" t="s">
        <v>958</v>
      </c>
      <c r="Y185" s="9">
        <v>60</v>
      </c>
      <c r="Z185" s="10" t="s">
        <v>352</v>
      </c>
    </row>
    <row r="186" spans="1:26" x14ac:dyDescent="0.35">
      <c r="A186">
        <v>1</v>
      </c>
      <c r="B186" s="2" t="s">
        <v>335</v>
      </c>
      <c r="C186">
        <v>178</v>
      </c>
      <c r="D186" t="s">
        <v>2</v>
      </c>
      <c r="F186">
        <v>3</v>
      </c>
      <c r="G186" t="s">
        <v>2</v>
      </c>
      <c r="H186" s="7"/>
      <c r="I186" s="9">
        <v>1</v>
      </c>
      <c r="J186" s="10" t="s">
        <v>335</v>
      </c>
      <c r="K186">
        <v>165</v>
      </c>
      <c r="L186" t="s">
        <v>570</v>
      </c>
      <c r="M186">
        <v>4</v>
      </c>
      <c r="O186" t="s">
        <v>570</v>
      </c>
      <c r="Q186">
        <v>3</v>
      </c>
      <c r="R186" t="s">
        <v>570</v>
      </c>
      <c r="W186" s="9">
        <v>5239</v>
      </c>
      <c r="X186" s="9" t="s">
        <v>959</v>
      </c>
      <c r="Y186" s="9">
        <v>60</v>
      </c>
      <c r="Z186" s="10" t="s">
        <v>352</v>
      </c>
    </row>
    <row r="187" spans="1:26" x14ac:dyDescent="0.35">
      <c r="A187">
        <v>2</v>
      </c>
      <c r="B187" s="2" t="s">
        <v>337</v>
      </c>
      <c r="C187">
        <v>179</v>
      </c>
      <c r="D187" t="s">
        <v>3</v>
      </c>
      <c r="F187">
        <v>4</v>
      </c>
      <c r="G187" t="s">
        <v>3</v>
      </c>
      <c r="H187" s="7"/>
      <c r="I187" s="9">
        <v>2</v>
      </c>
      <c r="J187" s="10" t="s">
        <v>337</v>
      </c>
      <c r="K187">
        <v>166</v>
      </c>
      <c r="L187" t="s">
        <v>571</v>
      </c>
      <c r="M187">
        <v>5</v>
      </c>
      <c r="O187" t="s">
        <v>571</v>
      </c>
      <c r="Q187">
        <v>4</v>
      </c>
      <c r="R187" t="s">
        <v>571</v>
      </c>
      <c r="W187" s="9">
        <v>5240</v>
      </c>
      <c r="X187" s="9" t="s">
        <v>960</v>
      </c>
      <c r="Y187" s="9">
        <v>60</v>
      </c>
      <c r="Z187" s="10" t="s">
        <v>352</v>
      </c>
    </row>
    <row r="188" spans="1:26" x14ac:dyDescent="0.35">
      <c r="A188">
        <v>2</v>
      </c>
      <c r="B188" s="2" t="s">
        <v>337</v>
      </c>
      <c r="C188">
        <v>180</v>
      </c>
      <c r="D188" t="s">
        <v>103</v>
      </c>
      <c r="H188" s="7"/>
      <c r="I188" s="9">
        <v>2</v>
      </c>
      <c r="J188" s="10" t="s">
        <v>337</v>
      </c>
      <c r="K188">
        <v>167</v>
      </c>
      <c r="L188" t="s">
        <v>572</v>
      </c>
      <c r="M188">
        <v>6</v>
      </c>
      <c r="O188" t="s">
        <v>572</v>
      </c>
      <c r="W188" s="9">
        <v>5251</v>
      </c>
      <c r="X188" s="9" t="s">
        <v>961</v>
      </c>
      <c r="Y188" s="9">
        <v>60</v>
      </c>
      <c r="Z188" s="10" t="s">
        <v>352</v>
      </c>
    </row>
    <row r="189" spans="1:26" x14ac:dyDescent="0.35">
      <c r="A189">
        <v>4</v>
      </c>
      <c r="B189" s="2" t="s">
        <v>354</v>
      </c>
      <c r="C189">
        <v>181</v>
      </c>
      <c r="D189" t="s">
        <v>4</v>
      </c>
      <c r="F189">
        <v>5</v>
      </c>
      <c r="G189" t="s">
        <v>4</v>
      </c>
      <c r="H189" s="7"/>
      <c r="I189" s="9">
        <v>4</v>
      </c>
      <c r="J189" s="10" t="s">
        <v>755</v>
      </c>
      <c r="K189">
        <v>168</v>
      </c>
      <c r="L189" t="s">
        <v>573</v>
      </c>
      <c r="M189">
        <v>7</v>
      </c>
      <c r="O189" t="s">
        <v>573</v>
      </c>
      <c r="Q189">
        <v>5</v>
      </c>
      <c r="R189" t="s">
        <v>573</v>
      </c>
      <c r="W189" s="9">
        <v>5252</v>
      </c>
      <c r="X189" s="9" t="s">
        <v>962</v>
      </c>
      <c r="Y189" s="9">
        <v>60</v>
      </c>
      <c r="Z189" s="10" t="s">
        <v>352</v>
      </c>
    </row>
    <row r="190" spans="1:26" x14ac:dyDescent="0.35">
      <c r="A190">
        <v>4</v>
      </c>
      <c r="B190" s="2" t="s">
        <v>354</v>
      </c>
      <c r="C190">
        <v>182</v>
      </c>
      <c r="D190" t="s">
        <v>104</v>
      </c>
      <c r="F190">
        <v>6</v>
      </c>
      <c r="G190" t="s">
        <v>5</v>
      </c>
      <c r="H190" s="7"/>
      <c r="I190" s="9">
        <v>5</v>
      </c>
      <c r="J190" s="10" t="s">
        <v>354</v>
      </c>
      <c r="K190">
        <v>169</v>
      </c>
      <c r="L190" t="s">
        <v>574</v>
      </c>
      <c r="M190">
        <v>8</v>
      </c>
      <c r="O190" t="s">
        <v>574</v>
      </c>
      <c r="Q190">
        <v>6</v>
      </c>
      <c r="R190" t="s">
        <v>729</v>
      </c>
      <c r="W190" s="9">
        <v>5259</v>
      </c>
      <c r="X190" s="9" t="s">
        <v>963</v>
      </c>
      <c r="Y190" s="9">
        <v>60</v>
      </c>
      <c r="Z190" s="10" t="s">
        <v>352</v>
      </c>
    </row>
    <row r="191" spans="1:26" x14ac:dyDescent="0.35">
      <c r="A191">
        <v>30</v>
      </c>
      <c r="B191" s="2" t="s">
        <v>386</v>
      </c>
      <c r="C191">
        <v>183</v>
      </c>
      <c r="D191" t="s">
        <v>6</v>
      </c>
      <c r="F191">
        <v>7</v>
      </c>
      <c r="G191" t="s">
        <v>6</v>
      </c>
      <c r="H191" s="7"/>
      <c r="I191" s="9">
        <v>1</v>
      </c>
      <c r="J191" s="10" t="s">
        <v>335</v>
      </c>
      <c r="K191">
        <v>170</v>
      </c>
      <c r="L191" t="s">
        <v>575</v>
      </c>
      <c r="M191">
        <v>9</v>
      </c>
      <c r="O191" t="s">
        <v>575</v>
      </c>
      <c r="Q191">
        <v>7</v>
      </c>
      <c r="R191" t="s">
        <v>575</v>
      </c>
      <c r="W191" s="9">
        <v>5260</v>
      </c>
      <c r="X191" s="9" t="s">
        <v>964</v>
      </c>
      <c r="Y191" s="9">
        <v>60</v>
      </c>
      <c r="Z191" s="10" t="s">
        <v>352</v>
      </c>
    </row>
    <row r="192" spans="1:26" x14ac:dyDescent="0.35">
      <c r="A192">
        <v>2</v>
      </c>
      <c r="B192" s="2" t="s">
        <v>337</v>
      </c>
      <c r="C192">
        <v>184</v>
      </c>
      <c r="D192" t="s">
        <v>7</v>
      </c>
      <c r="F192">
        <v>8</v>
      </c>
      <c r="G192" t="s">
        <v>7</v>
      </c>
      <c r="H192" s="7"/>
      <c r="I192" s="9">
        <v>2</v>
      </c>
      <c r="J192" s="10" t="s">
        <v>337</v>
      </c>
      <c r="K192">
        <v>171</v>
      </c>
      <c r="L192" t="s">
        <v>576</v>
      </c>
      <c r="M192">
        <v>10</v>
      </c>
      <c r="O192" t="s">
        <v>576</v>
      </c>
      <c r="Q192">
        <v>8</v>
      </c>
      <c r="R192" t="s">
        <v>576</v>
      </c>
      <c r="W192" s="9">
        <v>5510</v>
      </c>
      <c r="X192" s="9" t="s">
        <v>965</v>
      </c>
      <c r="Y192" s="9">
        <v>62</v>
      </c>
      <c r="Z192" s="10" t="s">
        <v>377</v>
      </c>
    </row>
    <row r="193" spans="1:26" x14ac:dyDescent="0.35">
      <c r="A193">
        <v>4</v>
      </c>
      <c r="B193" s="2" t="s">
        <v>354</v>
      </c>
      <c r="C193">
        <v>185</v>
      </c>
      <c r="D193" t="s">
        <v>8</v>
      </c>
      <c r="F193">
        <v>9</v>
      </c>
      <c r="G193" t="s">
        <v>8</v>
      </c>
      <c r="H193" s="7"/>
      <c r="I193" s="9">
        <v>4</v>
      </c>
      <c r="J193" s="10" t="s">
        <v>755</v>
      </c>
      <c r="K193">
        <v>172</v>
      </c>
      <c r="L193" t="s">
        <v>577</v>
      </c>
      <c r="M193">
        <v>11</v>
      </c>
      <c r="O193" t="s">
        <v>577</v>
      </c>
      <c r="Q193">
        <v>9</v>
      </c>
      <c r="R193" t="s">
        <v>577</v>
      </c>
      <c r="W193" s="9">
        <v>5520</v>
      </c>
      <c r="X193" s="9" t="s">
        <v>966</v>
      </c>
      <c r="Y193" s="9">
        <v>62</v>
      </c>
      <c r="Z193" s="10" t="s">
        <v>377</v>
      </c>
    </row>
    <row r="194" spans="1:26" x14ac:dyDescent="0.35">
      <c r="A194">
        <v>4</v>
      </c>
      <c r="B194" s="2" t="s">
        <v>354</v>
      </c>
      <c r="C194">
        <v>186</v>
      </c>
      <c r="D194" t="s">
        <v>9</v>
      </c>
      <c r="F194">
        <v>10</v>
      </c>
      <c r="G194" t="s">
        <v>9</v>
      </c>
      <c r="H194" s="7"/>
      <c r="I194" s="9">
        <v>5</v>
      </c>
      <c r="J194" s="10" t="s">
        <v>354</v>
      </c>
      <c r="K194">
        <v>173</v>
      </c>
      <c r="L194" t="s">
        <v>578</v>
      </c>
      <c r="M194">
        <v>12</v>
      </c>
      <c r="O194" t="s">
        <v>578</v>
      </c>
      <c r="Q194">
        <v>10</v>
      </c>
      <c r="R194" t="s">
        <v>578</v>
      </c>
      <c r="W194" s="9">
        <v>6010</v>
      </c>
      <c r="X194" s="9" t="s">
        <v>967</v>
      </c>
      <c r="Y194" s="9">
        <v>61</v>
      </c>
      <c r="Z194" s="10" t="s">
        <v>376</v>
      </c>
    </row>
    <row r="195" spans="1:26" x14ac:dyDescent="0.35">
      <c r="A195">
        <v>4</v>
      </c>
      <c r="B195" s="2" t="s">
        <v>354</v>
      </c>
      <c r="C195">
        <v>187</v>
      </c>
      <c r="D195" t="s">
        <v>10</v>
      </c>
      <c r="F195">
        <v>11</v>
      </c>
      <c r="G195" t="s">
        <v>10</v>
      </c>
      <c r="H195" s="7"/>
      <c r="I195" s="9">
        <v>5</v>
      </c>
      <c r="J195" s="10" t="s">
        <v>354</v>
      </c>
      <c r="K195">
        <v>174</v>
      </c>
      <c r="L195" t="s">
        <v>579</v>
      </c>
      <c r="M195">
        <v>13</v>
      </c>
      <c r="O195" t="s">
        <v>579</v>
      </c>
      <c r="Q195">
        <v>11</v>
      </c>
      <c r="R195" t="s">
        <v>730</v>
      </c>
      <c r="W195" s="9">
        <v>6021</v>
      </c>
      <c r="X195" s="9" t="s">
        <v>968</v>
      </c>
      <c r="Y195" s="9">
        <v>61</v>
      </c>
      <c r="Z195" s="10" t="s">
        <v>376</v>
      </c>
    </row>
    <row r="196" spans="1:26" x14ac:dyDescent="0.35">
      <c r="A196">
        <v>32</v>
      </c>
      <c r="B196" s="2" t="s">
        <v>336</v>
      </c>
      <c r="C196">
        <v>188</v>
      </c>
      <c r="D196" t="s">
        <v>105</v>
      </c>
      <c r="H196" s="7"/>
      <c r="I196" s="9">
        <v>39.299999999999997</v>
      </c>
      <c r="J196" s="10" t="s">
        <v>336</v>
      </c>
      <c r="K196">
        <v>175</v>
      </c>
      <c r="L196" t="s">
        <v>580</v>
      </c>
      <c r="M196">
        <v>14</v>
      </c>
      <c r="O196" t="s">
        <v>580</v>
      </c>
      <c r="W196" s="9">
        <v>6022</v>
      </c>
      <c r="X196" s="9" t="s">
        <v>969</v>
      </c>
      <c r="Y196" s="9">
        <v>61</v>
      </c>
      <c r="Z196" s="10" t="s">
        <v>376</v>
      </c>
    </row>
    <row r="197" spans="1:26" x14ac:dyDescent="0.35">
      <c r="A197">
        <v>32</v>
      </c>
      <c r="B197" s="2" t="s">
        <v>336</v>
      </c>
      <c r="C197">
        <v>189</v>
      </c>
      <c r="D197" t="s">
        <v>106</v>
      </c>
      <c r="H197" s="7"/>
      <c r="I197" s="9">
        <v>39.299999999999997</v>
      </c>
      <c r="J197" s="10" t="s">
        <v>336</v>
      </c>
      <c r="K197">
        <v>176</v>
      </c>
      <c r="L197" t="s">
        <v>581</v>
      </c>
      <c r="M197">
        <v>15</v>
      </c>
      <c r="O197" t="s">
        <v>581</v>
      </c>
      <c r="W197" s="9">
        <v>6023</v>
      </c>
      <c r="X197" s="9" t="s">
        <v>970</v>
      </c>
      <c r="Y197" s="9">
        <v>61</v>
      </c>
      <c r="Z197" s="10" t="s">
        <v>376</v>
      </c>
    </row>
    <row r="198" spans="1:26" x14ac:dyDescent="0.35">
      <c r="A198">
        <v>32</v>
      </c>
      <c r="B198" s="2" t="s">
        <v>336</v>
      </c>
      <c r="C198">
        <v>190</v>
      </c>
      <c r="D198" t="s">
        <v>107</v>
      </c>
      <c r="H198" s="7"/>
      <c r="I198" s="9">
        <v>39.299999999999997</v>
      </c>
      <c r="J198" s="10" t="s">
        <v>336</v>
      </c>
      <c r="K198">
        <v>177</v>
      </c>
      <c r="L198" t="s">
        <v>582</v>
      </c>
      <c r="M198">
        <v>16</v>
      </c>
      <c r="O198" t="s">
        <v>582</v>
      </c>
      <c r="W198" s="9">
        <v>6030</v>
      </c>
      <c r="X198" s="9" t="s">
        <v>971</v>
      </c>
      <c r="Y198" s="9">
        <v>61</v>
      </c>
      <c r="Z198" s="10" t="s">
        <v>376</v>
      </c>
    </row>
    <row r="199" spans="1:26" x14ac:dyDescent="0.35">
      <c r="A199">
        <v>32</v>
      </c>
      <c r="B199" s="2" t="s">
        <v>336</v>
      </c>
      <c r="C199">
        <v>191</v>
      </c>
      <c r="D199" t="s">
        <v>108</v>
      </c>
      <c r="H199" s="7"/>
      <c r="I199" s="9">
        <v>39.299999999999997</v>
      </c>
      <c r="J199" s="10" t="s">
        <v>336</v>
      </c>
      <c r="K199">
        <v>178</v>
      </c>
      <c r="L199" t="s">
        <v>583</v>
      </c>
      <c r="M199">
        <v>17</v>
      </c>
      <c r="O199" t="s">
        <v>583</v>
      </c>
      <c r="W199" s="9">
        <v>6110</v>
      </c>
      <c r="X199" s="9" t="s">
        <v>972</v>
      </c>
      <c r="Y199" s="9">
        <v>61</v>
      </c>
      <c r="Z199" s="10" t="s">
        <v>376</v>
      </c>
    </row>
    <row r="200" spans="1:26" x14ac:dyDescent="0.35">
      <c r="A200">
        <v>27</v>
      </c>
      <c r="B200" s="2" t="s">
        <v>368</v>
      </c>
      <c r="C200">
        <v>192</v>
      </c>
      <c r="D200" t="s">
        <v>11</v>
      </c>
      <c r="F200">
        <v>12</v>
      </c>
      <c r="G200" t="s">
        <v>11</v>
      </c>
      <c r="H200" s="7"/>
      <c r="I200" s="9">
        <v>32</v>
      </c>
      <c r="J200" s="10" t="s">
        <v>341</v>
      </c>
      <c r="K200">
        <v>179</v>
      </c>
      <c r="L200" t="s">
        <v>584</v>
      </c>
      <c r="M200">
        <v>18</v>
      </c>
      <c r="O200" t="s">
        <v>584</v>
      </c>
      <c r="Q200">
        <v>12</v>
      </c>
      <c r="R200" t="s">
        <v>584</v>
      </c>
      <c r="W200" s="9">
        <v>6120</v>
      </c>
      <c r="X200" s="9" t="s">
        <v>973</v>
      </c>
      <c r="Y200" s="9">
        <v>61</v>
      </c>
      <c r="Z200" s="10" t="s">
        <v>376</v>
      </c>
    </row>
    <row r="201" spans="1:26" x14ac:dyDescent="0.35">
      <c r="A201">
        <v>27</v>
      </c>
      <c r="B201" s="2" t="s">
        <v>368</v>
      </c>
      <c r="C201">
        <v>193</v>
      </c>
      <c r="D201" t="s">
        <v>109</v>
      </c>
      <c r="F201">
        <v>13</v>
      </c>
      <c r="G201" t="s">
        <v>12</v>
      </c>
      <c r="H201" s="7"/>
      <c r="I201" s="9">
        <v>32</v>
      </c>
      <c r="J201" s="10" t="s">
        <v>341</v>
      </c>
      <c r="K201">
        <v>180</v>
      </c>
      <c r="L201" t="s">
        <v>585</v>
      </c>
      <c r="M201">
        <v>19</v>
      </c>
      <c r="O201" t="s">
        <v>585</v>
      </c>
      <c r="Q201">
        <v>13</v>
      </c>
      <c r="R201" t="s">
        <v>585</v>
      </c>
      <c r="W201" s="9">
        <v>6210</v>
      </c>
      <c r="X201" s="9" t="s">
        <v>974</v>
      </c>
      <c r="Y201" s="9">
        <v>61</v>
      </c>
      <c r="Z201" s="10" t="s">
        <v>376</v>
      </c>
    </row>
    <row r="202" spans="1:26" x14ac:dyDescent="0.35">
      <c r="A202">
        <v>27</v>
      </c>
      <c r="B202" s="2" t="s">
        <v>368</v>
      </c>
      <c r="C202">
        <v>194</v>
      </c>
      <c r="D202" t="s">
        <v>13</v>
      </c>
      <c r="F202">
        <v>14</v>
      </c>
      <c r="G202" t="s">
        <v>13</v>
      </c>
      <c r="H202" s="7"/>
      <c r="I202" s="9">
        <v>32</v>
      </c>
      <c r="J202" s="10" t="s">
        <v>341</v>
      </c>
      <c r="K202">
        <v>181</v>
      </c>
      <c r="L202" t="s">
        <v>586</v>
      </c>
      <c r="M202">
        <v>20</v>
      </c>
      <c r="O202" t="s">
        <v>586</v>
      </c>
      <c r="Q202">
        <v>14</v>
      </c>
      <c r="R202" t="s">
        <v>586</v>
      </c>
      <c r="W202" s="9">
        <v>6220</v>
      </c>
      <c r="X202" s="9" t="s">
        <v>975</v>
      </c>
      <c r="Y202" s="9">
        <v>61</v>
      </c>
      <c r="Z202" s="10" t="s">
        <v>376</v>
      </c>
    </row>
    <row r="203" spans="1:26" x14ac:dyDescent="0.35">
      <c r="A203">
        <v>27</v>
      </c>
      <c r="B203" s="2" t="s">
        <v>368</v>
      </c>
      <c r="C203">
        <v>195</v>
      </c>
      <c r="D203" t="s">
        <v>14</v>
      </c>
      <c r="F203">
        <v>15</v>
      </c>
      <c r="G203" t="s">
        <v>14</v>
      </c>
      <c r="H203" s="7"/>
      <c r="I203" s="9">
        <v>32</v>
      </c>
      <c r="J203" s="10" t="s">
        <v>341</v>
      </c>
      <c r="K203">
        <v>182</v>
      </c>
      <c r="L203" t="s">
        <v>587</v>
      </c>
      <c r="M203">
        <v>21</v>
      </c>
      <c r="O203" t="s">
        <v>587</v>
      </c>
      <c r="Q203">
        <v>15</v>
      </c>
      <c r="R203" t="s">
        <v>587</v>
      </c>
      <c r="W203" s="9">
        <v>6301</v>
      </c>
      <c r="X203" s="9" t="s">
        <v>976</v>
      </c>
      <c r="Y203" s="9">
        <v>61</v>
      </c>
      <c r="Z203" s="10" t="s">
        <v>376</v>
      </c>
    </row>
    <row r="204" spans="1:26" x14ac:dyDescent="0.35">
      <c r="A204">
        <v>27</v>
      </c>
      <c r="B204" s="2" t="s">
        <v>368</v>
      </c>
      <c r="C204">
        <v>196</v>
      </c>
      <c r="D204" t="s">
        <v>15</v>
      </c>
      <c r="F204">
        <v>16</v>
      </c>
      <c r="G204" t="s">
        <v>15</v>
      </c>
      <c r="H204" s="7"/>
      <c r="I204" s="9">
        <v>32</v>
      </c>
      <c r="J204" s="10" t="s">
        <v>341</v>
      </c>
      <c r="K204">
        <v>183</v>
      </c>
      <c r="L204" t="s">
        <v>588</v>
      </c>
      <c r="M204">
        <v>22</v>
      </c>
      <c r="O204" t="s">
        <v>588</v>
      </c>
      <c r="Q204">
        <v>16</v>
      </c>
      <c r="R204" t="s">
        <v>588</v>
      </c>
      <c r="W204" s="9">
        <v>6302</v>
      </c>
      <c r="X204" s="9" t="s">
        <v>977</v>
      </c>
      <c r="Y204" s="9">
        <v>61</v>
      </c>
      <c r="Z204" s="10" t="s">
        <v>376</v>
      </c>
    </row>
    <row r="205" spans="1:26" x14ac:dyDescent="0.35">
      <c r="A205">
        <v>27</v>
      </c>
      <c r="B205" s="2" t="s">
        <v>368</v>
      </c>
      <c r="C205">
        <v>197</v>
      </c>
      <c r="D205" t="s">
        <v>16</v>
      </c>
      <c r="E205" t="s">
        <v>355</v>
      </c>
      <c r="F205">
        <v>17</v>
      </c>
      <c r="G205" t="s">
        <v>16</v>
      </c>
      <c r="H205" s="7"/>
      <c r="I205" s="9">
        <v>32</v>
      </c>
      <c r="J205" s="10" t="s">
        <v>341</v>
      </c>
      <c r="K205">
        <v>184</v>
      </c>
      <c r="L205" t="s">
        <v>589</v>
      </c>
      <c r="M205">
        <v>23</v>
      </c>
      <c r="O205" t="s">
        <v>589</v>
      </c>
      <c r="Q205">
        <v>17</v>
      </c>
      <c r="R205" t="s">
        <v>589</v>
      </c>
      <c r="W205" s="9">
        <v>6303</v>
      </c>
      <c r="X205" s="9" t="s">
        <v>978</v>
      </c>
      <c r="Y205" s="9">
        <v>61</v>
      </c>
      <c r="Z205" s="10" t="s">
        <v>376</v>
      </c>
    </row>
    <row r="206" spans="1:26" x14ac:dyDescent="0.35">
      <c r="A206">
        <v>27</v>
      </c>
      <c r="B206" s="2" t="s">
        <v>368</v>
      </c>
      <c r="C206">
        <v>198</v>
      </c>
      <c r="D206" t="s">
        <v>17</v>
      </c>
      <c r="F206">
        <v>18</v>
      </c>
      <c r="G206" t="s">
        <v>17</v>
      </c>
      <c r="H206" s="7"/>
      <c r="I206" s="9">
        <v>32</v>
      </c>
      <c r="J206" s="10" t="s">
        <v>341</v>
      </c>
      <c r="K206">
        <v>185</v>
      </c>
      <c r="L206" t="s">
        <v>590</v>
      </c>
      <c r="M206">
        <v>24</v>
      </c>
      <c r="O206" t="s">
        <v>590</v>
      </c>
      <c r="Q206">
        <v>18</v>
      </c>
      <c r="R206" t="s">
        <v>590</v>
      </c>
      <c r="W206" s="9">
        <v>6304</v>
      </c>
      <c r="X206" s="9" t="s">
        <v>979</v>
      </c>
      <c r="Y206" s="9">
        <v>61</v>
      </c>
      <c r="Z206" s="10" t="s">
        <v>376</v>
      </c>
    </row>
    <row r="207" spans="1:26" x14ac:dyDescent="0.35">
      <c r="A207">
        <v>27</v>
      </c>
      <c r="B207" s="2" t="s">
        <v>368</v>
      </c>
      <c r="C207">
        <v>199</v>
      </c>
      <c r="D207" t="s">
        <v>110</v>
      </c>
      <c r="H207" s="7"/>
      <c r="I207" s="9">
        <v>32</v>
      </c>
      <c r="J207" s="10" t="s">
        <v>341</v>
      </c>
      <c r="K207">
        <v>186</v>
      </c>
      <c r="L207" t="s">
        <v>591</v>
      </c>
      <c r="M207">
        <v>25</v>
      </c>
      <c r="O207" t="s">
        <v>591</v>
      </c>
      <c r="W207" s="9">
        <v>6309</v>
      </c>
      <c r="X207" s="9" t="s">
        <v>980</v>
      </c>
      <c r="Y207" s="9">
        <v>61</v>
      </c>
      <c r="Z207" s="10" t="s">
        <v>376</v>
      </c>
    </row>
    <row r="208" spans="1:26" x14ac:dyDescent="0.35">
      <c r="A208">
        <v>27</v>
      </c>
      <c r="B208" s="2" t="s">
        <v>368</v>
      </c>
      <c r="C208">
        <v>200</v>
      </c>
      <c r="D208" t="s">
        <v>111</v>
      </c>
      <c r="H208" s="7"/>
      <c r="I208" s="9">
        <v>32</v>
      </c>
      <c r="J208" s="10" t="s">
        <v>341</v>
      </c>
      <c r="K208">
        <v>187</v>
      </c>
      <c r="L208" t="s">
        <v>592</v>
      </c>
      <c r="M208">
        <v>26</v>
      </c>
      <c r="O208" t="s">
        <v>592</v>
      </c>
      <c r="W208" s="9">
        <v>6411</v>
      </c>
      <c r="X208" s="9" t="s">
        <v>981</v>
      </c>
      <c r="Y208" s="9">
        <v>63</v>
      </c>
      <c r="Z208" s="10" t="s">
        <v>375</v>
      </c>
    </row>
    <row r="209" spans="1:26" x14ac:dyDescent="0.35">
      <c r="A209">
        <v>19</v>
      </c>
      <c r="B209" s="2" t="s">
        <v>339</v>
      </c>
      <c r="C209">
        <v>201</v>
      </c>
      <c r="D209" t="s">
        <v>18</v>
      </c>
      <c r="F209">
        <v>19</v>
      </c>
      <c r="G209" t="s">
        <v>18</v>
      </c>
      <c r="H209" s="7"/>
      <c r="I209" s="9">
        <v>24.1</v>
      </c>
      <c r="J209" s="10" t="s">
        <v>339</v>
      </c>
      <c r="K209">
        <v>188</v>
      </c>
      <c r="L209" t="s">
        <v>593</v>
      </c>
      <c r="M209">
        <v>27</v>
      </c>
      <c r="O209" t="s">
        <v>593</v>
      </c>
      <c r="Q209">
        <v>19</v>
      </c>
      <c r="R209" t="s">
        <v>593</v>
      </c>
      <c r="W209" s="9">
        <v>6412</v>
      </c>
      <c r="X209" s="9" t="s">
        <v>982</v>
      </c>
      <c r="Y209" s="9">
        <v>63</v>
      </c>
      <c r="Z209" s="10" t="s">
        <v>375</v>
      </c>
    </row>
    <row r="210" spans="1:26" x14ac:dyDescent="0.35">
      <c r="A210">
        <v>27</v>
      </c>
      <c r="B210" s="2" t="s">
        <v>341</v>
      </c>
      <c r="C210">
        <v>202</v>
      </c>
      <c r="D210" t="s">
        <v>112</v>
      </c>
      <c r="H210" s="7"/>
      <c r="I210" s="9">
        <v>32</v>
      </c>
      <c r="J210" s="10" t="s">
        <v>341</v>
      </c>
      <c r="K210">
        <v>189</v>
      </c>
      <c r="L210" t="s">
        <v>594</v>
      </c>
      <c r="M210">
        <v>28</v>
      </c>
      <c r="O210" t="s">
        <v>594</v>
      </c>
      <c r="W210" s="9">
        <v>6420</v>
      </c>
      <c r="X210" s="9" t="s">
        <v>983</v>
      </c>
      <c r="Y210" s="9">
        <v>63</v>
      </c>
      <c r="Z210" s="10" t="s">
        <v>375</v>
      </c>
    </row>
    <row r="211" spans="1:26" x14ac:dyDescent="0.35">
      <c r="A211">
        <v>19</v>
      </c>
      <c r="B211" s="2" t="s">
        <v>339</v>
      </c>
      <c r="C211">
        <v>203</v>
      </c>
      <c r="D211" t="s">
        <v>113</v>
      </c>
      <c r="F211">
        <v>20</v>
      </c>
      <c r="G211" t="s">
        <v>19</v>
      </c>
      <c r="H211" s="7"/>
      <c r="I211" s="9">
        <v>24.1</v>
      </c>
      <c r="J211" s="10" t="s">
        <v>339</v>
      </c>
      <c r="K211">
        <v>190</v>
      </c>
      <c r="L211" t="s">
        <v>595</v>
      </c>
      <c r="M211">
        <v>29</v>
      </c>
      <c r="O211" t="s">
        <v>595</v>
      </c>
      <c r="Q211">
        <v>20</v>
      </c>
      <c r="R211" t="s">
        <v>731</v>
      </c>
      <c r="W211" s="9">
        <v>6511</v>
      </c>
      <c r="X211" s="9" t="s">
        <v>984</v>
      </c>
      <c r="Y211" s="9">
        <v>64</v>
      </c>
      <c r="Z211" s="10" t="s">
        <v>378</v>
      </c>
    </row>
    <row r="212" spans="1:26" x14ac:dyDescent="0.35">
      <c r="A212">
        <v>19</v>
      </c>
      <c r="B212" s="2" t="s">
        <v>339</v>
      </c>
      <c r="C212">
        <v>204</v>
      </c>
      <c r="D212" t="s">
        <v>20</v>
      </c>
      <c r="F212">
        <v>21</v>
      </c>
      <c r="G212" t="s">
        <v>20</v>
      </c>
      <c r="H212" s="7"/>
      <c r="I212" s="9">
        <v>24.2</v>
      </c>
      <c r="J212" s="10" t="s">
        <v>20</v>
      </c>
      <c r="K212">
        <v>191</v>
      </c>
      <c r="L212" t="s">
        <v>596</v>
      </c>
      <c r="M212">
        <v>30</v>
      </c>
      <c r="O212" t="s">
        <v>596</v>
      </c>
      <c r="Q212">
        <v>21</v>
      </c>
      <c r="R212" t="s">
        <v>596</v>
      </c>
      <c r="W212" s="9">
        <v>6519</v>
      </c>
      <c r="X212" s="9" t="s">
        <v>985</v>
      </c>
      <c r="Y212" s="9">
        <v>64</v>
      </c>
      <c r="Z212" s="10" t="s">
        <v>378</v>
      </c>
    </row>
    <row r="213" spans="1:26" x14ac:dyDescent="0.35">
      <c r="A213">
        <v>27</v>
      </c>
      <c r="B213" s="2" t="s">
        <v>341</v>
      </c>
      <c r="C213">
        <v>205</v>
      </c>
      <c r="D213" t="s">
        <v>21</v>
      </c>
      <c r="F213">
        <v>22</v>
      </c>
      <c r="G213" t="s">
        <v>21</v>
      </c>
      <c r="H213" s="7"/>
      <c r="I213" s="9">
        <v>33</v>
      </c>
      <c r="J213" s="10" t="s">
        <v>763</v>
      </c>
      <c r="K213">
        <v>192</v>
      </c>
      <c r="L213" t="s">
        <v>597</v>
      </c>
      <c r="M213">
        <v>31</v>
      </c>
      <c r="O213" t="s">
        <v>597</v>
      </c>
      <c r="Q213">
        <v>22</v>
      </c>
      <c r="R213" t="s">
        <v>597</v>
      </c>
      <c r="W213" s="9">
        <v>6591</v>
      </c>
      <c r="X213" s="9" t="s">
        <v>986</v>
      </c>
      <c r="Y213" s="9">
        <v>64</v>
      </c>
      <c r="Z213" s="10" t="s">
        <v>378</v>
      </c>
    </row>
    <row r="214" spans="1:26" x14ac:dyDescent="0.35">
      <c r="A214">
        <v>27</v>
      </c>
      <c r="B214" s="2" t="s">
        <v>341</v>
      </c>
      <c r="C214">
        <v>206</v>
      </c>
      <c r="D214" t="s">
        <v>22</v>
      </c>
      <c r="F214">
        <v>23</v>
      </c>
      <c r="G214" t="s">
        <v>22</v>
      </c>
      <c r="H214" s="7"/>
      <c r="I214" s="9">
        <v>33</v>
      </c>
      <c r="J214" s="10" t="s">
        <v>763</v>
      </c>
      <c r="K214">
        <v>193</v>
      </c>
      <c r="L214" t="s">
        <v>598</v>
      </c>
      <c r="M214">
        <v>32</v>
      </c>
      <c r="O214" t="s">
        <v>598</v>
      </c>
      <c r="W214" s="9">
        <v>6592</v>
      </c>
      <c r="X214" s="9" t="s">
        <v>987</v>
      </c>
      <c r="Y214" s="9">
        <v>64</v>
      </c>
      <c r="Z214" s="10" t="s">
        <v>378</v>
      </c>
    </row>
    <row r="215" spans="1:26" x14ac:dyDescent="0.35">
      <c r="A215">
        <v>22</v>
      </c>
      <c r="B215" s="2" t="s">
        <v>340</v>
      </c>
      <c r="C215">
        <v>207</v>
      </c>
      <c r="D215" t="s">
        <v>114</v>
      </c>
      <c r="H215" s="7"/>
      <c r="I215" s="9">
        <v>33</v>
      </c>
      <c r="J215" s="10" t="s">
        <v>763</v>
      </c>
      <c r="K215">
        <v>194</v>
      </c>
      <c r="L215" t="s">
        <v>599</v>
      </c>
      <c r="M215">
        <v>33</v>
      </c>
      <c r="O215" t="s">
        <v>599</v>
      </c>
      <c r="Q215">
        <v>23</v>
      </c>
      <c r="R215" t="s">
        <v>599</v>
      </c>
      <c r="W215" s="9">
        <v>6599</v>
      </c>
      <c r="X215" s="9" t="s">
        <v>988</v>
      </c>
      <c r="Y215" s="9">
        <v>64</v>
      </c>
      <c r="Z215" s="10" t="s">
        <v>378</v>
      </c>
    </row>
    <row r="216" spans="1:26" x14ac:dyDescent="0.35">
      <c r="A216">
        <v>27</v>
      </c>
      <c r="B216" s="2" t="s">
        <v>341</v>
      </c>
      <c r="C216">
        <v>208</v>
      </c>
      <c r="D216" t="s">
        <v>115</v>
      </c>
      <c r="H216" s="7"/>
      <c r="I216" s="9">
        <v>33</v>
      </c>
      <c r="J216" s="10" t="s">
        <v>763</v>
      </c>
      <c r="K216">
        <v>195</v>
      </c>
      <c r="L216" t="s">
        <v>600</v>
      </c>
      <c r="M216">
        <v>34</v>
      </c>
      <c r="O216" t="s">
        <v>600</v>
      </c>
      <c r="W216" s="9">
        <v>6601</v>
      </c>
      <c r="X216" s="9" t="s">
        <v>989</v>
      </c>
      <c r="Y216" s="9">
        <v>64</v>
      </c>
      <c r="Z216" s="10" t="s">
        <v>378</v>
      </c>
    </row>
    <row r="217" spans="1:26" x14ac:dyDescent="0.35">
      <c r="A217">
        <v>18</v>
      </c>
      <c r="B217" s="2" t="s">
        <v>338</v>
      </c>
      <c r="C217">
        <v>209</v>
      </c>
      <c r="D217" t="s">
        <v>23</v>
      </c>
      <c r="F217">
        <v>24</v>
      </c>
      <c r="G217" t="s">
        <v>23</v>
      </c>
      <c r="H217" s="7"/>
      <c r="I217" s="9">
        <v>33</v>
      </c>
      <c r="J217" s="10" t="s">
        <v>763</v>
      </c>
      <c r="K217">
        <v>196</v>
      </c>
      <c r="L217" t="s">
        <v>601</v>
      </c>
      <c r="M217">
        <v>35</v>
      </c>
      <c r="O217" t="s">
        <v>601</v>
      </c>
      <c r="W217" s="9">
        <v>6602</v>
      </c>
      <c r="X217" s="9" t="s">
        <v>990</v>
      </c>
      <c r="Y217" s="9">
        <v>64</v>
      </c>
      <c r="Z217" s="10" t="s">
        <v>378</v>
      </c>
    </row>
    <row r="218" spans="1:26" x14ac:dyDescent="0.35">
      <c r="A218">
        <v>27</v>
      </c>
      <c r="B218" s="2" t="s">
        <v>341</v>
      </c>
      <c r="C218">
        <v>210</v>
      </c>
      <c r="D218" t="s">
        <v>24</v>
      </c>
      <c r="F218">
        <v>25</v>
      </c>
      <c r="G218" t="s">
        <v>24</v>
      </c>
      <c r="H218" s="7"/>
      <c r="I218" s="9">
        <v>22</v>
      </c>
      <c r="J218" s="10" t="s">
        <v>758</v>
      </c>
      <c r="K218">
        <v>197</v>
      </c>
      <c r="L218" t="s">
        <v>602</v>
      </c>
      <c r="M218">
        <v>36</v>
      </c>
      <c r="O218" t="s">
        <v>602</v>
      </c>
      <c r="Q218">
        <v>24</v>
      </c>
      <c r="R218" t="s">
        <v>602</v>
      </c>
      <c r="W218" s="9">
        <v>6603</v>
      </c>
      <c r="X218" s="9" t="s">
        <v>991</v>
      </c>
      <c r="Y218" s="9">
        <v>64</v>
      </c>
      <c r="Z218" s="10" t="s">
        <v>378</v>
      </c>
    </row>
    <row r="219" spans="1:26" x14ac:dyDescent="0.35">
      <c r="A219">
        <v>27</v>
      </c>
      <c r="B219" s="2" t="s">
        <v>341</v>
      </c>
      <c r="C219">
        <v>211</v>
      </c>
      <c r="D219" t="s">
        <v>116</v>
      </c>
      <c r="H219" s="7"/>
      <c r="I219" s="9">
        <v>22</v>
      </c>
      <c r="J219" s="10" t="s">
        <v>758</v>
      </c>
      <c r="K219">
        <v>198</v>
      </c>
      <c r="L219" t="s">
        <v>603</v>
      </c>
      <c r="M219">
        <v>37</v>
      </c>
      <c r="O219" t="s">
        <v>603</v>
      </c>
      <c r="Q219">
        <v>25</v>
      </c>
      <c r="R219" t="s">
        <v>603</v>
      </c>
      <c r="W219" s="9">
        <v>6711</v>
      </c>
      <c r="X219" s="9" t="s">
        <v>992</v>
      </c>
      <c r="Y219" s="9">
        <v>64</v>
      </c>
      <c r="Z219" s="10" t="s">
        <v>378</v>
      </c>
    </row>
    <row r="220" spans="1:26" x14ac:dyDescent="0.35">
      <c r="A220">
        <v>32</v>
      </c>
      <c r="B220" s="2" t="s">
        <v>336</v>
      </c>
      <c r="C220">
        <v>212</v>
      </c>
      <c r="D220" t="s">
        <v>117</v>
      </c>
      <c r="H220" s="7"/>
      <c r="I220" s="9">
        <v>36</v>
      </c>
      <c r="J220" s="10" t="s">
        <v>765</v>
      </c>
      <c r="K220">
        <v>199</v>
      </c>
      <c r="L220" t="s">
        <v>604</v>
      </c>
      <c r="M220">
        <v>38</v>
      </c>
      <c r="O220" t="s">
        <v>604</v>
      </c>
      <c r="W220" s="9">
        <v>6712</v>
      </c>
      <c r="X220" s="9" t="s">
        <v>993</v>
      </c>
      <c r="Y220" s="9">
        <v>64</v>
      </c>
      <c r="Z220" s="10" t="s">
        <v>378</v>
      </c>
    </row>
    <row r="221" spans="1:26" x14ac:dyDescent="0.35">
      <c r="A221">
        <v>27</v>
      </c>
      <c r="H221" s="7"/>
      <c r="I221" s="9">
        <v>36</v>
      </c>
      <c r="J221" s="10" t="s">
        <v>765</v>
      </c>
      <c r="K221">
        <v>200</v>
      </c>
      <c r="L221" t="s">
        <v>605</v>
      </c>
      <c r="M221">
        <v>39</v>
      </c>
      <c r="O221" t="s">
        <v>605</v>
      </c>
      <c r="W221" s="9">
        <v>6719</v>
      </c>
      <c r="X221" s="9" t="s">
        <v>994</v>
      </c>
      <c r="Y221" s="9">
        <v>64</v>
      </c>
      <c r="Z221" s="10" t="s">
        <v>378</v>
      </c>
    </row>
    <row r="222" spans="1:26" x14ac:dyDescent="0.35">
      <c r="A222">
        <v>27</v>
      </c>
      <c r="B222" s="2" t="s">
        <v>341</v>
      </c>
      <c r="C222">
        <v>213</v>
      </c>
      <c r="D222" t="s">
        <v>118</v>
      </c>
      <c r="H222" s="7"/>
      <c r="I222" s="9">
        <v>36</v>
      </c>
      <c r="J222" s="10" t="s">
        <v>765</v>
      </c>
      <c r="K222">
        <v>201</v>
      </c>
      <c r="L222" t="s">
        <v>606</v>
      </c>
      <c r="M222">
        <v>40</v>
      </c>
      <c r="O222" t="s">
        <v>606</v>
      </c>
      <c r="W222" s="9">
        <v>6720</v>
      </c>
      <c r="X222" s="9" t="s">
        <v>995</v>
      </c>
      <c r="Y222" s="9">
        <v>64</v>
      </c>
      <c r="Z222" s="10" t="s">
        <v>378</v>
      </c>
    </row>
    <row r="223" spans="1:26" x14ac:dyDescent="0.35">
      <c r="A223">
        <v>27</v>
      </c>
      <c r="B223" s="2" t="s">
        <v>341</v>
      </c>
      <c r="C223">
        <v>214</v>
      </c>
      <c r="D223" t="s">
        <v>119</v>
      </c>
      <c r="H223" s="7"/>
      <c r="I223" s="9">
        <v>36</v>
      </c>
      <c r="J223" s="10" t="s">
        <v>765</v>
      </c>
      <c r="K223">
        <v>202</v>
      </c>
      <c r="L223" t="s">
        <v>607</v>
      </c>
      <c r="M223">
        <v>41</v>
      </c>
      <c r="O223" t="s">
        <v>607</v>
      </c>
      <c r="W223" s="9">
        <v>7010</v>
      </c>
      <c r="X223" s="9" t="s">
        <v>996</v>
      </c>
      <c r="Y223" s="9">
        <v>65</v>
      </c>
      <c r="Z223" s="10" t="s">
        <v>397</v>
      </c>
    </row>
    <row r="224" spans="1:26" x14ac:dyDescent="0.35">
      <c r="A224">
        <v>29</v>
      </c>
      <c r="B224" s="2" t="s">
        <v>341</v>
      </c>
      <c r="C224">
        <v>215</v>
      </c>
      <c r="D224" t="s">
        <v>25</v>
      </c>
      <c r="F224">
        <v>26</v>
      </c>
      <c r="G224" t="s">
        <v>25</v>
      </c>
      <c r="H224" s="7"/>
      <c r="I224" s="9">
        <v>36</v>
      </c>
      <c r="J224" s="10" t="s">
        <v>765</v>
      </c>
      <c r="K224">
        <v>203</v>
      </c>
      <c r="L224" t="s">
        <v>608</v>
      </c>
      <c r="M224">
        <v>42</v>
      </c>
      <c r="O224" t="s">
        <v>608</v>
      </c>
      <c r="Q224">
        <v>26</v>
      </c>
      <c r="R224" t="s">
        <v>608</v>
      </c>
      <c r="W224" s="9">
        <v>7020</v>
      </c>
      <c r="X224" s="9" t="s">
        <v>997</v>
      </c>
      <c r="Y224" s="9">
        <v>65</v>
      </c>
      <c r="Z224" s="10" t="s">
        <v>397</v>
      </c>
    </row>
    <row r="225" spans="1:26" x14ac:dyDescent="0.35">
      <c r="A225">
        <v>29</v>
      </c>
      <c r="B225" s="3" t="s">
        <v>342</v>
      </c>
      <c r="C225">
        <v>216</v>
      </c>
      <c r="D225" t="s">
        <v>120</v>
      </c>
      <c r="F225">
        <v>27</v>
      </c>
      <c r="G225" t="s">
        <v>26</v>
      </c>
      <c r="H225" s="7"/>
      <c r="I225" s="9">
        <v>36</v>
      </c>
      <c r="J225" s="10" t="s">
        <v>765</v>
      </c>
      <c r="K225">
        <v>204</v>
      </c>
      <c r="L225" t="s">
        <v>609</v>
      </c>
      <c r="M225">
        <v>43</v>
      </c>
      <c r="O225" t="s">
        <v>609</v>
      </c>
      <c r="Q225">
        <v>28</v>
      </c>
      <c r="R225" t="s">
        <v>733</v>
      </c>
      <c r="W225" s="9">
        <v>7111</v>
      </c>
      <c r="X225" s="9" t="s">
        <v>998</v>
      </c>
      <c r="Y225" s="9">
        <v>66</v>
      </c>
      <c r="Z225" s="10" t="s">
        <v>380</v>
      </c>
    </row>
    <row r="226" spans="1:26" x14ac:dyDescent="0.35">
      <c r="B226" s="3" t="s">
        <v>342</v>
      </c>
      <c r="H226" s="7"/>
      <c r="I226" s="9">
        <v>36</v>
      </c>
      <c r="J226" s="10" t="s">
        <v>765</v>
      </c>
      <c r="K226">
        <v>205</v>
      </c>
      <c r="L226" t="s">
        <v>732</v>
      </c>
      <c r="Q226">
        <v>27</v>
      </c>
      <c r="R226" t="s">
        <v>732</v>
      </c>
      <c r="W226" s="9">
        <v>7112</v>
      </c>
      <c r="X226" s="9" t="s">
        <v>999</v>
      </c>
      <c r="Y226" s="9">
        <v>66</v>
      </c>
      <c r="Z226" s="10" t="s">
        <v>380</v>
      </c>
    </row>
    <row r="227" spans="1:26" x14ac:dyDescent="0.35">
      <c r="A227">
        <v>29</v>
      </c>
      <c r="B227" s="3" t="s">
        <v>342</v>
      </c>
      <c r="C227">
        <v>217</v>
      </c>
      <c r="D227" t="s">
        <v>358</v>
      </c>
      <c r="H227" s="7"/>
      <c r="I227" s="9">
        <v>36</v>
      </c>
      <c r="J227" s="10" t="s">
        <v>765</v>
      </c>
      <c r="K227">
        <v>206</v>
      </c>
      <c r="L227" t="s">
        <v>610</v>
      </c>
      <c r="M227">
        <v>44</v>
      </c>
      <c r="O227" t="s">
        <v>610</v>
      </c>
      <c r="W227" s="9">
        <v>7113</v>
      </c>
      <c r="X227" s="9" t="s">
        <v>1000</v>
      </c>
      <c r="Y227" s="9">
        <v>66</v>
      </c>
      <c r="Z227" s="10" t="s">
        <v>380</v>
      </c>
    </row>
    <row r="228" spans="1:26" x14ac:dyDescent="0.35">
      <c r="A228">
        <v>29</v>
      </c>
      <c r="B228" s="3" t="s">
        <v>342</v>
      </c>
      <c r="C228">
        <v>218</v>
      </c>
      <c r="D228" t="s">
        <v>121</v>
      </c>
      <c r="H228" s="7"/>
      <c r="I228" s="9">
        <v>35</v>
      </c>
      <c r="J228" s="10" t="s">
        <v>342</v>
      </c>
      <c r="K228">
        <v>207</v>
      </c>
      <c r="L228" t="s">
        <v>611</v>
      </c>
      <c r="M228">
        <v>45</v>
      </c>
      <c r="O228" t="s">
        <v>611</v>
      </c>
      <c r="W228" s="9">
        <v>7121</v>
      </c>
      <c r="X228" s="9" t="s">
        <v>1001</v>
      </c>
      <c r="Y228" s="9">
        <v>66</v>
      </c>
      <c r="Z228" s="10" t="s">
        <v>380</v>
      </c>
    </row>
    <row r="229" spans="1:26" x14ac:dyDescent="0.35">
      <c r="A229">
        <v>29</v>
      </c>
      <c r="B229" s="3" t="s">
        <v>342</v>
      </c>
      <c r="C229">
        <v>219</v>
      </c>
      <c r="D229" t="s">
        <v>27</v>
      </c>
      <c r="F229">
        <v>28</v>
      </c>
      <c r="G229" t="s">
        <v>27</v>
      </c>
      <c r="H229" s="7"/>
      <c r="I229" s="9">
        <v>35</v>
      </c>
      <c r="J229" s="10" t="s">
        <v>342</v>
      </c>
      <c r="K229">
        <v>208</v>
      </c>
      <c r="L229" t="s">
        <v>612</v>
      </c>
      <c r="M229">
        <v>46</v>
      </c>
      <c r="O229" t="s">
        <v>612</v>
      </c>
      <c r="W229" s="9">
        <v>7122</v>
      </c>
      <c r="X229" s="9" t="s">
        <v>1002</v>
      </c>
      <c r="Y229" s="9">
        <v>66</v>
      </c>
      <c r="Z229" s="10" t="s">
        <v>380</v>
      </c>
    </row>
    <row r="230" spans="1:26" x14ac:dyDescent="0.35">
      <c r="A230">
        <v>29</v>
      </c>
      <c r="B230" s="3" t="s">
        <v>342</v>
      </c>
      <c r="C230">
        <v>220</v>
      </c>
      <c r="D230" t="s">
        <v>28</v>
      </c>
      <c r="F230">
        <v>29</v>
      </c>
      <c r="G230" t="s">
        <v>28</v>
      </c>
      <c r="H230" s="7"/>
      <c r="I230" s="9">
        <v>35</v>
      </c>
      <c r="J230" s="10" t="s">
        <v>342</v>
      </c>
      <c r="K230">
        <v>209</v>
      </c>
      <c r="L230" t="s">
        <v>613</v>
      </c>
      <c r="M230">
        <v>47</v>
      </c>
      <c r="O230" t="s">
        <v>613</v>
      </c>
      <c r="W230" s="9">
        <v>7123</v>
      </c>
      <c r="X230" s="9" t="s">
        <v>1003</v>
      </c>
      <c r="Y230" s="9">
        <v>66</v>
      </c>
      <c r="Z230" s="10" t="s">
        <v>380</v>
      </c>
    </row>
    <row r="231" spans="1:26" x14ac:dyDescent="0.35">
      <c r="A231">
        <v>29</v>
      </c>
      <c r="B231" s="3" t="s">
        <v>342</v>
      </c>
      <c r="C231">
        <v>221</v>
      </c>
      <c r="D231" t="s">
        <v>122</v>
      </c>
      <c r="F231">
        <v>30</v>
      </c>
      <c r="G231" t="s">
        <v>29</v>
      </c>
      <c r="H231" s="7"/>
      <c r="I231" s="9">
        <v>35</v>
      </c>
      <c r="J231" s="10" t="s">
        <v>342</v>
      </c>
      <c r="K231">
        <v>210</v>
      </c>
      <c r="L231" t="s">
        <v>614</v>
      </c>
      <c r="M231">
        <v>48</v>
      </c>
      <c r="O231" t="s">
        <v>614</v>
      </c>
      <c r="W231" s="9">
        <v>7129</v>
      </c>
      <c r="X231" s="9" t="s">
        <v>1004</v>
      </c>
      <c r="Y231" s="9">
        <v>66</v>
      </c>
      <c r="Z231" s="10" t="s">
        <v>380</v>
      </c>
    </row>
    <row r="232" spans="1:26" x14ac:dyDescent="0.35">
      <c r="A232">
        <v>7</v>
      </c>
      <c r="B232" s="3" t="s">
        <v>342</v>
      </c>
      <c r="C232">
        <v>221</v>
      </c>
      <c r="F232" s="1">
        <v>31</v>
      </c>
      <c r="G232" t="s">
        <v>30</v>
      </c>
      <c r="H232" s="7"/>
      <c r="I232" s="9">
        <v>35</v>
      </c>
      <c r="J232" s="10" t="s">
        <v>342</v>
      </c>
      <c r="K232">
        <v>211</v>
      </c>
      <c r="L232" t="s">
        <v>615</v>
      </c>
      <c r="M232">
        <v>49</v>
      </c>
      <c r="O232" t="s">
        <v>615</v>
      </c>
      <c r="Q232">
        <v>30</v>
      </c>
      <c r="R232" t="s">
        <v>615</v>
      </c>
      <c r="W232" s="9">
        <v>7130</v>
      </c>
      <c r="X232" s="9" t="s">
        <v>1005</v>
      </c>
      <c r="Y232" s="9">
        <v>66</v>
      </c>
      <c r="Z232" s="10" t="s">
        <v>380</v>
      </c>
    </row>
    <row r="233" spans="1:26" x14ac:dyDescent="0.35">
      <c r="A233">
        <v>29</v>
      </c>
      <c r="B233" s="3" t="s">
        <v>356</v>
      </c>
      <c r="C233" s="1">
        <v>322</v>
      </c>
      <c r="F233" s="1">
        <v>32</v>
      </c>
      <c r="G233" t="s">
        <v>31</v>
      </c>
      <c r="H233" s="7"/>
      <c r="I233" s="9">
        <v>35</v>
      </c>
      <c r="J233" s="10" t="s">
        <v>342</v>
      </c>
      <c r="K233">
        <v>212</v>
      </c>
      <c r="L233" t="s">
        <v>734</v>
      </c>
      <c r="Q233">
        <v>29</v>
      </c>
      <c r="R233" t="s">
        <v>734</v>
      </c>
      <c r="W233" s="9">
        <v>7210</v>
      </c>
      <c r="X233" s="9" t="s">
        <v>1006</v>
      </c>
      <c r="Y233" s="9">
        <v>66</v>
      </c>
      <c r="Z233" s="10" t="s">
        <v>380</v>
      </c>
    </row>
    <row r="234" spans="1:26" x14ac:dyDescent="0.35">
      <c r="A234">
        <v>29</v>
      </c>
      <c r="B234" s="3" t="s">
        <v>342</v>
      </c>
      <c r="C234">
        <v>222</v>
      </c>
      <c r="F234" s="1">
        <v>33</v>
      </c>
      <c r="G234" t="s">
        <v>32</v>
      </c>
      <c r="H234" s="7"/>
      <c r="I234" s="9">
        <v>15.2</v>
      </c>
      <c r="J234" s="10" t="s">
        <v>1319</v>
      </c>
      <c r="K234">
        <v>213</v>
      </c>
      <c r="L234" t="s">
        <v>616</v>
      </c>
      <c r="M234">
        <v>50</v>
      </c>
      <c r="O234" t="s">
        <v>616</v>
      </c>
      <c r="Q234">
        <v>31</v>
      </c>
      <c r="R234" t="s">
        <v>735</v>
      </c>
      <c r="W234" s="9">
        <v>7221</v>
      </c>
      <c r="X234" s="9" t="s">
        <v>1007</v>
      </c>
      <c r="Y234" s="9">
        <v>66</v>
      </c>
      <c r="Z234" s="10" t="s">
        <v>380</v>
      </c>
    </row>
    <row r="235" spans="1:26" x14ac:dyDescent="0.35">
      <c r="A235">
        <v>29</v>
      </c>
      <c r="B235" s="3" t="s">
        <v>342</v>
      </c>
      <c r="C235">
        <v>222</v>
      </c>
      <c r="F235" s="1">
        <v>34</v>
      </c>
      <c r="G235" t="s">
        <v>33</v>
      </c>
      <c r="H235" s="7"/>
      <c r="I235" s="9">
        <v>15.2</v>
      </c>
      <c r="J235" s="10" t="s">
        <v>1319</v>
      </c>
      <c r="K235">
        <v>214</v>
      </c>
      <c r="L235" t="s">
        <v>617</v>
      </c>
      <c r="M235">
        <v>51</v>
      </c>
      <c r="O235" t="s">
        <v>617</v>
      </c>
      <c r="Q235">
        <v>32</v>
      </c>
      <c r="R235" t="s">
        <v>617</v>
      </c>
      <c r="W235" s="9">
        <v>7229</v>
      </c>
      <c r="X235" s="9" t="s">
        <v>1008</v>
      </c>
      <c r="Y235" s="9">
        <v>66</v>
      </c>
      <c r="Z235" s="10" t="s">
        <v>380</v>
      </c>
    </row>
    <row r="236" spans="1:26" x14ac:dyDescent="0.35">
      <c r="A236">
        <v>14</v>
      </c>
      <c r="B236" s="3" t="s">
        <v>342</v>
      </c>
      <c r="C236">
        <v>222</v>
      </c>
      <c r="D236" t="s">
        <v>34</v>
      </c>
      <c r="F236">
        <v>35</v>
      </c>
      <c r="G236" t="s">
        <v>34</v>
      </c>
      <c r="H236" s="7"/>
      <c r="I236" s="9">
        <v>15.2</v>
      </c>
      <c r="J236" s="10" t="s">
        <v>1319</v>
      </c>
      <c r="K236">
        <v>215</v>
      </c>
      <c r="L236" t="s">
        <v>618</v>
      </c>
      <c r="M236">
        <v>52</v>
      </c>
      <c r="O236" t="s">
        <v>618</v>
      </c>
      <c r="Q236">
        <v>33</v>
      </c>
      <c r="R236" t="s">
        <v>618</v>
      </c>
      <c r="W236" s="9">
        <v>7230</v>
      </c>
      <c r="X236" s="9" t="s">
        <v>1009</v>
      </c>
      <c r="Y236" s="9">
        <v>66</v>
      </c>
      <c r="Z236" s="10" t="s">
        <v>380</v>
      </c>
    </row>
    <row r="237" spans="1:26" x14ac:dyDescent="0.35">
      <c r="A237">
        <v>14</v>
      </c>
      <c r="B237" s="2" t="s">
        <v>331</v>
      </c>
      <c r="C237">
        <v>223</v>
      </c>
      <c r="D237" t="s">
        <v>123</v>
      </c>
      <c r="F237">
        <v>36</v>
      </c>
      <c r="G237" t="s">
        <v>35</v>
      </c>
      <c r="H237" s="7"/>
      <c r="I237" s="9">
        <v>15.1</v>
      </c>
      <c r="J237" s="10" t="s">
        <v>331</v>
      </c>
      <c r="K237">
        <v>216</v>
      </c>
      <c r="L237" t="s">
        <v>619</v>
      </c>
      <c r="M237">
        <v>53</v>
      </c>
      <c r="O237" t="s">
        <v>619</v>
      </c>
      <c r="Q237">
        <v>34</v>
      </c>
      <c r="R237" t="s">
        <v>619</v>
      </c>
      <c r="W237" s="9">
        <v>7240</v>
      </c>
      <c r="X237" s="9" t="s">
        <v>1010</v>
      </c>
      <c r="Y237" s="9">
        <v>66</v>
      </c>
      <c r="Z237" s="10" t="s">
        <v>380</v>
      </c>
    </row>
    <row r="238" spans="1:26" x14ac:dyDescent="0.35">
      <c r="A238">
        <v>14</v>
      </c>
      <c r="B238" s="2" t="s">
        <v>331</v>
      </c>
      <c r="C238">
        <v>224</v>
      </c>
      <c r="D238" t="s">
        <v>36</v>
      </c>
      <c r="F238">
        <v>37</v>
      </c>
      <c r="G238" t="s">
        <v>36</v>
      </c>
      <c r="H238" s="7"/>
      <c r="I238" s="9">
        <v>15.1</v>
      </c>
      <c r="J238" s="10" t="s">
        <v>331</v>
      </c>
      <c r="K238">
        <v>217</v>
      </c>
      <c r="L238" t="s">
        <v>620</v>
      </c>
      <c r="M238">
        <v>54</v>
      </c>
      <c r="O238" t="s">
        <v>620</v>
      </c>
      <c r="Q238">
        <v>35</v>
      </c>
      <c r="R238" t="s">
        <v>620</v>
      </c>
      <c r="W238" s="9">
        <v>7250</v>
      </c>
      <c r="X238" s="9" t="s">
        <v>1011</v>
      </c>
      <c r="Y238" s="9">
        <v>66</v>
      </c>
      <c r="Z238" s="10" t="s">
        <v>380</v>
      </c>
    </row>
    <row r="239" spans="1:26" x14ac:dyDescent="0.35">
      <c r="A239">
        <v>14</v>
      </c>
      <c r="B239" s="2" t="s">
        <v>331</v>
      </c>
      <c r="C239">
        <v>225</v>
      </c>
      <c r="D239" t="s">
        <v>37</v>
      </c>
      <c r="F239">
        <v>38</v>
      </c>
      <c r="G239" t="s">
        <v>37</v>
      </c>
      <c r="H239" s="7"/>
      <c r="I239" s="9">
        <v>15.1</v>
      </c>
      <c r="J239" s="10" t="s">
        <v>331</v>
      </c>
      <c r="K239">
        <v>218</v>
      </c>
      <c r="L239" t="s">
        <v>621</v>
      </c>
      <c r="M239">
        <v>55</v>
      </c>
      <c r="O239" t="s">
        <v>621</v>
      </c>
      <c r="Q239">
        <v>36</v>
      </c>
      <c r="R239" t="s">
        <v>621</v>
      </c>
      <c r="W239" s="9">
        <v>7290</v>
      </c>
      <c r="X239" s="9" t="s">
        <v>1012</v>
      </c>
      <c r="Y239" s="9">
        <v>66</v>
      </c>
      <c r="Z239" s="10" t="s">
        <v>380</v>
      </c>
    </row>
    <row r="240" spans="1:26" x14ac:dyDescent="0.35">
      <c r="A240">
        <v>14</v>
      </c>
      <c r="B240" s="2" t="s">
        <v>331</v>
      </c>
      <c r="C240">
        <v>226</v>
      </c>
      <c r="D240" t="s">
        <v>38</v>
      </c>
      <c r="F240">
        <v>39</v>
      </c>
      <c r="G240" t="s">
        <v>38</v>
      </c>
      <c r="H240" s="7"/>
      <c r="I240" s="9">
        <v>15.1</v>
      </c>
      <c r="J240" s="10" t="s">
        <v>331</v>
      </c>
      <c r="K240">
        <v>219</v>
      </c>
      <c r="L240" t="s">
        <v>622</v>
      </c>
      <c r="M240">
        <v>56</v>
      </c>
      <c r="O240" t="s">
        <v>622</v>
      </c>
      <c r="Q240">
        <v>37</v>
      </c>
      <c r="R240" t="s">
        <v>622</v>
      </c>
      <c r="W240" s="9">
        <v>7310</v>
      </c>
      <c r="X240" s="9" t="s">
        <v>1013</v>
      </c>
      <c r="Y240" s="9">
        <v>66</v>
      </c>
      <c r="Z240" s="10" t="s">
        <v>380</v>
      </c>
    </row>
    <row r="241" spans="1:26" x14ac:dyDescent="0.35">
      <c r="A241">
        <v>14</v>
      </c>
      <c r="B241" s="2" t="s">
        <v>331</v>
      </c>
      <c r="C241">
        <v>227</v>
      </c>
      <c r="D241" t="s">
        <v>39</v>
      </c>
      <c r="F241">
        <v>40</v>
      </c>
      <c r="G241" t="s">
        <v>39</v>
      </c>
      <c r="H241" s="7"/>
      <c r="I241" s="9">
        <v>15.1</v>
      </c>
      <c r="J241" s="10" t="s">
        <v>331</v>
      </c>
      <c r="K241">
        <v>220</v>
      </c>
      <c r="L241" t="s">
        <v>623</v>
      </c>
      <c r="M241">
        <v>57</v>
      </c>
      <c r="O241" t="s">
        <v>623</v>
      </c>
      <c r="Q241">
        <v>38</v>
      </c>
      <c r="R241" t="s">
        <v>623</v>
      </c>
      <c r="W241" s="9">
        <v>7320</v>
      </c>
      <c r="X241" s="9" t="s">
        <v>1014</v>
      </c>
      <c r="Y241" s="9">
        <v>66</v>
      </c>
      <c r="Z241" s="10" t="s">
        <v>380</v>
      </c>
    </row>
    <row r="242" spans="1:26" x14ac:dyDescent="0.35">
      <c r="A242">
        <v>14</v>
      </c>
      <c r="B242" s="2" t="s">
        <v>331</v>
      </c>
      <c r="C242">
        <v>228</v>
      </c>
      <c r="D242" t="s">
        <v>40</v>
      </c>
      <c r="F242">
        <v>41</v>
      </c>
      <c r="G242" t="s">
        <v>40</v>
      </c>
      <c r="H242" s="7"/>
      <c r="I242" s="9">
        <v>15.1</v>
      </c>
      <c r="J242" s="10" t="s">
        <v>331</v>
      </c>
      <c r="K242">
        <v>221</v>
      </c>
      <c r="L242" t="s">
        <v>624</v>
      </c>
      <c r="M242">
        <v>58</v>
      </c>
      <c r="O242" t="s">
        <v>624</v>
      </c>
      <c r="Q242">
        <v>39</v>
      </c>
      <c r="R242" t="s">
        <v>624</v>
      </c>
      <c r="W242" s="9">
        <v>7411</v>
      </c>
      <c r="X242" s="9" t="s">
        <v>1015</v>
      </c>
      <c r="Y242" s="9">
        <v>66</v>
      </c>
      <c r="Z242" s="10" t="s">
        <v>380</v>
      </c>
    </row>
    <row r="243" spans="1:26" x14ac:dyDescent="0.35">
      <c r="A243">
        <v>14</v>
      </c>
      <c r="B243" s="2" t="s">
        <v>331</v>
      </c>
      <c r="C243">
        <v>229</v>
      </c>
      <c r="D243" t="s">
        <v>41</v>
      </c>
      <c r="F243">
        <v>42</v>
      </c>
      <c r="G243" t="s">
        <v>41</v>
      </c>
      <c r="H243" s="7"/>
      <c r="I243" s="9">
        <v>15.1</v>
      </c>
      <c r="J243" s="10" t="s">
        <v>331</v>
      </c>
      <c r="K243">
        <v>222</v>
      </c>
      <c r="L243" t="s">
        <v>355</v>
      </c>
      <c r="M243">
        <v>59</v>
      </c>
      <c r="O243" t="s">
        <v>625</v>
      </c>
      <c r="W243" s="9">
        <v>7412</v>
      </c>
      <c r="X243" s="9" t="s">
        <v>1016</v>
      </c>
      <c r="Y243" s="9">
        <v>66</v>
      </c>
      <c r="Z243" s="10" t="s">
        <v>380</v>
      </c>
    </row>
    <row r="244" spans="1:26" x14ac:dyDescent="0.35">
      <c r="A244">
        <v>14</v>
      </c>
      <c r="B244" s="2" t="s">
        <v>331</v>
      </c>
      <c r="C244">
        <v>230</v>
      </c>
      <c r="D244" t="s">
        <v>42</v>
      </c>
      <c r="F244">
        <v>43</v>
      </c>
      <c r="G244" t="s">
        <v>42</v>
      </c>
      <c r="H244" s="7"/>
      <c r="I244" s="9">
        <v>15.1</v>
      </c>
      <c r="J244" s="10" t="s">
        <v>331</v>
      </c>
      <c r="K244">
        <v>223</v>
      </c>
      <c r="L244" t="s">
        <v>626</v>
      </c>
      <c r="M244">
        <v>60</v>
      </c>
      <c r="O244" t="s">
        <v>626</v>
      </c>
      <c r="Q244">
        <v>40</v>
      </c>
      <c r="R244" t="s">
        <v>626</v>
      </c>
      <c r="W244" s="9">
        <v>7413</v>
      </c>
      <c r="X244" s="9" t="s">
        <v>1017</v>
      </c>
      <c r="Y244" s="9">
        <v>66</v>
      </c>
      <c r="Z244" s="10" t="s">
        <v>380</v>
      </c>
    </row>
    <row r="245" spans="1:26" x14ac:dyDescent="0.35">
      <c r="A245">
        <v>14</v>
      </c>
      <c r="B245" s="2" t="s">
        <v>331</v>
      </c>
      <c r="C245">
        <v>231</v>
      </c>
      <c r="D245" t="s">
        <v>43</v>
      </c>
      <c r="F245">
        <v>44</v>
      </c>
      <c r="G245" t="s">
        <v>43</v>
      </c>
      <c r="H245" s="7"/>
      <c r="I245" s="9">
        <v>15.1</v>
      </c>
      <c r="J245" s="10" t="s">
        <v>331</v>
      </c>
      <c r="K245">
        <v>224</v>
      </c>
      <c r="L245" t="s">
        <v>627</v>
      </c>
      <c r="M245">
        <v>61</v>
      </c>
      <c r="O245" t="s">
        <v>627</v>
      </c>
      <c r="Q245">
        <v>41</v>
      </c>
      <c r="R245" t="s">
        <v>736</v>
      </c>
      <c r="W245" s="9">
        <v>7414</v>
      </c>
      <c r="X245" s="9" t="s">
        <v>1018</v>
      </c>
      <c r="Y245" s="9">
        <v>66</v>
      </c>
      <c r="Z245" s="10" t="s">
        <v>380</v>
      </c>
    </row>
    <row r="246" spans="1:26" x14ac:dyDescent="0.35">
      <c r="A246">
        <v>14</v>
      </c>
      <c r="B246" s="4" t="s">
        <v>331</v>
      </c>
      <c r="C246">
        <v>232</v>
      </c>
      <c r="D246" t="s">
        <v>359</v>
      </c>
      <c r="H246" s="7"/>
      <c r="I246" s="9">
        <v>15.1</v>
      </c>
      <c r="J246" s="10" t="s">
        <v>331</v>
      </c>
      <c r="K246">
        <v>225</v>
      </c>
      <c r="L246" t="s">
        <v>628</v>
      </c>
      <c r="M246">
        <v>62</v>
      </c>
      <c r="O246" t="s">
        <v>628</v>
      </c>
      <c r="Q246">
        <v>42</v>
      </c>
      <c r="R246" t="s">
        <v>737</v>
      </c>
      <c r="W246" s="9">
        <v>7421</v>
      </c>
      <c r="X246" s="9" t="s">
        <v>1019</v>
      </c>
      <c r="Y246" s="9">
        <v>66</v>
      </c>
      <c r="Z246" s="10" t="s">
        <v>380</v>
      </c>
    </row>
    <row r="247" spans="1:26" x14ac:dyDescent="0.35">
      <c r="A247">
        <v>14</v>
      </c>
      <c r="B247" s="2" t="s">
        <v>331</v>
      </c>
      <c r="C247">
        <v>233</v>
      </c>
      <c r="D247" t="s">
        <v>124</v>
      </c>
      <c r="F247">
        <v>45</v>
      </c>
      <c r="G247" t="s">
        <v>44</v>
      </c>
      <c r="H247" s="7"/>
      <c r="I247" s="9">
        <v>15.1</v>
      </c>
      <c r="J247" s="10" t="s">
        <v>331</v>
      </c>
      <c r="K247">
        <v>226</v>
      </c>
      <c r="L247" t="s">
        <v>629</v>
      </c>
      <c r="M247">
        <v>63</v>
      </c>
      <c r="O247" t="s">
        <v>629</v>
      </c>
      <c r="Q247">
        <v>43</v>
      </c>
      <c r="R247" t="s">
        <v>629</v>
      </c>
      <c r="W247" s="9">
        <v>7422</v>
      </c>
      <c r="X247" s="9" t="s">
        <v>1020</v>
      </c>
      <c r="Y247" s="9">
        <v>66</v>
      </c>
      <c r="Z247" s="10" t="s">
        <v>380</v>
      </c>
    </row>
    <row r="248" spans="1:26" x14ac:dyDescent="0.35">
      <c r="A248">
        <v>14</v>
      </c>
      <c r="B248" s="2" t="s">
        <v>331</v>
      </c>
      <c r="C248">
        <v>234</v>
      </c>
      <c r="D248" t="s">
        <v>45</v>
      </c>
      <c r="F248">
        <v>46</v>
      </c>
      <c r="G248" t="s">
        <v>45</v>
      </c>
      <c r="H248" s="7"/>
      <c r="I248" s="9">
        <v>15.1</v>
      </c>
      <c r="J248" s="10" t="s">
        <v>331</v>
      </c>
      <c r="K248">
        <v>227</v>
      </c>
      <c r="L248" t="s">
        <v>630</v>
      </c>
      <c r="M248">
        <v>64</v>
      </c>
      <c r="O248" t="s">
        <v>630</v>
      </c>
      <c r="Q248">
        <v>44</v>
      </c>
      <c r="R248" t="s">
        <v>630</v>
      </c>
      <c r="W248" s="9">
        <v>7430</v>
      </c>
      <c r="X248" s="9" t="s">
        <v>1021</v>
      </c>
      <c r="Y248" s="9">
        <v>66</v>
      </c>
      <c r="Z248" s="10" t="s">
        <v>380</v>
      </c>
    </row>
    <row r="249" spans="1:26" x14ac:dyDescent="0.35">
      <c r="A249">
        <v>14</v>
      </c>
      <c r="B249" s="2" t="s">
        <v>331</v>
      </c>
      <c r="C249">
        <v>235</v>
      </c>
      <c r="D249" t="s">
        <v>46</v>
      </c>
      <c r="F249">
        <v>47</v>
      </c>
      <c r="G249" t="s">
        <v>46</v>
      </c>
      <c r="H249" s="7"/>
      <c r="I249" s="9">
        <v>15.1</v>
      </c>
      <c r="J249" s="10" t="s">
        <v>331</v>
      </c>
      <c r="K249">
        <v>228</v>
      </c>
      <c r="L249" t="s">
        <v>631</v>
      </c>
      <c r="M249">
        <v>65</v>
      </c>
      <c r="O249" t="s">
        <v>631</v>
      </c>
      <c r="W249" s="9">
        <v>7491</v>
      </c>
      <c r="X249" s="9" t="s">
        <v>1022</v>
      </c>
      <c r="Y249" s="9">
        <v>66</v>
      </c>
      <c r="Z249" s="10" t="s">
        <v>380</v>
      </c>
    </row>
    <row r="250" spans="1:26" x14ac:dyDescent="0.35">
      <c r="A250">
        <v>14</v>
      </c>
      <c r="B250" s="2" t="s">
        <v>331</v>
      </c>
      <c r="C250">
        <v>236</v>
      </c>
      <c r="D250" t="s">
        <v>47</v>
      </c>
      <c r="F250">
        <v>48</v>
      </c>
      <c r="G250" t="s">
        <v>47</v>
      </c>
      <c r="H250" s="7"/>
      <c r="I250" s="9">
        <v>15.1</v>
      </c>
      <c r="J250" s="10" t="s">
        <v>331</v>
      </c>
      <c r="K250">
        <v>229</v>
      </c>
      <c r="L250" t="s">
        <v>632</v>
      </c>
      <c r="M250">
        <v>66</v>
      </c>
      <c r="O250" t="s">
        <v>632</v>
      </c>
      <c r="Q250">
        <v>45</v>
      </c>
      <c r="R250" t="s">
        <v>738</v>
      </c>
      <c r="W250" s="9">
        <v>7492</v>
      </c>
      <c r="X250" s="9" t="s">
        <v>1023</v>
      </c>
      <c r="Y250" s="9">
        <v>66</v>
      </c>
      <c r="Z250" s="10" t="s">
        <v>380</v>
      </c>
    </row>
    <row r="251" spans="1:26" x14ac:dyDescent="0.35">
      <c r="A251">
        <v>14</v>
      </c>
      <c r="B251" s="2" t="s">
        <v>331</v>
      </c>
      <c r="C251">
        <v>237</v>
      </c>
      <c r="D251" t="s">
        <v>48</v>
      </c>
      <c r="F251">
        <v>49</v>
      </c>
      <c r="G251" t="s">
        <v>48</v>
      </c>
      <c r="H251" s="7"/>
      <c r="I251" s="9">
        <v>6</v>
      </c>
      <c r="J251" s="10" t="s">
        <v>344</v>
      </c>
      <c r="K251">
        <v>230</v>
      </c>
      <c r="L251" t="s">
        <v>633</v>
      </c>
      <c r="M251">
        <v>67</v>
      </c>
      <c r="O251" t="s">
        <v>633</v>
      </c>
      <c r="Q251">
        <v>46</v>
      </c>
      <c r="R251" t="s">
        <v>633</v>
      </c>
      <c r="W251" s="9">
        <v>7493</v>
      </c>
      <c r="X251" s="9" t="s">
        <v>1024</v>
      </c>
      <c r="Y251" s="9">
        <v>66</v>
      </c>
      <c r="Z251" s="10" t="s">
        <v>380</v>
      </c>
    </row>
    <row r="252" spans="1:26" x14ac:dyDescent="0.35">
      <c r="A252">
        <v>14</v>
      </c>
      <c r="B252" s="2" t="s">
        <v>331</v>
      </c>
      <c r="C252">
        <v>238</v>
      </c>
      <c r="D252" t="s">
        <v>125</v>
      </c>
      <c r="H252" s="7"/>
      <c r="I252" s="9">
        <v>7</v>
      </c>
      <c r="J252" s="10" t="s">
        <v>345</v>
      </c>
      <c r="K252">
        <v>231</v>
      </c>
      <c r="L252" t="s">
        <v>634</v>
      </c>
      <c r="M252">
        <v>68</v>
      </c>
      <c r="O252" t="s">
        <v>634</v>
      </c>
      <c r="Q252">
        <v>47</v>
      </c>
      <c r="R252" t="s">
        <v>634</v>
      </c>
      <c r="W252" s="9">
        <v>7494</v>
      </c>
      <c r="X252" s="9" t="s">
        <v>1025</v>
      </c>
      <c r="Y252" s="9">
        <v>66</v>
      </c>
      <c r="Z252" s="10" t="s">
        <v>380</v>
      </c>
    </row>
    <row r="253" spans="1:26" x14ac:dyDescent="0.35">
      <c r="A253">
        <v>5</v>
      </c>
      <c r="B253" s="2" t="s">
        <v>331</v>
      </c>
      <c r="C253">
        <v>239</v>
      </c>
      <c r="D253" t="s">
        <v>126</v>
      </c>
      <c r="F253">
        <v>50</v>
      </c>
      <c r="G253" t="s">
        <v>49</v>
      </c>
      <c r="H253" s="7"/>
      <c r="I253" s="9">
        <v>7</v>
      </c>
      <c r="J253" s="10" t="s">
        <v>345</v>
      </c>
      <c r="K253">
        <v>232</v>
      </c>
      <c r="L253" t="s">
        <v>635</v>
      </c>
      <c r="M253">
        <v>69</v>
      </c>
      <c r="O253" t="s">
        <v>635</v>
      </c>
      <c r="Q253">
        <v>48</v>
      </c>
      <c r="R253" t="s">
        <v>739</v>
      </c>
      <c r="W253" s="9">
        <v>7495</v>
      </c>
      <c r="X253" s="9" t="s">
        <v>1026</v>
      </c>
      <c r="Y253" s="9">
        <v>66</v>
      </c>
      <c r="Z253" s="10" t="s">
        <v>380</v>
      </c>
    </row>
    <row r="254" spans="1:26" x14ac:dyDescent="0.35">
      <c r="A254">
        <v>10</v>
      </c>
      <c r="B254" s="2" t="s">
        <v>343</v>
      </c>
      <c r="C254">
        <v>240</v>
      </c>
      <c r="D254" t="s">
        <v>50</v>
      </c>
      <c r="F254">
        <v>51</v>
      </c>
      <c r="G254" t="s">
        <v>50</v>
      </c>
      <c r="H254" s="7"/>
      <c r="I254" s="9">
        <v>7</v>
      </c>
      <c r="J254" s="10" t="s">
        <v>345</v>
      </c>
      <c r="K254">
        <v>233</v>
      </c>
      <c r="L254" t="s">
        <v>636</v>
      </c>
      <c r="M254">
        <v>70</v>
      </c>
      <c r="O254" t="s">
        <v>636</v>
      </c>
      <c r="Q254">
        <v>49</v>
      </c>
      <c r="R254" t="s">
        <v>635</v>
      </c>
      <c r="W254" s="9">
        <v>7499</v>
      </c>
      <c r="X254" s="9" t="s">
        <v>1027</v>
      </c>
      <c r="Y254" s="9">
        <v>66</v>
      </c>
      <c r="Z254" s="10" t="s">
        <v>380</v>
      </c>
    </row>
    <row r="255" spans="1:26" x14ac:dyDescent="0.35">
      <c r="A255">
        <v>10</v>
      </c>
      <c r="B255" s="2" t="s">
        <v>343</v>
      </c>
      <c r="C255">
        <v>241</v>
      </c>
      <c r="D255" t="s">
        <v>51</v>
      </c>
      <c r="F255">
        <v>52</v>
      </c>
      <c r="G255" t="s">
        <v>51</v>
      </c>
      <c r="H255" s="7"/>
      <c r="I255" s="9">
        <v>11</v>
      </c>
      <c r="J255" s="10" t="s">
        <v>343</v>
      </c>
      <c r="K255">
        <v>234</v>
      </c>
      <c r="L255" t="s">
        <v>637</v>
      </c>
      <c r="M255">
        <v>71</v>
      </c>
      <c r="O255" t="s">
        <v>637</v>
      </c>
      <c r="Q255">
        <v>50</v>
      </c>
      <c r="R255" t="s">
        <v>637</v>
      </c>
      <c r="W255" s="9">
        <v>7511</v>
      </c>
      <c r="X255" s="9" t="s">
        <v>1028</v>
      </c>
      <c r="Y255" s="9">
        <v>67</v>
      </c>
      <c r="Z255" s="10" t="s">
        <v>381</v>
      </c>
    </row>
    <row r="256" spans="1:26" x14ac:dyDescent="0.35">
      <c r="A256">
        <v>5</v>
      </c>
      <c r="B256" s="2" t="s">
        <v>344</v>
      </c>
      <c r="C256">
        <v>242</v>
      </c>
      <c r="D256" t="s">
        <v>52</v>
      </c>
      <c r="F256">
        <v>53</v>
      </c>
      <c r="G256" t="s">
        <v>52</v>
      </c>
      <c r="H256" s="7"/>
      <c r="I256" s="9">
        <v>11</v>
      </c>
      <c r="J256" s="10" t="s">
        <v>343</v>
      </c>
      <c r="K256">
        <v>235</v>
      </c>
      <c r="L256" t="s">
        <v>638</v>
      </c>
      <c r="M256">
        <v>72</v>
      </c>
      <c r="O256" t="s">
        <v>638</v>
      </c>
      <c r="Q256">
        <v>51</v>
      </c>
      <c r="R256" t="s">
        <v>638</v>
      </c>
      <c r="W256" s="9">
        <v>7512</v>
      </c>
      <c r="X256" s="9" t="s">
        <v>1029</v>
      </c>
      <c r="Y256" s="9">
        <v>67</v>
      </c>
      <c r="Z256" s="10" t="s">
        <v>381</v>
      </c>
    </row>
    <row r="257" spans="1:26" x14ac:dyDescent="0.35">
      <c r="A257">
        <v>10</v>
      </c>
      <c r="B257" s="2" t="s">
        <v>343</v>
      </c>
      <c r="C257">
        <v>243</v>
      </c>
      <c r="D257" t="s">
        <v>53</v>
      </c>
      <c r="F257">
        <v>54</v>
      </c>
      <c r="G257" t="s">
        <v>53</v>
      </c>
      <c r="H257" s="7"/>
      <c r="I257" s="9">
        <v>6</v>
      </c>
      <c r="J257" s="10" t="s">
        <v>344</v>
      </c>
      <c r="K257">
        <v>236</v>
      </c>
      <c r="L257" t="s">
        <v>639</v>
      </c>
      <c r="M257">
        <v>73</v>
      </c>
      <c r="O257" t="s">
        <v>639</v>
      </c>
      <c r="Q257">
        <v>52</v>
      </c>
      <c r="R257" t="s">
        <v>639</v>
      </c>
      <c r="W257" s="9">
        <v>7513</v>
      </c>
      <c r="X257" s="9" t="s">
        <v>1030</v>
      </c>
      <c r="Y257" s="9">
        <v>67</v>
      </c>
      <c r="Z257" s="10" t="s">
        <v>381</v>
      </c>
    </row>
    <row r="258" spans="1:26" x14ac:dyDescent="0.35">
      <c r="A258">
        <v>5</v>
      </c>
      <c r="B258" s="2" t="s">
        <v>344</v>
      </c>
      <c r="C258">
        <v>244</v>
      </c>
      <c r="D258" t="s">
        <v>54</v>
      </c>
      <c r="F258">
        <v>55</v>
      </c>
      <c r="G258" t="s">
        <v>54</v>
      </c>
      <c r="H258" s="7"/>
      <c r="I258" s="9">
        <v>11</v>
      </c>
      <c r="J258" s="10" t="s">
        <v>343</v>
      </c>
      <c r="K258">
        <v>237</v>
      </c>
      <c r="L258" t="s">
        <v>640</v>
      </c>
      <c r="M258">
        <v>74</v>
      </c>
      <c r="O258" t="s">
        <v>640</v>
      </c>
      <c r="Q258">
        <v>53</v>
      </c>
      <c r="R258" t="s">
        <v>640</v>
      </c>
      <c r="W258" s="9">
        <v>7514</v>
      </c>
      <c r="X258" s="9" t="s">
        <v>1031</v>
      </c>
      <c r="Y258" s="9">
        <v>67</v>
      </c>
      <c r="Z258" s="10" t="s">
        <v>381</v>
      </c>
    </row>
    <row r="259" spans="1:26" x14ac:dyDescent="0.35">
      <c r="A259">
        <v>7</v>
      </c>
      <c r="B259" s="2" t="s">
        <v>344</v>
      </c>
      <c r="C259">
        <v>245</v>
      </c>
      <c r="D259" t="s">
        <v>55</v>
      </c>
      <c r="F259">
        <v>56</v>
      </c>
      <c r="G259" t="s">
        <v>55</v>
      </c>
      <c r="H259" s="7"/>
      <c r="I259" s="9">
        <v>6</v>
      </c>
      <c r="J259" s="10" t="s">
        <v>344</v>
      </c>
      <c r="K259">
        <v>238</v>
      </c>
      <c r="L259" t="s">
        <v>641</v>
      </c>
      <c r="M259">
        <v>75</v>
      </c>
      <c r="O259" t="s">
        <v>641</v>
      </c>
      <c r="Q259">
        <v>54</v>
      </c>
      <c r="R259" t="s">
        <v>641</v>
      </c>
      <c r="W259" s="9">
        <v>7521</v>
      </c>
      <c r="X259" s="9" t="s">
        <v>1032</v>
      </c>
      <c r="Y259" s="9">
        <v>67</v>
      </c>
      <c r="Z259" s="10" t="s">
        <v>381</v>
      </c>
    </row>
    <row r="260" spans="1:26" x14ac:dyDescent="0.35">
      <c r="A260">
        <v>6</v>
      </c>
      <c r="B260" s="3" t="s">
        <v>356</v>
      </c>
      <c r="C260" s="1">
        <v>322</v>
      </c>
      <c r="F260" s="1">
        <v>57</v>
      </c>
      <c r="G260" t="s">
        <v>56</v>
      </c>
      <c r="H260" s="7"/>
      <c r="I260" s="9">
        <v>11</v>
      </c>
      <c r="J260" s="10" t="s">
        <v>343</v>
      </c>
      <c r="K260">
        <v>239</v>
      </c>
      <c r="L260" t="s">
        <v>642</v>
      </c>
      <c r="M260">
        <v>76</v>
      </c>
      <c r="O260" t="s">
        <v>642</v>
      </c>
      <c r="Q260">
        <v>55</v>
      </c>
      <c r="R260" t="s">
        <v>642</v>
      </c>
      <c r="W260" s="9">
        <v>7522</v>
      </c>
      <c r="X260" s="9" t="s">
        <v>1033</v>
      </c>
      <c r="Y260" s="9">
        <v>67</v>
      </c>
      <c r="Z260" s="10" t="s">
        <v>381</v>
      </c>
    </row>
    <row r="261" spans="1:26" x14ac:dyDescent="0.35">
      <c r="A261">
        <v>6</v>
      </c>
      <c r="B261" s="2" t="s">
        <v>345</v>
      </c>
      <c r="C261">
        <v>246</v>
      </c>
      <c r="D261" t="s">
        <v>57</v>
      </c>
      <c r="F261">
        <v>58</v>
      </c>
      <c r="G261" t="s">
        <v>57</v>
      </c>
      <c r="H261" s="7"/>
      <c r="I261" s="9">
        <v>6</v>
      </c>
      <c r="J261" s="10" t="s">
        <v>344</v>
      </c>
      <c r="K261">
        <v>240</v>
      </c>
      <c r="L261" t="s">
        <v>643</v>
      </c>
      <c r="M261">
        <v>77</v>
      </c>
      <c r="O261" t="s">
        <v>643</v>
      </c>
      <c r="Q261">
        <v>56</v>
      </c>
      <c r="R261" t="s">
        <v>643</v>
      </c>
      <c r="W261" s="9">
        <v>7523</v>
      </c>
      <c r="X261" s="9" t="s">
        <v>1034</v>
      </c>
      <c r="Y261" s="9">
        <v>67</v>
      </c>
      <c r="Z261" s="10" t="s">
        <v>381</v>
      </c>
    </row>
    <row r="262" spans="1:26" x14ac:dyDescent="0.35">
      <c r="A262">
        <v>6</v>
      </c>
      <c r="B262" s="2" t="s">
        <v>345</v>
      </c>
      <c r="C262">
        <v>247</v>
      </c>
      <c r="D262" t="s">
        <v>127</v>
      </c>
      <c r="H262" s="7"/>
      <c r="I262" s="9">
        <v>11</v>
      </c>
      <c r="J262" s="10" t="s">
        <v>343</v>
      </c>
      <c r="K262">
        <v>241</v>
      </c>
      <c r="L262" t="s">
        <v>644</v>
      </c>
      <c r="M262">
        <v>78</v>
      </c>
      <c r="O262" t="s">
        <v>644</v>
      </c>
      <c r="Q262">
        <v>57</v>
      </c>
      <c r="R262" t="s">
        <v>644</v>
      </c>
      <c r="W262" s="9">
        <v>7530</v>
      </c>
      <c r="X262" s="9" t="s">
        <v>1035</v>
      </c>
      <c r="Y262" s="9">
        <v>67</v>
      </c>
      <c r="Z262" s="10" t="s">
        <v>381</v>
      </c>
    </row>
    <row r="263" spans="1:26" x14ac:dyDescent="0.35">
      <c r="A263">
        <v>5</v>
      </c>
      <c r="B263" s="2" t="s">
        <v>345</v>
      </c>
      <c r="C263">
        <v>248</v>
      </c>
      <c r="D263" t="s">
        <v>58</v>
      </c>
      <c r="F263">
        <v>59</v>
      </c>
      <c r="G263" t="s">
        <v>58</v>
      </c>
      <c r="H263" s="7"/>
      <c r="I263" s="9">
        <v>11</v>
      </c>
      <c r="J263" s="10" t="s">
        <v>343</v>
      </c>
      <c r="K263">
        <v>242</v>
      </c>
      <c r="L263" t="s">
        <v>645</v>
      </c>
      <c r="M263">
        <v>79</v>
      </c>
      <c r="O263" t="s">
        <v>645</v>
      </c>
      <c r="Q263">
        <v>58</v>
      </c>
      <c r="R263" t="s">
        <v>645</v>
      </c>
      <c r="W263" s="9">
        <v>8010</v>
      </c>
      <c r="X263" s="9" t="s">
        <v>1036</v>
      </c>
      <c r="Y263" s="9">
        <v>68</v>
      </c>
      <c r="Z263" s="10" t="s">
        <v>392</v>
      </c>
    </row>
    <row r="264" spans="1:26" x14ac:dyDescent="0.35">
      <c r="A264">
        <v>5</v>
      </c>
      <c r="B264" s="2" t="s">
        <v>344</v>
      </c>
      <c r="C264">
        <v>249</v>
      </c>
      <c r="D264" t="s">
        <v>59</v>
      </c>
      <c r="F264">
        <v>60</v>
      </c>
      <c r="G264" t="s">
        <v>59</v>
      </c>
      <c r="H264" s="7"/>
      <c r="I264" s="9">
        <v>11</v>
      </c>
      <c r="J264" s="10" t="s">
        <v>343</v>
      </c>
      <c r="K264">
        <v>243</v>
      </c>
      <c r="L264" t="s">
        <v>646</v>
      </c>
      <c r="M264">
        <v>80</v>
      </c>
      <c r="O264" t="s">
        <v>646</v>
      </c>
      <c r="Q264">
        <v>59</v>
      </c>
      <c r="R264" t="s">
        <v>646</v>
      </c>
      <c r="W264" s="9">
        <v>8021</v>
      </c>
      <c r="X264" s="9" t="s">
        <v>1037</v>
      </c>
      <c r="Y264" s="9">
        <v>68</v>
      </c>
      <c r="Z264" s="10" t="s">
        <v>392</v>
      </c>
    </row>
    <row r="265" spans="1:26" x14ac:dyDescent="0.35">
      <c r="A265">
        <v>10</v>
      </c>
      <c r="B265" s="2" t="s">
        <v>344</v>
      </c>
      <c r="C265">
        <v>250</v>
      </c>
      <c r="D265" t="s">
        <v>60</v>
      </c>
      <c r="F265">
        <v>61</v>
      </c>
      <c r="G265" t="s">
        <v>60</v>
      </c>
      <c r="H265" s="7"/>
      <c r="I265" s="9">
        <v>11</v>
      </c>
      <c r="J265" s="10" t="s">
        <v>343</v>
      </c>
      <c r="K265">
        <v>244</v>
      </c>
      <c r="L265" t="s">
        <v>647</v>
      </c>
      <c r="M265">
        <v>81</v>
      </c>
      <c r="O265" t="s">
        <v>647</v>
      </c>
      <c r="Q265">
        <v>60</v>
      </c>
      <c r="R265" t="s">
        <v>647</v>
      </c>
      <c r="W265" s="9">
        <v>8022</v>
      </c>
      <c r="X265" s="9" t="s">
        <v>1038</v>
      </c>
      <c r="Y265" s="9">
        <v>68</v>
      </c>
      <c r="Z265" s="10" t="s">
        <v>392</v>
      </c>
    </row>
    <row r="266" spans="1:26" x14ac:dyDescent="0.35">
      <c r="A266">
        <v>10</v>
      </c>
      <c r="B266" s="2" t="s">
        <v>343</v>
      </c>
      <c r="C266">
        <v>251</v>
      </c>
      <c r="D266" t="s">
        <v>61</v>
      </c>
      <c r="F266">
        <v>62</v>
      </c>
      <c r="G266" t="s">
        <v>61</v>
      </c>
      <c r="H266" s="7"/>
      <c r="I266" s="9">
        <v>11</v>
      </c>
      <c r="J266" s="10" t="s">
        <v>343</v>
      </c>
      <c r="K266">
        <v>245</v>
      </c>
      <c r="L266" t="s">
        <v>648</v>
      </c>
      <c r="M266">
        <v>82</v>
      </c>
      <c r="O266" t="s">
        <v>648</v>
      </c>
      <c r="Q266">
        <v>61</v>
      </c>
      <c r="R266" t="s">
        <v>648</v>
      </c>
      <c r="W266" s="9">
        <v>8030</v>
      </c>
      <c r="X266" s="9" t="s">
        <v>1039</v>
      </c>
      <c r="Y266" s="9">
        <v>68</v>
      </c>
      <c r="Z266" s="10" t="s">
        <v>392</v>
      </c>
    </row>
    <row r="267" spans="1:26" x14ac:dyDescent="0.35">
      <c r="A267">
        <v>10</v>
      </c>
      <c r="B267" s="2" t="s">
        <v>343</v>
      </c>
      <c r="C267">
        <v>252</v>
      </c>
      <c r="D267" t="s">
        <v>62</v>
      </c>
      <c r="F267">
        <v>63</v>
      </c>
      <c r="G267" t="s">
        <v>62</v>
      </c>
      <c r="H267" s="7"/>
      <c r="I267" s="9">
        <v>11</v>
      </c>
      <c r="J267" s="10" t="s">
        <v>343</v>
      </c>
      <c r="K267">
        <v>246</v>
      </c>
      <c r="L267" t="s">
        <v>649</v>
      </c>
      <c r="M267">
        <v>83</v>
      </c>
      <c r="O267" t="s">
        <v>649</v>
      </c>
      <c r="Q267">
        <v>62</v>
      </c>
      <c r="R267" t="s">
        <v>649</v>
      </c>
      <c r="W267" s="9">
        <v>8090</v>
      </c>
      <c r="X267" s="9" t="s">
        <v>1040</v>
      </c>
      <c r="Y267" s="9">
        <v>68</v>
      </c>
      <c r="Z267" s="10" t="s">
        <v>392</v>
      </c>
    </row>
    <row r="268" spans="1:26" x14ac:dyDescent="0.35">
      <c r="A268">
        <v>10</v>
      </c>
      <c r="B268" s="2" t="s">
        <v>343</v>
      </c>
      <c r="C268">
        <v>253</v>
      </c>
      <c r="D268" t="s">
        <v>63</v>
      </c>
      <c r="F268">
        <v>64</v>
      </c>
      <c r="G268" t="s">
        <v>63</v>
      </c>
      <c r="H268" s="7"/>
      <c r="I268" s="9">
        <v>11</v>
      </c>
      <c r="J268" s="10" t="s">
        <v>343</v>
      </c>
      <c r="K268">
        <v>247</v>
      </c>
      <c r="L268" t="s">
        <v>650</v>
      </c>
      <c r="M268">
        <v>84</v>
      </c>
      <c r="O268" t="s">
        <v>650</v>
      </c>
      <c r="Q268">
        <v>63</v>
      </c>
      <c r="R268" t="s">
        <v>650</v>
      </c>
      <c r="W268" s="9">
        <v>8511</v>
      </c>
      <c r="X268" s="9" t="s">
        <v>1041</v>
      </c>
      <c r="Y268" s="9">
        <v>69</v>
      </c>
      <c r="Z268" s="10" t="s">
        <v>374</v>
      </c>
    </row>
    <row r="269" spans="1:26" x14ac:dyDescent="0.35">
      <c r="A269">
        <v>10</v>
      </c>
      <c r="B269" s="2" t="s">
        <v>343</v>
      </c>
      <c r="C269">
        <v>254</v>
      </c>
      <c r="D269" t="s">
        <v>64</v>
      </c>
      <c r="F269">
        <v>65</v>
      </c>
      <c r="G269" t="s">
        <v>64</v>
      </c>
      <c r="H269" s="7"/>
      <c r="I269" s="9">
        <v>11</v>
      </c>
      <c r="J269" s="10" t="s">
        <v>343</v>
      </c>
      <c r="K269">
        <v>248</v>
      </c>
      <c r="L269" t="s">
        <v>651</v>
      </c>
      <c r="M269">
        <v>85</v>
      </c>
      <c r="O269" t="s">
        <v>651</v>
      </c>
      <c r="Q269">
        <v>64</v>
      </c>
      <c r="R269" t="s">
        <v>651</v>
      </c>
      <c r="W269" s="9">
        <v>8512</v>
      </c>
      <c r="X269" s="9" t="s">
        <v>1042</v>
      </c>
      <c r="Y269" s="9">
        <v>69</v>
      </c>
      <c r="Z269" s="10" t="s">
        <v>374</v>
      </c>
    </row>
    <row r="270" spans="1:26" x14ac:dyDescent="0.35">
      <c r="A270">
        <v>10</v>
      </c>
      <c r="B270" s="2" t="s">
        <v>343</v>
      </c>
      <c r="C270">
        <v>255</v>
      </c>
      <c r="D270" t="s">
        <v>65</v>
      </c>
      <c r="F270">
        <v>66</v>
      </c>
      <c r="G270" t="s">
        <v>65</v>
      </c>
      <c r="H270" s="7"/>
      <c r="I270" s="9">
        <v>11</v>
      </c>
      <c r="J270" s="10" t="s">
        <v>343</v>
      </c>
      <c r="K270">
        <v>249</v>
      </c>
      <c r="L270" t="s">
        <v>652</v>
      </c>
      <c r="M270">
        <v>86</v>
      </c>
      <c r="O270" t="s">
        <v>652</v>
      </c>
      <c r="Q270">
        <v>65</v>
      </c>
      <c r="R270" t="s">
        <v>652</v>
      </c>
      <c r="W270" s="9">
        <v>8519</v>
      </c>
      <c r="X270" s="9" t="s">
        <v>1043</v>
      </c>
      <c r="Y270" s="9">
        <v>69</v>
      </c>
      <c r="Z270" s="10" t="s">
        <v>374</v>
      </c>
    </row>
    <row r="271" spans="1:26" x14ac:dyDescent="0.35">
      <c r="A271">
        <v>10</v>
      </c>
      <c r="B271" s="2" t="s">
        <v>343</v>
      </c>
      <c r="C271">
        <v>256</v>
      </c>
      <c r="D271" t="s">
        <v>66</v>
      </c>
      <c r="F271">
        <v>67</v>
      </c>
      <c r="G271" t="s">
        <v>66</v>
      </c>
      <c r="H271" s="7"/>
      <c r="I271" s="9">
        <v>11</v>
      </c>
      <c r="J271" s="10" t="s">
        <v>343</v>
      </c>
      <c r="K271">
        <v>250</v>
      </c>
      <c r="L271" t="s">
        <v>653</v>
      </c>
      <c r="M271">
        <v>87</v>
      </c>
      <c r="O271" t="s">
        <v>653</v>
      </c>
      <c r="Q271">
        <v>66</v>
      </c>
      <c r="R271" t="s">
        <v>653</v>
      </c>
      <c r="W271" s="9">
        <v>8520</v>
      </c>
      <c r="X271" s="9" t="s">
        <v>1044</v>
      </c>
      <c r="Y271" s="9">
        <v>69</v>
      </c>
      <c r="Z271" s="10" t="s">
        <v>374</v>
      </c>
    </row>
    <row r="272" spans="1:26" x14ac:dyDescent="0.35">
      <c r="A272">
        <v>10</v>
      </c>
      <c r="B272" s="2" t="s">
        <v>343</v>
      </c>
      <c r="C272">
        <v>257</v>
      </c>
      <c r="D272" t="s">
        <v>67</v>
      </c>
      <c r="F272">
        <v>68</v>
      </c>
      <c r="G272" t="s">
        <v>67</v>
      </c>
      <c r="H272" s="7"/>
      <c r="I272" s="9">
        <v>11</v>
      </c>
      <c r="J272" s="10" t="s">
        <v>343</v>
      </c>
      <c r="K272">
        <v>251</v>
      </c>
      <c r="L272" t="s">
        <v>654</v>
      </c>
      <c r="M272">
        <v>88</v>
      </c>
      <c r="O272" t="s">
        <v>654</v>
      </c>
      <c r="Q272">
        <v>67</v>
      </c>
      <c r="R272" t="s">
        <v>654</v>
      </c>
      <c r="W272" s="9">
        <v>8531</v>
      </c>
      <c r="X272" s="9" t="s">
        <v>1045</v>
      </c>
      <c r="Y272" s="9">
        <v>69</v>
      </c>
      <c r="Z272" s="10" t="s">
        <v>374</v>
      </c>
    </row>
    <row r="273" spans="1:26" x14ac:dyDescent="0.35">
      <c r="A273">
        <v>10</v>
      </c>
      <c r="B273" s="2" t="s">
        <v>343</v>
      </c>
      <c r="C273">
        <v>258</v>
      </c>
      <c r="D273" t="s">
        <v>68</v>
      </c>
      <c r="F273">
        <v>69</v>
      </c>
      <c r="G273" t="s">
        <v>68</v>
      </c>
      <c r="H273" s="7"/>
      <c r="I273" s="9">
        <v>11</v>
      </c>
      <c r="J273" s="10" t="s">
        <v>343</v>
      </c>
      <c r="K273">
        <v>252</v>
      </c>
      <c r="L273" t="s">
        <v>655</v>
      </c>
      <c r="M273">
        <v>89</v>
      </c>
      <c r="O273" t="s">
        <v>655</v>
      </c>
      <c r="Q273">
        <v>68</v>
      </c>
      <c r="R273" t="s">
        <v>655</v>
      </c>
      <c r="W273" s="9">
        <v>8532</v>
      </c>
      <c r="X273" s="9" t="s">
        <v>1046</v>
      </c>
      <c r="Y273" s="9">
        <v>69</v>
      </c>
      <c r="Z273" s="10" t="s">
        <v>374</v>
      </c>
    </row>
    <row r="274" spans="1:26" x14ac:dyDescent="0.35">
      <c r="A274">
        <v>10</v>
      </c>
      <c r="B274" s="2" t="s">
        <v>343</v>
      </c>
      <c r="C274">
        <v>259</v>
      </c>
      <c r="D274" t="s">
        <v>69</v>
      </c>
      <c r="F274">
        <v>70</v>
      </c>
      <c r="G274" t="s">
        <v>69</v>
      </c>
      <c r="H274" s="7"/>
      <c r="I274" s="9">
        <v>11</v>
      </c>
      <c r="J274" s="10" t="s">
        <v>343</v>
      </c>
      <c r="K274">
        <v>253</v>
      </c>
      <c r="L274" t="s">
        <v>656</v>
      </c>
      <c r="M274">
        <v>90</v>
      </c>
      <c r="O274" t="s">
        <v>656</v>
      </c>
      <c r="Q274">
        <v>69</v>
      </c>
      <c r="R274" t="s">
        <v>656</v>
      </c>
      <c r="W274" s="9">
        <v>9000</v>
      </c>
      <c r="X274" s="9" t="s">
        <v>1047</v>
      </c>
      <c r="Y274" s="9">
        <v>58</v>
      </c>
      <c r="Z274" s="10" t="s">
        <v>400</v>
      </c>
    </row>
    <row r="275" spans="1:26" x14ac:dyDescent="0.35">
      <c r="A275">
        <v>10</v>
      </c>
      <c r="B275" s="2" t="s">
        <v>343</v>
      </c>
      <c r="C275" s="1">
        <v>266</v>
      </c>
      <c r="D275" t="s">
        <v>70</v>
      </c>
      <c r="F275">
        <v>71</v>
      </c>
      <c r="G275" t="s">
        <v>70</v>
      </c>
      <c r="H275" s="7"/>
      <c r="I275" s="9">
        <v>11</v>
      </c>
      <c r="J275" s="10" t="s">
        <v>343</v>
      </c>
      <c r="K275">
        <v>254</v>
      </c>
      <c r="L275" t="s">
        <v>657</v>
      </c>
      <c r="M275">
        <v>91</v>
      </c>
      <c r="O275" t="s">
        <v>657</v>
      </c>
      <c r="Q275">
        <v>70</v>
      </c>
      <c r="R275" t="s">
        <v>740</v>
      </c>
      <c r="W275" s="9">
        <v>9111</v>
      </c>
      <c r="X275" s="9" t="s">
        <v>1048</v>
      </c>
      <c r="Y275" s="9">
        <v>70</v>
      </c>
      <c r="Z275" s="10" t="s">
        <v>382</v>
      </c>
    </row>
    <row r="276" spans="1:26" x14ac:dyDescent="0.35">
      <c r="A276">
        <v>10</v>
      </c>
      <c r="B276" s="2" t="s">
        <v>343</v>
      </c>
      <c r="C276">
        <v>260</v>
      </c>
      <c r="D276" t="s">
        <v>71</v>
      </c>
      <c r="F276">
        <v>72</v>
      </c>
      <c r="G276" t="s">
        <v>71</v>
      </c>
      <c r="H276" s="7"/>
      <c r="I276" s="9">
        <v>11</v>
      </c>
      <c r="J276" s="10" t="s">
        <v>343</v>
      </c>
      <c r="K276">
        <v>255</v>
      </c>
      <c r="L276" t="s">
        <v>658</v>
      </c>
      <c r="M276">
        <v>92</v>
      </c>
      <c r="O276" t="s">
        <v>658</v>
      </c>
      <c r="Q276">
        <v>71</v>
      </c>
      <c r="R276" t="s">
        <v>658</v>
      </c>
      <c r="W276" s="9">
        <v>9112</v>
      </c>
      <c r="X276" s="9" t="s">
        <v>1049</v>
      </c>
      <c r="Y276" s="9">
        <v>70</v>
      </c>
      <c r="Z276" s="10" t="s">
        <v>382</v>
      </c>
    </row>
    <row r="277" spans="1:26" x14ac:dyDescent="0.35">
      <c r="A277">
        <v>10</v>
      </c>
      <c r="B277" s="2" t="s">
        <v>343</v>
      </c>
      <c r="C277">
        <v>261</v>
      </c>
      <c r="D277" t="s">
        <v>78</v>
      </c>
      <c r="H277" s="7"/>
      <c r="I277" s="9">
        <v>11</v>
      </c>
      <c r="J277" s="10" t="s">
        <v>343</v>
      </c>
      <c r="K277">
        <v>256</v>
      </c>
      <c r="L277" t="s">
        <v>659</v>
      </c>
      <c r="M277">
        <v>93</v>
      </c>
      <c r="O277" t="s">
        <v>659</v>
      </c>
      <c r="Q277">
        <v>72</v>
      </c>
      <c r="R277" t="s">
        <v>659</v>
      </c>
      <c r="W277" s="9">
        <v>9120</v>
      </c>
      <c r="X277" s="9" t="s">
        <v>1050</v>
      </c>
      <c r="Y277" s="9">
        <v>70</v>
      </c>
      <c r="Z277" s="10" t="s">
        <v>382</v>
      </c>
    </row>
    <row r="278" spans="1:26" x14ac:dyDescent="0.35">
      <c r="A278">
        <v>10</v>
      </c>
      <c r="B278" s="2" t="s">
        <v>343</v>
      </c>
      <c r="C278">
        <v>262</v>
      </c>
      <c r="D278" t="s">
        <v>72</v>
      </c>
      <c r="F278">
        <v>73</v>
      </c>
      <c r="G278" t="s">
        <v>72</v>
      </c>
      <c r="H278" s="7"/>
      <c r="I278" s="9">
        <v>11</v>
      </c>
      <c r="J278" s="10" t="s">
        <v>343</v>
      </c>
      <c r="K278">
        <v>257</v>
      </c>
      <c r="L278" t="s">
        <v>660</v>
      </c>
      <c r="M278">
        <v>94</v>
      </c>
      <c r="O278" t="s">
        <v>660</v>
      </c>
      <c r="Q278">
        <v>73</v>
      </c>
      <c r="R278" t="s">
        <v>741</v>
      </c>
      <c r="W278" s="9">
        <v>9191</v>
      </c>
      <c r="X278" s="9" t="s">
        <v>1051</v>
      </c>
      <c r="Y278" s="9">
        <v>70</v>
      </c>
      <c r="Z278" s="10" t="s">
        <v>382</v>
      </c>
    </row>
    <row r="279" spans="1:26" x14ac:dyDescent="0.35">
      <c r="A279">
        <v>10</v>
      </c>
      <c r="B279" s="2" t="s">
        <v>343</v>
      </c>
      <c r="C279">
        <v>263</v>
      </c>
      <c r="D279" t="s">
        <v>73</v>
      </c>
      <c r="F279">
        <v>74</v>
      </c>
      <c r="G279" t="s">
        <v>73</v>
      </c>
      <c r="H279" s="7"/>
      <c r="I279" s="9">
        <v>11</v>
      </c>
      <c r="J279" s="10" t="s">
        <v>343</v>
      </c>
      <c r="K279">
        <v>258</v>
      </c>
      <c r="L279" t="s">
        <v>661</v>
      </c>
      <c r="M279">
        <v>95</v>
      </c>
      <c r="O279" t="s">
        <v>661</v>
      </c>
      <c r="Q279">
        <v>74</v>
      </c>
      <c r="R279" t="s">
        <v>742</v>
      </c>
      <c r="W279" s="9">
        <v>9192</v>
      </c>
      <c r="X279" s="9" t="s">
        <v>1052</v>
      </c>
      <c r="Y279" s="9">
        <v>70</v>
      </c>
      <c r="Z279" s="10" t="s">
        <v>382</v>
      </c>
    </row>
    <row r="280" spans="1:26" x14ac:dyDescent="0.35">
      <c r="A280">
        <v>10</v>
      </c>
      <c r="B280" s="2" t="s">
        <v>343</v>
      </c>
      <c r="C280">
        <v>264</v>
      </c>
      <c r="D280" t="s">
        <v>74</v>
      </c>
      <c r="F280">
        <v>75</v>
      </c>
      <c r="G280" t="s">
        <v>74</v>
      </c>
      <c r="H280" s="7"/>
      <c r="I280" s="9">
        <v>11</v>
      </c>
      <c r="J280" s="10" t="s">
        <v>343</v>
      </c>
      <c r="K280">
        <v>259</v>
      </c>
      <c r="L280" t="s">
        <v>662</v>
      </c>
      <c r="M280">
        <v>96</v>
      </c>
      <c r="O280" t="s">
        <v>662</v>
      </c>
      <c r="Q280">
        <v>76</v>
      </c>
      <c r="R280" t="s">
        <v>662</v>
      </c>
      <c r="W280" s="9">
        <v>9199</v>
      </c>
      <c r="X280" s="9" t="s">
        <v>1053</v>
      </c>
      <c r="Y280" s="9">
        <v>70</v>
      </c>
      <c r="Z280" s="10" t="s">
        <v>382</v>
      </c>
    </row>
    <row r="281" spans="1:26" x14ac:dyDescent="0.35">
      <c r="A281">
        <v>10</v>
      </c>
      <c r="B281" s="2" t="s">
        <v>343</v>
      </c>
      <c r="C281">
        <v>265</v>
      </c>
      <c r="D281" t="s">
        <v>128</v>
      </c>
      <c r="F281">
        <v>76</v>
      </c>
      <c r="G281" t="s">
        <v>75</v>
      </c>
      <c r="H281" s="7"/>
      <c r="I281" s="9">
        <v>11</v>
      </c>
      <c r="J281" s="10" t="s">
        <v>343</v>
      </c>
      <c r="K281">
        <v>260</v>
      </c>
      <c r="L281" t="s">
        <v>728</v>
      </c>
      <c r="Q281">
        <v>75</v>
      </c>
      <c r="R281" t="s">
        <v>728</v>
      </c>
      <c r="W281" s="9">
        <v>9211</v>
      </c>
      <c r="X281" s="9" t="s">
        <v>1054</v>
      </c>
      <c r="Y281" s="9">
        <v>70</v>
      </c>
      <c r="Z281" s="10" t="s">
        <v>382</v>
      </c>
    </row>
    <row r="282" spans="1:26" x14ac:dyDescent="0.35">
      <c r="A282">
        <v>10</v>
      </c>
      <c r="B282" s="2" t="s">
        <v>343</v>
      </c>
      <c r="C282">
        <v>267</v>
      </c>
      <c r="D282" t="s">
        <v>76</v>
      </c>
      <c r="F282">
        <v>77</v>
      </c>
      <c r="G282" t="s">
        <v>76</v>
      </c>
      <c r="H282" s="7"/>
      <c r="I282" s="9">
        <v>10.1</v>
      </c>
      <c r="J282" s="10" t="s">
        <v>1317</v>
      </c>
      <c r="K282">
        <v>261</v>
      </c>
      <c r="L282" t="s">
        <v>663</v>
      </c>
      <c r="M282">
        <v>97</v>
      </c>
      <c r="O282" t="s">
        <v>663</v>
      </c>
      <c r="Q282">
        <v>77</v>
      </c>
      <c r="R282" t="s">
        <v>663</v>
      </c>
      <c r="W282" s="9">
        <v>9212</v>
      </c>
      <c r="X282" s="9" t="s">
        <v>1055</v>
      </c>
      <c r="Y282" s="9">
        <v>70</v>
      </c>
      <c r="Z282" s="10" t="s">
        <v>382</v>
      </c>
    </row>
    <row r="283" spans="1:26" x14ac:dyDescent="0.35">
      <c r="A283">
        <v>10</v>
      </c>
      <c r="B283" s="2" t="s">
        <v>343</v>
      </c>
      <c r="C283">
        <v>268</v>
      </c>
      <c r="D283" t="s">
        <v>129</v>
      </c>
      <c r="F283">
        <v>78</v>
      </c>
      <c r="G283" t="s">
        <v>77</v>
      </c>
      <c r="H283" s="7"/>
      <c r="I283" s="9">
        <v>10.199999999999999</v>
      </c>
      <c r="J283" s="10" t="s">
        <v>1318</v>
      </c>
      <c r="K283">
        <v>262</v>
      </c>
      <c r="L283" t="s">
        <v>664</v>
      </c>
      <c r="M283">
        <v>98</v>
      </c>
      <c r="O283" t="s">
        <v>664</v>
      </c>
      <c r="Q283">
        <v>78</v>
      </c>
      <c r="R283" t="s">
        <v>664</v>
      </c>
      <c r="W283" s="9">
        <v>9213</v>
      </c>
      <c r="X283" s="9" t="s">
        <v>1056</v>
      </c>
      <c r="Y283" s="9">
        <v>70</v>
      </c>
      <c r="Z283" s="10" t="s">
        <v>382</v>
      </c>
    </row>
    <row r="284" spans="1:26" x14ac:dyDescent="0.35">
      <c r="A284">
        <v>10</v>
      </c>
      <c r="B284" s="2" t="s">
        <v>343</v>
      </c>
      <c r="C284">
        <v>269</v>
      </c>
      <c r="D284" t="s">
        <v>130</v>
      </c>
      <c r="F284">
        <v>79</v>
      </c>
      <c r="G284" t="s">
        <v>78</v>
      </c>
      <c r="H284" s="7"/>
      <c r="I284" s="9">
        <v>9</v>
      </c>
      <c r="J284" s="10" t="s">
        <v>333</v>
      </c>
      <c r="K284">
        <v>263</v>
      </c>
      <c r="L284" t="s">
        <v>665</v>
      </c>
      <c r="M284">
        <v>99</v>
      </c>
      <c r="O284" t="s">
        <v>665</v>
      </c>
      <c r="Q284">
        <v>79</v>
      </c>
      <c r="R284" t="s">
        <v>665</v>
      </c>
      <c r="W284" s="9">
        <v>9214</v>
      </c>
      <c r="X284" s="9" t="s">
        <v>1057</v>
      </c>
      <c r="Y284" s="9">
        <v>70</v>
      </c>
      <c r="Z284" s="10" t="s">
        <v>382</v>
      </c>
    </row>
    <row r="285" spans="1:26" x14ac:dyDescent="0.35">
      <c r="A285">
        <v>10</v>
      </c>
      <c r="B285" s="2" t="s">
        <v>343</v>
      </c>
      <c r="C285">
        <v>269</v>
      </c>
      <c r="F285" s="1">
        <v>80</v>
      </c>
      <c r="G285" t="s">
        <v>79</v>
      </c>
      <c r="H285" s="7"/>
      <c r="I285" s="9">
        <v>10.3</v>
      </c>
      <c r="J285" s="10" t="s">
        <v>332</v>
      </c>
      <c r="K285">
        <v>264</v>
      </c>
      <c r="L285" t="s">
        <v>666</v>
      </c>
      <c r="M285">
        <v>100</v>
      </c>
      <c r="O285" t="s">
        <v>666</v>
      </c>
      <c r="Q285">
        <v>80</v>
      </c>
      <c r="R285" t="s">
        <v>666</v>
      </c>
      <c r="W285" s="9">
        <v>9219</v>
      </c>
      <c r="X285" s="9" t="s">
        <v>1058</v>
      </c>
      <c r="Y285" s="9">
        <v>70</v>
      </c>
      <c r="Z285" s="10" t="s">
        <v>382</v>
      </c>
    </row>
    <row r="286" spans="1:26" x14ac:dyDescent="0.35">
      <c r="A286">
        <v>9</v>
      </c>
      <c r="B286" s="2" t="s">
        <v>343</v>
      </c>
      <c r="C286">
        <v>269</v>
      </c>
      <c r="F286" s="1">
        <v>81</v>
      </c>
      <c r="G286" t="s">
        <v>80</v>
      </c>
      <c r="H286" s="7"/>
      <c r="I286" s="9">
        <v>10.3</v>
      </c>
      <c r="J286" s="10" t="s">
        <v>332</v>
      </c>
      <c r="K286">
        <v>265</v>
      </c>
      <c r="L286" t="s">
        <v>667</v>
      </c>
      <c r="M286">
        <v>101</v>
      </c>
      <c r="O286" t="s">
        <v>667</v>
      </c>
      <c r="Q286">
        <v>81</v>
      </c>
      <c r="R286" t="s">
        <v>667</v>
      </c>
      <c r="W286" s="9">
        <v>9220</v>
      </c>
      <c r="X286" s="9" t="s">
        <v>1059</v>
      </c>
      <c r="Y286" s="9">
        <v>70</v>
      </c>
      <c r="Z286" s="10" t="s">
        <v>382</v>
      </c>
    </row>
    <row r="287" spans="1:26" x14ac:dyDescent="0.35">
      <c r="A287">
        <v>9</v>
      </c>
      <c r="B287" s="2" t="s">
        <v>332</v>
      </c>
      <c r="C287">
        <v>270</v>
      </c>
      <c r="D287" t="s">
        <v>81</v>
      </c>
      <c r="F287">
        <v>82</v>
      </c>
      <c r="G287" t="s">
        <v>81</v>
      </c>
      <c r="H287" s="7"/>
      <c r="I287" s="9">
        <v>10.3</v>
      </c>
      <c r="J287" s="10" t="s">
        <v>332</v>
      </c>
      <c r="K287">
        <v>266</v>
      </c>
      <c r="L287" t="s">
        <v>668</v>
      </c>
      <c r="M287">
        <v>102</v>
      </c>
      <c r="O287" t="s">
        <v>668</v>
      </c>
      <c r="Q287">
        <v>82</v>
      </c>
      <c r="R287" t="s">
        <v>668</v>
      </c>
      <c r="W287" s="9">
        <v>9231</v>
      </c>
      <c r="X287" s="9" t="s">
        <v>1060</v>
      </c>
      <c r="Y287" s="9">
        <v>70</v>
      </c>
      <c r="Z287" s="10" t="s">
        <v>382</v>
      </c>
    </row>
    <row r="288" spans="1:26" x14ac:dyDescent="0.35">
      <c r="A288">
        <v>8</v>
      </c>
      <c r="B288" s="2" t="s">
        <v>332</v>
      </c>
      <c r="C288">
        <v>271</v>
      </c>
      <c r="D288" t="s">
        <v>82</v>
      </c>
      <c r="F288">
        <v>83</v>
      </c>
      <c r="G288" t="s">
        <v>82</v>
      </c>
      <c r="H288" s="7"/>
      <c r="I288" s="9">
        <v>9</v>
      </c>
      <c r="J288" s="10" t="s">
        <v>333</v>
      </c>
      <c r="K288">
        <v>267</v>
      </c>
      <c r="L288" t="s">
        <v>669</v>
      </c>
      <c r="M288">
        <v>103</v>
      </c>
      <c r="O288" t="s">
        <v>669</v>
      </c>
      <c r="Q288">
        <v>83</v>
      </c>
      <c r="R288" t="s">
        <v>669</v>
      </c>
      <c r="W288" s="9">
        <v>9232</v>
      </c>
      <c r="X288" s="9" t="s">
        <v>1061</v>
      </c>
      <c r="Y288" s="9">
        <v>70</v>
      </c>
      <c r="Z288" s="10" t="s">
        <v>382</v>
      </c>
    </row>
    <row r="289" spans="1:26" x14ac:dyDescent="0.35">
      <c r="A289">
        <v>8</v>
      </c>
      <c r="B289" s="2" t="s">
        <v>333</v>
      </c>
      <c r="C289">
        <v>272</v>
      </c>
      <c r="D289" t="s">
        <v>83</v>
      </c>
      <c r="F289">
        <v>84</v>
      </c>
      <c r="G289" t="s">
        <v>83</v>
      </c>
      <c r="H289" s="7"/>
      <c r="I289" s="9">
        <v>9</v>
      </c>
      <c r="J289" s="10" t="s">
        <v>333</v>
      </c>
      <c r="K289">
        <v>268</v>
      </c>
      <c r="L289" t="s">
        <v>670</v>
      </c>
      <c r="M289">
        <v>104</v>
      </c>
      <c r="O289" t="s">
        <v>670</v>
      </c>
      <c r="Q289">
        <v>84</v>
      </c>
      <c r="R289" t="s">
        <v>670</v>
      </c>
      <c r="W289" s="9">
        <v>9233</v>
      </c>
      <c r="X289" s="9" t="s">
        <v>1062</v>
      </c>
      <c r="Y289" s="9">
        <v>70</v>
      </c>
      <c r="Z289" s="10" t="s">
        <v>382</v>
      </c>
    </row>
    <row r="290" spans="1:26" x14ac:dyDescent="0.35">
      <c r="A290">
        <v>8</v>
      </c>
      <c r="B290" s="2" t="s">
        <v>333</v>
      </c>
      <c r="C290">
        <v>273</v>
      </c>
      <c r="D290" t="s">
        <v>84</v>
      </c>
      <c r="F290">
        <v>85</v>
      </c>
      <c r="G290" t="s">
        <v>84</v>
      </c>
      <c r="H290" s="7"/>
      <c r="I290" s="9">
        <v>38</v>
      </c>
      <c r="J290" s="10" t="s">
        <v>346</v>
      </c>
      <c r="K290">
        <v>269</v>
      </c>
      <c r="L290" t="s">
        <v>671</v>
      </c>
      <c r="M290">
        <v>105</v>
      </c>
      <c r="O290" t="s">
        <v>671</v>
      </c>
      <c r="Q290">
        <v>85</v>
      </c>
      <c r="R290" t="s">
        <v>673</v>
      </c>
      <c r="W290" s="9">
        <v>9241</v>
      </c>
      <c r="X290" s="9" t="s">
        <v>1063</v>
      </c>
      <c r="Y290" s="9">
        <v>70</v>
      </c>
      <c r="Z290" s="10" t="s">
        <v>382</v>
      </c>
    </row>
    <row r="291" spans="1:26" x14ac:dyDescent="0.35">
      <c r="A291">
        <v>9</v>
      </c>
      <c r="B291" s="2" t="s">
        <v>333</v>
      </c>
      <c r="C291">
        <v>274</v>
      </c>
      <c r="D291" t="s">
        <v>85</v>
      </c>
      <c r="F291">
        <v>86</v>
      </c>
      <c r="G291" t="s">
        <v>85</v>
      </c>
      <c r="H291" s="7"/>
      <c r="I291" s="9">
        <v>38</v>
      </c>
      <c r="J291" s="10" t="s">
        <v>346</v>
      </c>
      <c r="K291">
        <v>270</v>
      </c>
      <c r="L291" t="s">
        <v>672</v>
      </c>
      <c r="M291">
        <v>106</v>
      </c>
      <c r="O291" t="s">
        <v>672</v>
      </c>
      <c r="W291" s="9">
        <v>9249</v>
      </c>
      <c r="X291" s="9" t="s">
        <v>1064</v>
      </c>
      <c r="Y291" s="9">
        <v>70</v>
      </c>
      <c r="Z291" s="10" t="s">
        <v>382</v>
      </c>
    </row>
    <row r="292" spans="1:26" x14ac:dyDescent="0.35">
      <c r="A292">
        <v>9</v>
      </c>
      <c r="B292" s="2" t="s">
        <v>332</v>
      </c>
      <c r="C292">
        <v>275</v>
      </c>
      <c r="D292" t="s">
        <v>86</v>
      </c>
      <c r="F292">
        <v>87</v>
      </c>
      <c r="G292" t="s">
        <v>86</v>
      </c>
      <c r="H292" s="7"/>
      <c r="I292" s="9">
        <v>12</v>
      </c>
      <c r="J292" s="10" t="s">
        <v>357</v>
      </c>
      <c r="K292">
        <v>271</v>
      </c>
      <c r="L292" t="s">
        <v>673</v>
      </c>
      <c r="M292">
        <v>107</v>
      </c>
      <c r="O292" t="s">
        <v>673</v>
      </c>
      <c r="W292" s="9">
        <v>9301</v>
      </c>
      <c r="X292" s="9" t="s">
        <v>1065</v>
      </c>
      <c r="Y292" s="9">
        <v>70</v>
      </c>
      <c r="Z292" s="10" t="s">
        <v>382</v>
      </c>
    </row>
    <row r="293" spans="1:26" x14ac:dyDescent="0.35">
      <c r="A293">
        <v>9</v>
      </c>
      <c r="B293" s="2" t="s">
        <v>332</v>
      </c>
      <c r="C293">
        <v>276</v>
      </c>
      <c r="D293" t="s">
        <v>87</v>
      </c>
      <c r="F293">
        <v>88</v>
      </c>
      <c r="G293" t="s">
        <v>87</v>
      </c>
      <c r="H293" s="7"/>
      <c r="I293" s="9">
        <v>39.299999999999997</v>
      </c>
      <c r="J293" s="10" t="s">
        <v>336</v>
      </c>
      <c r="K293">
        <v>272</v>
      </c>
      <c r="L293" t="s">
        <v>674</v>
      </c>
      <c r="M293">
        <v>108</v>
      </c>
      <c r="O293" t="s">
        <v>674</v>
      </c>
      <c r="W293" s="9">
        <v>9302</v>
      </c>
      <c r="X293" s="9" t="s">
        <v>1066</v>
      </c>
      <c r="Y293" s="9">
        <v>70</v>
      </c>
      <c r="Z293" s="10" t="s">
        <v>382</v>
      </c>
    </row>
    <row r="294" spans="1:26" x14ac:dyDescent="0.35">
      <c r="A294">
        <v>31</v>
      </c>
      <c r="B294" s="2" t="s">
        <v>332</v>
      </c>
      <c r="C294">
        <v>277</v>
      </c>
      <c r="D294" t="s">
        <v>88</v>
      </c>
      <c r="F294">
        <v>89</v>
      </c>
      <c r="G294" t="s">
        <v>88</v>
      </c>
      <c r="H294" s="7"/>
      <c r="I294" s="9">
        <v>39.299999999999997</v>
      </c>
      <c r="J294" s="10" t="s">
        <v>336</v>
      </c>
      <c r="K294">
        <v>273</v>
      </c>
      <c r="L294" t="s">
        <v>675</v>
      </c>
      <c r="M294">
        <v>109</v>
      </c>
      <c r="O294" t="s">
        <v>675</v>
      </c>
      <c r="Q294">
        <v>86</v>
      </c>
      <c r="R294" t="s">
        <v>675</v>
      </c>
      <c r="W294" s="9">
        <v>9303</v>
      </c>
      <c r="X294" s="9" t="s">
        <v>1067</v>
      </c>
      <c r="Y294" s="9">
        <v>70</v>
      </c>
      <c r="Z294" s="10" t="s">
        <v>382</v>
      </c>
    </row>
    <row r="295" spans="1:26" x14ac:dyDescent="0.35">
      <c r="A295">
        <v>31</v>
      </c>
      <c r="B295" s="2" t="s">
        <v>346</v>
      </c>
      <c r="C295">
        <v>278</v>
      </c>
      <c r="D295" t="s">
        <v>131</v>
      </c>
      <c r="E295" t="s">
        <v>101</v>
      </c>
      <c r="H295" s="7"/>
      <c r="I295" s="9">
        <v>39.299999999999997</v>
      </c>
      <c r="J295" s="10" t="s">
        <v>336</v>
      </c>
      <c r="K295">
        <v>274</v>
      </c>
      <c r="L295" t="s">
        <v>676</v>
      </c>
      <c r="M295">
        <v>110</v>
      </c>
      <c r="O295" t="s">
        <v>676</v>
      </c>
      <c r="W295" s="9">
        <v>9309</v>
      </c>
      <c r="X295" s="9" t="s">
        <v>1068</v>
      </c>
      <c r="Y295" s="9">
        <v>70</v>
      </c>
      <c r="Z295" s="10" t="s">
        <v>382</v>
      </c>
    </row>
    <row r="296" spans="1:26" x14ac:dyDescent="0.35">
      <c r="A296">
        <v>11</v>
      </c>
      <c r="B296" s="4" t="s">
        <v>346</v>
      </c>
      <c r="C296">
        <v>279</v>
      </c>
      <c r="D296" t="s">
        <v>360</v>
      </c>
      <c r="H296" s="7"/>
      <c r="I296" s="9">
        <v>39.299999999999997</v>
      </c>
      <c r="J296" s="10" t="s">
        <v>336</v>
      </c>
      <c r="K296">
        <v>275</v>
      </c>
      <c r="L296" t="s">
        <v>677</v>
      </c>
      <c r="M296">
        <v>111</v>
      </c>
      <c r="O296" t="s">
        <v>677</v>
      </c>
      <c r="W296" s="9">
        <v>9500</v>
      </c>
      <c r="X296" s="9" t="s">
        <v>1069</v>
      </c>
      <c r="Y296" s="9">
        <v>70</v>
      </c>
      <c r="Z296" s="10" t="s">
        <v>382</v>
      </c>
    </row>
    <row r="297" spans="1:26" x14ac:dyDescent="0.35">
      <c r="A297">
        <v>32</v>
      </c>
      <c r="B297" s="2" t="s">
        <v>357</v>
      </c>
      <c r="C297">
        <v>280</v>
      </c>
      <c r="D297" t="s">
        <v>90</v>
      </c>
      <c r="F297">
        <v>91</v>
      </c>
      <c r="G297" t="s">
        <v>90</v>
      </c>
      <c r="H297" s="7"/>
      <c r="I297" s="9">
        <v>39.299999999999997</v>
      </c>
      <c r="J297" s="10" t="s">
        <v>336</v>
      </c>
      <c r="K297">
        <v>276</v>
      </c>
      <c r="L297" t="s">
        <v>678</v>
      </c>
      <c r="M297">
        <v>112</v>
      </c>
      <c r="O297" t="s">
        <v>678</v>
      </c>
      <c r="W297" s="9">
        <v>9600</v>
      </c>
      <c r="X297" s="9" t="s">
        <v>1070</v>
      </c>
      <c r="Y297" s="9">
        <v>70</v>
      </c>
      <c r="Z297" s="10" t="s">
        <v>382</v>
      </c>
    </row>
    <row r="298" spans="1:26" x14ac:dyDescent="0.35">
      <c r="A298">
        <v>32</v>
      </c>
      <c r="B298" s="2" t="s">
        <v>336</v>
      </c>
      <c r="C298">
        <v>281</v>
      </c>
      <c r="D298" t="s">
        <v>132</v>
      </c>
      <c r="H298" s="7"/>
      <c r="I298" s="9">
        <v>39.299999999999997</v>
      </c>
      <c r="J298" s="10" t="s">
        <v>336</v>
      </c>
      <c r="K298">
        <v>277</v>
      </c>
      <c r="L298" t="s">
        <v>679</v>
      </c>
      <c r="M298">
        <v>113</v>
      </c>
      <c r="O298" t="s">
        <v>679</v>
      </c>
      <c r="W298" s="9">
        <v>9700</v>
      </c>
      <c r="X298" s="9" t="s">
        <v>1071</v>
      </c>
      <c r="Y298" s="9">
        <v>70</v>
      </c>
      <c r="Z298" s="10" t="s">
        <v>382</v>
      </c>
    </row>
    <row r="299" spans="1:26" x14ac:dyDescent="0.35">
      <c r="A299">
        <v>32</v>
      </c>
      <c r="B299" s="2" t="s">
        <v>336</v>
      </c>
      <c r="C299">
        <v>282</v>
      </c>
      <c r="D299" t="s">
        <v>89</v>
      </c>
      <c r="F299">
        <v>90</v>
      </c>
      <c r="G299" t="s">
        <v>89</v>
      </c>
      <c r="H299" s="7"/>
      <c r="I299" s="9">
        <v>39.299999999999997</v>
      </c>
      <c r="J299" s="10" t="s">
        <v>336</v>
      </c>
      <c r="K299">
        <v>278</v>
      </c>
      <c r="L299" t="s">
        <v>680</v>
      </c>
      <c r="M299">
        <v>114</v>
      </c>
      <c r="O299" t="s">
        <v>680</v>
      </c>
      <c r="Q299">
        <v>87</v>
      </c>
      <c r="R299" t="s">
        <v>743</v>
      </c>
      <c r="W299" s="9">
        <v>9900</v>
      </c>
      <c r="X299" s="9" t="s">
        <v>1072</v>
      </c>
      <c r="Y299" s="9">
        <v>70</v>
      </c>
      <c r="Z299" s="10" t="s">
        <v>382</v>
      </c>
    </row>
    <row r="300" spans="1:26" x14ac:dyDescent="0.35">
      <c r="A300">
        <v>32</v>
      </c>
      <c r="B300" s="2" t="s">
        <v>336</v>
      </c>
      <c r="C300">
        <v>283</v>
      </c>
      <c r="D300" t="s">
        <v>133</v>
      </c>
      <c r="H300" s="7"/>
      <c r="I300" s="9">
        <v>39.299999999999997</v>
      </c>
      <c r="J300" s="10" t="s">
        <v>336</v>
      </c>
      <c r="K300">
        <v>279</v>
      </c>
      <c r="L300" t="s">
        <v>681</v>
      </c>
      <c r="M300">
        <v>115</v>
      </c>
      <c r="O300" t="s">
        <v>681</v>
      </c>
    </row>
    <row r="301" spans="1:26" x14ac:dyDescent="0.35">
      <c r="A301">
        <v>32</v>
      </c>
      <c r="B301" s="2" t="s">
        <v>336</v>
      </c>
      <c r="C301">
        <v>284</v>
      </c>
      <c r="D301" t="s">
        <v>134</v>
      </c>
      <c r="H301" s="7"/>
      <c r="I301" s="9">
        <v>39.299999999999997</v>
      </c>
      <c r="J301" s="10" t="s">
        <v>336</v>
      </c>
      <c r="K301">
        <v>280</v>
      </c>
      <c r="L301" t="s">
        <v>682</v>
      </c>
      <c r="M301">
        <v>116</v>
      </c>
      <c r="O301" t="s">
        <v>682</v>
      </c>
    </row>
    <row r="302" spans="1:26" x14ac:dyDescent="0.35">
      <c r="A302">
        <v>32</v>
      </c>
      <c r="B302" s="2" t="s">
        <v>336</v>
      </c>
      <c r="C302">
        <v>285</v>
      </c>
      <c r="D302" t="s">
        <v>135</v>
      </c>
      <c r="H302" s="7"/>
      <c r="I302" s="9">
        <v>39.299999999999997</v>
      </c>
      <c r="J302" s="10" t="s">
        <v>336</v>
      </c>
      <c r="K302">
        <v>281</v>
      </c>
      <c r="L302" t="s">
        <v>683</v>
      </c>
      <c r="M302">
        <v>117</v>
      </c>
      <c r="O302" t="s">
        <v>683</v>
      </c>
    </row>
    <row r="303" spans="1:26" x14ac:dyDescent="0.35">
      <c r="A303">
        <v>32</v>
      </c>
      <c r="B303" s="2" t="s">
        <v>336</v>
      </c>
      <c r="C303">
        <v>286</v>
      </c>
      <c r="D303" t="s">
        <v>136</v>
      </c>
      <c r="F303">
        <v>92</v>
      </c>
      <c r="G303" t="s">
        <v>91</v>
      </c>
      <c r="H303" s="7"/>
      <c r="I303" s="9">
        <v>39.299999999999997</v>
      </c>
      <c r="J303" s="10" t="s">
        <v>336</v>
      </c>
      <c r="K303">
        <v>282</v>
      </c>
      <c r="L303" t="s">
        <v>684</v>
      </c>
      <c r="M303">
        <v>118</v>
      </c>
      <c r="O303" t="s">
        <v>684</v>
      </c>
      <c r="Q303">
        <v>88</v>
      </c>
      <c r="R303" t="s">
        <v>684</v>
      </c>
    </row>
    <row r="304" spans="1:26" x14ac:dyDescent="0.35">
      <c r="A304">
        <v>32</v>
      </c>
      <c r="B304" s="2" t="s">
        <v>336</v>
      </c>
      <c r="C304">
        <v>287</v>
      </c>
      <c r="D304" t="s">
        <v>137</v>
      </c>
      <c r="F304">
        <v>93</v>
      </c>
      <c r="G304" t="s">
        <v>92</v>
      </c>
      <c r="H304" s="7"/>
      <c r="I304" s="9">
        <v>39.299999999999997</v>
      </c>
      <c r="J304" s="10" t="s">
        <v>336</v>
      </c>
      <c r="K304">
        <v>283</v>
      </c>
      <c r="L304" t="s">
        <v>685</v>
      </c>
      <c r="M304">
        <v>119</v>
      </c>
      <c r="O304" t="s">
        <v>685</v>
      </c>
    </row>
    <row r="305" spans="1:18" x14ac:dyDescent="0.35">
      <c r="A305">
        <v>32</v>
      </c>
      <c r="B305" s="2" t="s">
        <v>336</v>
      </c>
      <c r="C305">
        <v>288</v>
      </c>
      <c r="D305" t="s">
        <v>138</v>
      </c>
      <c r="H305" s="7"/>
      <c r="I305" s="9">
        <v>39.299999999999997</v>
      </c>
      <c r="J305" s="10" t="s">
        <v>336</v>
      </c>
      <c r="K305">
        <v>284</v>
      </c>
      <c r="L305" t="s">
        <v>686</v>
      </c>
      <c r="M305">
        <v>120</v>
      </c>
      <c r="O305" t="s">
        <v>686</v>
      </c>
    </row>
    <row r="306" spans="1:18" x14ac:dyDescent="0.35">
      <c r="A306">
        <v>32</v>
      </c>
      <c r="B306" s="2" t="s">
        <v>336</v>
      </c>
      <c r="C306">
        <v>289</v>
      </c>
      <c r="D306" t="s">
        <v>139</v>
      </c>
      <c r="H306" s="7"/>
      <c r="I306" s="9">
        <v>39.299999999999997</v>
      </c>
      <c r="J306" s="10" t="s">
        <v>336</v>
      </c>
      <c r="K306">
        <v>285</v>
      </c>
      <c r="L306" t="s">
        <v>687</v>
      </c>
      <c r="M306">
        <v>121</v>
      </c>
      <c r="O306" t="s">
        <v>687</v>
      </c>
    </row>
    <row r="307" spans="1:18" x14ac:dyDescent="0.35">
      <c r="A307">
        <v>32</v>
      </c>
      <c r="B307" s="2" t="s">
        <v>336</v>
      </c>
      <c r="C307">
        <v>290</v>
      </c>
      <c r="D307" t="s">
        <v>140</v>
      </c>
      <c r="H307" s="7"/>
      <c r="I307" s="9">
        <v>17</v>
      </c>
      <c r="J307" s="10" t="s">
        <v>362</v>
      </c>
      <c r="K307">
        <v>286</v>
      </c>
      <c r="L307" t="s">
        <v>688</v>
      </c>
      <c r="M307">
        <v>122</v>
      </c>
      <c r="O307" t="s">
        <v>688</v>
      </c>
      <c r="Q307">
        <v>89</v>
      </c>
      <c r="R307" t="s">
        <v>688</v>
      </c>
    </row>
    <row r="308" spans="1:18" x14ac:dyDescent="0.35">
      <c r="A308">
        <v>32</v>
      </c>
      <c r="B308" s="2" t="s">
        <v>336</v>
      </c>
      <c r="C308">
        <v>291</v>
      </c>
      <c r="D308" t="s">
        <v>141</v>
      </c>
      <c r="H308" s="7"/>
      <c r="I308" s="9">
        <v>39.1</v>
      </c>
      <c r="J308" s="10" t="s">
        <v>1320</v>
      </c>
      <c r="K308">
        <v>287</v>
      </c>
      <c r="L308" t="s">
        <v>689</v>
      </c>
      <c r="M308">
        <v>123</v>
      </c>
      <c r="O308" t="s">
        <v>689</v>
      </c>
    </row>
    <row r="309" spans="1:18" x14ac:dyDescent="0.35">
      <c r="A309">
        <v>32</v>
      </c>
      <c r="B309" s="2" t="s">
        <v>336</v>
      </c>
      <c r="C309">
        <v>292</v>
      </c>
      <c r="D309" t="s">
        <v>91</v>
      </c>
      <c r="H309" s="7"/>
      <c r="I309" s="9">
        <v>18</v>
      </c>
      <c r="J309" s="10" t="s">
        <v>756</v>
      </c>
      <c r="K309">
        <v>288</v>
      </c>
      <c r="L309" t="s">
        <v>690</v>
      </c>
      <c r="M309">
        <v>124</v>
      </c>
      <c r="O309" t="s">
        <v>690</v>
      </c>
      <c r="Q309">
        <v>90</v>
      </c>
      <c r="R309" t="s">
        <v>690</v>
      </c>
    </row>
    <row r="310" spans="1:18" x14ac:dyDescent="0.35">
      <c r="A310">
        <v>32</v>
      </c>
      <c r="B310" s="2" t="s">
        <v>336</v>
      </c>
      <c r="C310">
        <v>293</v>
      </c>
      <c r="D310" t="s">
        <v>142</v>
      </c>
      <c r="H310" s="7"/>
      <c r="I310" s="9">
        <v>39.200000000000003</v>
      </c>
      <c r="J310" s="10" t="s">
        <v>1321</v>
      </c>
      <c r="K310">
        <v>289</v>
      </c>
      <c r="L310" t="s">
        <v>691</v>
      </c>
      <c r="M310">
        <v>125</v>
      </c>
      <c r="O310" t="s">
        <v>691</v>
      </c>
    </row>
    <row r="311" spans="1:18" x14ac:dyDescent="0.35">
      <c r="A311">
        <v>16</v>
      </c>
      <c r="B311" s="2" t="s">
        <v>336</v>
      </c>
      <c r="C311">
        <v>294</v>
      </c>
      <c r="D311" t="s">
        <v>143</v>
      </c>
      <c r="H311" s="7"/>
      <c r="I311" s="9">
        <v>39.299999999999997</v>
      </c>
      <c r="J311" s="10" t="s">
        <v>336</v>
      </c>
      <c r="K311">
        <v>290</v>
      </c>
      <c r="L311" t="s">
        <v>692</v>
      </c>
      <c r="M311">
        <v>126</v>
      </c>
      <c r="O311" t="s">
        <v>692</v>
      </c>
    </row>
    <row r="312" spans="1:18" x14ac:dyDescent="0.35">
      <c r="A312">
        <v>32</v>
      </c>
      <c r="B312" s="3" t="s">
        <v>362</v>
      </c>
      <c r="C312">
        <v>295</v>
      </c>
      <c r="D312" t="s">
        <v>93</v>
      </c>
      <c r="F312">
        <v>94</v>
      </c>
      <c r="G312" t="s">
        <v>93</v>
      </c>
      <c r="H312" s="7"/>
      <c r="I312" s="9">
        <v>41</v>
      </c>
      <c r="J312" s="10" t="s">
        <v>347</v>
      </c>
      <c r="K312">
        <v>291</v>
      </c>
      <c r="L312" t="s">
        <v>693</v>
      </c>
      <c r="M312">
        <v>127</v>
      </c>
      <c r="O312" t="s">
        <v>693</v>
      </c>
    </row>
    <row r="313" spans="1:18" x14ac:dyDescent="0.35">
      <c r="A313">
        <v>16</v>
      </c>
      <c r="B313" s="3" t="s">
        <v>336</v>
      </c>
      <c r="C313">
        <v>296</v>
      </c>
      <c r="D313" t="s">
        <v>361</v>
      </c>
      <c r="H313" s="7"/>
      <c r="I313" s="9">
        <v>41</v>
      </c>
      <c r="J313" s="10" t="s">
        <v>347</v>
      </c>
      <c r="K313">
        <v>292</v>
      </c>
      <c r="L313" t="s">
        <v>694</v>
      </c>
      <c r="M313">
        <v>128</v>
      </c>
      <c r="O313" t="s">
        <v>694</v>
      </c>
    </row>
    <row r="314" spans="1:18" x14ac:dyDescent="0.35">
      <c r="A314">
        <v>32</v>
      </c>
      <c r="B314" s="3" t="s">
        <v>362</v>
      </c>
      <c r="C314">
        <v>297</v>
      </c>
      <c r="D314" t="s">
        <v>94</v>
      </c>
      <c r="F314">
        <v>95</v>
      </c>
      <c r="G314" t="s">
        <v>94</v>
      </c>
      <c r="H314" s="7"/>
      <c r="I314" s="9">
        <v>41</v>
      </c>
      <c r="J314" s="10" t="s">
        <v>347</v>
      </c>
      <c r="K314">
        <v>293</v>
      </c>
      <c r="L314" t="s">
        <v>695</v>
      </c>
      <c r="M314">
        <v>129</v>
      </c>
      <c r="O314" t="s">
        <v>695</v>
      </c>
      <c r="Q314">
        <v>91</v>
      </c>
      <c r="R314" t="s">
        <v>695</v>
      </c>
    </row>
    <row r="315" spans="1:18" x14ac:dyDescent="0.35">
      <c r="A315">
        <v>32</v>
      </c>
      <c r="B315" s="2" t="s">
        <v>336</v>
      </c>
      <c r="C315">
        <v>298</v>
      </c>
      <c r="D315" t="s">
        <v>363</v>
      </c>
      <c r="H315" s="7"/>
      <c r="I315" s="9">
        <v>41</v>
      </c>
      <c r="J315" s="10" t="s">
        <v>347</v>
      </c>
      <c r="K315">
        <v>294</v>
      </c>
      <c r="L315" t="s">
        <v>696</v>
      </c>
      <c r="M315">
        <v>130</v>
      </c>
      <c r="O315" t="s">
        <v>696</v>
      </c>
      <c r="Q315">
        <v>92</v>
      </c>
      <c r="R315" t="s">
        <v>696</v>
      </c>
    </row>
    <row r="316" spans="1:18" x14ac:dyDescent="0.35">
      <c r="A316">
        <v>33</v>
      </c>
      <c r="B316" s="2" t="s">
        <v>336</v>
      </c>
      <c r="C316">
        <v>299</v>
      </c>
      <c r="D316" t="s">
        <v>144</v>
      </c>
      <c r="H316" s="7"/>
      <c r="I316" s="9">
        <v>41</v>
      </c>
      <c r="J316" s="10" t="s">
        <v>347</v>
      </c>
      <c r="K316">
        <v>295</v>
      </c>
      <c r="L316" t="s">
        <v>697</v>
      </c>
      <c r="M316">
        <v>131</v>
      </c>
      <c r="O316" t="s">
        <v>697</v>
      </c>
      <c r="Q316">
        <v>93</v>
      </c>
      <c r="R316" t="s">
        <v>744</v>
      </c>
    </row>
    <row r="317" spans="1:18" x14ac:dyDescent="0.35">
      <c r="A317">
        <v>33</v>
      </c>
      <c r="B317" s="2" t="s">
        <v>347</v>
      </c>
      <c r="C317">
        <v>300</v>
      </c>
      <c r="D317" t="s">
        <v>145</v>
      </c>
      <c r="H317" s="7"/>
      <c r="I317" s="9">
        <v>41</v>
      </c>
      <c r="J317" s="10" t="s">
        <v>347</v>
      </c>
      <c r="K317">
        <v>296</v>
      </c>
      <c r="L317" t="s">
        <v>698</v>
      </c>
      <c r="M317">
        <v>132</v>
      </c>
      <c r="O317" t="s">
        <v>698</v>
      </c>
    </row>
    <row r="318" spans="1:18" x14ac:dyDescent="0.35">
      <c r="A318">
        <v>33</v>
      </c>
      <c r="B318" s="2" t="s">
        <v>347</v>
      </c>
      <c r="C318">
        <v>301</v>
      </c>
      <c r="D318" t="s">
        <v>95</v>
      </c>
      <c r="F318">
        <v>96</v>
      </c>
      <c r="G318" t="s">
        <v>95</v>
      </c>
      <c r="H318" s="7"/>
      <c r="I318" s="9">
        <v>41</v>
      </c>
      <c r="J318" s="10" t="s">
        <v>347</v>
      </c>
      <c r="K318">
        <v>297</v>
      </c>
      <c r="L318" t="s">
        <v>699</v>
      </c>
      <c r="M318">
        <v>133</v>
      </c>
      <c r="O318" t="s">
        <v>699</v>
      </c>
      <c r="Q318">
        <v>94</v>
      </c>
      <c r="R318" t="s">
        <v>699</v>
      </c>
    </row>
    <row r="319" spans="1:18" x14ac:dyDescent="0.35">
      <c r="A319">
        <v>33</v>
      </c>
      <c r="B319" s="2" t="s">
        <v>347</v>
      </c>
      <c r="C319">
        <v>302</v>
      </c>
      <c r="D319" t="s">
        <v>96</v>
      </c>
      <c r="F319">
        <v>97</v>
      </c>
      <c r="G319" t="s">
        <v>96</v>
      </c>
      <c r="H319" s="7"/>
      <c r="I319" s="9">
        <v>41</v>
      </c>
      <c r="J319" s="10" t="s">
        <v>347</v>
      </c>
      <c r="K319">
        <v>298</v>
      </c>
      <c r="L319" t="s">
        <v>700</v>
      </c>
      <c r="M319">
        <v>134</v>
      </c>
      <c r="O319" t="s">
        <v>700</v>
      </c>
    </row>
    <row r="320" spans="1:18" x14ac:dyDescent="0.35">
      <c r="A320">
        <v>33</v>
      </c>
      <c r="B320" s="2" t="s">
        <v>347</v>
      </c>
      <c r="C320">
        <v>303</v>
      </c>
      <c r="D320" t="s">
        <v>97</v>
      </c>
      <c r="F320">
        <v>98</v>
      </c>
      <c r="G320" t="s">
        <v>97</v>
      </c>
      <c r="H320" s="7"/>
      <c r="I320" s="9">
        <v>41</v>
      </c>
      <c r="J320" s="10" t="s">
        <v>347</v>
      </c>
      <c r="K320">
        <v>299</v>
      </c>
      <c r="L320" t="s">
        <v>701</v>
      </c>
      <c r="M320">
        <v>135</v>
      </c>
      <c r="O320" t="s">
        <v>701</v>
      </c>
    </row>
    <row r="321" spans="1:18" x14ac:dyDescent="0.35">
      <c r="A321">
        <v>33</v>
      </c>
      <c r="B321" s="2" t="s">
        <v>347</v>
      </c>
      <c r="C321">
        <v>304</v>
      </c>
      <c r="D321" t="s">
        <v>146</v>
      </c>
      <c r="F321">
        <v>99</v>
      </c>
      <c r="G321" t="s">
        <v>98</v>
      </c>
      <c r="H321" s="7"/>
      <c r="I321" s="9">
        <v>41</v>
      </c>
      <c r="J321" s="10" t="s">
        <v>347</v>
      </c>
      <c r="K321">
        <v>300</v>
      </c>
      <c r="L321" t="s">
        <v>702</v>
      </c>
      <c r="M321">
        <v>136</v>
      </c>
      <c r="O321" t="s">
        <v>702</v>
      </c>
    </row>
    <row r="322" spans="1:18" x14ac:dyDescent="0.35">
      <c r="A322">
        <v>33</v>
      </c>
      <c r="B322" s="2" t="s">
        <v>347</v>
      </c>
      <c r="C322">
        <v>305</v>
      </c>
      <c r="D322" t="s">
        <v>367</v>
      </c>
      <c r="H322" s="7"/>
      <c r="I322" s="9">
        <v>41</v>
      </c>
      <c r="J322" s="10" t="s">
        <v>347</v>
      </c>
      <c r="K322">
        <v>301</v>
      </c>
      <c r="L322" t="s">
        <v>703</v>
      </c>
      <c r="M322">
        <v>137</v>
      </c>
      <c r="O322" t="s">
        <v>703</v>
      </c>
    </row>
    <row r="323" spans="1:18" x14ac:dyDescent="0.35">
      <c r="A323">
        <v>33</v>
      </c>
      <c r="B323" s="2" t="s">
        <v>347</v>
      </c>
      <c r="C323">
        <v>306</v>
      </c>
      <c r="D323" t="s">
        <v>147</v>
      </c>
      <c r="H323" s="7"/>
      <c r="I323" s="9">
        <v>41</v>
      </c>
      <c r="J323" s="10" t="s">
        <v>347</v>
      </c>
      <c r="K323">
        <v>302</v>
      </c>
      <c r="L323" t="s">
        <v>704</v>
      </c>
      <c r="M323">
        <v>138</v>
      </c>
      <c r="O323" t="s">
        <v>704</v>
      </c>
      <c r="Q323">
        <v>95</v>
      </c>
      <c r="R323" t="s">
        <v>704</v>
      </c>
    </row>
    <row r="324" spans="1:18" x14ac:dyDescent="0.35">
      <c r="A324">
        <v>33</v>
      </c>
      <c r="B324" s="2" t="s">
        <v>347</v>
      </c>
      <c r="C324">
        <v>307</v>
      </c>
      <c r="D324" t="s">
        <v>99</v>
      </c>
      <c r="F324">
        <v>100</v>
      </c>
      <c r="G324" t="s">
        <v>99</v>
      </c>
      <c r="H324" s="7"/>
      <c r="I324" s="9">
        <v>41</v>
      </c>
      <c r="J324" s="10" t="s">
        <v>347</v>
      </c>
      <c r="K324">
        <v>303</v>
      </c>
      <c r="L324" t="s">
        <v>705</v>
      </c>
      <c r="M324">
        <v>139</v>
      </c>
      <c r="O324" t="s">
        <v>705</v>
      </c>
      <c r="Q324">
        <v>96</v>
      </c>
      <c r="R324" t="s">
        <v>705</v>
      </c>
    </row>
    <row r="325" spans="1:18" x14ac:dyDescent="0.35">
      <c r="A325">
        <v>33</v>
      </c>
      <c r="B325" s="2" t="s">
        <v>347</v>
      </c>
      <c r="C325">
        <v>308</v>
      </c>
      <c r="D325" t="s">
        <v>100</v>
      </c>
      <c r="F325">
        <v>101</v>
      </c>
      <c r="G325" t="s">
        <v>100</v>
      </c>
      <c r="H325" s="7"/>
      <c r="I325" s="9">
        <v>41</v>
      </c>
      <c r="J325" s="10" t="s">
        <v>347</v>
      </c>
      <c r="K325">
        <v>304</v>
      </c>
      <c r="L325" t="s">
        <v>706</v>
      </c>
      <c r="M325">
        <v>140</v>
      </c>
      <c r="O325" t="s">
        <v>706</v>
      </c>
      <c r="Q325">
        <v>97</v>
      </c>
      <c r="R325" t="s">
        <v>706</v>
      </c>
    </row>
    <row r="326" spans="1:18" x14ac:dyDescent="0.35">
      <c r="A326">
        <v>33</v>
      </c>
      <c r="B326" s="2" t="s">
        <v>347</v>
      </c>
      <c r="C326">
        <v>309</v>
      </c>
      <c r="D326" t="s">
        <v>148</v>
      </c>
      <c r="F326">
        <v>102</v>
      </c>
      <c r="G326" t="s">
        <v>148</v>
      </c>
      <c r="H326" s="7"/>
      <c r="I326" s="9">
        <v>41</v>
      </c>
      <c r="J326" s="10" t="s">
        <v>347</v>
      </c>
      <c r="K326">
        <v>305</v>
      </c>
      <c r="L326" t="s">
        <v>707</v>
      </c>
      <c r="M326">
        <v>141</v>
      </c>
      <c r="O326" t="s">
        <v>707</v>
      </c>
    </row>
    <row r="327" spans="1:18" x14ac:dyDescent="0.35">
      <c r="A327">
        <v>33</v>
      </c>
      <c r="B327" s="2" t="s">
        <v>347</v>
      </c>
      <c r="C327">
        <v>310</v>
      </c>
      <c r="D327" t="s">
        <v>149</v>
      </c>
      <c r="H327" s="7"/>
      <c r="I327" s="9">
        <v>41</v>
      </c>
      <c r="J327" s="10" t="s">
        <v>347</v>
      </c>
      <c r="K327">
        <v>306</v>
      </c>
      <c r="L327" t="s">
        <v>708</v>
      </c>
      <c r="M327">
        <v>142</v>
      </c>
      <c r="O327" t="s">
        <v>708</v>
      </c>
    </row>
    <row r="328" spans="1:18" x14ac:dyDescent="0.35">
      <c r="A328">
        <v>33</v>
      </c>
      <c r="B328" s="2" t="s">
        <v>347</v>
      </c>
      <c r="C328">
        <v>311</v>
      </c>
      <c r="D328" t="s">
        <v>366</v>
      </c>
      <c r="H328" s="7"/>
      <c r="I328" s="9">
        <v>62</v>
      </c>
      <c r="J328" s="10" t="s">
        <v>377</v>
      </c>
      <c r="K328">
        <v>307</v>
      </c>
      <c r="L328" t="s">
        <v>709</v>
      </c>
      <c r="M328">
        <v>143</v>
      </c>
      <c r="O328" t="s">
        <v>709</v>
      </c>
    </row>
    <row r="329" spans="1:18" x14ac:dyDescent="0.35">
      <c r="A329">
        <v>33</v>
      </c>
      <c r="B329" s="2" t="s">
        <v>347</v>
      </c>
      <c r="C329">
        <v>312</v>
      </c>
      <c r="D329" t="s">
        <v>150</v>
      </c>
      <c r="H329" s="7"/>
      <c r="I329" s="9">
        <v>62</v>
      </c>
      <c r="J329" s="10" t="s">
        <v>377</v>
      </c>
      <c r="K329">
        <v>308</v>
      </c>
      <c r="L329" t="s">
        <v>710</v>
      </c>
      <c r="M329">
        <v>144</v>
      </c>
      <c r="O329" t="s">
        <v>710</v>
      </c>
    </row>
    <row r="330" spans="1:18" x14ac:dyDescent="0.35">
      <c r="A330">
        <v>33</v>
      </c>
      <c r="B330" s="2" t="s">
        <v>347</v>
      </c>
      <c r="C330">
        <v>313</v>
      </c>
      <c r="D330" t="s">
        <v>365</v>
      </c>
      <c r="H330" s="7"/>
      <c r="I330" s="9">
        <v>62</v>
      </c>
      <c r="J330" s="10" t="s">
        <v>377</v>
      </c>
      <c r="K330">
        <v>309</v>
      </c>
      <c r="L330" t="s">
        <v>711</v>
      </c>
      <c r="M330">
        <v>145</v>
      </c>
      <c r="O330" t="s">
        <v>711</v>
      </c>
    </row>
    <row r="331" spans="1:18" x14ac:dyDescent="0.35">
      <c r="A331">
        <v>33</v>
      </c>
      <c r="B331" s="2" t="s">
        <v>347</v>
      </c>
      <c r="C331">
        <v>314</v>
      </c>
      <c r="D331" t="s">
        <v>151</v>
      </c>
      <c r="H331" s="7"/>
      <c r="I331" s="9">
        <v>62</v>
      </c>
      <c r="J331" s="10" t="s">
        <v>377</v>
      </c>
      <c r="K331">
        <v>310</v>
      </c>
      <c r="L331" t="s">
        <v>712</v>
      </c>
      <c r="M331">
        <v>146</v>
      </c>
      <c r="O331" t="s">
        <v>712</v>
      </c>
    </row>
    <row r="332" spans="1:18" x14ac:dyDescent="0.35">
      <c r="A332">
        <v>32</v>
      </c>
      <c r="B332" s="2" t="s">
        <v>347</v>
      </c>
      <c r="C332">
        <v>315</v>
      </c>
      <c r="D332" t="s">
        <v>364</v>
      </c>
      <c r="H332" s="7"/>
      <c r="I332" s="9">
        <v>62</v>
      </c>
      <c r="J332" s="10" t="s">
        <v>377</v>
      </c>
      <c r="K332">
        <v>311</v>
      </c>
      <c r="L332" t="s">
        <v>727</v>
      </c>
      <c r="M332">
        <v>147</v>
      </c>
      <c r="O332" t="s">
        <v>727</v>
      </c>
    </row>
    <row r="333" spans="1:18" x14ac:dyDescent="0.35">
      <c r="A333">
        <v>50</v>
      </c>
      <c r="B333" s="2" t="s">
        <v>377</v>
      </c>
      <c r="C333">
        <v>316</v>
      </c>
      <c r="D333" t="s">
        <v>152</v>
      </c>
      <c r="H333" s="7"/>
      <c r="I333" s="9">
        <v>13</v>
      </c>
      <c r="J333" s="10" t="s">
        <v>388</v>
      </c>
      <c r="K333">
        <v>312</v>
      </c>
      <c r="L333" t="s">
        <v>564</v>
      </c>
      <c r="Q333">
        <v>98</v>
      </c>
      <c r="R333" t="s">
        <v>564</v>
      </c>
    </row>
    <row r="334" spans="1:18" x14ac:dyDescent="0.35">
      <c r="A334">
        <v>50</v>
      </c>
      <c r="B334" s="2" t="s">
        <v>377</v>
      </c>
      <c r="C334">
        <v>317</v>
      </c>
      <c r="D334" t="s">
        <v>153</v>
      </c>
      <c r="H334" s="7"/>
      <c r="Q334">
        <v>99</v>
      </c>
      <c r="R334" t="s">
        <v>745</v>
      </c>
    </row>
    <row r="335" spans="1:18" x14ac:dyDescent="0.35">
      <c r="A335">
        <v>50</v>
      </c>
      <c r="B335" s="2" t="s">
        <v>377</v>
      </c>
      <c r="C335">
        <v>318</v>
      </c>
      <c r="D335" t="s">
        <v>154</v>
      </c>
      <c r="H335" s="7"/>
      <c r="Q335">
        <v>100</v>
      </c>
      <c r="R335" t="s">
        <v>551</v>
      </c>
    </row>
    <row r="336" spans="1:18" x14ac:dyDescent="0.35">
      <c r="A336">
        <v>50</v>
      </c>
      <c r="B336" s="2" t="s">
        <v>377</v>
      </c>
      <c r="C336">
        <v>319</v>
      </c>
      <c r="D336" t="s">
        <v>155</v>
      </c>
      <c r="H336" s="7"/>
      <c r="Q336">
        <v>101</v>
      </c>
      <c r="R336" t="s">
        <v>552</v>
      </c>
    </row>
    <row r="337" spans="1:14" x14ac:dyDescent="0.35">
      <c r="A337">
        <v>50</v>
      </c>
      <c r="B337" s="2" t="s">
        <v>377</v>
      </c>
      <c r="C337">
        <v>320</v>
      </c>
      <c r="D337" t="s">
        <v>156</v>
      </c>
      <c r="H337" s="7"/>
      <c r="I337" s="1">
        <v>400</v>
      </c>
      <c r="J337" s="1" t="s">
        <v>1152</v>
      </c>
      <c r="K337">
        <v>313</v>
      </c>
      <c r="L337" t="s">
        <v>725</v>
      </c>
      <c r="M337">
        <v>1</v>
      </c>
      <c r="N337" t="s">
        <v>726</v>
      </c>
    </row>
    <row r="338" spans="1:14" x14ac:dyDescent="0.35">
      <c r="A338">
        <v>50</v>
      </c>
      <c r="B338" s="2" t="s">
        <v>377</v>
      </c>
      <c r="C338">
        <v>321</v>
      </c>
      <c r="D338" t="s">
        <v>157</v>
      </c>
      <c r="H338" s="7"/>
      <c r="I338" s="1">
        <v>400</v>
      </c>
      <c r="J338" s="1" t="s">
        <v>1152</v>
      </c>
      <c r="K338">
        <v>314</v>
      </c>
      <c r="L338" t="s">
        <v>724</v>
      </c>
      <c r="M338">
        <v>2</v>
      </c>
    </row>
    <row r="339" spans="1:14" x14ac:dyDescent="0.35">
      <c r="H339" s="7"/>
      <c r="I339" s="9">
        <v>70</v>
      </c>
      <c r="J339" s="10" t="s">
        <v>382</v>
      </c>
      <c r="K339">
        <v>315</v>
      </c>
      <c r="L339" t="s">
        <v>723</v>
      </c>
      <c r="M339">
        <v>3</v>
      </c>
    </row>
    <row r="340" spans="1:14" x14ac:dyDescent="0.35">
      <c r="A340">
        <v>10.1</v>
      </c>
      <c r="B340" s="18" t="s">
        <v>1179</v>
      </c>
      <c r="C340" s="19" t="str">
        <f>"c"&amp;MID(B340,2,10)</f>
        <v>cipot</v>
      </c>
      <c r="D340" s="20" t="s">
        <v>1180</v>
      </c>
      <c r="H340" s="7"/>
      <c r="I340" s="9">
        <v>70</v>
      </c>
      <c r="J340" s="10" t="s">
        <v>382</v>
      </c>
      <c r="K340">
        <v>316</v>
      </c>
      <c r="L340" t="s">
        <v>722</v>
      </c>
      <c r="M340">
        <v>4</v>
      </c>
    </row>
    <row r="341" spans="1:14" x14ac:dyDescent="0.35">
      <c r="A341">
        <v>10.199999999999999</v>
      </c>
      <c r="B341" s="21" t="s">
        <v>1181</v>
      </c>
      <c r="C341" s="22" t="str">
        <f>"c"&amp;MID(B341,2,10)</f>
        <v>cspot</v>
      </c>
      <c r="D341" s="23" t="s">
        <v>1182</v>
      </c>
      <c r="H341" s="7"/>
      <c r="I341" s="9">
        <v>70</v>
      </c>
      <c r="J341" s="10" t="s">
        <v>382</v>
      </c>
      <c r="K341">
        <v>317</v>
      </c>
      <c r="L341" t="s">
        <v>721</v>
      </c>
      <c r="M341">
        <v>5</v>
      </c>
    </row>
    <row r="342" spans="1:14" x14ac:dyDescent="0.35">
      <c r="A342">
        <v>10.3</v>
      </c>
      <c r="B342" s="24" t="s">
        <v>1183</v>
      </c>
      <c r="C342" s="25" t="s">
        <v>1184</v>
      </c>
      <c r="D342" s="26" t="s">
        <v>1081</v>
      </c>
      <c r="H342" s="7"/>
      <c r="I342" s="9">
        <v>70</v>
      </c>
      <c r="J342" s="10" t="s">
        <v>382</v>
      </c>
      <c r="K342">
        <v>318</v>
      </c>
      <c r="L342" t="s">
        <v>720</v>
      </c>
      <c r="M342">
        <v>6</v>
      </c>
    </row>
    <row r="343" spans="1:14" x14ac:dyDescent="0.35">
      <c r="H343" s="7"/>
      <c r="I343" s="9">
        <v>70</v>
      </c>
      <c r="J343" s="10" t="s">
        <v>382</v>
      </c>
      <c r="K343">
        <v>319</v>
      </c>
      <c r="L343" t="s">
        <v>719</v>
      </c>
      <c r="M343">
        <v>7</v>
      </c>
    </row>
    <row r="344" spans="1:14" x14ac:dyDescent="0.35">
      <c r="H344" s="7"/>
      <c r="I344" s="9">
        <v>70</v>
      </c>
      <c r="J344" s="10" t="s">
        <v>382</v>
      </c>
      <c r="K344">
        <v>320</v>
      </c>
      <c r="L344" t="s">
        <v>718</v>
      </c>
      <c r="M344">
        <v>8</v>
      </c>
    </row>
    <row r="345" spans="1:14" x14ac:dyDescent="0.35">
      <c r="H345" s="7"/>
      <c r="I345" s="9">
        <v>70</v>
      </c>
      <c r="J345" s="10" t="s">
        <v>382</v>
      </c>
      <c r="K345">
        <v>321</v>
      </c>
      <c r="L345" t="s">
        <v>717</v>
      </c>
      <c r="M345">
        <v>9</v>
      </c>
    </row>
    <row r="346" spans="1:14" x14ac:dyDescent="0.35">
      <c r="H346" s="7"/>
      <c r="I346" s="9">
        <v>70</v>
      </c>
      <c r="J346" s="10" t="s">
        <v>382</v>
      </c>
      <c r="K346">
        <v>322</v>
      </c>
      <c r="L346" t="s">
        <v>716</v>
      </c>
      <c r="M346">
        <v>10</v>
      </c>
    </row>
    <row r="347" spans="1:14" x14ac:dyDescent="0.35">
      <c r="H347" s="7"/>
      <c r="I347" s="9">
        <v>70</v>
      </c>
      <c r="J347" s="10" t="s">
        <v>382</v>
      </c>
      <c r="K347">
        <v>323</v>
      </c>
      <c r="L347" t="s">
        <v>715</v>
      </c>
      <c r="M347">
        <v>11</v>
      </c>
    </row>
    <row r="348" spans="1:14" x14ac:dyDescent="0.35">
      <c r="H348" s="7"/>
      <c r="I348" s="9">
        <v>70</v>
      </c>
      <c r="J348" s="10" t="s">
        <v>382</v>
      </c>
      <c r="K348">
        <v>324</v>
      </c>
      <c r="L348" t="s">
        <v>714</v>
      </c>
      <c r="M348">
        <v>12</v>
      </c>
    </row>
    <row r="349" spans="1:14" x14ac:dyDescent="0.35">
      <c r="H349" s="7"/>
      <c r="I349" s="11">
        <v>200</v>
      </c>
      <c r="J349" s="12" t="s">
        <v>398</v>
      </c>
      <c r="K349">
        <v>325</v>
      </c>
      <c r="L349" t="s">
        <v>713</v>
      </c>
      <c r="M349">
        <v>13</v>
      </c>
    </row>
    <row r="350" spans="1:14" x14ac:dyDescent="0.35">
      <c r="H350" s="7"/>
      <c r="I350" s="9">
        <v>70</v>
      </c>
      <c r="J350" s="10" t="s">
        <v>382</v>
      </c>
      <c r="K350">
        <v>326</v>
      </c>
      <c r="L350" t="s">
        <v>1155</v>
      </c>
      <c r="N350" t="s">
        <v>1154</v>
      </c>
    </row>
    <row r="389" spans="2:2" x14ac:dyDescent="0.35">
      <c r="B389" s="2" t="s">
        <v>101</v>
      </c>
    </row>
    <row r="449" spans="5:5" x14ac:dyDescent="0.35">
      <c r="E449" t="s">
        <v>177</v>
      </c>
    </row>
    <row r="516" spans="2:2" x14ac:dyDescent="0.35">
      <c r="B516" s="2" t="s">
        <v>101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3"/>
  <sheetViews>
    <sheetView topLeftCell="A59" workbookViewId="0">
      <selection activeCell="A59" sqref="A59"/>
    </sheetView>
  </sheetViews>
  <sheetFormatPr defaultRowHeight="14.5" x14ac:dyDescent="0.35"/>
  <cols>
    <col min="2" max="2" width="13.7265625" customWidth="1"/>
    <col min="4" max="4" width="15.26953125" customWidth="1"/>
    <col min="5" max="5" width="11.26953125" customWidth="1"/>
    <col min="14" max="14" width="36.81640625" bestFit="1" customWidth="1"/>
  </cols>
  <sheetData>
    <row r="1" spans="1:6" x14ac:dyDescent="0.35">
      <c r="A1" s="1" t="s">
        <v>1323</v>
      </c>
      <c r="C1" t="s">
        <v>1143</v>
      </c>
      <c r="E1" t="s">
        <v>1146</v>
      </c>
    </row>
    <row r="2" spans="1:6" x14ac:dyDescent="0.35">
      <c r="A2" s="2" t="s">
        <v>384</v>
      </c>
      <c r="B2" s="2" t="s">
        <v>385</v>
      </c>
      <c r="C2" t="s">
        <v>1148</v>
      </c>
      <c r="D2" t="s">
        <v>747</v>
      </c>
      <c r="E2" t="s">
        <v>746</v>
      </c>
      <c r="F2" t="s">
        <v>748</v>
      </c>
    </row>
    <row r="3" spans="1:6" x14ac:dyDescent="0.35">
      <c r="A3">
        <v>162</v>
      </c>
      <c r="B3" t="s">
        <v>567</v>
      </c>
      <c r="C3">
        <v>1</v>
      </c>
      <c r="D3" t="s">
        <v>567</v>
      </c>
      <c r="E3">
        <v>1</v>
      </c>
      <c r="F3" t="s">
        <v>567</v>
      </c>
    </row>
    <row r="4" spans="1:6" x14ac:dyDescent="0.35">
      <c r="A4">
        <v>163</v>
      </c>
      <c r="B4" t="s">
        <v>568</v>
      </c>
      <c r="C4">
        <v>2</v>
      </c>
      <c r="D4" t="s">
        <v>568</v>
      </c>
    </row>
    <row r="5" spans="1:6" x14ac:dyDescent="0.35">
      <c r="A5">
        <v>164</v>
      </c>
      <c r="B5" t="s">
        <v>569</v>
      </c>
      <c r="C5">
        <v>3</v>
      </c>
      <c r="D5" t="s">
        <v>569</v>
      </c>
      <c r="E5">
        <v>2</v>
      </c>
      <c r="F5" t="s">
        <v>569</v>
      </c>
    </row>
    <row r="6" spans="1:6" x14ac:dyDescent="0.35">
      <c r="A6">
        <v>165</v>
      </c>
      <c r="B6" t="s">
        <v>570</v>
      </c>
      <c r="C6">
        <v>4</v>
      </c>
      <c r="D6" t="s">
        <v>570</v>
      </c>
      <c r="E6">
        <v>3</v>
      </c>
      <c r="F6" t="s">
        <v>570</v>
      </c>
    </row>
    <row r="7" spans="1:6" x14ac:dyDescent="0.35">
      <c r="A7">
        <v>166</v>
      </c>
      <c r="B7" t="s">
        <v>571</v>
      </c>
      <c r="C7">
        <v>5</v>
      </c>
      <c r="D7" t="s">
        <v>571</v>
      </c>
      <c r="E7">
        <v>4</v>
      </c>
      <c r="F7" t="s">
        <v>571</v>
      </c>
    </row>
    <row r="8" spans="1:6" x14ac:dyDescent="0.35">
      <c r="A8">
        <v>167</v>
      </c>
      <c r="B8" t="s">
        <v>572</v>
      </c>
      <c r="C8">
        <v>6</v>
      </c>
      <c r="D8" t="s">
        <v>572</v>
      </c>
    </row>
    <row r="9" spans="1:6" x14ac:dyDescent="0.35">
      <c r="A9">
        <v>168</v>
      </c>
      <c r="B9" t="s">
        <v>573</v>
      </c>
      <c r="C9">
        <v>7</v>
      </c>
      <c r="D9" t="s">
        <v>573</v>
      </c>
      <c r="E9">
        <v>5</v>
      </c>
      <c r="F9" t="s">
        <v>573</v>
      </c>
    </row>
    <row r="10" spans="1:6" x14ac:dyDescent="0.35">
      <c r="A10">
        <v>169</v>
      </c>
      <c r="B10" t="s">
        <v>574</v>
      </c>
      <c r="C10">
        <v>8</v>
      </c>
      <c r="D10" t="s">
        <v>574</v>
      </c>
      <c r="E10">
        <v>6</v>
      </c>
      <c r="F10" t="s">
        <v>729</v>
      </c>
    </row>
    <row r="11" spans="1:6" x14ac:dyDescent="0.35">
      <c r="A11">
        <v>170</v>
      </c>
      <c r="B11" t="s">
        <v>575</v>
      </c>
      <c r="C11">
        <v>9</v>
      </c>
      <c r="D11" t="s">
        <v>575</v>
      </c>
      <c r="E11">
        <v>7</v>
      </c>
      <c r="F11" t="s">
        <v>575</v>
      </c>
    </row>
    <row r="12" spans="1:6" x14ac:dyDescent="0.35">
      <c r="A12">
        <v>171</v>
      </c>
      <c r="B12" t="s">
        <v>576</v>
      </c>
      <c r="C12">
        <v>10</v>
      </c>
      <c r="D12" t="s">
        <v>576</v>
      </c>
      <c r="E12">
        <v>8</v>
      </c>
      <c r="F12" t="s">
        <v>576</v>
      </c>
    </row>
    <row r="13" spans="1:6" x14ac:dyDescent="0.35">
      <c r="A13">
        <v>172</v>
      </c>
      <c r="B13" t="s">
        <v>577</v>
      </c>
      <c r="C13">
        <v>11</v>
      </c>
      <c r="D13" t="s">
        <v>577</v>
      </c>
      <c r="E13">
        <v>9</v>
      </c>
      <c r="F13" t="s">
        <v>577</v>
      </c>
    </row>
    <row r="14" spans="1:6" x14ac:dyDescent="0.35">
      <c r="A14">
        <v>173</v>
      </c>
      <c r="B14" t="s">
        <v>578</v>
      </c>
      <c r="C14">
        <v>12</v>
      </c>
      <c r="D14" t="s">
        <v>578</v>
      </c>
      <c r="E14">
        <v>10</v>
      </c>
      <c r="F14" t="s">
        <v>578</v>
      </c>
    </row>
    <row r="15" spans="1:6" x14ac:dyDescent="0.35">
      <c r="A15">
        <v>174</v>
      </c>
      <c r="B15" t="s">
        <v>579</v>
      </c>
      <c r="C15">
        <v>13</v>
      </c>
      <c r="D15" t="s">
        <v>579</v>
      </c>
      <c r="E15">
        <v>11</v>
      </c>
      <c r="F15" t="s">
        <v>730</v>
      </c>
    </row>
    <row r="16" spans="1:6" x14ac:dyDescent="0.35">
      <c r="A16">
        <v>175</v>
      </c>
      <c r="B16" t="s">
        <v>580</v>
      </c>
      <c r="C16">
        <v>14</v>
      </c>
      <c r="D16" t="s">
        <v>580</v>
      </c>
    </row>
    <row r="17" spans="1:6" x14ac:dyDescent="0.35">
      <c r="A17">
        <v>176</v>
      </c>
      <c r="B17" t="s">
        <v>581</v>
      </c>
      <c r="C17">
        <v>15</v>
      </c>
      <c r="D17" t="s">
        <v>581</v>
      </c>
    </row>
    <row r="18" spans="1:6" x14ac:dyDescent="0.35">
      <c r="A18">
        <v>177</v>
      </c>
      <c r="B18" t="s">
        <v>582</v>
      </c>
      <c r="C18">
        <v>16</v>
      </c>
      <c r="D18" t="s">
        <v>582</v>
      </c>
    </row>
    <row r="19" spans="1:6" x14ac:dyDescent="0.35">
      <c r="A19">
        <v>178</v>
      </c>
      <c r="B19" t="s">
        <v>583</v>
      </c>
      <c r="C19">
        <v>17</v>
      </c>
      <c r="D19" t="s">
        <v>583</v>
      </c>
    </row>
    <row r="20" spans="1:6" x14ac:dyDescent="0.35">
      <c r="A20">
        <v>179</v>
      </c>
      <c r="B20" t="s">
        <v>584</v>
      </c>
      <c r="C20">
        <v>18</v>
      </c>
      <c r="D20" t="s">
        <v>584</v>
      </c>
      <c r="E20">
        <v>12</v>
      </c>
      <c r="F20" t="s">
        <v>584</v>
      </c>
    </row>
    <row r="21" spans="1:6" x14ac:dyDescent="0.35">
      <c r="A21">
        <v>180</v>
      </c>
      <c r="B21" t="s">
        <v>585</v>
      </c>
      <c r="C21">
        <v>19</v>
      </c>
      <c r="D21" t="s">
        <v>585</v>
      </c>
      <c r="E21">
        <v>13</v>
      </c>
      <c r="F21" t="s">
        <v>585</v>
      </c>
    </row>
    <row r="22" spans="1:6" x14ac:dyDescent="0.35">
      <c r="A22">
        <v>181</v>
      </c>
      <c r="B22" t="s">
        <v>586</v>
      </c>
      <c r="C22">
        <v>20</v>
      </c>
      <c r="D22" t="s">
        <v>586</v>
      </c>
      <c r="E22">
        <v>14</v>
      </c>
      <c r="F22" t="s">
        <v>586</v>
      </c>
    </row>
    <row r="23" spans="1:6" x14ac:dyDescent="0.35">
      <c r="A23">
        <v>182</v>
      </c>
      <c r="B23" t="s">
        <v>587</v>
      </c>
      <c r="C23">
        <v>21</v>
      </c>
      <c r="D23" t="s">
        <v>587</v>
      </c>
      <c r="E23">
        <v>15</v>
      </c>
      <c r="F23" t="s">
        <v>587</v>
      </c>
    </row>
    <row r="24" spans="1:6" x14ac:dyDescent="0.35">
      <c r="A24">
        <v>183</v>
      </c>
      <c r="B24" t="s">
        <v>588</v>
      </c>
      <c r="C24">
        <v>22</v>
      </c>
      <c r="D24" t="s">
        <v>588</v>
      </c>
      <c r="E24">
        <v>16</v>
      </c>
      <c r="F24" t="s">
        <v>588</v>
      </c>
    </row>
    <row r="25" spans="1:6" x14ac:dyDescent="0.35">
      <c r="A25">
        <v>184</v>
      </c>
      <c r="B25" t="s">
        <v>589</v>
      </c>
      <c r="C25">
        <v>23</v>
      </c>
      <c r="D25" t="s">
        <v>589</v>
      </c>
      <c r="E25">
        <v>17</v>
      </c>
      <c r="F25" t="s">
        <v>589</v>
      </c>
    </row>
    <row r="26" spans="1:6" x14ac:dyDescent="0.35">
      <c r="A26">
        <v>185</v>
      </c>
      <c r="B26" t="s">
        <v>590</v>
      </c>
      <c r="C26">
        <v>24</v>
      </c>
      <c r="D26" t="s">
        <v>590</v>
      </c>
      <c r="E26">
        <v>18</v>
      </c>
      <c r="F26" t="s">
        <v>590</v>
      </c>
    </row>
    <row r="27" spans="1:6" x14ac:dyDescent="0.35">
      <c r="A27">
        <v>186</v>
      </c>
      <c r="B27" t="s">
        <v>591</v>
      </c>
      <c r="C27">
        <v>25</v>
      </c>
      <c r="D27" t="s">
        <v>591</v>
      </c>
    </row>
    <row r="28" spans="1:6" x14ac:dyDescent="0.35">
      <c r="A28">
        <v>187</v>
      </c>
      <c r="B28" t="s">
        <v>592</v>
      </c>
      <c r="C28">
        <v>26</v>
      </c>
      <c r="D28" t="s">
        <v>592</v>
      </c>
    </row>
    <row r="29" spans="1:6" x14ac:dyDescent="0.35">
      <c r="A29">
        <v>188</v>
      </c>
      <c r="B29" t="s">
        <v>593</v>
      </c>
      <c r="C29">
        <v>27</v>
      </c>
      <c r="D29" t="s">
        <v>593</v>
      </c>
      <c r="E29">
        <v>19</v>
      </c>
      <c r="F29" t="s">
        <v>593</v>
      </c>
    </row>
    <row r="30" spans="1:6" x14ac:dyDescent="0.35">
      <c r="A30">
        <v>189</v>
      </c>
      <c r="B30" t="s">
        <v>594</v>
      </c>
      <c r="C30">
        <v>28</v>
      </c>
      <c r="D30" t="s">
        <v>594</v>
      </c>
    </row>
    <row r="31" spans="1:6" x14ac:dyDescent="0.35">
      <c r="A31">
        <v>190</v>
      </c>
      <c r="B31" t="s">
        <v>595</v>
      </c>
      <c r="C31">
        <v>29</v>
      </c>
      <c r="D31" t="s">
        <v>595</v>
      </c>
      <c r="E31">
        <v>20</v>
      </c>
      <c r="F31" t="s">
        <v>731</v>
      </c>
    </row>
    <row r="32" spans="1:6" x14ac:dyDescent="0.35">
      <c r="A32">
        <v>191</v>
      </c>
      <c r="B32" t="s">
        <v>596</v>
      </c>
      <c r="C32">
        <v>30</v>
      </c>
      <c r="D32" t="s">
        <v>596</v>
      </c>
      <c r="E32">
        <v>21</v>
      </c>
      <c r="F32" t="s">
        <v>596</v>
      </c>
    </row>
    <row r="33" spans="1:6" x14ac:dyDescent="0.35">
      <c r="A33">
        <v>192</v>
      </c>
      <c r="B33" t="s">
        <v>597</v>
      </c>
      <c r="C33">
        <v>31</v>
      </c>
      <c r="D33" t="s">
        <v>597</v>
      </c>
      <c r="E33">
        <v>22</v>
      </c>
      <c r="F33" t="s">
        <v>597</v>
      </c>
    </row>
    <row r="34" spans="1:6" x14ac:dyDescent="0.35">
      <c r="A34">
        <v>193</v>
      </c>
      <c r="B34" t="s">
        <v>598</v>
      </c>
      <c r="C34">
        <v>32</v>
      </c>
      <c r="D34" t="s">
        <v>598</v>
      </c>
    </row>
    <row r="35" spans="1:6" x14ac:dyDescent="0.35">
      <c r="A35">
        <v>194</v>
      </c>
      <c r="B35" t="s">
        <v>599</v>
      </c>
      <c r="C35">
        <v>33</v>
      </c>
      <c r="D35" t="s">
        <v>599</v>
      </c>
      <c r="E35">
        <v>23</v>
      </c>
      <c r="F35" t="s">
        <v>599</v>
      </c>
    </row>
    <row r="36" spans="1:6" x14ac:dyDescent="0.35">
      <c r="A36">
        <v>195</v>
      </c>
      <c r="B36" t="s">
        <v>600</v>
      </c>
      <c r="C36">
        <v>34</v>
      </c>
      <c r="D36" t="s">
        <v>600</v>
      </c>
    </row>
    <row r="37" spans="1:6" x14ac:dyDescent="0.35">
      <c r="A37">
        <v>196</v>
      </c>
      <c r="B37" t="s">
        <v>601</v>
      </c>
      <c r="C37">
        <v>35</v>
      </c>
      <c r="D37" t="s">
        <v>601</v>
      </c>
    </row>
    <row r="38" spans="1:6" x14ac:dyDescent="0.35">
      <c r="A38">
        <v>197</v>
      </c>
      <c r="B38" t="s">
        <v>602</v>
      </c>
      <c r="C38">
        <v>36</v>
      </c>
      <c r="D38" t="s">
        <v>602</v>
      </c>
      <c r="E38">
        <v>24</v>
      </c>
      <c r="F38" t="s">
        <v>602</v>
      </c>
    </row>
    <row r="39" spans="1:6" x14ac:dyDescent="0.35">
      <c r="A39">
        <v>198</v>
      </c>
      <c r="B39" t="s">
        <v>603</v>
      </c>
      <c r="C39">
        <v>37</v>
      </c>
      <c r="D39" t="s">
        <v>603</v>
      </c>
      <c r="E39">
        <v>25</v>
      </c>
      <c r="F39" t="s">
        <v>603</v>
      </c>
    </row>
    <row r="40" spans="1:6" x14ac:dyDescent="0.35">
      <c r="A40">
        <v>199</v>
      </c>
      <c r="B40" t="s">
        <v>604</v>
      </c>
      <c r="C40">
        <v>38</v>
      </c>
      <c r="D40" t="s">
        <v>604</v>
      </c>
    </row>
    <row r="41" spans="1:6" x14ac:dyDescent="0.35">
      <c r="A41">
        <v>200</v>
      </c>
      <c r="B41" t="s">
        <v>605</v>
      </c>
      <c r="C41">
        <v>39</v>
      </c>
      <c r="D41" t="s">
        <v>605</v>
      </c>
    </row>
    <row r="42" spans="1:6" x14ac:dyDescent="0.35">
      <c r="A42">
        <v>201</v>
      </c>
      <c r="B42" t="s">
        <v>606</v>
      </c>
      <c r="C42">
        <v>40</v>
      </c>
      <c r="D42" t="s">
        <v>606</v>
      </c>
    </row>
    <row r="43" spans="1:6" x14ac:dyDescent="0.35">
      <c r="A43">
        <v>202</v>
      </c>
      <c r="B43" t="s">
        <v>607</v>
      </c>
      <c r="C43">
        <v>41</v>
      </c>
      <c r="D43" t="s">
        <v>607</v>
      </c>
    </row>
    <row r="44" spans="1:6" x14ac:dyDescent="0.35">
      <c r="A44">
        <v>203</v>
      </c>
      <c r="B44" t="s">
        <v>608</v>
      </c>
      <c r="C44">
        <v>42</v>
      </c>
      <c r="D44" t="s">
        <v>608</v>
      </c>
      <c r="E44">
        <v>26</v>
      </c>
      <c r="F44" t="s">
        <v>608</v>
      </c>
    </row>
    <row r="45" spans="1:6" x14ac:dyDescent="0.35">
      <c r="A45">
        <v>204</v>
      </c>
      <c r="B45" t="s">
        <v>609</v>
      </c>
      <c r="C45">
        <v>43</v>
      </c>
      <c r="D45" t="s">
        <v>609</v>
      </c>
      <c r="E45">
        <v>28</v>
      </c>
      <c r="F45" t="s">
        <v>733</v>
      </c>
    </row>
    <row r="46" spans="1:6" x14ac:dyDescent="0.35">
      <c r="A46">
        <v>205</v>
      </c>
      <c r="B46" t="s">
        <v>732</v>
      </c>
      <c r="E46">
        <v>27</v>
      </c>
      <c r="F46" t="s">
        <v>732</v>
      </c>
    </row>
    <row r="47" spans="1:6" x14ac:dyDescent="0.35">
      <c r="A47">
        <v>206</v>
      </c>
      <c r="B47" t="s">
        <v>610</v>
      </c>
      <c r="C47">
        <v>44</v>
      </c>
      <c r="D47" t="s">
        <v>610</v>
      </c>
    </row>
    <row r="48" spans="1:6" x14ac:dyDescent="0.35">
      <c r="A48">
        <v>207</v>
      </c>
      <c r="B48" t="s">
        <v>611</v>
      </c>
      <c r="C48">
        <v>45</v>
      </c>
      <c r="D48" t="s">
        <v>611</v>
      </c>
    </row>
    <row r="49" spans="1:6" x14ac:dyDescent="0.35">
      <c r="A49">
        <v>208</v>
      </c>
      <c r="B49" t="s">
        <v>612</v>
      </c>
      <c r="C49">
        <v>46</v>
      </c>
      <c r="D49" t="s">
        <v>612</v>
      </c>
    </row>
    <row r="50" spans="1:6" x14ac:dyDescent="0.35">
      <c r="A50">
        <v>209</v>
      </c>
      <c r="B50" t="s">
        <v>613</v>
      </c>
      <c r="C50">
        <v>47</v>
      </c>
      <c r="D50" t="s">
        <v>613</v>
      </c>
    </row>
    <row r="51" spans="1:6" x14ac:dyDescent="0.35">
      <c r="A51">
        <v>210</v>
      </c>
      <c r="B51" t="s">
        <v>614</v>
      </c>
      <c r="C51">
        <v>48</v>
      </c>
      <c r="D51" t="s">
        <v>614</v>
      </c>
    </row>
    <row r="52" spans="1:6" x14ac:dyDescent="0.35">
      <c r="A52">
        <v>211</v>
      </c>
      <c r="B52" t="s">
        <v>615</v>
      </c>
      <c r="C52">
        <v>49</v>
      </c>
      <c r="D52" t="s">
        <v>615</v>
      </c>
      <c r="E52">
        <v>30</v>
      </c>
      <c r="F52" t="s">
        <v>615</v>
      </c>
    </row>
    <row r="53" spans="1:6" x14ac:dyDescent="0.35">
      <c r="A53">
        <v>212</v>
      </c>
      <c r="B53" t="s">
        <v>734</v>
      </c>
      <c r="E53">
        <v>29</v>
      </c>
      <c r="F53" t="s">
        <v>734</v>
      </c>
    </row>
    <row r="54" spans="1:6" x14ac:dyDescent="0.35">
      <c r="A54">
        <v>213</v>
      </c>
      <c r="B54" t="s">
        <v>616</v>
      </c>
      <c r="C54">
        <v>50</v>
      </c>
      <c r="D54" t="s">
        <v>616</v>
      </c>
      <c r="E54">
        <v>31</v>
      </c>
      <c r="F54" t="s">
        <v>735</v>
      </c>
    </row>
    <row r="55" spans="1:6" x14ac:dyDescent="0.35">
      <c r="A55">
        <v>214</v>
      </c>
      <c r="B55" t="s">
        <v>617</v>
      </c>
      <c r="C55">
        <v>51</v>
      </c>
      <c r="D55" t="s">
        <v>617</v>
      </c>
      <c r="E55">
        <v>32</v>
      </c>
      <c r="F55" t="s">
        <v>617</v>
      </c>
    </row>
    <row r="56" spans="1:6" x14ac:dyDescent="0.35">
      <c r="A56">
        <v>215</v>
      </c>
      <c r="B56" t="s">
        <v>618</v>
      </c>
      <c r="C56">
        <v>52</v>
      </c>
      <c r="D56" t="s">
        <v>618</v>
      </c>
      <c r="E56">
        <v>33</v>
      </c>
      <c r="F56" t="s">
        <v>618</v>
      </c>
    </row>
    <row r="57" spans="1:6" x14ac:dyDescent="0.35">
      <c r="A57">
        <v>216</v>
      </c>
      <c r="B57" t="s">
        <v>619</v>
      </c>
      <c r="C57">
        <v>53</v>
      </c>
      <c r="D57" t="s">
        <v>619</v>
      </c>
      <c r="E57">
        <v>34</v>
      </c>
      <c r="F57" t="s">
        <v>619</v>
      </c>
    </row>
    <row r="58" spans="1:6" x14ac:dyDescent="0.35">
      <c r="A58">
        <v>217</v>
      </c>
      <c r="B58" t="s">
        <v>620</v>
      </c>
      <c r="C58">
        <v>54</v>
      </c>
      <c r="D58" t="s">
        <v>620</v>
      </c>
      <c r="E58">
        <v>35</v>
      </c>
      <c r="F58" t="s">
        <v>620</v>
      </c>
    </row>
    <row r="59" spans="1:6" x14ac:dyDescent="0.35">
      <c r="A59">
        <v>218</v>
      </c>
      <c r="B59" t="s">
        <v>621</v>
      </c>
      <c r="C59">
        <v>55</v>
      </c>
      <c r="D59" t="s">
        <v>621</v>
      </c>
      <c r="E59">
        <v>36</v>
      </c>
      <c r="F59" t="s">
        <v>621</v>
      </c>
    </row>
    <row r="60" spans="1:6" x14ac:dyDescent="0.35">
      <c r="A60">
        <v>219</v>
      </c>
      <c r="B60" t="s">
        <v>622</v>
      </c>
      <c r="C60">
        <v>56</v>
      </c>
      <c r="D60" t="s">
        <v>622</v>
      </c>
      <c r="E60">
        <v>37</v>
      </c>
      <c r="F60" t="s">
        <v>622</v>
      </c>
    </row>
    <row r="61" spans="1:6" x14ac:dyDescent="0.35">
      <c r="A61">
        <v>220</v>
      </c>
      <c r="B61" t="s">
        <v>623</v>
      </c>
      <c r="C61">
        <v>57</v>
      </c>
      <c r="D61" t="s">
        <v>623</v>
      </c>
      <c r="E61">
        <v>38</v>
      </c>
      <c r="F61" t="s">
        <v>623</v>
      </c>
    </row>
    <row r="62" spans="1:6" x14ac:dyDescent="0.35">
      <c r="A62">
        <v>221</v>
      </c>
      <c r="B62" t="s">
        <v>624</v>
      </c>
      <c r="C62">
        <v>58</v>
      </c>
      <c r="D62" t="s">
        <v>624</v>
      </c>
      <c r="E62">
        <v>39</v>
      </c>
      <c r="F62" t="s">
        <v>624</v>
      </c>
    </row>
    <row r="63" spans="1:6" x14ac:dyDescent="0.35">
      <c r="A63">
        <v>222</v>
      </c>
      <c r="B63" t="s">
        <v>625</v>
      </c>
      <c r="C63">
        <v>59</v>
      </c>
      <c r="D63" t="s">
        <v>625</v>
      </c>
    </row>
    <row r="64" spans="1:6" x14ac:dyDescent="0.35">
      <c r="A64">
        <v>223</v>
      </c>
      <c r="B64" t="s">
        <v>626</v>
      </c>
      <c r="C64">
        <v>60</v>
      </c>
      <c r="D64" t="s">
        <v>626</v>
      </c>
      <c r="E64">
        <v>40</v>
      </c>
      <c r="F64" t="s">
        <v>626</v>
      </c>
    </row>
    <row r="65" spans="1:6" x14ac:dyDescent="0.35">
      <c r="A65">
        <v>224</v>
      </c>
      <c r="B65" t="s">
        <v>627</v>
      </c>
      <c r="C65">
        <v>61</v>
      </c>
      <c r="D65" t="s">
        <v>627</v>
      </c>
      <c r="E65">
        <v>41</v>
      </c>
      <c r="F65" t="s">
        <v>736</v>
      </c>
    </row>
    <row r="66" spans="1:6" x14ac:dyDescent="0.35">
      <c r="A66">
        <v>225</v>
      </c>
      <c r="B66" t="s">
        <v>628</v>
      </c>
      <c r="C66">
        <v>62</v>
      </c>
      <c r="D66" t="s">
        <v>628</v>
      </c>
      <c r="E66">
        <v>42</v>
      </c>
      <c r="F66" t="s">
        <v>737</v>
      </c>
    </row>
    <row r="67" spans="1:6" x14ac:dyDescent="0.35">
      <c r="A67">
        <v>226</v>
      </c>
      <c r="B67" t="s">
        <v>629</v>
      </c>
      <c r="C67">
        <v>63</v>
      </c>
      <c r="D67" t="s">
        <v>629</v>
      </c>
      <c r="E67">
        <v>43</v>
      </c>
      <c r="F67" t="s">
        <v>629</v>
      </c>
    </row>
    <row r="68" spans="1:6" x14ac:dyDescent="0.35">
      <c r="A68">
        <v>227</v>
      </c>
      <c r="B68" t="s">
        <v>630</v>
      </c>
      <c r="C68">
        <v>64</v>
      </c>
      <c r="D68" t="s">
        <v>630</v>
      </c>
      <c r="E68">
        <v>44</v>
      </c>
      <c r="F68" t="s">
        <v>630</v>
      </c>
    </row>
    <row r="69" spans="1:6" x14ac:dyDescent="0.35">
      <c r="A69">
        <v>228</v>
      </c>
      <c r="B69" t="s">
        <v>631</v>
      </c>
      <c r="C69">
        <v>65</v>
      </c>
      <c r="D69" t="s">
        <v>631</v>
      </c>
    </row>
    <row r="70" spans="1:6" x14ac:dyDescent="0.35">
      <c r="A70">
        <v>229</v>
      </c>
      <c r="B70" t="s">
        <v>632</v>
      </c>
      <c r="C70">
        <v>66</v>
      </c>
      <c r="D70" t="s">
        <v>632</v>
      </c>
      <c r="E70">
        <v>45</v>
      </c>
      <c r="F70" t="s">
        <v>738</v>
      </c>
    </row>
    <row r="71" spans="1:6" x14ac:dyDescent="0.35">
      <c r="A71">
        <v>230</v>
      </c>
      <c r="B71" t="s">
        <v>633</v>
      </c>
      <c r="C71">
        <v>67</v>
      </c>
      <c r="D71" t="s">
        <v>633</v>
      </c>
      <c r="E71">
        <v>46</v>
      </c>
      <c r="F71" t="s">
        <v>633</v>
      </c>
    </row>
    <row r="72" spans="1:6" x14ac:dyDescent="0.35">
      <c r="A72">
        <v>231</v>
      </c>
      <c r="B72" t="s">
        <v>634</v>
      </c>
      <c r="C72">
        <v>68</v>
      </c>
      <c r="D72" t="s">
        <v>634</v>
      </c>
      <c r="E72">
        <v>47</v>
      </c>
      <c r="F72" t="s">
        <v>634</v>
      </c>
    </row>
    <row r="73" spans="1:6" x14ac:dyDescent="0.35">
      <c r="A73">
        <v>232</v>
      </c>
      <c r="B73" t="s">
        <v>635</v>
      </c>
      <c r="C73">
        <v>69</v>
      </c>
      <c r="D73" t="s">
        <v>635</v>
      </c>
      <c r="E73">
        <v>48</v>
      </c>
      <c r="F73" t="s">
        <v>739</v>
      </c>
    </row>
    <row r="74" spans="1:6" x14ac:dyDescent="0.35">
      <c r="A74">
        <v>233</v>
      </c>
      <c r="B74" t="s">
        <v>636</v>
      </c>
      <c r="C74">
        <v>70</v>
      </c>
      <c r="D74" t="s">
        <v>636</v>
      </c>
      <c r="E74">
        <v>49</v>
      </c>
      <c r="F74" t="s">
        <v>635</v>
      </c>
    </row>
    <row r="75" spans="1:6" x14ac:dyDescent="0.35">
      <c r="A75">
        <v>234</v>
      </c>
      <c r="B75" t="s">
        <v>637</v>
      </c>
      <c r="C75">
        <v>71</v>
      </c>
      <c r="D75" t="s">
        <v>637</v>
      </c>
      <c r="E75">
        <v>50</v>
      </c>
      <c r="F75" t="s">
        <v>637</v>
      </c>
    </row>
    <row r="76" spans="1:6" x14ac:dyDescent="0.35">
      <c r="A76">
        <v>235</v>
      </c>
      <c r="B76" t="s">
        <v>638</v>
      </c>
      <c r="C76">
        <v>72</v>
      </c>
      <c r="D76" t="s">
        <v>638</v>
      </c>
      <c r="E76">
        <v>51</v>
      </c>
      <c r="F76" t="s">
        <v>638</v>
      </c>
    </row>
    <row r="77" spans="1:6" x14ac:dyDescent="0.35">
      <c r="A77">
        <v>236</v>
      </c>
      <c r="B77" t="s">
        <v>639</v>
      </c>
      <c r="C77">
        <v>73</v>
      </c>
      <c r="D77" t="s">
        <v>639</v>
      </c>
      <c r="E77">
        <v>52</v>
      </c>
      <c r="F77" t="s">
        <v>639</v>
      </c>
    </row>
    <row r="78" spans="1:6" x14ac:dyDescent="0.35">
      <c r="A78">
        <v>237</v>
      </c>
      <c r="B78" t="s">
        <v>640</v>
      </c>
      <c r="C78">
        <v>74</v>
      </c>
      <c r="D78" t="s">
        <v>640</v>
      </c>
      <c r="E78">
        <v>53</v>
      </c>
      <c r="F78" t="s">
        <v>640</v>
      </c>
    </row>
    <row r="79" spans="1:6" x14ac:dyDescent="0.35">
      <c r="A79">
        <v>238</v>
      </c>
      <c r="B79" t="s">
        <v>641</v>
      </c>
      <c r="C79">
        <v>75</v>
      </c>
      <c r="D79" t="s">
        <v>641</v>
      </c>
      <c r="E79">
        <v>54</v>
      </c>
      <c r="F79" t="s">
        <v>641</v>
      </c>
    </row>
    <row r="80" spans="1:6" x14ac:dyDescent="0.35">
      <c r="A80">
        <v>239</v>
      </c>
      <c r="B80" t="s">
        <v>642</v>
      </c>
      <c r="C80">
        <v>76</v>
      </c>
      <c r="D80" t="s">
        <v>642</v>
      </c>
      <c r="E80">
        <v>55</v>
      </c>
      <c r="F80" t="s">
        <v>642</v>
      </c>
    </row>
    <row r="81" spans="1:6" x14ac:dyDescent="0.35">
      <c r="A81">
        <v>240</v>
      </c>
      <c r="B81" t="s">
        <v>643</v>
      </c>
      <c r="C81">
        <v>77</v>
      </c>
      <c r="D81" t="s">
        <v>643</v>
      </c>
      <c r="E81">
        <v>56</v>
      </c>
      <c r="F81" t="s">
        <v>643</v>
      </c>
    </row>
    <row r="82" spans="1:6" x14ac:dyDescent="0.35">
      <c r="A82">
        <v>241</v>
      </c>
      <c r="B82" t="s">
        <v>644</v>
      </c>
      <c r="C82">
        <v>78</v>
      </c>
      <c r="D82" t="s">
        <v>644</v>
      </c>
      <c r="E82">
        <v>57</v>
      </c>
      <c r="F82" t="s">
        <v>644</v>
      </c>
    </row>
    <row r="83" spans="1:6" x14ac:dyDescent="0.35">
      <c r="A83">
        <v>242</v>
      </c>
      <c r="B83" t="s">
        <v>645</v>
      </c>
      <c r="C83">
        <v>79</v>
      </c>
      <c r="D83" t="s">
        <v>645</v>
      </c>
      <c r="E83">
        <v>58</v>
      </c>
      <c r="F83" t="s">
        <v>645</v>
      </c>
    </row>
    <row r="84" spans="1:6" x14ac:dyDescent="0.35">
      <c r="A84">
        <v>243</v>
      </c>
      <c r="B84" t="s">
        <v>646</v>
      </c>
      <c r="C84">
        <v>80</v>
      </c>
      <c r="D84" t="s">
        <v>646</v>
      </c>
      <c r="E84">
        <v>59</v>
      </c>
      <c r="F84" t="s">
        <v>646</v>
      </c>
    </row>
    <row r="85" spans="1:6" x14ac:dyDescent="0.35">
      <c r="A85">
        <v>244</v>
      </c>
      <c r="B85" t="s">
        <v>647</v>
      </c>
      <c r="C85">
        <v>81</v>
      </c>
      <c r="D85" t="s">
        <v>647</v>
      </c>
      <c r="E85">
        <v>60</v>
      </c>
      <c r="F85" t="s">
        <v>647</v>
      </c>
    </row>
    <row r="86" spans="1:6" x14ac:dyDescent="0.35">
      <c r="A86">
        <v>245</v>
      </c>
      <c r="B86" t="s">
        <v>648</v>
      </c>
      <c r="C86">
        <v>82</v>
      </c>
      <c r="D86" t="s">
        <v>648</v>
      </c>
      <c r="E86">
        <v>61</v>
      </c>
      <c r="F86" t="s">
        <v>648</v>
      </c>
    </row>
    <row r="87" spans="1:6" x14ac:dyDescent="0.35">
      <c r="A87">
        <v>246</v>
      </c>
      <c r="B87" t="s">
        <v>649</v>
      </c>
      <c r="C87">
        <v>83</v>
      </c>
      <c r="D87" t="s">
        <v>649</v>
      </c>
      <c r="E87">
        <v>62</v>
      </c>
      <c r="F87" t="s">
        <v>649</v>
      </c>
    </row>
    <row r="88" spans="1:6" x14ac:dyDescent="0.35">
      <c r="A88">
        <v>247</v>
      </c>
      <c r="B88" t="s">
        <v>650</v>
      </c>
      <c r="C88">
        <v>84</v>
      </c>
      <c r="D88" t="s">
        <v>650</v>
      </c>
      <c r="E88">
        <v>63</v>
      </c>
      <c r="F88" t="s">
        <v>650</v>
      </c>
    </row>
    <row r="89" spans="1:6" x14ac:dyDescent="0.35">
      <c r="A89">
        <v>248</v>
      </c>
      <c r="B89" t="s">
        <v>651</v>
      </c>
      <c r="C89">
        <v>85</v>
      </c>
      <c r="D89" t="s">
        <v>651</v>
      </c>
      <c r="E89">
        <v>64</v>
      </c>
      <c r="F89" t="s">
        <v>651</v>
      </c>
    </row>
    <row r="90" spans="1:6" x14ac:dyDescent="0.35">
      <c r="A90">
        <v>249</v>
      </c>
      <c r="B90" t="s">
        <v>652</v>
      </c>
      <c r="C90">
        <v>86</v>
      </c>
      <c r="D90" t="s">
        <v>652</v>
      </c>
      <c r="E90">
        <v>65</v>
      </c>
      <c r="F90" t="s">
        <v>652</v>
      </c>
    </row>
    <row r="91" spans="1:6" x14ac:dyDescent="0.35">
      <c r="A91">
        <v>250</v>
      </c>
      <c r="B91" t="s">
        <v>653</v>
      </c>
      <c r="C91">
        <v>87</v>
      </c>
      <c r="D91" t="s">
        <v>653</v>
      </c>
      <c r="E91">
        <v>66</v>
      </c>
      <c r="F91" t="s">
        <v>653</v>
      </c>
    </row>
    <row r="92" spans="1:6" x14ac:dyDescent="0.35">
      <c r="A92">
        <v>251</v>
      </c>
      <c r="B92" t="s">
        <v>654</v>
      </c>
      <c r="C92">
        <v>88</v>
      </c>
      <c r="D92" t="s">
        <v>654</v>
      </c>
      <c r="E92">
        <v>67</v>
      </c>
      <c r="F92" t="s">
        <v>654</v>
      </c>
    </row>
    <row r="93" spans="1:6" x14ac:dyDescent="0.35">
      <c r="A93">
        <v>252</v>
      </c>
      <c r="B93" t="s">
        <v>655</v>
      </c>
      <c r="C93">
        <v>89</v>
      </c>
      <c r="D93" t="s">
        <v>655</v>
      </c>
      <c r="E93">
        <v>68</v>
      </c>
      <c r="F93" t="s">
        <v>655</v>
      </c>
    </row>
    <row r="94" spans="1:6" x14ac:dyDescent="0.35">
      <c r="A94">
        <v>253</v>
      </c>
      <c r="B94" t="s">
        <v>656</v>
      </c>
      <c r="C94">
        <v>90</v>
      </c>
      <c r="D94" t="s">
        <v>656</v>
      </c>
      <c r="E94">
        <v>69</v>
      </c>
      <c r="F94" t="s">
        <v>656</v>
      </c>
    </row>
    <row r="95" spans="1:6" x14ac:dyDescent="0.35">
      <c r="A95">
        <v>254</v>
      </c>
      <c r="B95" t="s">
        <v>657</v>
      </c>
      <c r="C95">
        <v>91</v>
      </c>
      <c r="D95" t="s">
        <v>657</v>
      </c>
      <c r="E95">
        <v>70</v>
      </c>
      <c r="F95" t="s">
        <v>740</v>
      </c>
    </row>
    <row r="96" spans="1:6" x14ac:dyDescent="0.35">
      <c r="A96">
        <v>255</v>
      </c>
      <c r="B96" t="s">
        <v>658</v>
      </c>
      <c r="C96">
        <v>92</v>
      </c>
      <c r="D96" t="s">
        <v>658</v>
      </c>
      <c r="E96">
        <v>71</v>
      </c>
      <c r="F96" t="s">
        <v>658</v>
      </c>
    </row>
    <row r="97" spans="1:6" x14ac:dyDescent="0.35">
      <c r="A97">
        <v>256</v>
      </c>
      <c r="B97" t="s">
        <v>659</v>
      </c>
      <c r="C97">
        <v>93</v>
      </c>
      <c r="D97" t="s">
        <v>659</v>
      </c>
      <c r="E97">
        <v>72</v>
      </c>
      <c r="F97" t="s">
        <v>659</v>
      </c>
    </row>
    <row r="98" spans="1:6" x14ac:dyDescent="0.35">
      <c r="A98">
        <v>257</v>
      </c>
      <c r="B98" t="s">
        <v>660</v>
      </c>
      <c r="C98">
        <v>94</v>
      </c>
      <c r="D98" t="s">
        <v>660</v>
      </c>
      <c r="E98">
        <v>73</v>
      </c>
      <c r="F98" t="s">
        <v>741</v>
      </c>
    </row>
    <row r="99" spans="1:6" x14ac:dyDescent="0.35">
      <c r="A99">
        <v>258</v>
      </c>
      <c r="B99" t="s">
        <v>661</v>
      </c>
      <c r="C99">
        <v>95</v>
      </c>
      <c r="D99" t="s">
        <v>661</v>
      </c>
      <c r="E99">
        <v>74</v>
      </c>
      <c r="F99" t="s">
        <v>742</v>
      </c>
    </row>
    <row r="100" spans="1:6" x14ac:dyDescent="0.35">
      <c r="A100">
        <v>259</v>
      </c>
      <c r="B100" t="s">
        <v>662</v>
      </c>
      <c r="C100">
        <v>96</v>
      </c>
      <c r="D100" t="s">
        <v>662</v>
      </c>
      <c r="E100">
        <v>76</v>
      </c>
      <c r="F100" t="s">
        <v>662</v>
      </c>
    </row>
    <row r="101" spans="1:6" x14ac:dyDescent="0.35">
      <c r="A101">
        <v>260</v>
      </c>
      <c r="B101" t="s">
        <v>728</v>
      </c>
      <c r="E101">
        <v>75</v>
      </c>
      <c r="F101" t="s">
        <v>728</v>
      </c>
    </row>
    <row r="102" spans="1:6" x14ac:dyDescent="0.35">
      <c r="A102">
        <v>261</v>
      </c>
      <c r="B102" t="s">
        <v>663</v>
      </c>
      <c r="C102">
        <v>97</v>
      </c>
      <c r="D102" t="s">
        <v>663</v>
      </c>
      <c r="E102">
        <v>77</v>
      </c>
      <c r="F102" t="s">
        <v>663</v>
      </c>
    </row>
    <row r="103" spans="1:6" x14ac:dyDescent="0.35">
      <c r="A103">
        <v>262</v>
      </c>
      <c r="B103" t="s">
        <v>664</v>
      </c>
      <c r="C103">
        <v>98</v>
      </c>
      <c r="D103" t="s">
        <v>664</v>
      </c>
      <c r="E103">
        <v>78</v>
      </c>
      <c r="F103" t="s">
        <v>664</v>
      </c>
    </row>
    <row r="104" spans="1:6" x14ac:dyDescent="0.35">
      <c r="A104">
        <v>263</v>
      </c>
      <c r="B104" t="s">
        <v>665</v>
      </c>
      <c r="C104">
        <v>99</v>
      </c>
      <c r="D104" t="s">
        <v>665</v>
      </c>
      <c r="E104">
        <v>79</v>
      </c>
      <c r="F104" t="s">
        <v>665</v>
      </c>
    </row>
    <row r="105" spans="1:6" x14ac:dyDescent="0.35">
      <c r="A105">
        <v>264</v>
      </c>
      <c r="B105" t="s">
        <v>666</v>
      </c>
      <c r="C105">
        <v>100</v>
      </c>
      <c r="D105" t="s">
        <v>666</v>
      </c>
      <c r="E105">
        <v>80</v>
      </c>
      <c r="F105" t="s">
        <v>666</v>
      </c>
    </row>
    <row r="106" spans="1:6" x14ac:dyDescent="0.35">
      <c r="A106">
        <v>265</v>
      </c>
      <c r="B106" t="s">
        <v>667</v>
      </c>
      <c r="C106">
        <v>101</v>
      </c>
      <c r="D106" t="s">
        <v>667</v>
      </c>
      <c r="E106">
        <v>81</v>
      </c>
      <c r="F106" t="s">
        <v>667</v>
      </c>
    </row>
    <row r="107" spans="1:6" x14ac:dyDescent="0.35">
      <c r="A107">
        <v>266</v>
      </c>
      <c r="B107" t="s">
        <v>668</v>
      </c>
      <c r="C107">
        <v>102</v>
      </c>
      <c r="D107" t="s">
        <v>668</v>
      </c>
      <c r="E107">
        <v>82</v>
      </c>
      <c r="F107" t="s">
        <v>668</v>
      </c>
    </row>
    <row r="108" spans="1:6" x14ac:dyDescent="0.35">
      <c r="A108">
        <v>267</v>
      </c>
      <c r="B108" t="s">
        <v>669</v>
      </c>
      <c r="C108">
        <v>103</v>
      </c>
      <c r="D108" t="s">
        <v>669</v>
      </c>
      <c r="E108">
        <v>83</v>
      </c>
      <c r="F108" t="s">
        <v>669</v>
      </c>
    </row>
    <row r="109" spans="1:6" x14ac:dyDescent="0.35">
      <c r="A109">
        <v>268</v>
      </c>
      <c r="B109" t="s">
        <v>670</v>
      </c>
      <c r="C109">
        <v>104</v>
      </c>
      <c r="D109" t="s">
        <v>670</v>
      </c>
      <c r="E109">
        <v>84</v>
      </c>
      <c r="F109" t="s">
        <v>670</v>
      </c>
    </row>
    <row r="110" spans="1:6" x14ac:dyDescent="0.35">
      <c r="A110">
        <v>269</v>
      </c>
      <c r="B110" t="s">
        <v>671</v>
      </c>
      <c r="C110">
        <v>105</v>
      </c>
      <c r="D110" t="s">
        <v>671</v>
      </c>
      <c r="E110">
        <v>85</v>
      </c>
      <c r="F110" t="s">
        <v>673</v>
      </c>
    </row>
    <row r="111" spans="1:6" x14ac:dyDescent="0.35">
      <c r="A111">
        <v>270</v>
      </c>
      <c r="B111" t="s">
        <v>672</v>
      </c>
      <c r="C111">
        <v>106</v>
      </c>
      <c r="D111" t="s">
        <v>672</v>
      </c>
    </row>
    <row r="112" spans="1:6" x14ac:dyDescent="0.35">
      <c r="A112">
        <v>271</v>
      </c>
      <c r="B112" t="s">
        <v>673</v>
      </c>
      <c r="C112">
        <v>107</v>
      </c>
      <c r="D112" t="s">
        <v>673</v>
      </c>
    </row>
    <row r="113" spans="1:6" x14ac:dyDescent="0.35">
      <c r="A113">
        <v>272</v>
      </c>
      <c r="B113" t="s">
        <v>674</v>
      </c>
      <c r="C113">
        <v>108</v>
      </c>
      <c r="D113" t="s">
        <v>674</v>
      </c>
    </row>
    <row r="114" spans="1:6" x14ac:dyDescent="0.35">
      <c r="A114">
        <v>273</v>
      </c>
      <c r="B114" t="s">
        <v>675</v>
      </c>
      <c r="C114">
        <v>109</v>
      </c>
      <c r="D114" t="s">
        <v>675</v>
      </c>
      <c r="E114">
        <v>86</v>
      </c>
      <c r="F114" t="s">
        <v>675</v>
      </c>
    </row>
    <row r="115" spans="1:6" x14ac:dyDescent="0.35">
      <c r="A115">
        <v>274</v>
      </c>
      <c r="B115" t="s">
        <v>676</v>
      </c>
      <c r="C115">
        <v>110</v>
      </c>
      <c r="D115" t="s">
        <v>676</v>
      </c>
    </row>
    <row r="116" spans="1:6" x14ac:dyDescent="0.35">
      <c r="A116">
        <v>275</v>
      </c>
      <c r="B116" t="s">
        <v>677</v>
      </c>
      <c r="C116">
        <v>111</v>
      </c>
      <c r="D116" t="s">
        <v>677</v>
      </c>
    </row>
    <row r="117" spans="1:6" x14ac:dyDescent="0.35">
      <c r="A117">
        <v>276</v>
      </c>
      <c r="B117" t="s">
        <v>678</v>
      </c>
      <c r="C117">
        <v>112</v>
      </c>
      <c r="D117" t="s">
        <v>678</v>
      </c>
    </row>
    <row r="118" spans="1:6" x14ac:dyDescent="0.35">
      <c r="A118">
        <v>277</v>
      </c>
      <c r="B118" t="s">
        <v>679</v>
      </c>
      <c r="C118">
        <v>113</v>
      </c>
      <c r="D118" t="s">
        <v>679</v>
      </c>
    </row>
    <row r="119" spans="1:6" x14ac:dyDescent="0.35">
      <c r="A119">
        <v>278</v>
      </c>
      <c r="B119" t="s">
        <v>680</v>
      </c>
      <c r="C119">
        <v>114</v>
      </c>
      <c r="D119" t="s">
        <v>680</v>
      </c>
      <c r="E119">
        <v>87</v>
      </c>
      <c r="F119" t="s">
        <v>743</v>
      </c>
    </row>
    <row r="120" spans="1:6" x14ac:dyDescent="0.35">
      <c r="A120">
        <v>279</v>
      </c>
      <c r="B120" t="s">
        <v>681</v>
      </c>
      <c r="C120">
        <v>115</v>
      </c>
      <c r="D120" t="s">
        <v>681</v>
      </c>
    </row>
    <row r="121" spans="1:6" x14ac:dyDescent="0.35">
      <c r="A121">
        <v>280</v>
      </c>
      <c r="B121" t="s">
        <v>682</v>
      </c>
      <c r="C121">
        <v>116</v>
      </c>
      <c r="D121" t="s">
        <v>682</v>
      </c>
    </row>
    <row r="122" spans="1:6" x14ac:dyDescent="0.35">
      <c r="A122">
        <v>281</v>
      </c>
      <c r="B122" t="s">
        <v>683</v>
      </c>
      <c r="C122">
        <v>117</v>
      </c>
      <c r="D122" t="s">
        <v>683</v>
      </c>
    </row>
    <row r="123" spans="1:6" x14ac:dyDescent="0.35">
      <c r="A123">
        <v>282</v>
      </c>
      <c r="B123" t="s">
        <v>684</v>
      </c>
      <c r="C123">
        <v>118</v>
      </c>
      <c r="D123" t="s">
        <v>684</v>
      </c>
      <c r="E123">
        <v>88</v>
      </c>
      <c r="F123" t="s">
        <v>684</v>
      </c>
    </row>
    <row r="124" spans="1:6" x14ac:dyDescent="0.35">
      <c r="A124">
        <v>283</v>
      </c>
      <c r="B124" t="s">
        <v>685</v>
      </c>
      <c r="C124">
        <v>119</v>
      </c>
      <c r="D124" t="s">
        <v>685</v>
      </c>
    </row>
    <row r="125" spans="1:6" x14ac:dyDescent="0.35">
      <c r="A125">
        <v>284</v>
      </c>
      <c r="B125" t="s">
        <v>686</v>
      </c>
      <c r="C125">
        <v>120</v>
      </c>
      <c r="D125" t="s">
        <v>686</v>
      </c>
    </row>
    <row r="126" spans="1:6" x14ac:dyDescent="0.35">
      <c r="A126">
        <v>285</v>
      </c>
      <c r="B126" t="s">
        <v>687</v>
      </c>
      <c r="C126">
        <v>121</v>
      </c>
      <c r="D126" t="s">
        <v>687</v>
      </c>
    </row>
    <row r="127" spans="1:6" x14ac:dyDescent="0.35">
      <c r="A127">
        <v>286</v>
      </c>
      <c r="B127" t="s">
        <v>688</v>
      </c>
      <c r="C127">
        <v>122</v>
      </c>
      <c r="D127" t="s">
        <v>688</v>
      </c>
      <c r="E127">
        <v>89</v>
      </c>
      <c r="F127" t="s">
        <v>688</v>
      </c>
    </row>
    <row r="128" spans="1:6" x14ac:dyDescent="0.35">
      <c r="A128">
        <v>287</v>
      </c>
      <c r="B128" t="s">
        <v>689</v>
      </c>
      <c r="C128">
        <v>123</v>
      </c>
      <c r="D128" t="s">
        <v>689</v>
      </c>
    </row>
    <row r="129" spans="1:6" x14ac:dyDescent="0.35">
      <c r="A129">
        <v>288</v>
      </c>
      <c r="B129" t="s">
        <v>690</v>
      </c>
      <c r="C129">
        <v>124</v>
      </c>
      <c r="D129" t="s">
        <v>690</v>
      </c>
      <c r="E129">
        <v>90</v>
      </c>
      <c r="F129" t="s">
        <v>690</v>
      </c>
    </row>
    <row r="130" spans="1:6" x14ac:dyDescent="0.35">
      <c r="A130">
        <v>289</v>
      </c>
      <c r="B130" t="s">
        <v>691</v>
      </c>
      <c r="C130">
        <v>125</v>
      </c>
      <c r="D130" t="s">
        <v>691</v>
      </c>
    </row>
    <row r="131" spans="1:6" x14ac:dyDescent="0.35">
      <c r="A131">
        <v>290</v>
      </c>
      <c r="B131" t="s">
        <v>692</v>
      </c>
      <c r="C131">
        <v>126</v>
      </c>
      <c r="D131" t="s">
        <v>692</v>
      </c>
    </row>
    <row r="132" spans="1:6" x14ac:dyDescent="0.35">
      <c r="A132">
        <v>291</v>
      </c>
      <c r="B132" t="s">
        <v>693</v>
      </c>
      <c r="C132">
        <v>127</v>
      </c>
      <c r="D132" t="s">
        <v>693</v>
      </c>
    </row>
    <row r="133" spans="1:6" x14ac:dyDescent="0.35">
      <c r="A133">
        <v>292</v>
      </c>
      <c r="B133" t="s">
        <v>694</v>
      </c>
      <c r="C133">
        <v>128</v>
      </c>
      <c r="D133" t="s">
        <v>694</v>
      </c>
    </row>
    <row r="134" spans="1:6" x14ac:dyDescent="0.35">
      <c r="A134">
        <v>293</v>
      </c>
      <c r="B134" t="s">
        <v>695</v>
      </c>
      <c r="C134">
        <v>129</v>
      </c>
      <c r="D134" t="s">
        <v>695</v>
      </c>
      <c r="E134">
        <v>91</v>
      </c>
      <c r="F134" t="s">
        <v>695</v>
      </c>
    </row>
    <row r="135" spans="1:6" x14ac:dyDescent="0.35">
      <c r="A135">
        <v>294</v>
      </c>
      <c r="B135" t="s">
        <v>696</v>
      </c>
      <c r="C135">
        <v>130</v>
      </c>
      <c r="D135" t="s">
        <v>696</v>
      </c>
      <c r="E135">
        <v>92</v>
      </c>
      <c r="F135" t="s">
        <v>696</v>
      </c>
    </row>
    <row r="136" spans="1:6" x14ac:dyDescent="0.35">
      <c r="A136">
        <v>295</v>
      </c>
      <c r="B136" t="s">
        <v>697</v>
      </c>
      <c r="C136">
        <v>131</v>
      </c>
      <c r="D136" t="s">
        <v>697</v>
      </c>
      <c r="E136">
        <v>93</v>
      </c>
      <c r="F136" t="s">
        <v>744</v>
      </c>
    </row>
    <row r="137" spans="1:6" x14ac:dyDescent="0.35">
      <c r="A137">
        <v>296</v>
      </c>
      <c r="B137" t="s">
        <v>698</v>
      </c>
      <c r="C137">
        <v>132</v>
      </c>
      <c r="D137" t="s">
        <v>698</v>
      </c>
    </row>
    <row r="138" spans="1:6" x14ac:dyDescent="0.35">
      <c r="A138">
        <v>297</v>
      </c>
      <c r="B138" t="s">
        <v>699</v>
      </c>
      <c r="C138">
        <v>133</v>
      </c>
      <c r="D138" t="s">
        <v>699</v>
      </c>
      <c r="E138">
        <v>94</v>
      </c>
      <c r="F138" t="s">
        <v>699</v>
      </c>
    </row>
    <row r="139" spans="1:6" x14ac:dyDescent="0.35">
      <c r="A139">
        <v>298</v>
      </c>
      <c r="B139" t="s">
        <v>700</v>
      </c>
      <c r="C139">
        <v>134</v>
      </c>
      <c r="D139" t="s">
        <v>700</v>
      </c>
    </row>
    <row r="140" spans="1:6" x14ac:dyDescent="0.35">
      <c r="A140">
        <v>299</v>
      </c>
      <c r="B140" t="s">
        <v>701</v>
      </c>
      <c r="C140">
        <v>135</v>
      </c>
      <c r="D140" t="s">
        <v>701</v>
      </c>
    </row>
    <row r="141" spans="1:6" x14ac:dyDescent="0.35">
      <c r="A141">
        <v>300</v>
      </c>
      <c r="B141" t="s">
        <v>702</v>
      </c>
      <c r="C141">
        <v>136</v>
      </c>
      <c r="D141" t="s">
        <v>702</v>
      </c>
    </row>
    <row r="142" spans="1:6" x14ac:dyDescent="0.35">
      <c r="A142">
        <v>301</v>
      </c>
      <c r="B142" t="s">
        <v>703</v>
      </c>
      <c r="C142">
        <v>137</v>
      </c>
      <c r="D142" t="s">
        <v>703</v>
      </c>
    </row>
    <row r="143" spans="1:6" x14ac:dyDescent="0.35">
      <c r="A143">
        <v>302</v>
      </c>
      <c r="B143" t="s">
        <v>704</v>
      </c>
      <c r="C143">
        <v>138</v>
      </c>
      <c r="D143" t="s">
        <v>704</v>
      </c>
      <c r="E143">
        <v>95</v>
      </c>
      <c r="F143" t="s">
        <v>704</v>
      </c>
    </row>
    <row r="144" spans="1:6" x14ac:dyDescent="0.35">
      <c r="A144">
        <v>303</v>
      </c>
      <c r="B144" t="s">
        <v>705</v>
      </c>
      <c r="C144">
        <v>139</v>
      </c>
      <c r="D144" t="s">
        <v>705</v>
      </c>
      <c r="E144">
        <v>96</v>
      </c>
      <c r="F144" t="s">
        <v>705</v>
      </c>
    </row>
    <row r="145" spans="1:6" x14ac:dyDescent="0.35">
      <c r="A145">
        <v>304</v>
      </c>
      <c r="B145" t="s">
        <v>706</v>
      </c>
      <c r="C145">
        <v>140</v>
      </c>
      <c r="D145" t="s">
        <v>706</v>
      </c>
      <c r="E145">
        <v>97</v>
      </c>
      <c r="F145" t="s">
        <v>706</v>
      </c>
    </row>
    <row r="146" spans="1:6" x14ac:dyDescent="0.35">
      <c r="A146">
        <v>305</v>
      </c>
      <c r="B146" t="s">
        <v>707</v>
      </c>
      <c r="C146">
        <v>141</v>
      </c>
      <c r="D146" t="s">
        <v>707</v>
      </c>
    </row>
    <row r="147" spans="1:6" x14ac:dyDescent="0.35">
      <c r="A147">
        <v>306</v>
      </c>
      <c r="B147" t="s">
        <v>708</v>
      </c>
      <c r="C147">
        <v>142</v>
      </c>
      <c r="D147" t="s">
        <v>708</v>
      </c>
    </row>
    <row r="148" spans="1:6" x14ac:dyDescent="0.35">
      <c r="A148">
        <v>307</v>
      </c>
      <c r="B148" t="s">
        <v>709</v>
      </c>
      <c r="C148">
        <v>143</v>
      </c>
      <c r="D148" t="s">
        <v>709</v>
      </c>
    </row>
    <row r="149" spans="1:6" x14ac:dyDescent="0.35">
      <c r="A149">
        <v>308</v>
      </c>
      <c r="B149" t="s">
        <v>710</v>
      </c>
      <c r="C149">
        <v>144</v>
      </c>
      <c r="D149" t="s">
        <v>710</v>
      </c>
    </row>
    <row r="150" spans="1:6" x14ac:dyDescent="0.35">
      <c r="A150">
        <v>309</v>
      </c>
      <c r="B150" t="s">
        <v>711</v>
      </c>
      <c r="C150">
        <v>145</v>
      </c>
      <c r="D150" t="s">
        <v>711</v>
      </c>
    </row>
    <row r="151" spans="1:6" x14ac:dyDescent="0.35">
      <c r="A151">
        <v>310</v>
      </c>
      <c r="B151" t="s">
        <v>712</v>
      </c>
      <c r="C151">
        <v>146</v>
      </c>
      <c r="D151" t="s">
        <v>712</v>
      </c>
    </row>
    <row r="152" spans="1:6" x14ac:dyDescent="0.35">
      <c r="A152">
        <v>311</v>
      </c>
      <c r="B152" t="s">
        <v>727</v>
      </c>
      <c r="C152">
        <v>147</v>
      </c>
      <c r="D152" t="s">
        <v>727</v>
      </c>
    </row>
    <row r="153" spans="1:6" x14ac:dyDescent="0.35">
      <c r="A153">
        <v>312</v>
      </c>
      <c r="B153" t="s">
        <v>564</v>
      </c>
      <c r="E153">
        <v>98</v>
      </c>
      <c r="F153" t="s">
        <v>564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33"/>
  <sheetViews>
    <sheetView workbookViewId="0"/>
  </sheetViews>
  <sheetFormatPr defaultRowHeight="14.5" x14ac:dyDescent="0.35"/>
  <cols>
    <col min="2" max="3" width="11.1796875" customWidth="1"/>
    <col min="4" max="4" width="44.453125" customWidth="1"/>
  </cols>
  <sheetData>
    <row r="1" spans="1:4" x14ac:dyDescent="0.35">
      <c r="A1" t="s">
        <v>391</v>
      </c>
      <c r="B1" s="6" t="s">
        <v>383</v>
      </c>
      <c r="C1" s="2" t="s">
        <v>384</v>
      </c>
      <c r="D1" s="2" t="s">
        <v>385</v>
      </c>
    </row>
    <row r="2" spans="1:4" x14ac:dyDescent="0.35">
      <c r="A2" s="13">
        <v>44</v>
      </c>
      <c r="B2" s="14" t="s">
        <v>348</v>
      </c>
      <c r="C2">
        <v>1</v>
      </c>
      <c r="D2" t="s">
        <v>406</v>
      </c>
    </row>
    <row r="3" spans="1:4" x14ac:dyDescent="0.35">
      <c r="A3" s="13">
        <v>44</v>
      </c>
      <c r="B3" s="14" t="s">
        <v>348</v>
      </c>
      <c r="C3">
        <v>2</v>
      </c>
      <c r="D3" t="s">
        <v>407</v>
      </c>
    </row>
    <row r="4" spans="1:4" x14ac:dyDescent="0.35">
      <c r="A4" s="13">
        <v>44</v>
      </c>
      <c r="B4" s="14" t="s">
        <v>348</v>
      </c>
      <c r="C4">
        <v>3</v>
      </c>
      <c r="D4" t="s">
        <v>408</v>
      </c>
    </row>
    <row r="5" spans="1:4" x14ac:dyDescent="0.35">
      <c r="A5" s="13">
        <v>44</v>
      </c>
      <c r="B5" s="14" t="s">
        <v>348</v>
      </c>
      <c r="C5">
        <v>4</v>
      </c>
      <c r="D5" t="s">
        <v>409</v>
      </c>
    </row>
    <row r="6" spans="1:4" x14ac:dyDescent="0.35">
      <c r="A6" s="13">
        <v>44</v>
      </c>
      <c r="B6" s="14" t="s">
        <v>348</v>
      </c>
      <c r="C6">
        <v>5</v>
      </c>
      <c r="D6" t="s">
        <v>410</v>
      </c>
    </row>
    <row r="7" spans="1:4" x14ac:dyDescent="0.35">
      <c r="A7" s="13">
        <v>44</v>
      </c>
      <c r="B7" s="14" t="s">
        <v>348</v>
      </c>
      <c r="C7">
        <v>6</v>
      </c>
      <c r="D7" t="s">
        <v>411</v>
      </c>
    </row>
    <row r="8" spans="1:4" x14ac:dyDescent="0.35">
      <c r="A8" s="13">
        <v>44</v>
      </c>
      <c r="B8" s="14" t="s">
        <v>348</v>
      </c>
      <c r="C8">
        <v>7</v>
      </c>
      <c r="D8" t="s">
        <v>412</v>
      </c>
    </row>
    <row r="9" spans="1:4" x14ac:dyDescent="0.35">
      <c r="A9" s="13">
        <v>44</v>
      </c>
      <c r="B9" s="14" t="s">
        <v>348</v>
      </c>
      <c r="C9">
        <v>8</v>
      </c>
      <c r="D9" t="s">
        <v>413</v>
      </c>
    </row>
    <row r="10" spans="1:4" x14ac:dyDescent="0.35">
      <c r="A10" s="13">
        <v>44</v>
      </c>
      <c r="B10" s="14" t="s">
        <v>348</v>
      </c>
      <c r="C10">
        <v>9</v>
      </c>
      <c r="D10" t="s">
        <v>414</v>
      </c>
    </row>
    <row r="11" spans="1:4" x14ac:dyDescent="0.35">
      <c r="A11" s="13">
        <v>44</v>
      </c>
      <c r="B11" s="14" t="s">
        <v>348</v>
      </c>
      <c r="C11">
        <v>10</v>
      </c>
      <c r="D11" t="s">
        <v>415</v>
      </c>
    </row>
    <row r="12" spans="1:4" x14ac:dyDescent="0.35">
      <c r="A12" s="13">
        <v>44</v>
      </c>
      <c r="B12" s="14" t="s">
        <v>348</v>
      </c>
      <c r="C12">
        <v>11</v>
      </c>
      <c r="D12" t="s">
        <v>416</v>
      </c>
    </row>
    <row r="13" spans="1:4" x14ac:dyDescent="0.35">
      <c r="A13" s="13">
        <v>44</v>
      </c>
      <c r="B13" s="14" t="s">
        <v>348</v>
      </c>
      <c r="C13">
        <v>12</v>
      </c>
      <c r="D13" t="s">
        <v>417</v>
      </c>
    </row>
    <row r="14" spans="1:4" x14ac:dyDescent="0.35">
      <c r="A14" s="13">
        <v>44</v>
      </c>
      <c r="B14" s="14" t="s">
        <v>348</v>
      </c>
      <c r="C14">
        <v>13</v>
      </c>
      <c r="D14" t="s">
        <v>418</v>
      </c>
    </row>
    <row r="15" spans="1:4" x14ac:dyDescent="0.35">
      <c r="A15" s="13">
        <v>44</v>
      </c>
      <c r="B15" s="14" t="s">
        <v>348</v>
      </c>
      <c r="C15">
        <v>14</v>
      </c>
      <c r="D15" t="s">
        <v>419</v>
      </c>
    </row>
    <row r="16" spans="1:4" x14ac:dyDescent="0.35">
      <c r="A16" s="13">
        <v>45</v>
      </c>
      <c r="B16" s="14" t="s">
        <v>350</v>
      </c>
      <c r="C16">
        <v>15</v>
      </c>
      <c r="D16" t="s">
        <v>420</v>
      </c>
    </row>
    <row r="17" spans="1:4" x14ac:dyDescent="0.35">
      <c r="A17" s="13">
        <v>45</v>
      </c>
      <c r="B17" s="14" t="s">
        <v>350</v>
      </c>
      <c r="C17">
        <v>16</v>
      </c>
      <c r="D17" t="s">
        <v>421</v>
      </c>
    </row>
    <row r="18" spans="1:4" x14ac:dyDescent="0.35">
      <c r="A18" s="13">
        <v>45</v>
      </c>
      <c r="B18" s="14" t="s">
        <v>350</v>
      </c>
      <c r="C18">
        <v>17</v>
      </c>
      <c r="D18" t="s">
        <v>422</v>
      </c>
    </row>
    <row r="19" spans="1:4" x14ac:dyDescent="0.35">
      <c r="A19" s="13">
        <v>56</v>
      </c>
      <c r="B19" s="14" t="s">
        <v>351</v>
      </c>
      <c r="C19">
        <v>18</v>
      </c>
      <c r="D19" t="s">
        <v>423</v>
      </c>
    </row>
    <row r="20" spans="1:4" x14ac:dyDescent="0.35">
      <c r="A20" s="13">
        <v>53</v>
      </c>
      <c r="B20" s="14" t="s">
        <v>770</v>
      </c>
      <c r="C20">
        <v>19</v>
      </c>
      <c r="D20" t="s">
        <v>424</v>
      </c>
    </row>
    <row r="21" spans="1:4" x14ac:dyDescent="0.35">
      <c r="A21" s="13">
        <v>53</v>
      </c>
      <c r="B21" s="14" t="s">
        <v>770</v>
      </c>
      <c r="C21">
        <v>20</v>
      </c>
      <c r="D21" t="s">
        <v>425</v>
      </c>
    </row>
    <row r="22" spans="1:4" x14ac:dyDescent="0.35">
      <c r="A22" s="13">
        <v>56</v>
      </c>
      <c r="B22" s="14" t="s">
        <v>351</v>
      </c>
      <c r="C22">
        <v>21</v>
      </c>
      <c r="D22" t="s">
        <v>426</v>
      </c>
    </row>
    <row r="23" spans="1:4" x14ac:dyDescent="0.35">
      <c r="A23" s="13">
        <v>45</v>
      </c>
      <c r="B23" s="14" t="s">
        <v>350</v>
      </c>
      <c r="C23">
        <v>22</v>
      </c>
      <c r="D23" t="s">
        <v>427</v>
      </c>
    </row>
    <row r="24" spans="1:4" x14ac:dyDescent="0.35">
      <c r="A24" s="13">
        <v>45</v>
      </c>
      <c r="B24" s="14" t="s">
        <v>350</v>
      </c>
      <c r="C24">
        <v>23</v>
      </c>
      <c r="D24" t="s">
        <v>428</v>
      </c>
    </row>
    <row r="25" spans="1:4" x14ac:dyDescent="0.35">
      <c r="A25" s="13">
        <v>45</v>
      </c>
      <c r="B25" s="14" t="s">
        <v>350</v>
      </c>
      <c r="C25">
        <v>24</v>
      </c>
      <c r="D25" t="s">
        <v>429</v>
      </c>
    </row>
    <row r="26" spans="1:4" x14ac:dyDescent="0.35">
      <c r="A26" s="13">
        <v>45</v>
      </c>
      <c r="B26" s="14" t="s">
        <v>350</v>
      </c>
      <c r="C26">
        <v>25</v>
      </c>
      <c r="D26" t="s">
        <v>430</v>
      </c>
    </row>
    <row r="27" spans="1:4" x14ac:dyDescent="0.35">
      <c r="A27" s="13">
        <v>56</v>
      </c>
      <c r="B27" s="14" t="s">
        <v>351</v>
      </c>
      <c r="C27">
        <v>26</v>
      </c>
      <c r="D27" t="s">
        <v>431</v>
      </c>
    </row>
    <row r="28" spans="1:4" x14ac:dyDescent="0.35">
      <c r="A28" s="13">
        <v>56</v>
      </c>
      <c r="B28" s="14" t="s">
        <v>351</v>
      </c>
      <c r="C28">
        <v>27</v>
      </c>
      <c r="D28" t="s">
        <v>432</v>
      </c>
    </row>
    <row r="29" spans="1:4" x14ac:dyDescent="0.35">
      <c r="A29" s="13">
        <v>56</v>
      </c>
      <c r="B29" s="14" t="s">
        <v>351</v>
      </c>
      <c r="C29">
        <v>28</v>
      </c>
      <c r="D29" t="s">
        <v>433</v>
      </c>
    </row>
    <row r="30" spans="1:4" x14ac:dyDescent="0.35">
      <c r="A30" s="13">
        <v>60</v>
      </c>
      <c r="B30" s="14" t="s">
        <v>352</v>
      </c>
      <c r="C30">
        <v>29</v>
      </c>
      <c r="D30" s="7" t="s">
        <v>434</v>
      </c>
    </row>
    <row r="31" spans="1:4" x14ac:dyDescent="0.35">
      <c r="A31" s="13">
        <v>60</v>
      </c>
      <c r="B31" s="14" t="s">
        <v>352</v>
      </c>
      <c r="C31">
        <v>30</v>
      </c>
      <c r="D31" s="7" t="s">
        <v>435</v>
      </c>
    </row>
    <row r="32" spans="1:4" x14ac:dyDescent="0.35">
      <c r="A32" s="13">
        <v>43</v>
      </c>
      <c r="B32" s="14" t="s">
        <v>349</v>
      </c>
      <c r="C32">
        <v>31</v>
      </c>
      <c r="D32" t="s">
        <v>436</v>
      </c>
    </row>
    <row r="33" spans="1:4" x14ac:dyDescent="0.35">
      <c r="A33" s="13">
        <v>43</v>
      </c>
      <c r="B33" s="14" t="s">
        <v>349</v>
      </c>
      <c r="C33">
        <v>32</v>
      </c>
      <c r="D33" t="s">
        <v>437</v>
      </c>
    </row>
    <row r="34" spans="1:4" x14ac:dyDescent="0.35">
      <c r="A34" s="13">
        <v>43</v>
      </c>
      <c r="B34" s="14" t="s">
        <v>349</v>
      </c>
      <c r="C34">
        <v>33</v>
      </c>
      <c r="D34" t="s">
        <v>438</v>
      </c>
    </row>
    <row r="35" spans="1:4" x14ac:dyDescent="0.35">
      <c r="A35" s="13">
        <v>60</v>
      </c>
      <c r="B35" s="14" t="s">
        <v>352</v>
      </c>
      <c r="C35">
        <v>34</v>
      </c>
      <c r="D35" t="s">
        <v>439</v>
      </c>
    </row>
    <row r="36" spans="1:4" x14ac:dyDescent="0.35">
      <c r="A36" s="13">
        <v>43</v>
      </c>
      <c r="B36" s="14" t="s">
        <v>349</v>
      </c>
      <c r="C36">
        <v>35</v>
      </c>
      <c r="D36" t="s">
        <v>440</v>
      </c>
    </row>
    <row r="37" spans="1:4" x14ac:dyDescent="0.35">
      <c r="A37" s="13">
        <v>43</v>
      </c>
      <c r="B37" s="14" t="s">
        <v>349</v>
      </c>
      <c r="C37">
        <v>36</v>
      </c>
      <c r="D37" t="s">
        <v>441</v>
      </c>
    </row>
    <row r="38" spans="1:4" x14ac:dyDescent="0.35">
      <c r="A38" s="13">
        <v>43</v>
      </c>
      <c r="B38" s="14" t="s">
        <v>349</v>
      </c>
      <c r="C38">
        <v>37</v>
      </c>
      <c r="D38" t="s">
        <v>442</v>
      </c>
    </row>
    <row r="39" spans="1:4" x14ac:dyDescent="0.35">
      <c r="A39" s="13">
        <v>43</v>
      </c>
      <c r="B39" s="14" t="s">
        <v>349</v>
      </c>
      <c r="C39">
        <v>38</v>
      </c>
      <c r="D39" t="s">
        <v>443</v>
      </c>
    </row>
    <row r="40" spans="1:4" x14ac:dyDescent="0.35">
      <c r="A40" s="13">
        <v>43</v>
      </c>
      <c r="B40" s="14" t="s">
        <v>349</v>
      </c>
      <c r="C40">
        <v>39</v>
      </c>
      <c r="D40" t="s">
        <v>444</v>
      </c>
    </row>
    <row r="41" spans="1:4" x14ac:dyDescent="0.35">
      <c r="A41" s="13">
        <v>43</v>
      </c>
      <c r="B41" s="14" t="s">
        <v>349</v>
      </c>
      <c r="C41">
        <v>40</v>
      </c>
      <c r="D41" t="s">
        <v>445</v>
      </c>
    </row>
    <row r="42" spans="1:4" x14ac:dyDescent="0.35">
      <c r="A42" s="13">
        <v>43</v>
      </c>
      <c r="B42" s="14" t="s">
        <v>349</v>
      </c>
      <c r="C42">
        <v>41</v>
      </c>
      <c r="D42" t="s">
        <v>446</v>
      </c>
    </row>
    <row r="43" spans="1:4" x14ac:dyDescent="0.35">
      <c r="A43" s="13">
        <v>43</v>
      </c>
      <c r="B43" s="14" t="s">
        <v>349</v>
      </c>
      <c r="C43">
        <v>42</v>
      </c>
      <c r="D43" t="s">
        <v>447</v>
      </c>
    </row>
    <row r="44" spans="1:4" x14ac:dyDescent="0.35">
      <c r="A44" s="13">
        <v>43</v>
      </c>
      <c r="B44" s="14" t="s">
        <v>349</v>
      </c>
      <c r="C44">
        <v>43</v>
      </c>
      <c r="D44" t="s">
        <v>448</v>
      </c>
    </row>
    <row r="45" spans="1:4" x14ac:dyDescent="0.35">
      <c r="A45" s="13">
        <v>53</v>
      </c>
      <c r="B45" s="14" t="s">
        <v>770</v>
      </c>
      <c r="C45">
        <v>44</v>
      </c>
      <c r="D45" t="s">
        <v>449</v>
      </c>
    </row>
    <row r="46" spans="1:4" x14ac:dyDescent="0.35">
      <c r="A46" s="13">
        <v>53</v>
      </c>
      <c r="B46" s="14" t="s">
        <v>770</v>
      </c>
      <c r="C46">
        <v>45</v>
      </c>
      <c r="D46" t="s">
        <v>450</v>
      </c>
    </row>
    <row r="47" spans="1:4" x14ac:dyDescent="0.35">
      <c r="A47" s="13">
        <v>53</v>
      </c>
      <c r="B47" s="14" t="s">
        <v>770</v>
      </c>
      <c r="C47">
        <v>46</v>
      </c>
      <c r="D47" t="s">
        <v>451</v>
      </c>
    </row>
    <row r="48" spans="1:4" x14ac:dyDescent="0.35">
      <c r="A48" s="13">
        <v>53</v>
      </c>
      <c r="B48" s="14" t="s">
        <v>770</v>
      </c>
      <c r="C48">
        <v>47</v>
      </c>
      <c r="D48" t="s">
        <v>452</v>
      </c>
    </row>
    <row r="49" spans="1:4" x14ac:dyDescent="0.35">
      <c r="A49" s="13">
        <v>53</v>
      </c>
      <c r="B49" s="14" t="s">
        <v>770</v>
      </c>
      <c r="C49">
        <v>48</v>
      </c>
      <c r="D49" t="s">
        <v>453</v>
      </c>
    </row>
    <row r="50" spans="1:4" x14ac:dyDescent="0.35">
      <c r="A50" s="13">
        <v>60</v>
      </c>
      <c r="B50" s="14" t="s">
        <v>352</v>
      </c>
      <c r="C50">
        <v>49</v>
      </c>
      <c r="D50" t="s">
        <v>454</v>
      </c>
    </row>
    <row r="51" spans="1:4" x14ac:dyDescent="0.35">
      <c r="A51" s="13">
        <v>56</v>
      </c>
      <c r="B51" s="14" t="s">
        <v>351</v>
      </c>
      <c r="C51">
        <v>50</v>
      </c>
      <c r="D51" t="s">
        <v>455</v>
      </c>
    </row>
    <row r="52" spans="1:4" x14ac:dyDescent="0.35">
      <c r="A52" s="13">
        <v>56</v>
      </c>
      <c r="B52" s="14" t="s">
        <v>351</v>
      </c>
      <c r="C52">
        <v>51</v>
      </c>
      <c r="D52" t="s">
        <v>456</v>
      </c>
    </row>
    <row r="53" spans="1:4" x14ac:dyDescent="0.35">
      <c r="A53" s="13">
        <v>52</v>
      </c>
      <c r="B53" s="14" t="s">
        <v>370</v>
      </c>
      <c r="C53">
        <v>52</v>
      </c>
      <c r="D53" t="s">
        <v>457</v>
      </c>
    </row>
    <row r="54" spans="1:4" x14ac:dyDescent="0.35">
      <c r="A54" s="13">
        <v>53</v>
      </c>
      <c r="B54" s="14" t="s">
        <v>770</v>
      </c>
      <c r="C54">
        <v>53</v>
      </c>
      <c r="D54" t="s">
        <v>458</v>
      </c>
    </row>
    <row r="55" spans="1:4" x14ac:dyDescent="0.35">
      <c r="A55" s="13">
        <v>61</v>
      </c>
      <c r="B55" s="14" t="s">
        <v>376</v>
      </c>
      <c r="C55">
        <v>54</v>
      </c>
      <c r="D55" t="s">
        <v>459</v>
      </c>
    </row>
    <row r="56" spans="1:4" x14ac:dyDescent="0.35">
      <c r="A56" s="13">
        <v>61</v>
      </c>
      <c r="B56" s="14" t="s">
        <v>376</v>
      </c>
      <c r="C56">
        <v>55</v>
      </c>
      <c r="D56" t="s">
        <v>460</v>
      </c>
    </row>
    <row r="57" spans="1:4" x14ac:dyDescent="0.35">
      <c r="A57" s="13">
        <v>61</v>
      </c>
      <c r="B57" s="14" t="s">
        <v>376</v>
      </c>
      <c r="C57">
        <v>56</v>
      </c>
      <c r="D57" t="s">
        <v>461</v>
      </c>
    </row>
    <row r="58" spans="1:4" x14ac:dyDescent="0.35">
      <c r="A58" s="13">
        <v>64</v>
      </c>
      <c r="B58" s="14" t="s">
        <v>378</v>
      </c>
      <c r="C58">
        <v>57</v>
      </c>
      <c r="D58" t="s">
        <v>462</v>
      </c>
    </row>
    <row r="59" spans="1:4" x14ac:dyDescent="0.35">
      <c r="A59" s="13">
        <v>56</v>
      </c>
      <c r="B59" s="14" t="s">
        <v>351</v>
      </c>
      <c r="C59">
        <v>58</v>
      </c>
      <c r="D59" t="s">
        <v>463</v>
      </c>
    </row>
    <row r="60" spans="1:4" x14ac:dyDescent="0.35">
      <c r="A60" s="13">
        <v>56</v>
      </c>
      <c r="B60" s="14" t="s">
        <v>351</v>
      </c>
      <c r="C60">
        <v>59</v>
      </c>
      <c r="D60" t="s">
        <v>464</v>
      </c>
    </row>
    <row r="61" spans="1:4" x14ac:dyDescent="0.35">
      <c r="A61" s="13">
        <v>66</v>
      </c>
      <c r="B61" s="14" t="s">
        <v>380</v>
      </c>
      <c r="C61">
        <v>60</v>
      </c>
      <c r="D61" t="s">
        <v>465</v>
      </c>
    </row>
    <row r="62" spans="1:4" x14ac:dyDescent="0.35">
      <c r="A62" s="13">
        <v>62</v>
      </c>
      <c r="B62" s="14" t="s">
        <v>377</v>
      </c>
      <c r="C62">
        <v>61</v>
      </c>
      <c r="D62" t="s">
        <v>466</v>
      </c>
    </row>
    <row r="63" spans="1:4" x14ac:dyDescent="0.35">
      <c r="A63" s="13">
        <v>69</v>
      </c>
      <c r="B63" s="14" t="s">
        <v>374</v>
      </c>
      <c r="C63">
        <v>62</v>
      </c>
      <c r="D63" t="s">
        <v>467</v>
      </c>
    </row>
    <row r="64" spans="1:4" x14ac:dyDescent="0.35">
      <c r="A64" s="13">
        <v>69</v>
      </c>
      <c r="B64" s="14" t="s">
        <v>374</v>
      </c>
      <c r="C64">
        <v>63</v>
      </c>
      <c r="D64" t="s">
        <v>468</v>
      </c>
    </row>
    <row r="65" spans="1:4" x14ac:dyDescent="0.35">
      <c r="A65" s="13">
        <v>69</v>
      </c>
      <c r="B65" s="14" t="s">
        <v>374</v>
      </c>
      <c r="C65">
        <v>64</v>
      </c>
      <c r="D65" t="s">
        <v>469</v>
      </c>
    </row>
    <row r="66" spans="1:4" x14ac:dyDescent="0.35">
      <c r="A66" s="13">
        <v>69</v>
      </c>
      <c r="B66" s="14" t="s">
        <v>374</v>
      </c>
      <c r="C66">
        <v>65</v>
      </c>
      <c r="D66" t="s">
        <v>470</v>
      </c>
    </row>
    <row r="67" spans="1:4" x14ac:dyDescent="0.35">
      <c r="A67" s="13">
        <v>69</v>
      </c>
      <c r="B67" s="14" t="s">
        <v>374</v>
      </c>
      <c r="C67">
        <v>66</v>
      </c>
      <c r="D67" t="s">
        <v>471</v>
      </c>
    </row>
    <row r="68" spans="1:4" x14ac:dyDescent="0.35">
      <c r="A68" s="13">
        <v>64</v>
      </c>
      <c r="B68" s="14" t="s">
        <v>378</v>
      </c>
      <c r="C68">
        <v>67</v>
      </c>
      <c r="D68" t="s">
        <v>472</v>
      </c>
    </row>
    <row r="69" spans="1:4" x14ac:dyDescent="0.35">
      <c r="A69" s="13">
        <v>70</v>
      </c>
      <c r="B69" s="14" t="s">
        <v>382</v>
      </c>
      <c r="C69">
        <v>68</v>
      </c>
      <c r="D69" t="s">
        <v>473</v>
      </c>
    </row>
    <row r="70" spans="1:4" x14ac:dyDescent="0.35">
      <c r="A70" s="13">
        <v>67</v>
      </c>
      <c r="B70" s="14" t="s">
        <v>381</v>
      </c>
      <c r="C70">
        <v>69</v>
      </c>
      <c r="D70" t="s">
        <v>474</v>
      </c>
    </row>
    <row r="71" spans="1:4" x14ac:dyDescent="0.35">
      <c r="A71" s="13">
        <v>70</v>
      </c>
      <c r="B71" s="14" t="s">
        <v>382</v>
      </c>
      <c r="C71">
        <v>70</v>
      </c>
      <c r="D71" t="s">
        <v>475</v>
      </c>
    </row>
    <row r="72" spans="1:4" x14ac:dyDescent="0.35">
      <c r="A72" s="13">
        <v>70</v>
      </c>
      <c r="B72" s="14" t="s">
        <v>382</v>
      </c>
      <c r="C72">
        <v>71</v>
      </c>
      <c r="D72" t="s">
        <v>476</v>
      </c>
    </row>
    <row r="73" spans="1:4" x14ac:dyDescent="0.35">
      <c r="A73" s="13">
        <v>50</v>
      </c>
      <c r="B73" s="14" t="s">
        <v>371</v>
      </c>
      <c r="C73">
        <v>72</v>
      </c>
      <c r="D73" t="s">
        <v>477</v>
      </c>
    </row>
    <row r="74" spans="1:4" x14ac:dyDescent="0.35">
      <c r="A74" s="13">
        <v>50</v>
      </c>
      <c r="B74" s="14" t="s">
        <v>371</v>
      </c>
      <c r="C74">
        <v>73</v>
      </c>
      <c r="D74" t="s">
        <v>478</v>
      </c>
    </row>
    <row r="75" spans="1:4" x14ac:dyDescent="0.35">
      <c r="A75" s="13">
        <v>50</v>
      </c>
      <c r="B75" s="14" t="s">
        <v>371</v>
      </c>
      <c r="C75">
        <v>74</v>
      </c>
      <c r="D75" t="s">
        <v>479</v>
      </c>
    </row>
    <row r="76" spans="1:4" x14ac:dyDescent="0.35">
      <c r="A76" s="13">
        <v>50</v>
      </c>
      <c r="B76" s="14" t="s">
        <v>371</v>
      </c>
      <c r="C76">
        <v>75</v>
      </c>
      <c r="D76" t="s">
        <v>480</v>
      </c>
    </row>
    <row r="77" spans="1:4" x14ac:dyDescent="0.35">
      <c r="A77" s="13">
        <v>50</v>
      </c>
      <c r="B77" s="14" t="s">
        <v>371</v>
      </c>
      <c r="C77">
        <v>76</v>
      </c>
      <c r="D77" t="s">
        <v>481</v>
      </c>
    </row>
    <row r="78" spans="1:4" x14ac:dyDescent="0.35">
      <c r="A78" s="13">
        <v>50</v>
      </c>
      <c r="B78" s="14" t="s">
        <v>371</v>
      </c>
      <c r="C78">
        <v>77</v>
      </c>
      <c r="D78" t="s">
        <v>482</v>
      </c>
    </row>
    <row r="79" spans="1:4" x14ac:dyDescent="0.35">
      <c r="A79" s="13">
        <v>70</v>
      </c>
      <c r="B79" s="14" t="s">
        <v>382</v>
      </c>
      <c r="C79">
        <v>78</v>
      </c>
      <c r="D79" t="s">
        <v>483</v>
      </c>
    </row>
    <row r="80" spans="1:4" x14ac:dyDescent="0.35">
      <c r="A80" s="13">
        <v>55</v>
      </c>
      <c r="B80" s="14" t="s">
        <v>771</v>
      </c>
      <c r="C80">
        <v>79</v>
      </c>
      <c r="D80" t="s">
        <v>484</v>
      </c>
    </row>
    <row r="81" spans="1:4" x14ac:dyDescent="0.35">
      <c r="A81" s="13">
        <v>55</v>
      </c>
      <c r="B81" s="14" t="s">
        <v>771</v>
      </c>
      <c r="C81">
        <v>80</v>
      </c>
      <c r="D81" t="s">
        <v>485</v>
      </c>
    </row>
    <row r="82" spans="1:4" x14ac:dyDescent="0.35">
      <c r="A82" s="13">
        <v>60</v>
      </c>
      <c r="B82" s="14" t="s">
        <v>352</v>
      </c>
      <c r="C82">
        <v>81</v>
      </c>
      <c r="D82" t="s">
        <v>486</v>
      </c>
    </row>
    <row r="83" spans="1:4" x14ac:dyDescent="0.35">
      <c r="A83" s="13">
        <v>60</v>
      </c>
      <c r="B83" s="14" t="s">
        <v>352</v>
      </c>
      <c r="C83">
        <v>82</v>
      </c>
      <c r="D83" t="s">
        <v>487</v>
      </c>
    </row>
    <row r="84" spans="1:4" x14ac:dyDescent="0.35">
      <c r="A84" s="13">
        <v>56</v>
      </c>
      <c r="B84" s="14" t="s">
        <v>351</v>
      </c>
      <c r="C84">
        <v>83</v>
      </c>
      <c r="D84" t="s">
        <v>488</v>
      </c>
    </row>
    <row r="85" spans="1:4" x14ac:dyDescent="0.35">
      <c r="A85" s="13">
        <v>70</v>
      </c>
      <c r="B85" s="14" t="s">
        <v>382</v>
      </c>
      <c r="C85">
        <v>84</v>
      </c>
      <c r="D85" t="s">
        <v>489</v>
      </c>
    </row>
    <row r="86" spans="1:4" x14ac:dyDescent="0.35">
      <c r="A86" s="13">
        <v>66</v>
      </c>
      <c r="B86" s="14" t="s">
        <v>380</v>
      </c>
      <c r="C86">
        <v>85</v>
      </c>
      <c r="D86" t="s">
        <v>490</v>
      </c>
    </row>
    <row r="87" spans="1:4" x14ac:dyDescent="0.35">
      <c r="A87" s="13">
        <v>56</v>
      </c>
      <c r="B87" s="14" t="s">
        <v>351</v>
      </c>
      <c r="C87">
        <v>86</v>
      </c>
      <c r="D87" t="s">
        <v>491</v>
      </c>
    </row>
    <row r="88" spans="1:4" x14ac:dyDescent="0.35">
      <c r="A88" s="13">
        <v>19</v>
      </c>
      <c r="B88" s="14" t="s">
        <v>757</v>
      </c>
      <c r="C88">
        <v>87</v>
      </c>
      <c r="D88" t="s">
        <v>492</v>
      </c>
    </row>
    <row r="89" spans="1:4" x14ac:dyDescent="0.35">
      <c r="A89" s="13">
        <v>56</v>
      </c>
      <c r="B89" s="14" t="s">
        <v>351</v>
      </c>
      <c r="C89">
        <v>88</v>
      </c>
      <c r="D89" t="s">
        <v>493</v>
      </c>
    </row>
    <row r="90" spans="1:4" x14ac:dyDescent="0.35">
      <c r="A90" s="13">
        <v>70</v>
      </c>
      <c r="B90" s="14" t="s">
        <v>382</v>
      </c>
      <c r="C90">
        <v>89</v>
      </c>
      <c r="D90" t="s">
        <v>494</v>
      </c>
    </row>
    <row r="91" spans="1:4" x14ac:dyDescent="0.35">
      <c r="A91" s="13">
        <v>47</v>
      </c>
      <c r="B91" s="14" t="s">
        <v>767</v>
      </c>
      <c r="C91">
        <v>90</v>
      </c>
      <c r="D91" t="s">
        <v>495</v>
      </c>
    </row>
    <row r="92" spans="1:4" x14ac:dyDescent="0.35">
      <c r="A92" s="13">
        <v>47</v>
      </c>
      <c r="B92" s="14" t="s">
        <v>767</v>
      </c>
      <c r="C92">
        <v>91</v>
      </c>
      <c r="D92" t="s">
        <v>496</v>
      </c>
    </row>
    <row r="93" spans="1:4" x14ac:dyDescent="0.35">
      <c r="A93" s="13">
        <v>53</v>
      </c>
      <c r="B93" s="14" t="s">
        <v>770</v>
      </c>
      <c r="C93">
        <v>92</v>
      </c>
      <c r="D93" t="s">
        <v>497</v>
      </c>
    </row>
    <row r="94" spans="1:4" x14ac:dyDescent="0.35">
      <c r="A94" s="13">
        <v>66</v>
      </c>
      <c r="B94" s="14" t="s">
        <v>380</v>
      </c>
      <c r="C94">
        <v>93</v>
      </c>
      <c r="D94" t="s">
        <v>498</v>
      </c>
    </row>
    <row r="95" spans="1:4" x14ac:dyDescent="0.35">
      <c r="A95" s="13">
        <v>70</v>
      </c>
      <c r="B95" s="14" t="s">
        <v>382</v>
      </c>
      <c r="C95">
        <v>94</v>
      </c>
      <c r="D95" t="s">
        <v>499</v>
      </c>
    </row>
    <row r="96" spans="1:4" x14ac:dyDescent="0.35">
      <c r="A96" s="13">
        <v>70</v>
      </c>
      <c r="B96" s="14" t="s">
        <v>382</v>
      </c>
      <c r="C96">
        <v>95</v>
      </c>
      <c r="D96" t="s">
        <v>500</v>
      </c>
    </row>
    <row r="97" spans="1:4" x14ac:dyDescent="0.35">
      <c r="A97" s="13">
        <v>70</v>
      </c>
      <c r="B97" s="14" t="s">
        <v>382</v>
      </c>
      <c r="C97">
        <v>96</v>
      </c>
      <c r="D97" t="s">
        <v>501</v>
      </c>
    </row>
    <row r="98" spans="1:4" x14ac:dyDescent="0.35">
      <c r="A98" s="13">
        <v>50</v>
      </c>
      <c r="B98" s="14" t="s">
        <v>371</v>
      </c>
      <c r="C98">
        <v>97</v>
      </c>
      <c r="D98" t="s">
        <v>502</v>
      </c>
    </row>
    <row r="99" spans="1:4" x14ac:dyDescent="0.35">
      <c r="A99" s="13">
        <v>50</v>
      </c>
      <c r="B99" s="14" t="s">
        <v>371</v>
      </c>
      <c r="C99">
        <v>98</v>
      </c>
      <c r="D99" t="s">
        <v>503</v>
      </c>
    </row>
    <row r="100" spans="1:4" x14ac:dyDescent="0.35">
      <c r="A100" s="13">
        <v>50</v>
      </c>
      <c r="B100" s="14" t="s">
        <v>371</v>
      </c>
      <c r="C100">
        <v>99</v>
      </c>
      <c r="D100" t="s">
        <v>504</v>
      </c>
    </row>
    <row r="101" spans="1:4" x14ac:dyDescent="0.35">
      <c r="A101" s="13">
        <v>50</v>
      </c>
      <c r="B101" s="14" t="s">
        <v>371</v>
      </c>
      <c r="C101">
        <v>100</v>
      </c>
      <c r="D101" t="s">
        <v>505</v>
      </c>
    </row>
    <row r="102" spans="1:4" x14ac:dyDescent="0.35">
      <c r="A102" s="13">
        <v>50</v>
      </c>
      <c r="B102" s="14" t="s">
        <v>371</v>
      </c>
      <c r="C102">
        <v>101</v>
      </c>
      <c r="D102" t="s">
        <v>506</v>
      </c>
    </row>
    <row r="103" spans="1:4" x14ac:dyDescent="0.35">
      <c r="A103" s="13">
        <v>50</v>
      </c>
      <c r="B103" s="14" t="s">
        <v>371</v>
      </c>
      <c r="C103">
        <v>102</v>
      </c>
      <c r="D103" t="s">
        <v>507</v>
      </c>
    </row>
    <row r="104" spans="1:4" x14ac:dyDescent="0.35">
      <c r="A104" s="13">
        <v>50</v>
      </c>
      <c r="B104" s="14" t="s">
        <v>371</v>
      </c>
      <c r="C104">
        <v>103</v>
      </c>
      <c r="D104" t="s">
        <v>508</v>
      </c>
    </row>
    <row r="105" spans="1:4" x14ac:dyDescent="0.35">
      <c r="A105" s="13">
        <v>47</v>
      </c>
      <c r="B105" s="14" t="s">
        <v>767</v>
      </c>
      <c r="C105">
        <v>104</v>
      </c>
      <c r="D105" t="s">
        <v>509</v>
      </c>
    </row>
    <row r="106" spans="1:4" x14ac:dyDescent="0.35">
      <c r="A106" s="13">
        <v>63</v>
      </c>
      <c r="B106" s="14" t="s">
        <v>375</v>
      </c>
      <c r="C106">
        <v>105</v>
      </c>
      <c r="D106" t="s">
        <v>510</v>
      </c>
    </row>
    <row r="107" spans="1:4" x14ac:dyDescent="0.35">
      <c r="A107" s="13">
        <v>63</v>
      </c>
      <c r="B107" s="14" t="s">
        <v>375</v>
      </c>
      <c r="C107">
        <v>106</v>
      </c>
      <c r="D107" t="s">
        <v>511</v>
      </c>
    </row>
    <row r="108" spans="1:4" x14ac:dyDescent="0.35">
      <c r="A108" s="13">
        <v>63</v>
      </c>
      <c r="B108" s="14" t="s">
        <v>375</v>
      </c>
      <c r="C108">
        <v>107</v>
      </c>
      <c r="D108" t="s">
        <v>512</v>
      </c>
    </row>
    <row r="109" spans="1:4" x14ac:dyDescent="0.35">
      <c r="A109" s="13">
        <v>63</v>
      </c>
      <c r="B109" s="14" t="s">
        <v>375</v>
      </c>
      <c r="C109">
        <v>108</v>
      </c>
      <c r="D109" t="s">
        <v>513</v>
      </c>
    </row>
    <row r="110" spans="1:4" x14ac:dyDescent="0.35">
      <c r="A110" s="13">
        <v>70</v>
      </c>
      <c r="B110" s="14" t="s">
        <v>382</v>
      </c>
      <c r="C110">
        <v>109</v>
      </c>
      <c r="D110" t="s">
        <v>514</v>
      </c>
    </row>
    <row r="111" spans="1:4" x14ac:dyDescent="0.35">
      <c r="A111" s="13">
        <v>66</v>
      </c>
      <c r="B111" s="14" t="s">
        <v>380</v>
      </c>
      <c r="C111">
        <v>110</v>
      </c>
      <c r="D111" t="s">
        <v>515</v>
      </c>
    </row>
    <row r="112" spans="1:4" x14ac:dyDescent="0.35">
      <c r="A112" s="13">
        <v>50</v>
      </c>
      <c r="B112" s="14" t="s">
        <v>371</v>
      </c>
      <c r="C112">
        <v>111</v>
      </c>
      <c r="D112" t="s">
        <v>516</v>
      </c>
    </row>
    <row r="113" spans="1:4" x14ac:dyDescent="0.35">
      <c r="A113" s="13">
        <v>50</v>
      </c>
      <c r="B113" s="14" t="s">
        <v>371</v>
      </c>
      <c r="C113">
        <v>112</v>
      </c>
      <c r="D113" t="s">
        <v>517</v>
      </c>
    </row>
    <row r="114" spans="1:4" x14ac:dyDescent="0.35">
      <c r="A114" s="13">
        <v>50</v>
      </c>
      <c r="B114" s="14" t="s">
        <v>371</v>
      </c>
      <c r="C114">
        <v>113</v>
      </c>
      <c r="D114" t="s">
        <v>518</v>
      </c>
    </row>
    <row r="115" spans="1:4" x14ac:dyDescent="0.35">
      <c r="A115" s="13">
        <v>50</v>
      </c>
      <c r="B115" s="14" t="s">
        <v>371</v>
      </c>
      <c r="C115">
        <v>114</v>
      </c>
      <c r="D115" t="s">
        <v>519</v>
      </c>
    </row>
    <row r="116" spans="1:4" x14ac:dyDescent="0.35">
      <c r="A116" s="13">
        <v>50</v>
      </c>
      <c r="B116" s="14" t="s">
        <v>371</v>
      </c>
      <c r="C116">
        <v>115</v>
      </c>
      <c r="D116" t="s">
        <v>520</v>
      </c>
    </row>
    <row r="117" spans="1:4" x14ac:dyDescent="0.35">
      <c r="A117" s="13">
        <v>50</v>
      </c>
      <c r="B117" s="14" t="s">
        <v>371</v>
      </c>
      <c r="C117">
        <v>116</v>
      </c>
      <c r="D117" t="s">
        <v>521</v>
      </c>
    </row>
    <row r="118" spans="1:4" x14ac:dyDescent="0.35">
      <c r="A118">
        <v>50</v>
      </c>
      <c r="B118" t="s">
        <v>371</v>
      </c>
      <c r="C118">
        <v>117</v>
      </c>
      <c r="D118" t="s">
        <v>522</v>
      </c>
    </row>
    <row r="119" spans="1:4" x14ac:dyDescent="0.35">
      <c r="A119">
        <v>50</v>
      </c>
      <c r="B119" t="s">
        <v>371</v>
      </c>
      <c r="C119">
        <v>118</v>
      </c>
      <c r="D119" t="s">
        <v>523</v>
      </c>
    </row>
    <row r="120" spans="1:4" x14ac:dyDescent="0.35">
      <c r="A120">
        <v>50</v>
      </c>
      <c r="B120" t="s">
        <v>371</v>
      </c>
      <c r="C120">
        <v>119</v>
      </c>
      <c r="D120" t="s">
        <v>524</v>
      </c>
    </row>
    <row r="121" spans="1:4" x14ac:dyDescent="0.35">
      <c r="A121">
        <v>50</v>
      </c>
      <c r="B121" t="s">
        <v>371</v>
      </c>
      <c r="C121">
        <v>120</v>
      </c>
      <c r="D121" t="s">
        <v>525</v>
      </c>
    </row>
    <row r="122" spans="1:4" x14ac:dyDescent="0.35">
      <c r="A122">
        <v>50</v>
      </c>
      <c r="B122" t="s">
        <v>371</v>
      </c>
      <c r="C122">
        <v>121</v>
      </c>
      <c r="D122" t="s">
        <v>526</v>
      </c>
    </row>
    <row r="123" spans="1:4" x14ac:dyDescent="0.35">
      <c r="A123">
        <v>50</v>
      </c>
      <c r="B123" t="s">
        <v>371</v>
      </c>
      <c r="C123">
        <v>122</v>
      </c>
      <c r="D123" t="s">
        <v>527</v>
      </c>
    </row>
    <row r="124" spans="1:4" x14ac:dyDescent="0.35">
      <c r="A124">
        <v>69</v>
      </c>
      <c r="B124" t="s">
        <v>374</v>
      </c>
      <c r="C124">
        <v>123</v>
      </c>
      <c r="D124" t="s">
        <v>528</v>
      </c>
    </row>
    <row r="125" spans="1:4" x14ac:dyDescent="0.35">
      <c r="A125">
        <v>69</v>
      </c>
      <c r="B125" t="s">
        <v>374</v>
      </c>
      <c r="C125">
        <v>124</v>
      </c>
      <c r="D125" t="s">
        <v>529</v>
      </c>
    </row>
    <row r="126" spans="1:4" x14ac:dyDescent="0.35">
      <c r="A126">
        <v>70</v>
      </c>
      <c r="B126" t="s">
        <v>382</v>
      </c>
      <c r="C126">
        <v>125</v>
      </c>
      <c r="D126" t="s">
        <v>531</v>
      </c>
    </row>
    <row r="127" spans="1:4" x14ac:dyDescent="0.35">
      <c r="A127">
        <v>70</v>
      </c>
      <c r="B127" t="s">
        <v>382</v>
      </c>
      <c r="C127">
        <v>126</v>
      </c>
      <c r="D127" t="s">
        <v>532</v>
      </c>
    </row>
    <row r="128" spans="1:4" x14ac:dyDescent="0.35">
      <c r="A128">
        <v>70</v>
      </c>
      <c r="B128" t="s">
        <v>382</v>
      </c>
      <c r="C128">
        <v>127</v>
      </c>
      <c r="D128" t="s">
        <v>533</v>
      </c>
    </row>
    <row r="129" spans="1:4" x14ac:dyDescent="0.35">
      <c r="A129">
        <v>47</v>
      </c>
      <c r="B129" t="s">
        <v>767</v>
      </c>
      <c r="C129">
        <v>128</v>
      </c>
      <c r="D129" t="s">
        <v>534</v>
      </c>
    </row>
    <row r="130" spans="1:4" x14ac:dyDescent="0.35">
      <c r="A130">
        <v>47</v>
      </c>
      <c r="B130" t="s">
        <v>767</v>
      </c>
      <c r="C130">
        <v>129</v>
      </c>
      <c r="D130" t="s">
        <v>535</v>
      </c>
    </row>
    <row r="131" spans="1:4" x14ac:dyDescent="0.35">
      <c r="A131">
        <v>50</v>
      </c>
      <c r="B131" t="s">
        <v>371</v>
      </c>
      <c r="C131">
        <v>130</v>
      </c>
      <c r="D131" t="s">
        <v>536</v>
      </c>
    </row>
    <row r="132" spans="1:4" x14ac:dyDescent="0.35">
      <c r="A132">
        <v>50</v>
      </c>
      <c r="B132" t="s">
        <v>371</v>
      </c>
      <c r="C132">
        <v>131</v>
      </c>
      <c r="D132" t="s">
        <v>537</v>
      </c>
    </row>
    <row r="133" spans="1:4" x14ac:dyDescent="0.35">
      <c r="A133">
        <v>50</v>
      </c>
      <c r="B133" t="s">
        <v>371</v>
      </c>
      <c r="C133">
        <v>132</v>
      </c>
      <c r="D133" t="s">
        <v>538</v>
      </c>
    </row>
    <row r="134" spans="1:4" x14ac:dyDescent="0.35">
      <c r="A134">
        <v>50</v>
      </c>
      <c r="B134" t="s">
        <v>371</v>
      </c>
      <c r="C134">
        <v>133</v>
      </c>
      <c r="D134" t="s">
        <v>539</v>
      </c>
    </row>
    <row r="135" spans="1:4" x14ac:dyDescent="0.35">
      <c r="A135">
        <v>47</v>
      </c>
      <c r="B135" t="s">
        <v>767</v>
      </c>
      <c r="C135">
        <v>134</v>
      </c>
      <c r="D135" t="s">
        <v>540</v>
      </c>
    </row>
    <row r="136" spans="1:4" x14ac:dyDescent="0.35">
      <c r="A136">
        <v>48</v>
      </c>
      <c r="B136" t="s">
        <v>379</v>
      </c>
      <c r="C136">
        <v>135</v>
      </c>
      <c r="D136" t="s">
        <v>541</v>
      </c>
    </row>
    <row r="137" spans="1:4" x14ac:dyDescent="0.35">
      <c r="A137">
        <v>48</v>
      </c>
      <c r="B137" t="s">
        <v>379</v>
      </c>
      <c r="C137">
        <v>136</v>
      </c>
      <c r="D137" t="s">
        <v>542</v>
      </c>
    </row>
    <row r="138" spans="1:4" x14ac:dyDescent="0.35">
      <c r="A138">
        <v>48</v>
      </c>
      <c r="B138" t="s">
        <v>379</v>
      </c>
      <c r="C138">
        <v>137</v>
      </c>
      <c r="D138" t="s">
        <v>543</v>
      </c>
    </row>
    <row r="139" spans="1:4" x14ac:dyDescent="0.35">
      <c r="A139">
        <v>61</v>
      </c>
      <c r="B139" t="s">
        <v>376</v>
      </c>
      <c r="C139">
        <v>138</v>
      </c>
      <c r="D139" t="s">
        <v>544</v>
      </c>
    </row>
    <row r="140" spans="1:4" x14ac:dyDescent="0.35">
      <c r="A140">
        <v>61</v>
      </c>
      <c r="B140" t="s">
        <v>376</v>
      </c>
      <c r="C140">
        <v>139</v>
      </c>
      <c r="D140" t="s">
        <v>545</v>
      </c>
    </row>
    <row r="141" spans="1:4" x14ac:dyDescent="0.35">
      <c r="A141">
        <v>61</v>
      </c>
      <c r="B141" t="s">
        <v>376</v>
      </c>
      <c r="C141">
        <v>140</v>
      </c>
      <c r="D141" t="s">
        <v>546</v>
      </c>
    </row>
    <row r="142" spans="1:4" x14ac:dyDescent="0.35">
      <c r="A142">
        <v>55</v>
      </c>
      <c r="B142" t="s">
        <v>771</v>
      </c>
      <c r="C142">
        <v>141</v>
      </c>
      <c r="D142" t="s">
        <v>547</v>
      </c>
    </row>
    <row r="143" spans="1:4" x14ac:dyDescent="0.35">
      <c r="A143">
        <v>61</v>
      </c>
      <c r="B143" t="s">
        <v>376</v>
      </c>
      <c r="C143">
        <v>142</v>
      </c>
      <c r="D143" t="s">
        <v>548</v>
      </c>
    </row>
    <row r="144" spans="1:4" x14ac:dyDescent="0.35">
      <c r="A144">
        <v>48</v>
      </c>
      <c r="B144" t="s">
        <v>379</v>
      </c>
      <c r="C144">
        <v>143</v>
      </c>
      <c r="D144" t="s">
        <v>549</v>
      </c>
    </row>
    <row r="145" spans="1:4" x14ac:dyDescent="0.35">
      <c r="A145">
        <v>48</v>
      </c>
      <c r="B145" t="s">
        <v>379</v>
      </c>
      <c r="C145">
        <v>144</v>
      </c>
      <c r="D145" t="s">
        <v>550</v>
      </c>
    </row>
    <row r="146" spans="1:4" x14ac:dyDescent="0.35">
      <c r="A146">
        <v>26</v>
      </c>
      <c r="B146" t="s">
        <v>372</v>
      </c>
      <c r="C146">
        <v>145</v>
      </c>
      <c r="D146" t="s">
        <v>551</v>
      </c>
    </row>
    <row r="147" spans="1:4" x14ac:dyDescent="0.35">
      <c r="A147">
        <v>26</v>
      </c>
      <c r="B147" t="s">
        <v>372</v>
      </c>
      <c r="C147">
        <v>146</v>
      </c>
      <c r="D147" t="s">
        <v>552</v>
      </c>
    </row>
    <row r="148" spans="1:4" x14ac:dyDescent="0.35">
      <c r="A148">
        <v>50</v>
      </c>
      <c r="B148" t="s">
        <v>371</v>
      </c>
      <c r="C148">
        <v>147</v>
      </c>
      <c r="D148" t="s">
        <v>553</v>
      </c>
    </row>
    <row r="149" spans="1:4" x14ac:dyDescent="0.35">
      <c r="A149">
        <v>50</v>
      </c>
      <c r="B149" t="s">
        <v>371</v>
      </c>
      <c r="C149">
        <v>148</v>
      </c>
      <c r="D149" t="s">
        <v>554</v>
      </c>
    </row>
    <row r="150" spans="1:4" x14ac:dyDescent="0.35">
      <c r="A150">
        <v>50</v>
      </c>
      <c r="B150" t="s">
        <v>371</v>
      </c>
      <c r="C150">
        <v>149</v>
      </c>
      <c r="D150" t="s">
        <v>555</v>
      </c>
    </row>
    <row r="151" spans="1:4" x14ac:dyDescent="0.35">
      <c r="A151">
        <v>50</v>
      </c>
      <c r="B151" t="s">
        <v>371</v>
      </c>
      <c r="C151">
        <v>150</v>
      </c>
      <c r="D151" t="s">
        <v>556</v>
      </c>
    </row>
    <row r="152" spans="1:4" x14ac:dyDescent="0.35">
      <c r="A152">
        <v>48</v>
      </c>
      <c r="B152" t="s">
        <v>379</v>
      </c>
      <c r="C152">
        <v>151</v>
      </c>
      <c r="D152" t="s">
        <v>557</v>
      </c>
    </row>
    <row r="153" spans="1:4" x14ac:dyDescent="0.35">
      <c r="A153">
        <v>60</v>
      </c>
      <c r="B153" t="s">
        <v>352</v>
      </c>
      <c r="C153">
        <v>152</v>
      </c>
      <c r="D153" t="s">
        <v>558</v>
      </c>
    </row>
    <row r="154" spans="1:4" x14ac:dyDescent="0.35">
      <c r="A154">
        <v>60</v>
      </c>
      <c r="B154" t="s">
        <v>352</v>
      </c>
      <c r="C154">
        <v>153</v>
      </c>
      <c r="D154" t="s">
        <v>559</v>
      </c>
    </row>
    <row r="155" spans="1:4" x14ac:dyDescent="0.35">
      <c r="A155">
        <v>60</v>
      </c>
      <c r="B155" t="s">
        <v>352</v>
      </c>
      <c r="C155">
        <v>154</v>
      </c>
      <c r="D155" t="s">
        <v>754</v>
      </c>
    </row>
    <row r="156" spans="1:4" x14ac:dyDescent="0.35">
      <c r="A156">
        <v>70</v>
      </c>
      <c r="B156" t="s">
        <v>382</v>
      </c>
      <c r="C156">
        <v>155</v>
      </c>
      <c r="D156" t="s">
        <v>560</v>
      </c>
    </row>
    <row r="157" spans="1:4" x14ac:dyDescent="0.35">
      <c r="A157">
        <v>70</v>
      </c>
      <c r="B157" t="s">
        <v>382</v>
      </c>
      <c r="C157">
        <v>156</v>
      </c>
      <c r="D157" t="s">
        <v>561</v>
      </c>
    </row>
    <row r="158" spans="1:4" x14ac:dyDescent="0.35">
      <c r="A158">
        <v>70</v>
      </c>
      <c r="B158" t="s">
        <v>382</v>
      </c>
      <c r="C158">
        <v>157</v>
      </c>
      <c r="D158" t="s">
        <v>562</v>
      </c>
    </row>
    <row r="159" spans="1:4" x14ac:dyDescent="0.35">
      <c r="A159">
        <v>70</v>
      </c>
      <c r="B159" t="s">
        <v>382</v>
      </c>
      <c r="C159">
        <v>158</v>
      </c>
      <c r="D159" t="s">
        <v>563</v>
      </c>
    </row>
    <row r="160" spans="1:4" x14ac:dyDescent="0.35">
      <c r="A160">
        <v>13</v>
      </c>
      <c r="B160" t="s">
        <v>388</v>
      </c>
      <c r="C160">
        <v>159</v>
      </c>
      <c r="D160" t="s">
        <v>564</v>
      </c>
    </row>
    <row r="161" spans="1:15" x14ac:dyDescent="0.35">
      <c r="A161">
        <v>42</v>
      </c>
      <c r="B161" t="s">
        <v>387</v>
      </c>
      <c r="C161">
        <v>160</v>
      </c>
      <c r="D161" t="s">
        <v>565</v>
      </c>
    </row>
    <row r="162" spans="1:15" x14ac:dyDescent="0.35">
      <c r="A162">
        <v>200</v>
      </c>
      <c r="B162" t="s">
        <v>398</v>
      </c>
      <c r="C162">
        <v>161</v>
      </c>
      <c r="D162" t="s">
        <v>566</v>
      </c>
    </row>
    <row r="163" spans="1:15" x14ac:dyDescent="0.35">
      <c r="A163">
        <v>300</v>
      </c>
      <c r="B163" t="s">
        <v>399</v>
      </c>
      <c r="C163">
        <v>400</v>
      </c>
      <c r="D163" t="s">
        <v>1149</v>
      </c>
    </row>
    <row r="164" spans="1:15" x14ac:dyDescent="0.35">
      <c r="A164">
        <v>68</v>
      </c>
      <c r="B164" t="s">
        <v>392</v>
      </c>
      <c r="C164">
        <v>500</v>
      </c>
      <c r="D164" t="s">
        <v>395</v>
      </c>
    </row>
    <row r="165" spans="1:15" x14ac:dyDescent="0.35">
      <c r="A165">
        <v>65</v>
      </c>
      <c r="B165" t="s">
        <v>397</v>
      </c>
      <c r="C165">
        <v>600</v>
      </c>
      <c r="D165" t="s">
        <v>403</v>
      </c>
    </row>
    <row r="166" spans="1:15" x14ac:dyDescent="0.35">
      <c r="A166">
        <v>60</v>
      </c>
      <c r="B166" t="s">
        <v>352</v>
      </c>
      <c r="C166">
        <v>700</v>
      </c>
      <c r="D166" t="s">
        <v>1150</v>
      </c>
    </row>
    <row r="167" spans="1:15" x14ac:dyDescent="0.35">
      <c r="A167">
        <v>57</v>
      </c>
      <c r="B167" t="s">
        <v>401</v>
      </c>
      <c r="C167">
        <v>800</v>
      </c>
      <c r="D167" t="s">
        <v>396</v>
      </c>
      <c r="F167" s="1"/>
    </row>
    <row r="168" spans="1:15" x14ac:dyDescent="0.35">
      <c r="A168">
        <v>58</v>
      </c>
      <c r="B168" t="s">
        <v>400</v>
      </c>
      <c r="C168">
        <v>900</v>
      </c>
      <c r="D168" t="s">
        <v>1151</v>
      </c>
      <c r="F168" t="s">
        <v>1322</v>
      </c>
      <c r="J168" s="1" t="s">
        <v>402</v>
      </c>
      <c r="N168" t="s">
        <v>384</v>
      </c>
      <c r="O168" t="s">
        <v>1148</v>
      </c>
    </row>
    <row r="169" spans="1:15" x14ac:dyDescent="0.35">
      <c r="A169">
        <v>3</v>
      </c>
      <c r="B169" t="s">
        <v>334</v>
      </c>
      <c r="C169">
        <v>162</v>
      </c>
      <c r="D169" t="s">
        <v>567</v>
      </c>
      <c r="F169">
        <v>175</v>
      </c>
      <c r="G169" t="s">
        <v>0</v>
      </c>
      <c r="I169">
        <v>1</v>
      </c>
      <c r="J169" t="s">
        <v>0</v>
      </c>
      <c r="N169">
        <v>1</v>
      </c>
      <c r="O169">
        <v>175</v>
      </c>
    </row>
    <row r="170" spans="1:15" x14ac:dyDescent="0.35">
      <c r="A170">
        <v>3</v>
      </c>
      <c r="B170" t="s">
        <v>334</v>
      </c>
      <c r="C170">
        <v>163</v>
      </c>
      <c r="D170" t="s">
        <v>568</v>
      </c>
      <c r="F170">
        <v>176</v>
      </c>
      <c r="G170" t="s">
        <v>102</v>
      </c>
      <c r="N170">
        <v>2</v>
      </c>
      <c r="O170">
        <v>177</v>
      </c>
    </row>
    <row r="171" spans="1:15" x14ac:dyDescent="0.35">
      <c r="A171">
        <v>1</v>
      </c>
      <c r="B171" t="s">
        <v>335</v>
      </c>
      <c r="C171">
        <v>164</v>
      </c>
      <c r="D171" t="s">
        <v>569</v>
      </c>
      <c r="F171">
        <v>177</v>
      </c>
      <c r="G171" t="s">
        <v>1</v>
      </c>
      <c r="I171">
        <v>2</v>
      </c>
      <c r="J171" t="s">
        <v>1</v>
      </c>
      <c r="N171">
        <v>3</v>
      </c>
      <c r="O171">
        <v>178</v>
      </c>
    </row>
    <row r="172" spans="1:15" x14ac:dyDescent="0.35">
      <c r="A172">
        <v>1</v>
      </c>
      <c r="B172" t="s">
        <v>335</v>
      </c>
      <c r="C172">
        <v>165</v>
      </c>
      <c r="D172" t="s">
        <v>570</v>
      </c>
      <c r="F172">
        <v>178</v>
      </c>
      <c r="G172" t="s">
        <v>2</v>
      </c>
      <c r="I172">
        <v>3</v>
      </c>
      <c r="J172" t="s">
        <v>2</v>
      </c>
      <c r="N172">
        <v>4</v>
      </c>
      <c r="O172">
        <v>179</v>
      </c>
    </row>
    <row r="173" spans="1:15" x14ac:dyDescent="0.35">
      <c r="A173">
        <v>2</v>
      </c>
      <c r="B173" t="s">
        <v>337</v>
      </c>
      <c r="C173">
        <v>166</v>
      </c>
      <c r="D173" t="s">
        <v>571</v>
      </c>
      <c r="F173">
        <v>179</v>
      </c>
      <c r="G173" t="s">
        <v>3</v>
      </c>
      <c r="I173">
        <v>4</v>
      </c>
      <c r="J173" t="s">
        <v>3</v>
      </c>
      <c r="N173">
        <v>5</v>
      </c>
      <c r="O173">
        <v>181</v>
      </c>
    </row>
    <row r="174" spans="1:15" x14ac:dyDescent="0.35">
      <c r="A174">
        <v>2</v>
      </c>
      <c r="B174" t="s">
        <v>337</v>
      </c>
      <c r="C174">
        <v>167</v>
      </c>
      <c r="D174" t="s">
        <v>572</v>
      </c>
      <c r="F174">
        <v>180</v>
      </c>
      <c r="G174" t="s">
        <v>103</v>
      </c>
      <c r="N174">
        <v>6</v>
      </c>
      <c r="O174">
        <v>182</v>
      </c>
    </row>
    <row r="175" spans="1:15" x14ac:dyDescent="0.35">
      <c r="A175">
        <v>4</v>
      </c>
      <c r="B175" t="s">
        <v>755</v>
      </c>
      <c r="C175">
        <v>168</v>
      </c>
      <c r="D175" t="s">
        <v>573</v>
      </c>
      <c r="F175">
        <v>181</v>
      </c>
      <c r="G175" t="s">
        <v>4</v>
      </c>
      <c r="I175">
        <v>5</v>
      </c>
      <c r="J175" t="s">
        <v>4</v>
      </c>
      <c r="N175">
        <v>7</v>
      </c>
      <c r="O175">
        <v>183</v>
      </c>
    </row>
    <row r="176" spans="1:15" x14ac:dyDescent="0.35">
      <c r="A176">
        <v>5</v>
      </c>
      <c r="B176" t="s">
        <v>354</v>
      </c>
      <c r="C176">
        <v>169</v>
      </c>
      <c r="D176" t="s">
        <v>574</v>
      </c>
      <c r="F176">
        <v>182</v>
      </c>
      <c r="G176" t="s">
        <v>104</v>
      </c>
      <c r="I176">
        <v>6</v>
      </c>
      <c r="J176" t="s">
        <v>5</v>
      </c>
      <c r="N176">
        <v>8</v>
      </c>
      <c r="O176">
        <v>184</v>
      </c>
    </row>
    <row r="177" spans="1:15" x14ac:dyDescent="0.35">
      <c r="A177">
        <v>1</v>
      </c>
      <c r="B177" t="s">
        <v>335</v>
      </c>
      <c r="C177">
        <v>170</v>
      </c>
      <c r="D177" t="s">
        <v>575</v>
      </c>
      <c r="F177">
        <v>183</v>
      </c>
      <c r="G177" t="s">
        <v>6</v>
      </c>
      <c r="I177">
        <v>7</v>
      </c>
      <c r="J177" t="s">
        <v>6</v>
      </c>
      <c r="N177">
        <v>9</v>
      </c>
      <c r="O177">
        <v>185</v>
      </c>
    </row>
    <row r="178" spans="1:15" x14ac:dyDescent="0.35">
      <c r="A178">
        <v>2</v>
      </c>
      <c r="B178" t="s">
        <v>337</v>
      </c>
      <c r="C178">
        <v>171</v>
      </c>
      <c r="D178" t="s">
        <v>576</v>
      </c>
      <c r="F178">
        <v>184</v>
      </c>
      <c r="G178" t="s">
        <v>7</v>
      </c>
      <c r="I178">
        <v>8</v>
      </c>
      <c r="J178" t="s">
        <v>7</v>
      </c>
      <c r="N178">
        <v>10</v>
      </c>
      <c r="O178">
        <v>186</v>
      </c>
    </row>
    <row r="179" spans="1:15" x14ac:dyDescent="0.35">
      <c r="A179">
        <v>4</v>
      </c>
      <c r="B179" t="s">
        <v>755</v>
      </c>
      <c r="C179">
        <v>172</v>
      </c>
      <c r="D179" t="s">
        <v>577</v>
      </c>
      <c r="F179">
        <v>185</v>
      </c>
      <c r="G179" t="s">
        <v>8</v>
      </c>
      <c r="I179">
        <v>9</v>
      </c>
      <c r="J179" t="s">
        <v>8</v>
      </c>
      <c r="N179">
        <v>11</v>
      </c>
      <c r="O179">
        <v>187</v>
      </c>
    </row>
    <row r="180" spans="1:15" x14ac:dyDescent="0.35">
      <c r="A180">
        <v>5</v>
      </c>
      <c r="B180" t="s">
        <v>354</v>
      </c>
      <c r="C180">
        <v>173</v>
      </c>
      <c r="D180" t="s">
        <v>578</v>
      </c>
      <c r="F180">
        <v>186</v>
      </c>
      <c r="G180" t="s">
        <v>9</v>
      </c>
      <c r="I180">
        <v>10</v>
      </c>
      <c r="J180" t="s">
        <v>9</v>
      </c>
      <c r="N180">
        <v>12</v>
      </c>
      <c r="O180">
        <v>192</v>
      </c>
    </row>
    <row r="181" spans="1:15" x14ac:dyDescent="0.35">
      <c r="A181">
        <v>5</v>
      </c>
      <c r="B181" t="s">
        <v>354</v>
      </c>
      <c r="C181">
        <v>174</v>
      </c>
      <c r="D181" t="s">
        <v>579</v>
      </c>
      <c r="F181">
        <v>187</v>
      </c>
      <c r="G181" t="s">
        <v>10</v>
      </c>
      <c r="I181">
        <v>11</v>
      </c>
      <c r="J181" t="s">
        <v>10</v>
      </c>
      <c r="N181">
        <v>13</v>
      </c>
      <c r="O181">
        <v>193</v>
      </c>
    </row>
    <row r="182" spans="1:15" x14ac:dyDescent="0.35">
      <c r="A182">
        <v>39.299999999999997</v>
      </c>
      <c r="B182" t="s">
        <v>336</v>
      </c>
      <c r="C182">
        <v>175</v>
      </c>
      <c r="D182" t="s">
        <v>580</v>
      </c>
      <c r="F182">
        <v>188</v>
      </c>
      <c r="G182" t="s">
        <v>105</v>
      </c>
      <c r="N182">
        <v>14</v>
      </c>
      <c r="O182">
        <v>194</v>
      </c>
    </row>
    <row r="183" spans="1:15" x14ac:dyDescent="0.35">
      <c r="A183">
        <v>39.299999999999997</v>
      </c>
      <c r="B183" t="s">
        <v>336</v>
      </c>
      <c r="C183">
        <v>176</v>
      </c>
      <c r="D183" t="s">
        <v>581</v>
      </c>
      <c r="F183">
        <v>189</v>
      </c>
      <c r="G183" t="s">
        <v>106</v>
      </c>
      <c r="N183">
        <v>15</v>
      </c>
      <c r="O183">
        <v>195</v>
      </c>
    </row>
    <row r="184" spans="1:15" x14ac:dyDescent="0.35">
      <c r="A184">
        <v>39.299999999999997</v>
      </c>
      <c r="B184" t="s">
        <v>336</v>
      </c>
      <c r="C184">
        <v>177</v>
      </c>
      <c r="D184" t="s">
        <v>582</v>
      </c>
      <c r="F184">
        <v>190</v>
      </c>
      <c r="G184" t="s">
        <v>107</v>
      </c>
      <c r="N184">
        <v>16</v>
      </c>
      <c r="O184">
        <v>196</v>
      </c>
    </row>
    <row r="185" spans="1:15" x14ac:dyDescent="0.35">
      <c r="A185">
        <v>39.299999999999997</v>
      </c>
      <c r="B185" t="s">
        <v>336</v>
      </c>
      <c r="C185">
        <v>178</v>
      </c>
      <c r="D185" t="s">
        <v>583</v>
      </c>
      <c r="F185">
        <v>191</v>
      </c>
      <c r="G185" t="s">
        <v>108</v>
      </c>
      <c r="N185">
        <v>17</v>
      </c>
      <c r="O185">
        <v>197</v>
      </c>
    </row>
    <row r="186" spans="1:15" x14ac:dyDescent="0.35">
      <c r="A186">
        <v>32</v>
      </c>
      <c r="B186" t="s">
        <v>341</v>
      </c>
      <c r="C186">
        <v>179</v>
      </c>
      <c r="D186" t="s">
        <v>584</v>
      </c>
      <c r="F186">
        <v>192</v>
      </c>
      <c r="G186" t="s">
        <v>11</v>
      </c>
      <c r="I186">
        <v>12</v>
      </c>
      <c r="J186" t="s">
        <v>11</v>
      </c>
      <c r="N186">
        <v>18</v>
      </c>
      <c r="O186">
        <v>198</v>
      </c>
    </row>
    <row r="187" spans="1:15" x14ac:dyDescent="0.35">
      <c r="A187">
        <v>32</v>
      </c>
      <c r="B187" t="s">
        <v>341</v>
      </c>
      <c r="C187">
        <v>180</v>
      </c>
      <c r="D187" t="s">
        <v>585</v>
      </c>
      <c r="F187">
        <v>193</v>
      </c>
      <c r="G187" t="s">
        <v>109</v>
      </c>
      <c r="I187">
        <v>13</v>
      </c>
      <c r="J187" t="s">
        <v>12</v>
      </c>
      <c r="N187">
        <v>19</v>
      </c>
      <c r="O187">
        <v>201</v>
      </c>
    </row>
    <row r="188" spans="1:15" x14ac:dyDescent="0.35">
      <c r="A188">
        <v>32</v>
      </c>
      <c r="B188" t="s">
        <v>341</v>
      </c>
      <c r="C188">
        <v>181</v>
      </c>
      <c r="D188" t="s">
        <v>586</v>
      </c>
      <c r="F188">
        <v>194</v>
      </c>
      <c r="G188" t="s">
        <v>13</v>
      </c>
      <c r="I188">
        <v>14</v>
      </c>
      <c r="J188" t="s">
        <v>13</v>
      </c>
      <c r="N188">
        <v>20</v>
      </c>
      <c r="O188">
        <v>203</v>
      </c>
    </row>
    <row r="189" spans="1:15" x14ac:dyDescent="0.35">
      <c r="A189">
        <v>32</v>
      </c>
      <c r="B189" t="s">
        <v>341</v>
      </c>
      <c r="C189">
        <v>182</v>
      </c>
      <c r="D189" t="s">
        <v>587</v>
      </c>
      <c r="F189">
        <v>195</v>
      </c>
      <c r="G189" t="s">
        <v>14</v>
      </c>
      <c r="I189">
        <v>15</v>
      </c>
      <c r="J189" t="s">
        <v>14</v>
      </c>
      <c r="N189">
        <v>21</v>
      </c>
      <c r="O189">
        <v>204</v>
      </c>
    </row>
    <row r="190" spans="1:15" x14ac:dyDescent="0.35">
      <c r="A190">
        <v>32</v>
      </c>
      <c r="B190" t="s">
        <v>341</v>
      </c>
      <c r="C190">
        <v>183</v>
      </c>
      <c r="D190" t="s">
        <v>588</v>
      </c>
      <c r="F190">
        <v>196</v>
      </c>
      <c r="G190" t="s">
        <v>15</v>
      </c>
      <c r="I190">
        <v>16</v>
      </c>
      <c r="J190" t="s">
        <v>15</v>
      </c>
      <c r="N190">
        <v>22</v>
      </c>
      <c r="O190">
        <v>205</v>
      </c>
    </row>
    <row r="191" spans="1:15" x14ac:dyDescent="0.35">
      <c r="A191">
        <v>32</v>
      </c>
      <c r="B191" t="s">
        <v>341</v>
      </c>
      <c r="C191">
        <v>184</v>
      </c>
      <c r="D191" t="s">
        <v>589</v>
      </c>
      <c r="F191">
        <v>197</v>
      </c>
      <c r="G191" t="s">
        <v>16</v>
      </c>
      <c r="H191" t="s">
        <v>355</v>
      </c>
      <c r="I191">
        <v>17</v>
      </c>
      <c r="J191" t="s">
        <v>16</v>
      </c>
      <c r="N191">
        <v>23</v>
      </c>
      <c r="O191">
        <v>206</v>
      </c>
    </row>
    <row r="192" spans="1:15" x14ac:dyDescent="0.35">
      <c r="A192">
        <v>32</v>
      </c>
      <c r="B192" t="s">
        <v>341</v>
      </c>
      <c r="C192">
        <v>185</v>
      </c>
      <c r="D192" t="s">
        <v>590</v>
      </c>
      <c r="F192">
        <v>198</v>
      </c>
      <c r="G192" t="s">
        <v>17</v>
      </c>
      <c r="I192">
        <v>18</v>
      </c>
      <c r="J192" t="s">
        <v>17</v>
      </c>
      <c r="N192">
        <v>24</v>
      </c>
      <c r="O192">
        <v>209</v>
      </c>
    </row>
    <row r="193" spans="1:15" x14ac:dyDescent="0.35">
      <c r="A193">
        <v>32</v>
      </c>
      <c r="B193" t="s">
        <v>341</v>
      </c>
      <c r="C193">
        <v>186</v>
      </c>
      <c r="D193" t="s">
        <v>591</v>
      </c>
      <c r="F193">
        <v>199</v>
      </c>
      <c r="G193" t="s">
        <v>110</v>
      </c>
      <c r="N193">
        <v>25</v>
      </c>
      <c r="O193">
        <v>210</v>
      </c>
    </row>
    <row r="194" spans="1:15" x14ac:dyDescent="0.35">
      <c r="A194">
        <v>32</v>
      </c>
      <c r="B194" t="s">
        <v>341</v>
      </c>
      <c r="C194">
        <v>187</v>
      </c>
      <c r="D194" t="s">
        <v>592</v>
      </c>
      <c r="F194">
        <v>200</v>
      </c>
      <c r="G194" t="s">
        <v>111</v>
      </c>
      <c r="N194">
        <v>26</v>
      </c>
      <c r="O194">
        <v>215</v>
      </c>
    </row>
    <row r="195" spans="1:15" x14ac:dyDescent="0.35">
      <c r="A195">
        <v>24.1</v>
      </c>
      <c r="B195" t="s">
        <v>339</v>
      </c>
      <c r="C195">
        <v>188</v>
      </c>
      <c r="D195" t="s">
        <v>593</v>
      </c>
      <c r="F195">
        <v>201</v>
      </c>
      <c r="G195" t="s">
        <v>18</v>
      </c>
      <c r="I195">
        <v>19</v>
      </c>
      <c r="J195" t="s">
        <v>18</v>
      </c>
      <c r="N195">
        <v>27</v>
      </c>
      <c r="O195">
        <v>216</v>
      </c>
    </row>
    <row r="196" spans="1:15" x14ac:dyDescent="0.35">
      <c r="A196">
        <v>32</v>
      </c>
      <c r="B196" t="s">
        <v>341</v>
      </c>
      <c r="C196">
        <v>189</v>
      </c>
      <c r="D196" t="s">
        <v>594</v>
      </c>
      <c r="F196">
        <v>202</v>
      </c>
      <c r="G196" t="s">
        <v>112</v>
      </c>
      <c r="N196">
        <v>28</v>
      </c>
      <c r="O196">
        <v>219</v>
      </c>
    </row>
    <row r="197" spans="1:15" x14ac:dyDescent="0.35">
      <c r="A197">
        <v>24.1</v>
      </c>
      <c r="B197" t="s">
        <v>339</v>
      </c>
      <c r="C197">
        <v>190</v>
      </c>
      <c r="D197" t="s">
        <v>595</v>
      </c>
      <c r="F197">
        <v>203</v>
      </c>
      <c r="G197" t="s">
        <v>113</v>
      </c>
      <c r="I197">
        <v>20</v>
      </c>
      <c r="J197" t="s">
        <v>19</v>
      </c>
      <c r="N197">
        <v>29</v>
      </c>
      <c r="O197">
        <v>220</v>
      </c>
    </row>
    <row r="198" spans="1:15" x14ac:dyDescent="0.35">
      <c r="A198">
        <v>24.2</v>
      </c>
      <c r="B198" t="s">
        <v>20</v>
      </c>
      <c r="C198">
        <v>191</v>
      </c>
      <c r="D198" t="s">
        <v>596</v>
      </c>
      <c r="F198">
        <v>204</v>
      </c>
      <c r="G198" t="s">
        <v>20</v>
      </c>
      <c r="I198">
        <v>21</v>
      </c>
      <c r="J198" t="s">
        <v>20</v>
      </c>
      <c r="N198">
        <v>30</v>
      </c>
      <c r="O198">
        <v>221</v>
      </c>
    </row>
    <row r="199" spans="1:15" x14ac:dyDescent="0.35">
      <c r="A199">
        <v>33</v>
      </c>
      <c r="B199" t="s">
        <v>763</v>
      </c>
      <c r="C199">
        <v>192</v>
      </c>
      <c r="D199" t="s">
        <v>597</v>
      </c>
      <c r="F199">
        <v>205</v>
      </c>
      <c r="G199" t="s">
        <v>21</v>
      </c>
      <c r="I199">
        <v>22</v>
      </c>
      <c r="J199" t="s">
        <v>21</v>
      </c>
      <c r="N199">
        <v>31</v>
      </c>
      <c r="O199">
        <v>221</v>
      </c>
    </row>
    <row r="200" spans="1:15" x14ac:dyDescent="0.35">
      <c r="A200">
        <v>33</v>
      </c>
      <c r="B200" t="s">
        <v>763</v>
      </c>
      <c r="C200">
        <v>193</v>
      </c>
      <c r="D200" t="s">
        <v>598</v>
      </c>
      <c r="F200">
        <v>206</v>
      </c>
      <c r="G200" t="s">
        <v>22</v>
      </c>
      <c r="I200">
        <v>23</v>
      </c>
      <c r="J200" t="s">
        <v>22</v>
      </c>
      <c r="N200">
        <v>32</v>
      </c>
      <c r="O200">
        <v>322</v>
      </c>
    </row>
    <row r="201" spans="1:15" x14ac:dyDescent="0.35">
      <c r="A201">
        <v>33</v>
      </c>
      <c r="B201" t="s">
        <v>763</v>
      </c>
      <c r="C201">
        <v>194</v>
      </c>
      <c r="D201" t="s">
        <v>599</v>
      </c>
      <c r="F201">
        <v>207</v>
      </c>
      <c r="G201" t="s">
        <v>114</v>
      </c>
      <c r="N201">
        <v>33</v>
      </c>
      <c r="O201">
        <v>222</v>
      </c>
    </row>
    <row r="202" spans="1:15" x14ac:dyDescent="0.35">
      <c r="A202">
        <v>33</v>
      </c>
      <c r="B202" t="s">
        <v>763</v>
      </c>
      <c r="C202">
        <v>195</v>
      </c>
      <c r="D202" t="s">
        <v>600</v>
      </c>
      <c r="F202">
        <v>208</v>
      </c>
      <c r="G202" t="s">
        <v>115</v>
      </c>
      <c r="N202">
        <v>34</v>
      </c>
      <c r="O202">
        <v>222</v>
      </c>
    </row>
    <row r="203" spans="1:15" x14ac:dyDescent="0.35">
      <c r="A203">
        <v>33</v>
      </c>
      <c r="B203" t="s">
        <v>763</v>
      </c>
      <c r="C203">
        <v>196</v>
      </c>
      <c r="D203" t="s">
        <v>601</v>
      </c>
      <c r="F203">
        <v>209</v>
      </c>
      <c r="G203" t="s">
        <v>23</v>
      </c>
      <c r="I203">
        <v>24</v>
      </c>
      <c r="J203" t="s">
        <v>23</v>
      </c>
      <c r="N203">
        <v>35</v>
      </c>
      <c r="O203">
        <v>222</v>
      </c>
    </row>
    <row r="204" spans="1:15" x14ac:dyDescent="0.35">
      <c r="A204">
        <v>22</v>
      </c>
      <c r="B204" t="s">
        <v>758</v>
      </c>
      <c r="C204">
        <v>197</v>
      </c>
      <c r="D204" t="s">
        <v>602</v>
      </c>
      <c r="F204">
        <v>210</v>
      </c>
      <c r="G204" t="s">
        <v>24</v>
      </c>
      <c r="I204">
        <v>25</v>
      </c>
      <c r="J204" t="s">
        <v>24</v>
      </c>
      <c r="N204">
        <v>36</v>
      </c>
      <c r="O204">
        <v>223</v>
      </c>
    </row>
    <row r="205" spans="1:15" x14ac:dyDescent="0.35">
      <c r="A205">
        <v>22</v>
      </c>
      <c r="B205" t="s">
        <v>758</v>
      </c>
      <c r="C205">
        <v>198</v>
      </c>
      <c r="D205" t="s">
        <v>603</v>
      </c>
      <c r="F205">
        <v>211</v>
      </c>
      <c r="G205" t="s">
        <v>116</v>
      </c>
      <c r="N205">
        <v>37</v>
      </c>
      <c r="O205">
        <v>224</v>
      </c>
    </row>
    <row r="206" spans="1:15" x14ac:dyDescent="0.35">
      <c r="A206">
        <v>36</v>
      </c>
      <c r="B206" t="s">
        <v>765</v>
      </c>
      <c r="C206">
        <v>199</v>
      </c>
      <c r="D206" t="s">
        <v>604</v>
      </c>
      <c r="F206">
        <v>212</v>
      </c>
      <c r="G206" t="s">
        <v>117</v>
      </c>
      <c r="N206">
        <v>38</v>
      </c>
      <c r="O206">
        <v>225</v>
      </c>
    </row>
    <row r="207" spans="1:15" x14ac:dyDescent="0.35">
      <c r="A207">
        <v>36</v>
      </c>
      <c r="B207" t="s">
        <v>765</v>
      </c>
      <c r="C207">
        <v>200</v>
      </c>
      <c r="D207" t="s">
        <v>605</v>
      </c>
      <c r="N207">
        <v>39</v>
      </c>
      <c r="O207">
        <v>226</v>
      </c>
    </row>
    <row r="208" spans="1:15" x14ac:dyDescent="0.35">
      <c r="A208">
        <v>36</v>
      </c>
      <c r="B208" t="s">
        <v>765</v>
      </c>
      <c r="C208">
        <v>201</v>
      </c>
      <c r="D208" t="s">
        <v>606</v>
      </c>
      <c r="F208">
        <v>213</v>
      </c>
      <c r="G208" t="s">
        <v>118</v>
      </c>
      <c r="N208">
        <v>40</v>
      </c>
      <c r="O208">
        <v>227</v>
      </c>
    </row>
    <row r="209" spans="1:15" x14ac:dyDescent="0.35">
      <c r="A209">
        <v>36</v>
      </c>
      <c r="B209" t="s">
        <v>765</v>
      </c>
      <c r="C209">
        <v>202</v>
      </c>
      <c r="D209" t="s">
        <v>607</v>
      </c>
      <c r="F209">
        <v>214</v>
      </c>
      <c r="G209" t="s">
        <v>119</v>
      </c>
      <c r="N209">
        <v>41</v>
      </c>
      <c r="O209">
        <v>228</v>
      </c>
    </row>
    <row r="210" spans="1:15" x14ac:dyDescent="0.35">
      <c r="A210">
        <v>36</v>
      </c>
      <c r="B210" t="s">
        <v>765</v>
      </c>
      <c r="C210">
        <v>203</v>
      </c>
      <c r="D210" t="s">
        <v>608</v>
      </c>
      <c r="F210">
        <v>215</v>
      </c>
      <c r="G210" t="s">
        <v>25</v>
      </c>
      <c r="I210">
        <v>26</v>
      </c>
      <c r="J210" t="s">
        <v>25</v>
      </c>
      <c r="N210">
        <v>42</v>
      </c>
      <c r="O210">
        <v>229</v>
      </c>
    </row>
    <row r="211" spans="1:15" x14ac:dyDescent="0.35">
      <c r="A211">
        <v>36</v>
      </c>
      <c r="B211" t="s">
        <v>765</v>
      </c>
      <c r="C211">
        <v>204</v>
      </c>
      <c r="D211" t="s">
        <v>609</v>
      </c>
      <c r="F211">
        <v>216</v>
      </c>
      <c r="G211" t="s">
        <v>120</v>
      </c>
      <c r="I211">
        <v>27</v>
      </c>
      <c r="J211" t="s">
        <v>26</v>
      </c>
      <c r="N211">
        <v>43</v>
      </c>
      <c r="O211">
        <v>230</v>
      </c>
    </row>
    <row r="212" spans="1:15" x14ac:dyDescent="0.35">
      <c r="A212">
        <v>36</v>
      </c>
      <c r="B212" t="s">
        <v>765</v>
      </c>
      <c r="C212">
        <v>205</v>
      </c>
      <c r="D212" t="s">
        <v>732</v>
      </c>
      <c r="N212">
        <v>44</v>
      </c>
      <c r="O212">
        <v>231</v>
      </c>
    </row>
    <row r="213" spans="1:15" x14ac:dyDescent="0.35">
      <c r="A213">
        <v>36</v>
      </c>
      <c r="B213" t="s">
        <v>765</v>
      </c>
      <c r="C213">
        <v>206</v>
      </c>
      <c r="D213" t="s">
        <v>610</v>
      </c>
      <c r="F213">
        <v>217</v>
      </c>
      <c r="G213" t="s">
        <v>358</v>
      </c>
      <c r="N213">
        <v>45</v>
      </c>
      <c r="O213">
        <v>233</v>
      </c>
    </row>
    <row r="214" spans="1:15" x14ac:dyDescent="0.35">
      <c r="A214">
        <v>35</v>
      </c>
      <c r="B214" t="s">
        <v>342</v>
      </c>
      <c r="C214">
        <v>207</v>
      </c>
      <c r="D214" t="s">
        <v>611</v>
      </c>
      <c r="F214">
        <v>218</v>
      </c>
      <c r="G214" t="s">
        <v>121</v>
      </c>
      <c r="N214">
        <v>46</v>
      </c>
      <c r="O214">
        <v>234</v>
      </c>
    </row>
    <row r="215" spans="1:15" x14ac:dyDescent="0.35">
      <c r="A215">
        <v>35</v>
      </c>
      <c r="B215" t="s">
        <v>342</v>
      </c>
      <c r="C215">
        <v>208</v>
      </c>
      <c r="D215" t="s">
        <v>612</v>
      </c>
      <c r="F215">
        <v>219</v>
      </c>
      <c r="G215" t="s">
        <v>27</v>
      </c>
      <c r="I215">
        <v>28</v>
      </c>
      <c r="J215" t="s">
        <v>27</v>
      </c>
      <c r="N215">
        <v>47</v>
      </c>
      <c r="O215">
        <v>235</v>
      </c>
    </row>
    <row r="216" spans="1:15" x14ac:dyDescent="0.35">
      <c r="A216">
        <v>35</v>
      </c>
      <c r="B216" t="s">
        <v>342</v>
      </c>
      <c r="C216">
        <v>209</v>
      </c>
      <c r="D216" t="s">
        <v>613</v>
      </c>
      <c r="F216">
        <v>220</v>
      </c>
      <c r="G216" t="s">
        <v>28</v>
      </c>
      <c r="I216">
        <v>29</v>
      </c>
      <c r="J216" t="s">
        <v>28</v>
      </c>
      <c r="N216">
        <v>48</v>
      </c>
      <c r="O216">
        <v>236</v>
      </c>
    </row>
    <row r="217" spans="1:15" x14ac:dyDescent="0.35">
      <c r="A217">
        <v>35</v>
      </c>
      <c r="B217" t="s">
        <v>342</v>
      </c>
      <c r="C217">
        <v>210</v>
      </c>
      <c r="D217" t="s">
        <v>614</v>
      </c>
      <c r="F217">
        <v>221</v>
      </c>
      <c r="G217" t="s">
        <v>122</v>
      </c>
      <c r="I217">
        <v>30</v>
      </c>
      <c r="J217" t="s">
        <v>29</v>
      </c>
      <c r="N217">
        <v>49</v>
      </c>
      <c r="O217">
        <v>237</v>
      </c>
    </row>
    <row r="218" spans="1:15" x14ac:dyDescent="0.35">
      <c r="A218">
        <v>35</v>
      </c>
      <c r="B218" t="s">
        <v>342</v>
      </c>
      <c r="C218">
        <v>211</v>
      </c>
      <c r="D218" t="s">
        <v>615</v>
      </c>
      <c r="F218">
        <v>221</v>
      </c>
      <c r="I218" s="1">
        <v>31</v>
      </c>
      <c r="J218" t="s">
        <v>30</v>
      </c>
      <c r="N218">
        <v>50</v>
      </c>
      <c r="O218">
        <v>239</v>
      </c>
    </row>
    <row r="219" spans="1:15" x14ac:dyDescent="0.35">
      <c r="A219">
        <v>35</v>
      </c>
      <c r="B219" t="s">
        <v>342</v>
      </c>
      <c r="C219">
        <v>212</v>
      </c>
      <c r="D219" t="s">
        <v>734</v>
      </c>
      <c r="F219" s="1">
        <v>322</v>
      </c>
      <c r="I219" s="1">
        <v>32</v>
      </c>
      <c r="J219" t="s">
        <v>31</v>
      </c>
      <c r="N219">
        <v>51</v>
      </c>
      <c r="O219">
        <v>240</v>
      </c>
    </row>
    <row r="220" spans="1:15" x14ac:dyDescent="0.35">
      <c r="A220">
        <v>15.2</v>
      </c>
      <c r="B220" t="s">
        <v>1319</v>
      </c>
      <c r="C220">
        <v>213</v>
      </c>
      <c r="D220" t="s">
        <v>616</v>
      </c>
      <c r="F220">
        <v>222</v>
      </c>
      <c r="I220" s="1">
        <v>33</v>
      </c>
      <c r="J220" t="s">
        <v>32</v>
      </c>
      <c r="N220">
        <v>52</v>
      </c>
      <c r="O220">
        <v>241</v>
      </c>
    </row>
    <row r="221" spans="1:15" x14ac:dyDescent="0.35">
      <c r="A221">
        <v>15.2</v>
      </c>
      <c r="B221" t="s">
        <v>1319</v>
      </c>
      <c r="C221">
        <v>214</v>
      </c>
      <c r="D221" t="s">
        <v>617</v>
      </c>
      <c r="F221">
        <v>222</v>
      </c>
      <c r="I221" s="1">
        <v>34</v>
      </c>
      <c r="J221" t="s">
        <v>33</v>
      </c>
      <c r="N221">
        <v>53</v>
      </c>
      <c r="O221">
        <v>242</v>
      </c>
    </row>
    <row r="222" spans="1:15" x14ac:dyDescent="0.35">
      <c r="A222">
        <v>15.2</v>
      </c>
      <c r="B222" t="s">
        <v>1319</v>
      </c>
      <c r="C222">
        <v>215</v>
      </c>
      <c r="D222" t="s">
        <v>618</v>
      </c>
      <c r="F222">
        <v>222</v>
      </c>
      <c r="G222" t="s">
        <v>34</v>
      </c>
      <c r="I222">
        <v>35</v>
      </c>
      <c r="J222" t="s">
        <v>34</v>
      </c>
      <c r="N222">
        <v>54</v>
      </c>
      <c r="O222">
        <v>243</v>
      </c>
    </row>
    <row r="223" spans="1:15" x14ac:dyDescent="0.35">
      <c r="A223">
        <v>15.1</v>
      </c>
      <c r="B223" t="s">
        <v>331</v>
      </c>
      <c r="C223">
        <v>216</v>
      </c>
      <c r="D223" t="s">
        <v>619</v>
      </c>
      <c r="F223">
        <v>223</v>
      </c>
      <c r="G223" t="s">
        <v>123</v>
      </c>
      <c r="I223">
        <v>36</v>
      </c>
      <c r="J223" t="s">
        <v>35</v>
      </c>
      <c r="N223">
        <v>55</v>
      </c>
      <c r="O223">
        <v>244</v>
      </c>
    </row>
    <row r="224" spans="1:15" x14ac:dyDescent="0.35">
      <c r="A224">
        <v>15.1</v>
      </c>
      <c r="B224" t="s">
        <v>331</v>
      </c>
      <c r="C224">
        <v>217</v>
      </c>
      <c r="D224" t="s">
        <v>620</v>
      </c>
      <c r="F224">
        <v>224</v>
      </c>
      <c r="G224" t="s">
        <v>36</v>
      </c>
      <c r="I224">
        <v>37</v>
      </c>
      <c r="J224" t="s">
        <v>36</v>
      </c>
      <c r="N224">
        <v>56</v>
      </c>
      <c r="O224">
        <v>245</v>
      </c>
    </row>
    <row r="225" spans="1:15" x14ac:dyDescent="0.35">
      <c r="A225">
        <v>15.1</v>
      </c>
      <c r="B225" t="s">
        <v>331</v>
      </c>
      <c r="C225">
        <v>218</v>
      </c>
      <c r="D225" t="s">
        <v>621</v>
      </c>
      <c r="F225">
        <v>225</v>
      </c>
      <c r="G225" t="s">
        <v>37</v>
      </c>
      <c r="I225">
        <v>38</v>
      </c>
      <c r="J225" t="s">
        <v>37</v>
      </c>
      <c r="N225">
        <v>57</v>
      </c>
      <c r="O225">
        <v>322</v>
      </c>
    </row>
    <row r="226" spans="1:15" x14ac:dyDescent="0.35">
      <c r="A226">
        <v>15.1</v>
      </c>
      <c r="B226" t="s">
        <v>331</v>
      </c>
      <c r="C226">
        <v>219</v>
      </c>
      <c r="D226" t="s">
        <v>622</v>
      </c>
      <c r="F226">
        <v>226</v>
      </c>
      <c r="G226" t="s">
        <v>38</v>
      </c>
      <c r="I226">
        <v>39</v>
      </c>
      <c r="J226" t="s">
        <v>38</v>
      </c>
      <c r="N226">
        <v>58</v>
      </c>
      <c r="O226">
        <v>246</v>
      </c>
    </row>
    <row r="227" spans="1:15" x14ac:dyDescent="0.35">
      <c r="A227">
        <v>15.1</v>
      </c>
      <c r="B227" t="s">
        <v>331</v>
      </c>
      <c r="C227">
        <v>220</v>
      </c>
      <c r="D227" t="s">
        <v>623</v>
      </c>
      <c r="F227">
        <v>227</v>
      </c>
      <c r="G227" t="s">
        <v>39</v>
      </c>
      <c r="I227">
        <v>40</v>
      </c>
      <c r="J227" t="s">
        <v>39</v>
      </c>
      <c r="N227">
        <v>59</v>
      </c>
      <c r="O227">
        <v>248</v>
      </c>
    </row>
    <row r="228" spans="1:15" x14ac:dyDescent="0.35">
      <c r="A228">
        <v>15.1</v>
      </c>
      <c r="B228" t="s">
        <v>331</v>
      </c>
      <c r="C228">
        <v>221</v>
      </c>
      <c r="D228" t="s">
        <v>624</v>
      </c>
      <c r="F228">
        <v>228</v>
      </c>
      <c r="G228" t="s">
        <v>40</v>
      </c>
      <c r="I228">
        <v>41</v>
      </c>
      <c r="J228" t="s">
        <v>40</v>
      </c>
      <c r="N228">
        <v>60</v>
      </c>
      <c r="O228">
        <v>249</v>
      </c>
    </row>
    <row r="229" spans="1:15" x14ac:dyDescent="0.35">
      <c r="A229">
        <v>15.1</v>
      </c>
      <c r="B229" t="s">
        <v>331</v>
      </c>
      <c r="C229">
        <v>222</v>
      </c>
      <c r="D229" t="s">
        <v>355</v>
      </c>
      <c r="F229">
        <v>229</v>
      </c>
      <c r="G229" t="s">
        <v>41</v>
      </c>
      <c r="I229">
        <v>42</v>
      </c>
      <c r="J229" t="s">
        <v>41</v>
      </c>
      <c r="N229">
        <v>61</v>
      </c>
      <c r="O229">
        <v>250</v>
      </c>
    </row>
    <row r="230" spans="1:15" x14ac:dyDescent="0.35">
      <c r="A230">
        <v>15.1</v>
      </c>
      <c r="B230" t="s">
        <v>331</v>
      </c>
      <c r="C230">
        <v>223</v>
      </c>
      <c r="D230" t="s">
        <v>626</v>
      </c>
      <c r="F230">
        <v>230</v>
      </c>
      <c r="G230" t="s">
        <v>42</v>
      </c>
      <c r="I230">
        <v>43</v>
      </c>
      <c r="J230" t="s">
        <v>42</v>
      </c>
      <c r="N230">
        <v>62</v>
      </c>
      <c r="O230">
        <v>251</v>
      </c>
    </row>
    <row r="231" spans="1:15" x14ac:dyDescent="0.35">
      <c r="A231">
        <v>15.1</v>
      </c>
      <c r="B231" t="s">
        <v>331</v>
      </c>
      <c r="C231">
        <v>224</v>
      </c>
      <c r="D231" t="s">
        <v>627</v>
      </c>
      <c r="F231">
        <v>231</v>
      </c>
      <c r="G231" t="s">
        <v>43</v>
      </c>
      <c r="I231">
        <v>44</v>
      </c>
      <c r="J231" t="s">
        <v>43</v>
      </c>
      <c r="N231">
        <v>63</v>
      </c>
      <c r="O231">
        <v>252</v>
      </c>
    </row>
    <row r="232" spans="1:15" x14ac:dyDescent="0.35">
      <c r="A232">
        <v>15.1</v>
      </c>
      <c r="B232" t="s">
        <v>331</v>
      </c>
      <c r="C232">
        <v>225</v>
      </c>
      <c r="D232" t="s">
        <v>628</v>
      </c>
      <c r="F232">
        <v>232</v>
      </c>
      <c r="G232" t="s">
        <v>359</v>
      </c>
      <c r="N232">
        <v>64</v>
      </c>
      <c r="O232">
        <v>253</v>
      </c>
    </row>
    <row r="233" spans="1:15" x14ac:dyDescent="0.35">
      <c r="A233">
        <v>15.1</v>
      </c>
      <c r="B233" t="s">
        <v>331</v>
      </c>
      <c r="C233">
        <v>226</v>
      </c>
      <c r="D233" t="s">
        <v>629</v>
      </c>
      <c r="F233">
        <v>233</v>
      </c>
      <c r="G233" t="s">
        <v>124</v>
      </c>
      <c r="I233">
        <v>45</v>
      </c>
      <c r="J233" t="s">
        <v>44</v>
      </c>
      <c r="N233">
        <v>65</v>
      </c>
      <c r="O233">
        <v>254</v>
      </c>
    </row>
    <row r="234" spans="1:15" x14ac:dyDescent="0.35">
      <c r="A234">
        <v>15.1</v>
      </c>
      <c r="B234" t="s">
        <v>331</v>
      </c>
      <c r="C234">
        <v>227</v>
      </c>
      <c r="D234" t="s">
        <v>630</v>
      </c>
      <c r="F234">
        <v>234</v>
      </c>
      <c r="G234" t="s">
        <v>45</v>
      </c>
      <c r="I234">
        <v>46</v>
      </c>
      <c r="J234" t="s">
        <v>45</v>
      </c>
      <c r="N234">
        <v>66</v>
      </c>
      <c r="O234">
        <v>255</v>
      </c>
    </row>
    <row r="235" spans="1:15" x14ac:dyDescent="0.35">
      <c r="A235">
        <v>15.1</v>
      </c>
      <c r="B235" t="s">
        <v>331</v>
      </c>
      <c r="C235">
        <v>228</v>
      </c>
      <c r="D235" t="s">
        <v>631</v>
      </c>
      <c r="F235">
        <v>235</v>
      </c>
      <c r="G235" t="s">
        <v>46</v>
      </c>
      <c r="I235">
        <v>47</v>
      </c>
      <c r="J235" t="s">
        <v>46</v>
      </c>
      <c r="N235">
        <v>67</v>
      </c>
      <c r="O235">
        <v>256</v>
      </c>
    </row>
    <row r="236" spans="1:15" x14ac:dyDescent="0.35">
      <c r="A236">
        <v>15.1</v>
      </c>
      <c r="B236" t="s">
        <v>331</v>
      </c>
      <c r="C236">
        <v>229</v>
      </c>
      <c r="D236" t="s">
        <v>632</v>
      </c>
      <c r="F236">
        <v>236</v>
      </c>
      <c r="G236" t="s">
        <v>47</v>
      </c>
      <c r="I236">
        <v>48</v>
      </c>
      <c r="J236" t="s">
        <v>47</v>
      </c>
      <c r="N236">
        <v>68</v>
      </c>
      <c r="O236">
        <v>257</v>
      </c>
    </row>
    <row r="237" spans="1:15" x14ac:dyDescent="0.35">
      <c r="A237">
        <v>6</v>
      </c>
      <c r="B237" t="s">
        <v>344</v>
      </c>
      <c r="C237">
        <v>230</v>
      </c>
      <c r="D237" t="s">
        <v>633</v>
      </c>
      <c r="F237">
        <v>237</v>
      </c>
      <c r="G237" t="s">
        <v>48</v>
      </c>
      <c r="I237">
        <v>49</v>
      </c>
      <c r="J237" t="s">
        <v>48</v>
      </c>
      <c r="N237">
        <v>69</v>
      </c>
      <c r="O237">
        <v>258</v>
      </c>
    </row>
    <row r="238" spans="1:15" x14ac:dyDescent="0.35">
      <c r="A238">
        <v>7</v>
      </c>
      <c r="B238" t="s">
        <v>345</v>
      </c>
      <c r="C238">
        <v>231</v>
      </c>
      <c r="D238" t="s">
        <v>634</v>
      </c>
      <c r="F238">
        <v>238</v>
      </c>
      <c r="G238" t="s">
        <v>125</v>
      </c>
      <c r="N238">
        <v>70</v>
      </c>
      <c r="O238">
        <v>259</v>
      </c>
    </row>
    <row r="239" spans="1:15" x14ac:dyDescent="0.35">
      <c r="A239">
        <v>7</v>
      </c>
      <c r="B239" t="s">
        <v>345</v>
      </c>
      <c r="C239">
        <v>232</v>
      </c>
      <c r="D239" t="s">
        <v>635</v>
      </c>
      <c r="F239">
        <v>239</v>
      </c>
      <c r="G239" t="s">
        <v>126</v>
      </c>
      <c r="I239">
        <v>50</v>
      </c>
      <c r="J239" t="s">
        <v>49</v>
      </c>
      <c r="N239">
        <v>71</v>
      </c>
      <c r="O239">
        <v>266</v>
      </c>
    </row>
    <row r="240" spans="1:15" x14ac:dyDescent="0.35">
      <c r="A240">
        <v>7</v>
      </c>
      <c r="B240" t="s">
        <v>345</v>
      </c>
      <c r="C240">
        <v>233</v>
      </c>
      <c r="D240" t="s">
        <v>636</v>
      </c>
      <c r="F240">
        <v>240</v>
      </c>
      <c r="G240" t="s">
        <v>50</v>
      </c>
      <c r="I240">
        <v>51</v>
      </c>
      <c r="J240" t="s">
        <v>50</v>
      </c>
      <c r="N240">
        <v>72</v>
      </c>
      <c r="O240">
        <v>260</v>
      </c>
    </row>
    <row r="241" spans="1:15" x14ac:dyDescent="0.35">
      <c r="A241">
        <v>11</v>
      </c>
      <c r="B241" t="s">
        <v>343</v>
      </c>
      <c r="C241">
        <v>234</v>
      </c>
      <c r="D241" t="s">
        <v>637</v>
      </c>
      <c r="F241">
        <v>241</v>
      </c>
      <c r="G241" t="s">
        <v>51</v>
      </c>
      <c r="I241">
        <v>52</v>
      </c>
      <c r="J241" t="s">
        <v>51</v>
      </c>
      <c r="N241">
        <v>73</v>
      </c>
      <c r="O241">
        <v>262</v>
      </c>
    </row>
    <row r="242" spans="1:15" x14ac:dyDescent="0.35">
      <c r="A242">
        <v>11</v>
      </c>
      <c r="B242" t="s">
        <v>343</v>
      </c>
      <c r="C242">
        <v>235</v>
      </c>
      <c r="D242" t="s">
        <v>638</v>
      </c>
      <c r="F242">
        <v>242</v>
      </c>
      <c r="G242" t="s">
        <v>52</v>
      </c>
      <c r="I242">
        <v>53</v>
      </c>
      <c r="J242" t="s">
        <v>52</v>
      </c>
      <c r="N242">
        <v>74</v>
      </c>
      <c r="O242">
        <v>263</v>
      </c>
    </row>
    <row r="243" spans="1:15" x14ac:dyDescent="0.35">
      <c r="A243">
        <v>6</v>
      </c>
      <c r="B243" t="s">
        <v>344</v>
      </c>
      <c r="C243">
        <v>236</v>
      </c>
      <c r="D243" t="s">
        <v>639</v>
      </c>
      <c r="F243">
        <v>243</v>
      </c>
      <c r="G243" t="s">
        <v>53</v>
      </c>
      <c r="I243">
        <v>54</v>
      </c>
      <c r="J243" t="s">
        <v>53</v>
      </c>
      <c r="N243">
        <v>75</v>
      </c>
      <c r="O243">
        <v>264</v>
      </c>
    </row>
    <row r="244" spans="1:15" x14ac:dyDescent="0.35">
      <c r="A244">
        <v>11</v>
      </c>
      <c r="B244" t="s">
        <v>343</v>
      </c>
      <c r="C244">
        <v>237</v>
      </c>
      <c r="D244" t="s">
        <v>640</v>
      </c>
      <c r="F244">
        <v>244</v>
      </c>
      <c r="G244" t="s">
        <v>54</v>
      </c>
      <c r="I244">
        <v>55</v>
      </c>
      <c r="J244" t="s">
        <v>54</v>
      </c>
      <c r="N244">
        <v>76</v>
      </c>
      <c r="O244">
        <v>265</v>
      </c>
    </row>
    <row r="245" spans="1:15" x14ac:dyDescent="0.35">
      <c r="A245">
        <v>6</v>
      </c>
      <c r="B245" t="s">
        <v>344</v>
      </c>
      <c r="C245">
        <v>238</v>
      </c>
      <c r="D245" t="s">
        <v>641</v>
      </c>
      <c r="F245">
        <v>245</v>
      </c>
      <c r="G245" t="s">
        <v>55</v>
      </c>
      <c r="I245">
        <v>56</v>
      </c>
      <c r="J245" t="s">
        <v>55</v>
      </c>
      <c r="N245">
        <v>77</v>
      </c>
      <c r="O245">
        <v>267</v>
      </c>
    </row>
    <row r="246" spans="1:15" x14ac:dyDescent="0.35">
      <c r="A246">
        <v>11</v>
      </c>
      <c r="B246" t="s">
        <v>343</v>
      </c>
      <c r="C246">
        <v>239</v>
      </c>
      <c r="D246" t="s">
        <v>642</v>
      </c>
      <c r="F246" s="1">
        <v>322</v>
      </c>
      <c r="I246" s="1">
        <v>57</v>
      </c>
      <c r="J246" t="s">
        <v>56</v>
      </c>
      <c r="N246">
        <v>78</v>
      </c>
      <c r="O246">
        <v>268</v>
      </c>
    </row>
    <row r="247" spans="1:15" x14ac:dyDescent="0.35">
      <c r="A247">
        <v>6</v>
      </c>
      <c r="B247" t="s">
        <v>344</v>
      </c>
      <c r="C247">
        <v>240</v>
      </c>
      <c r="D247" t="s">
        <v>643</v>
      </c>
      <c r="F247">
        <v>246</v>
      </c>
      <c r="G247" t="s">
        <v>57</v>
      </c>
      <c r="I247">
        <v>58</v>
      </c>
      <c r="J247" t="s">
        <v>57</v>
      </c>
      <c r="N247">
        <v>79</v>
      </c>
      <c r="O247">
        <v>269</v>
      </c>
    </row>
    <row r="248" spans="1:15" x14ac:dyDescent="0.35">
      <c r="A248">
        <v>11</v>
      </c>
      <c r="B248" t="s">
        <v>343</v>
      </c>
      <c r="C248">
        <v>241</v>
      </c>
      <c r="D248" t="s">
        <v>644</v>
      </c>
      <c r="F248">
        <v>247</v>
      </c>
      <c r="G248" t="s">
        <v>127</v>
      </c>
      <c r="N248">
        <v>80</v>
      </c>
      <c r="O248">
        <v>269</v>
      </c>
    </row>
    <row r="249" spans="1:15" x14ac:dyDescent="0.35">
      <c r="A249">
        <v>11</v>
      </c>
      <c r="B249" t="s">
        <v>343</v>
      </c>
      <c r="C249">
        <v>242</v>
      </c>
      <c r="D249" t="s">
        <v>645</v>
      </c>
      <c r="F249">
        <v>248</v>
      </c>
      <c r="G249" t="s">
        <v>58</v>
      </c>
      <c r="I249">
        <v>59</v>
      </c>
      <c r="J249" t="s">
        <v>58</v>
      </c>
      <c r="N249">
        <v>81</v>
      </c>
      <c r="O249">
        <v>269</v>
      </c>
    </row>
    <row r="250" spans="1:15" x14ac:dyDescent="0.35">
      <c r="A250">
        <v>11</v>
      </c>
      <c r="B250" t="s">
        <v>343</v>
      </c>
      <c r="C250">
        <v>243</v>
      </c>
      <c r="D250" t="s">
        <v>646</v>
      </c>
      <c r="F250">
        <v>249</v>
      </c>
      <c r="G250" t="s">
        <v>59</v>
      </c>
      <c r="I250">
        <v>60</v>
      </c>
      <c r="J250" t="s">
        <v>59</v>
      </c>
      <c r="N250">
        <v>82</v>
      </c>
      <c r="O250">
        <v>270</v>
      </c>
    </row>
    <row r="251" spans="1:15" x14ac:dyDescent="0.35">
      <c r="A251">
        <v>11</v>
      </c>
      <c r="B251" t="s">
        <v>343</v>
      </c>
      <c r="C251">
        <v>244</v>
      </c>
      <c r="D251" t="s">
        <v>647</v>
      </c>
      <c r="F251">
        <v>250</v>
      </c>
      <c r="G251" t="s">
        <v>60</v>
      </c>
      <c r="I251">
        <v>61</v>
      </c>
      <c r="J251" t="s">
        <v>60</v>
      </c>
      <c r="N251">
        <v>83</v>
      </c>
      <c r="O251">
        <v>271</v>
      </c>
    </row>
    <row r="252" spans="1:15" x14ac:dyDescent="0.35">
      <c r="A252">
        <v>11</v>
      </c>
      <c r="B252" t="s">
        <v>343</v>
      </c>
      <c r="C252">
        <v>245</v>
      </c>
      <c r="D252" t="s">
        <v>648</v>
      </c>
      <c r="F252">
        <v>251</v>
      </c>
      <c r="G252" t="s">
        <v>61</v>
      </c>
      <c r="I252">
        <v>62</v>
      </c>
      <c r="J252" t="s">
        <v>61</v>
      </c>
      <c r="N252">
        <v>84</v>
      </c>
      <c r="O252">
        <v>272</v>
      </c>
    </row>
    <row r="253" spans="1:15" x14ac:dyDescent="0.35">
      <c r="A253">
        <v>11</v>
      </c>
      <c r="B253" t="s">
        <v>343</v>
      </c>
      <c r="C253">
        <v>246</v>
      </c>
      <c r="D253" t="s">
        <v>649</v>
      </c>
      <c r="F253">
        <v>252</v>
      </c>
      <c r="G253" t="s">
        <v>62</v>
      </c>
      <c r="I253">
        <v>63</v>
      </c>
      <c r="J253" t="s">
        <v>62</v>
      </c>
      <c r="N253">
        <v>85</v>
      </c>
      <c r="O253">
        <v>273</v>
      </c>
    </row>
    <row r="254" spans="1:15" x14ac:dyDescent="0.35">
      <c r="A254">
        <v>11</v>
      </c>
      <c r="B254" t="s">
        <v>343</v>
      </c>
      <c r="C254">
        <v>247</v>
      </c>
      <c r="D254" t="s">
        <v>650</v>
      </c>
      <c r="F254">
        <v>253</v>
      </c>
      <c r="G254" t="s">
        <v>63</v>
      </c>
      <c r="I254">
        <v>64</v>
      </c>
      <c r="J254" t="s">
        <v>63</v>
      </c>
      <c r="N254">
        <v>86</v>
      </c>
      <c r="O254">
        <v>274</v>
      </c>
    </row>
    <row r="255" spans="1:15" x14ac:dyDescent="0.35">
      <c r="A255">
        <v>11</v>
      </c>
      <c r="B255" t="s">
        <v>343</v>
      </c>
      <c r="C255">
        <v>248</v>
      </c>
      <c r="D255" t="s">
        <v>651</v>
      </c>
      <c r="F255">
        <v>254</v>
      </c>
      <c r="G255" t="s">
        <v>64</v>
      </c>
      <c r="I255">
        <v>65</v>
      </c>
      <c r="J255" t="s">
        <v>64</v>
      </c>
      <c r="N255">
        <v>87</v>
      </c>
      <c r="O255">
        <v>275</v>
      </c>
    </row>
    <row r="256" spans="1:15" x14ac:dyDescent="0.35">
      <c r="A256">
        <v>11</v>
      </c>
      <c r="B256" t="s">
        <v>343</v>
      </c>
      <c r="C256">
        <v>249</v>
      </c>
      <c r="D256" t="s">
        <v>652</v>
      </c>
      <c r="F256">
        <v>255</v>
      </c>
      <c r="G256" t="s">
        <v>65</v>
      </c>
      <c r="I256">
        <v>66</v>
      </c>
      <c r="J256" t="s">
        <v>65</v>
      </c>
      <c r="N256">
        <v>88</v>
      </c>
      <c r="O256">
        <v>276</v>
      </c>
    </row>
    <row r="257" spans="1:15" x14ac:dyDescent="0.35">
      <c r="A257">
        <v>11</v>
      </c>
      <c r="B257" t="s">
        <v>343</v>
      </c>
      <c r="C257">
        <v>250</v>
      </c>
      <c r="D257" t="s">
        <v>653</v>
      </c>
      <c r="F257">
        <v>256</v>
      </c>
      <c r="G257" t="s">
        <v>66</v>
      </c>
      <c r="I257">
        <v>67</v>
      </c>
      <c r="J257" t="s">
        <v>66</v>
      </c>
      <c r="N257">
        <v>89</v>
      </c>
      <c r="O257">
        <v>277</v>
      </c>
    </row>
    <row r="258" spans="1:15" x14ac:dyDescent="0.35">
      <c r="A258">
        <v>11</v>
      </c>
      <c r="B258" t="s">
        <v>343</v>
      </c>
      <c r="C258">
        <v>251</v>
      </c>
      <c r="D258" t="s">
        <v>654</v>
      </c>
      <c r="F258">
        <v>257</v>
      </c>
      <c r="G258" t="s">
        <v>67</v>
      </c>
      <c r="I258">
        <v>68</v>
      </c>
      <c r="J258" t="s">
        <v>67</v>
      </c>
      <c r="N258">
        <v>91</v>
      </c>
      <c r="O258">
        <v>280</v>
      </c>
    </row>
    <row r="259" spans="1:15" x14ac:dyDescent="0.35">
      <c r="A259">
        <v>11</v>
      </c>
      <c r="B259" t="s">
        <v>343</v>
      </c>
      <c r="C259">
        <v>252</v>
      </c>
      <c r="D259" t="s">
        <v>655</v>
      </c>
      <c r="F259">
        <v>258</v>
      </c>
      <c r="G259" t="s">
        <v>68</v>
      </c>
      <c r="I259">
        <v>69</v>
      </c>
      <c r="J259" t="s">
        <v>68</v>
      </c>
      <c r="N259">
        <v>90</v>
      </c>
      <c r="O259">
        <v>282</v>
      </c>
    </row>
    <row r="260" spans="1:15" x14ac:dyDescent="0.35">
      <c r="A260">
        <v>11</v>
      </c>
      <c r="B260" t="s">
        <v>343</v>
      </c>
      <c r="C260">
        <v>253</v>
      </c>
      <c r="D260" t="s">
        <v>656</v>
      </c>
      <c r="F260">
        <v>259</v>
      </c>
      <c r="G260" t="s">
        <v>69</v>
      </c>
      <c r="I260">
        <v>70</v>
      </c>
      <c r="J260" t="s">
        <v>69</v>
      </c>
      <c r="N260">
        <v>92</v>
      </c>
      <c r="O260">
        <v>286</v>
      </c>
    </row>
    <row r="261" spans="1:15" x14ac:dyDescent="0.35">
      <c r="A261">
        <v>11</v>
      </c>
      <c r="B261" t="s">
        <v>343</v>
      </c>
      <c r="C261">
        <v>254</v>
      </c>
      <c r="D261" t="s">
        <v>657</v>
      </c>
      <c r="F261" s="1">
        <v>266</v>
      </c>
      <c r="G261" t="s">
        <v>70</v>
      </c>
      <c r="I261">
        <v>71</v>
      </c>
      <c r="J261" t="s">
        <v>70</v>
      </c>
      <c r="N261">
        <v>93</v>
      </c>
      <c r="O261">
        <v>287</v>
      </c>
    </row>
    <row r="262" spans="1:15" x14ac:dyDescent="0.35">
      <c r="A262">
        <v>11</v>
      </c>
      <c r="B262" t="s">
        <v>343</v>
      </c>
      <c r="C262">
        <v>255</v>
      </c>
      <c r="D262" t="s">
        <v>658</v>
      </c>
      <c r="F262">
        <v>260</v>
      </c>
      <c r="G262" t="s">
        <v>71</v>
      </c>
      <c r="I262">
        <v>72</v>
      </c>
      <c r="J262" t="s">
        <v>71</v>
      </c>
      <c r="N262">
        <v>94</v>
      </c>
      <c r="O262">
        <v>295</v>
      </c>
    </row>
    <row r="263" spans="1:15" x14ac:dyDescent="0.35">
      <c r="A263">
        <v>11</v>
      </c>
      <c r="B263" t="s">
        <v>343</v>
      </c>
      <c r="C263">
        <v>256</v>
      </c>
      <c r="D263" t="s">
        <v>659</v>
      </c>
      <c r="F263">
        <v>261</v>
      </c>
      <c r="G263" t="s">
        <v>78</v>
      </c>
      <c r="N263">
        <v>95</v>
      </c>
      <c r="O263">
        <v>297</v>
      </c>
    </row>
    <row r="264" spans="1:15" x14ac:dyDescent="0.35">
      <c r="A264">
        <v>11</v>
      </c>
      <c r="B264" t="s">
        <v>343</v>
      </c>
      <c r="C264">
        <v>257</v>
      </c>
      <c r="D264" t="s">
        <v>660</v>
      </c>
      <c r="F264">
        <v>262</v>
      </c>
      <c r="G264" t="s">
        <v>72</v>
      </c>
      <c r="I264">
        <v>73</v>
      </c>
      <c r="J264" t="s">
        <v>72</v>
      </c>
      <c r="N264">
        <v>96</v>
      </c>
      <c r="O264">
        <v>301</v>
      </c>
    </row>
    <row r="265" spans="1:15" x14ac:dyDescent="0.35">
      <c r="A265">
        <v>11</v>
      </c>
      <c r="B265" t="s">
        <v>343</v>
      </c>
      <c r="C265">
        <v>258</v>
      </c>
      <c r="D265" t="s">
        <v>661</v>
      </c>
      <c r="F265">
        <v>263</v>
      </c>
      <c r="G265" t="s">
        <v>73</v>
      </c>
      <c r="I265">
        <v>74</v>
      </c>
      <c r="J265" t="s">
        <v>73</v>
      </c>
      <c r="N265">
        <v>97</v>
      </c>
      <c r="O265">
        <v>302</v>
      </c>
    </row>
    <row r="266" spans="1:15" x14ac:dyDescent="0.35">
      <c r="A266">
        <v>11</v>
      </c>
      <c r="B266" t="s">
        <v>343</v>
      </c>
      <c r="C266">
        <v>259</v>
      </c>
      <c r="D266" t="s">
        <v>662</v>
      </c>
      <c r="F266">
        <v>264</v>
      </c>
      <c r="G266" t="s">
        <v>74</v>
      </c>
      <c r="I266">
        <v>75</v>
      </c>
      <c r="J266" t="s">
        <v>74</v>
      </c>
      <c r="N266">
        <v>98</v>
      </c>
      <c r="O266">
        <v>303</v>
      </c>
    </row>
    <row r="267" spans="1:15" x14ac:dyDescent="0.35">
      <c r="A267">
        <v>11</v>
      </c>
      <c r="B267" t="s">
        <v>343</v>
      </c>
      <c r="C267">
        <v>260</v>
      </c>
      <c r="D267" t="s">
        <v>728</v>
      </c>
      <c r="F267">
        <v>265</v>
      </c>
      <c r="G267" t="s">
        <v>128</v>
      </c>
      <c r="I267">
        <v>76</v>
      </c>
      <c r="J267" t="s">
        <v>75</v>
      </c>
      <c r="N267">
        <v>99</v>
      </c>
      <c r="O267">
        <v>304</v>
      </c>
    </row>
    <row r="268" spans="1:15" x14ac:dyDescent="0.35">
      <c r="A268">
        <v>10.1</v>
      </c>
      <c r="B268" t="s">
        <v>1317</v>
      </c>
      <c r="C268">
        <v>261</v>
      </c>
      <c r="D268" t="s">
        <v>663</v>
      </c>
      <c r="F268">
        <v>267</v>
      </c>
      <c r="G268" t="s">
        <v>76</v>
      </c>
      <c r="I268">
        <v>77</v>
      </c>
      <c r="J268" t="s">
        <v>76</v>
      </c>
      <c r="N268">
        <v>100</v>
      </c>
      <c r="O268">
        <v>307</v>
      </c>
    </row>
    <row r="269" spans="1:15" x14ac:dyDescent="0.35">
      <c r="A269">
        <v>10.199999999999999</v>
      </c>
      <c r="B269" t="s">
        <v>1318</v>
      </c>
      <c r="C269">
        <v>262</v>
      </c>
      <c r="D269" t="s">
        <v>664</v>
      </c>
      <c r="F269">
        <v>268</v>
      </c>
      <c r="G269" t="s">
        <v>129</v>
      </c>
      <c r="I269">
        <v>78</v>
      </c>
      <c r="J269" t="s">
        <v>77</v>
      </c>
      <c r="N269">
        <v>101</v>
      </c>
      <c r="O269">
        <v>308</v>
      </c>
    </row>
    <row r="270" spans="1:15" x14ac:dyDescent="0.35">
      <c r="A270">
        <v>9</v>
      </c>
      <c r="B270" t="s">
        <v>333</v>
      </c>
      <c r="C270">
        <v>263</v>
      </c>
      <c r="D270" t="s">
        <v>665</v>
      </c>
      <c r="F270">
        <v>269</v>
      </c>
      <c r="G270" t="s">
        <v>130</v>
      </c>
      <c r="I270">
        <v>79</v>
      </c>
      <c r="J270" t="s">
        <v>78</v>
      </c>
      <c r="N270">
        <v>102</v>
      </c>
      <c r="O270">
        <v>309</v>
      </c>
    </row>
    <row r="271" spans="1:15" x14ac:dyDescent="0.35">
      <c r="A271">
        <v>10.3</v>
      </c>
      <c r="B271" t="s">
        <v>332</v>
      </c>
      <c r="C271">
        <v>264</v>
      </c>
      <c r="D271" t="s">
        <v>666</v>
      </c>
      <c r="F271">
        <v>269</v>
      </c>
      <c r="I271" s="1">
        <v>80</v>
      </c>
      <c r="J271" t="s">
        <v>79</v>
      </c>
    </row>
    <row r="272" spans="1:15" x14ac:dyDescent="0.35">
      <c r="A272">
        <v>10.3</v>
      </c>
      <c r="B272" t="s">
        <v>332</v>
      </c>
      <c r="C272">
        <v>265</v>
      </c>
      <c r="D272" t="s">
        <v>667</v>
      </c>
      <c r="F272">
        <v>269</v>
      </c>
      <c r="I272" s="1">
        <v>81</v>
      </c>
      <c r="J272" t="s">
        <v>80</v>
      </c>
    </row>
    <row r="273" spans="1:10" x14ac:dyDescent="0.35">
      <c r="A273">
        <v>10.3</v>
      </c>
      <c r="B273" t="s">
        <v>332</v>
      </c>
      <c r="C273">
        <v>266</v>
      </c>
      <c r="D273" t="s">
        <v>668</v>
      </c>
      <c r="F273">
        <v>270</v>
      </c>
      <c r="G273" t="s">
        <v>81</v>
      </c>
      <c r="I273">
        <v>82</v>
      </c>
      <c r="J273" t="s">
        <v>81</v>
      </c>
    </row>
    <row r="274" spans="1:10" x14ac:dyDescent="0.35">
      <c r="A274">
        <v>9</v>
      </c>
      <c r="B274" t="s">
        <v>333</v>
      </c>
      <c r="C274">
        <v>267</v>
      </c>
      <c r="D274" t="s">
        <v>669</v>
      </c>
      <c r="F274">
        <v>271</v>
      </c>
      <c r="G274" t="s">
        <v>82</v>
      </c>
      <c r="I274">
        <v>83</v>
      </c>
      <c r="J274" t="s">
        <v>82</v>
      </c>
    </row>
    <row r="275" spans="1:10" x14ac:dyDescent="0.35">
      <c r="A275">
        <v>9</v>
      </c>
      <c r="B275" t="s">
        <v>333</v>
      </c>
      <c r="C275">
        <v>268</v>
      </c>
      <c r="D275" t="s">
        <v>670</v>
      </c>
      <c r="F275">
        <v>272</v>
      </c>
      <c r="G275" t="s">
        <v>83</v>
      </c>
      <c r="I275">
        <v>84</v>
      </c>
      <c r="J275" t="s">
        <v>83</v>
      </c>
    </row>
    <row r="276" spans="1:10" x14ac:dyDescent="0.35">
      <c r="A276">
        <v>38</v>
      </c>
      <c r="B276" t="s">
        <v>346</v>
      </c>
      <c r="C276">
        <v>269</v>
      </c>
      <c r="D276" t="s">
        <v>671</v>
      </c>
      <c r="F276">
        <v>273</v>
      </c>
      <c r="G276" t="s">
        <v>84</v>
      </c>
      <c r="I276">
        <v>85</v>
      </c>
      <c r="J276" t="s">
        <v>84</v>
      </c>
    </row>
    <row r="277" spans="1:10" x14ac:dyDescent="0.35">
      <c r="A277">
        <v>38</v>
      </c>
      <c r="B277" t="s">
        <v>346</v>
      </c>
      <c r="C277">
        <v>270</v>
      </c>
      <c r="D277" t="s">
        <v>672</v>
      </c>
      <c r="F277">
        <v>274</v>
      </c>
      <c r="G277" t="s">
        <v>85</v>
      </c>
      <c r="I277">
        <v>86</v>
      </c>
      <c r="J277" t="s">
        <v>85</v>
      </c>
    </row>
    <row r="278" spans="1:10" x14ac:dyDescent="0.35">
      <c r="A278">
        <v>12</v>
      </c>
      <c r="B278" t="s">
        <v>357</v>
      </c>
      <c r="C278">
        <v>271</v>
      </c>
      <c r="D278" t="s">
        <v>673</v>
      </c>
      <c r="F278">
        <v>275</v>
      </c>
      <c r="G278" t="s">
        <v>86</v>
      </c>
      <c r="I278">
        <v>87</v>
      </c>
      <c r="J278" t="s">
        <v>86</v>
      </c>
    </row>
    <row r="279" spans="1:10" x14ac:dyDescent="0.35">
      <c r="A279">
        <v>39.299999999999997</v>
      </c>
      <c r="B279" t="s">
        <v>336</v>
      </c>
      <c r="C279">
        <v>272</v>
      </c>
      <c r="D279" t="s">
        <v>674</v>
      </c>
      <c r="F279">
        <v>276</v>
      </c>
      <c r="G279" t="s">
        <v>87</v>
      </c>
      <c r="I279">
        <v>88</v>
      </c>
      <c r="J279" t="s">
        <v>87</v>
      </c>
    </row>
    <row r="280" spans="1:10" x14ac:dyDescent="0.35">
      <c r="A280">
        <v>39.299999999999997</v>
      </c>
      <c r="B280" t="s">
        <v>336</v>
      </c>
      <c r="C280">
        <v>273</v>
      </c>
      <c r="D280" t="s">
        <v>675</v>
      </c>
      <c r="F280">
        <v>277</v>
      </c>
      <c r="G280" t="s">
        <v>88</v>
      </c>
      <c r="I280">
        <v>89</v>
      </c>
      <c r="J280" t="s">
        <v>88</v>
      </c>
    </row>
    <row r="281" spans="1:10" x14ac:dyDescent="0.35">
      <c r="A281">
        <v>39.299999999999997</v>
      </c>
      <c r="B281" t="s">
        <v>336</v>
      </c>
      <c r="C281">
        <v>274</v>
      </c>
      <c r="D281" t="s">
        <v>676</v>
      </c>
      <c r="F281">
        <v>278</v>
      </c>
      <c r="G281" t="s">
        <v>131</v>
      </c>
      <c r="H281" t="s">
        <v>101</v>
      </c>
    </row>
    <row r="282" spans="1:10" x14ac:dyDescent="0.35">
      <c r="A282">
        <v>39.299999999999997</v>
      </c>
      <c r="B282" t="s">
        <v>336</v>
      </c>
      <c r="C282">
        <v>275</v>
      </c>
      <c r="D282" t="s">
        <v>677</v>
      </c>
      <c r="F282">
        <v>279</v>
      </c>
      <c r="G282" t="s">
        <v>360</v>
      </c>
    </row>
    <row r="283" spans="1:10" x14ac:dyDescent="0.35">
      <c r="A283">
        <v>39.299999999999997</v>
      </c>
      <c r="B283" t="s">
        <v>336</v>
      </c>
      <c r="C283">
        <v>276</v>
      </c>
      <c r="D283" t="s">
        <v>678</v>
      </c>
      <c r="F283">
        <v>280</v>
      </c>
      <c r="G283" t="s">
        <v>90</v>
      </c>
      <c r="I283">
        <v>91</v>
      </c>
      <c r="J283" t="s">
        <v>90</v>
      </c>
    </row>
    <row r="284" spans="1:10" x14ac:dyDescent="0.35">
      <c r="A284">
        <v>39.299999999999997</v>
      </c>
      <c r="B284" t="s">
        <v>336</v>
      </c>
      <c r="C284">
        <v>277</v>
      </c>
      <c r="D284" t="s">
        <v>679</v>
      </c>
      <c r="F284">
        <v>281</v>
      </c>
      <c r="G284" t="s">
        <v>132</v>
      </c>
    </row>
    <row r="285" spans="1:10" x14ac:dyDescent="0.35">
      <c r="A285">
        <v>39.299999999999997</v>
      </c>
      <c r="B285" t="s">
        <v>336</v>
      </c>
      <c r="C285">
        <v>278</v>
      </c>
      <c r="D285" t="s">
        <v>680</v>
      </c>
      <c r="F285">
        <v>282</v>
      </c>
      <c r="G285" t="s">
        <v>89</v>
      </c>
      <c r="I285">
        <v>90</v>
      </c>
      <c r="J285" t="s">
        <v>89</v>
      </c>
    </row>
    <row r="286" spans="1:10" x14ac:dyDescent="0.35">
      <c r="A286">
        <v>39.299999999999997</v>
      </c>
      <c r="B286" t="s">
        <v>336</v>
      </c>
      <c r="C286">
        <v>279</v>
      </c>
      <c r="D286" t="s">
        <v>681</v>
      </c>
      <c r="F286">
        <v>283</v>
      </c>
      <c r="G286" t="s">
        <v>133</v>
      </c>
    </row>
    <row r="287" spans="1:10" x14ac:dyDescent="0.35">
      <c r="A287">
        <v>39.299999999999997</v>
      </c>
      <c r="B287" t="s">
        <v>336</v>
      </c>
      <c r="C287">
        <v>280</v>
      </c>
      <c r="D287" t="s">
        <v>682</v>
      </c>
      <c r="F287">
        <v>284</v>
      </c>
      <c r="G287" t="s">
        <v>134</v>
      </c>
    </row>
    <row r="288" spans="1:10" x14ac:dyDescent="0.35">
      <c r="A288">
        <v>39.299999999999997</v>
      </c>
      <c r="B288" t="s">
        <v>336</v>
      </c>
      <c r="C288">
        <v>281</v>
      </c>
      <c r="D288" t="s">
        <v>683</v>
      </c>
      <c r="F288">
        <v>285</v>
      </c>
      <c r="G288" t="s">
        <v>135</v>
      </c>
    </row>
    <row r="289" spans="1:10" x14ac:dyDescent="0.35">
      <c r="A289">
        <v>39.299999999999997</v>
      </c>
      <c r="B289" t="s">
        <v>336</v>
      </c>
      <c r="C289">
        <v>282</v>
      </c>
      <c r="D289" t="s">
        <v>684</v>
      </c>
      <c r="F289">
        <v>286</v>
      </c>
      <c r="G289" t="s">
        <v>136</v>
      </c>
      <c r="I289">
        <v>92</v>
      </c>
      <c r="J289" t="s">
        <v>91</v>
      </c>
    </row>
    <row r="290" spans="1:10" x14ac:dyDescent="0.35">
      <c r="A290">
        <v>39.299999999999997</v>
      </c>
      <c r="B290" t="s">
        <v>336</v>
      </c>
      <c r="C290">
        <v>283</v>
      </c>
      <c r="D290" t="s">
        <v>685</v>
      </c>
      <c r="F290">
        <v>287</v>
      </c>
      <c r="G290" t="s">
        <v>137</v>
      </c>
      <c r="I290">
        <v>93</v>
      </c>
      <c r="J290" t="s">
        <v>92</v>
      </c>
    </row>
    <row r="291" spans="1:10" x14ac:dyDescent="0.35">
      <c r="A291">
        <v>39.299999999999997</v>
      </c>
      <c r="B291" t="s">
        <v>336</v>
      </c>
      <c r="C291">
        <v>284</v>
      </c>
      <c r="D291" t="s">
        <v>686</v>
      </c>
      <c r="F291">
        <v>288</v>
      </c>
      <c r="G291" t="s">
        <v>138</v>
      </c>
    </row>
    <row r="292" spans="1:10" x14ac:dyDescent="0.35">
      <c r="A292">
        <v>39.299999999999997</v>
      </c>
      <c r="B292" t="s">
        <v>336</v>
      </c>
      <c r="C292">
        <v>285</v>
      </c>
      <c r="D292" t="s">
        <v>687</v>
      </c>
      <c r="F292">
        <v>289</v>
      </c>
      <c r="G292" t="s">
        <v>139</v>
      </c>
    </row>
    <row r="293" spans="1:10" x14ac:dyDescent="0.35">
      <c r="A293">
        <v>17</v>
      </c>
      <c r="B293" t="s">
        <v>362</v>
      </c>
      <c r="C293">
        <v>286</v>
      </c>
      <c r="D293" t="s">
        <v>688</v>
      </c>
      <c r="F293">
        <v>290</v>
      </c>
      <c r="G293" t="s">
        <v>140</v>
      </c>
    </row>
    <row r="294" spans="1:10" x14ac:dyDescent="0.35">
      <c r="A294">
        <v>39.1</v>
      </c>
      <c r="B294" t="s">
        <v>1320</v>
      </c>
      <c r="C294">
        <v>287</v>
      </c>
      <c r="D294" t="s">
        <v>689</v>
      </c>
      <c r="F294">
        <v>291</v>
      </c>
      <c r="G294" t="s">
        <v>141</v>
      </c>
    </row>
    <row r="295" spans="1:10" x14ac:dyDescent="0.35">
      <c r="A295">
        <v>18</v>
      </c>
      <c r="B295" t="s">
        <v>756</v>
      </c>
      <c r="C295">
        <v>288</v>
      </c>
      <c r="D295" t="s">
        <v>690</v>
      </c>
      <c r="F295">
        <v>292</v>
      </c>
      <c r="G295" t="s">
        <v>91</v>
      </c>
    </row>
    <row r="296" spans="1:10" x14ac:dyDescent="0.35">
      <c r="A296">
        <v>39.200000000000003</v>
      </c>
      <c r="B296" t="s">
        <v>1321</v>
      </c>
      <c r="C296">
        <v>289</v>
      </c>
      <c r="D296" t="s">
        <v>691</v>
      </c>
      <c r="F296">
        <v>293</v>
      </c>
      <c r="G296" t="s">
        <v>142</v>
      </c>
    </row>
    <row r="297" spans="1:10" x14ac:dyDescent="0.35">
      <c r="A297">
        <v>39.299999999999997</v>
      </c>
      <c r="B297" t="s">
        <v>336</v>
      </c>
      <c r="C297">
        <v>290</v>
      </c>
      <c r="D297" t="s">
        <v>692</v>
      </c>
      <c r="F297">
        <v>294</v>
      </c>
      <c r="G297" t="s">
        <v>143</v>
      </c>
    </row>
    <row r="298" spans="1:10" x14ac:dyDescent="0.35">
      <c r="A298">
        <v>41</v>
      </c>
      <c r="B298" t="s">
        <v>347</v>
      </c>
      <c r="C298">
        <v>291</v>
      </c>
      <c r="D298" t="s">
        <v>693</v>
      </c>
      <c r="F298">
        <v>295</v>
      </c>
      <c r="G298" t="s">
        <v>93</v>
      </c>
      <c r="I298">
        <v>94</v>
      </c>
      <c r="J298" t="s">
        <v>93</v>
      </c>
    </row>
    <row r="299" spans="1:10" x14ac:dyDescent="0.35">
      <c r="A299">
        <v>41</v>
      </c>
      <c r="B299" t="s">
        <v>347</v>
      </c>
      <c r="C299">
        <v>292</v>
      </c>
      <c r="D299" t="s">
        <v>694</v>
      </c>
      <c r="F299">
        <v>296</v>
      </c>
      <c r="G299" t="s">
        <v>361</v>
      </c>
    </row>
    <row r="300" spans="1:10" x14ac:dyDescent="0.35">
      <c r="A300">
        <v>41</v>
      </c>
      <c r="B300" t="s">
        <v>347</v>
      </c>
      <c r="C300">
        <v>293</v>
      </c>
      <c r="D300" t="s">
        <v>695</v>
      </c>
      <c r="F300">
        <v>297</v>
      </c>
      <c r="G300" t="s">
        <v>94</v>
      </c>
      <c r="I300">
        <v>95</v>
      </c>
      <c r="J300" t="s">
        <v>94</v>
      </c>
    </row>
    <row r="301" spans="1:10" x14ac:dyDescent="0.35">
      <c r="A301">
        <v>41</v>
      </c>
      <c r="B301" t="s">
        <v>347</v>
      </c>
      <c r="C301">
        <v>294</v>
      </c>
      <c r="D301" t="s">
        <v>696</v>
      </c>
      <c r="F301">
        <v>298</v>
      </c>
      <c r="G301" t="s">
        <v>363</v>
      </c>
    </row>
    <row r="302" spans="1:10" x14ac:dyDescent="0.35">
      <c r="A302">
        <v>41</v>
      </c>
      <c r="B302" t="s">
        <v>347</v>
      </c>
      <c r="C302">
        <v>295</v>
      </c>
      <c r="D302" t="s">
        <v>697</v>
      </c>
      <c r="F302">
        <v>299</v>
      </c>
      <c r="G302" t="s">
        <v>144</v>
      </c>
    </row>
    <row r="303" spans="1:10" x14ac:dyDescent="0.35">
      <c r="A303">
        <v>41</v>
      </c>
      <c r="B303" t="s">
        <v>347</v>
      </c>
      <c r="C303">
        <v>296</v>
      </c>
      <c r="D303" t="s">
        <v>698</v>
      </c>
      <c r="F303">
        <v>300</v>
      </c>
      <c r="G303" t="s">
        <v>145</v>
      </c>
    </row>
    <row r="304" spans="1:10" x14ac:dyDescent="0.35">
      <c r="A304">
        <v>41</v>
      </c>
      <c r="B304" t="s">
        <v>347</v>
      </c>
      <c r="C304">
        <v>297</v>
      </c>
      <c r="D304" t="s">
        <v>699</v>
      </c>
      <c r="F304">
        <v>301</v>
      </c>
      <c r="G304" t="s">
        <v>95</v>
      </c>
      <c r="I304">
        <v>96</v>
      </c>
      <c r="J304" t="s">
        <v>95</v>
      </c>
    </row>
    <row r="305" spans="1:10" x14ac:dyDescent="0.35">
      <c r="A305">
        <v>41</v>
      </c>
      <c r="B305" t="s">
        <v>347</v>
      </c>
      <c r="C305">
        <v>298</v>
      </c>
      <c r="D305" t="s">
        <v>700</v>
      </c>
      <c r="F305">
        <v>302</v>
      </c>
      <c r="G305" t="s">
        <v>96</v>
      </c>
      <c r="I305">
        <v>97</v>
      </c>
      <c r="J305" t="s">
        <v>96</v>
      </c>
    </row>
    <row r="306" spans="1:10" x14ac:dyDescent="0.35">
      <c r="A306">
        <v>41</v>
      </c>
      <c r="B306" t="s">
        <v>347</v>
      </c>
      <c r="C306">
        <v>299</v>
      </c>
      <c r="D306" t="s">
        <v>701</v>
      </c>
      <c r="F306">
        <v>303</v>
      </c>
      <c r="G306" t="s">
        <v>97</v>
      </c>
      <c r="I306">
        <v>98</v>
      </c>
      <c r="J306" t="s">
        <v>97</v>
      </c>
    </row>
    <row r="307" spans="1:10" x14ac:dyDescent="0.35">
      <c r="A307">
        <v>41</v>
      </c>
      <c r="B307" t="s">
        <v>347</v>
      </c>
      <c r="C307">
        <v>300</v>
      </c>
      <c r="D307" t="s">
        <v>702</v>
      </c>
      <c r="F307">
        <v>304</v>
      </c>
      <c r="G307" t="s">
        <v>146</v>
      </c>
      <c r="I307">
        <v>99</v>
      </c>
      <c r="J307" t="s">
        <v>98</v>
      </c>
    </row>
    <row r="308" spans="1:10" x14ac:dyDescent="0.35">
      <c r="A308">
        <v>41</v>
      </c>
      <c r="B308" t="s">
        <v>347</v>
      </c>
      <c r="C308">
        <v>301</v>
      </c>
      <c r="D308" t="s">
        <v>703</v>
      </c>
      <c r="F308">
        <v>305</v>
      </c>
      <c r="G308" t="s">
        <v>367</v>
      </c>
    </row>
    <row r="309" spans="1:10" x14ac:dyDescent="0.35">
      <c r="A309">
        <v>41</v>
      </c>
      <c r="B309" t="s">
        <v>347</v>
      </c>
      <c r="C309">
        <v>302</v>
      </c>
      <c r="D309" t="s">
        <v>704</v>
      </c>
      <c r="F309">
        <v>306</v>
      </c>
      <c r="G309" t="s">
        <v>147</v>
      </c>
    </row>
    <row r="310" spans="1:10" x14ac:dyDescent="0.35">
      <c r="A310">
        <v>41</v>
      </c>
      <c r="B310" t="s">
        <v>347</v>
      </c>
      <c r="C310">
        <v>303</v>
      </c>
      <c r="D310" t="s">
        <v>705</v>
      </c>
      <c r="F310">
        <v>307</v>
      </c>
      <c r="G310" t="s">
        <v>99</v>
      </c>
      <c r="I310">
        <v>100</v>
      </c>
      <c r="J310" t="s">
        <v>99</v>
      </c>
    </row>
    <row r="311" spans="1:10" x14ac:dyDescent="0.35">
      <c r="A311">
        <v>41</v>
      </c>
      <c r="B311" t="s">
        <v>347</v>
      </c>
      <c r="C311">
        <v>304</v>
      </c>
      <c r="D311" t="s">
        <v>706</v>
      </c>
      <c r="F311">
        <v>308</v>
      </c>
      <c r="G311" t="s">
        <v>100</v>
      </c>
      <c r="I311">
        <v>101</v>
      </c>
      <c r="J311" t="s">
        <v>100</v>
      </c>
    </row>
    <row r="312" spans="1:10" x14ac:dyDescent="0.35">
      <c r="A312">
        <v>41</v>
      </c>
      <c r="B312" t="s">
        <v>347</v>
      </c>
      <c r="C312">
        <v>305</v>
      </c>
      <c r="D312" t="s">
        <v>707</v>
      </c>
      <c r="F312">
        <v>309</v>
      </c>
      <c r="G312" t="s">
        <v>148</v>
      </c>
      <c r="I312">
        <v>102</v>
      </c>
      <c r="J312" t="s">
        <v>148</v>
      </c>
    </row>
    <row r="313" spans="1:10" x14ac:dyDescent="0.35">
      <c r="A313">
        <v>41</v>
      </c>
      <c r="B313" t="s">
        <v>347</v>
      </c>
      <c r="C313">
        <v>306</v>
      </c>
      <c r="D313" t="s">
        <v>708</v>
      </c>
      <c r="F313">
        <v>310</v>
      </c>
      <c r="G313" t="s">
        <v>149</v>
      </c>
    </row>
    <row r="314" spans="1:10" x14ac:dyDescent="0.35">
      <c r="A314">
        <v>62</v>
      </c>
      <c r="B314" t="s">
        <v>377</v>
      </c>
      <c r="C314">
        <v>307</v>
      </c>
      <c r="D314" t="s">
        <v>709</v>
      </c>
      <c r="F314">
        <v>311</v>
      </c>
      <c r="G314" t="s">
        <v>366</v>
      </c>
    </row>
    <row r="315" spans="1:10" x14ac:dyDescent="0.35">
      <c r="A315">
        <v>62</v>
      </c>
      <c r="B315" t="s">
        <v>377</v>
      </c>
      <c r="C315">
        <v>308</v>
      </c>
      <c r="D315" t="s">
        <v>710</v>
      </c>
      <c r="F315">
        <v>312</v>
      </c>
      <c r="G315" t="s">
        <v>150</v>
      </c>
    </row>
    <row r="316" spans="1:10" x14ac:dyDescent="0.35">
      <c r="A316">
        <v>62</v>
      </c>
      <c r="B316" t="s">
        <v>377</v>
      </c>
      <c r="C316">
        <v>309</v>
      </c>
      <c r="D316" t="s">
        <v>711</v>
      </c>
      <c r="F316">
        <v>313</v>
      </c>
      <c r="G316" t="s">
        <v>365</v>
      </c>
    </row>
    <row r="317" spans="1:10" x14ac:dyDescent="0.35">
      <c r="A317">
        <v>62</v>
      </c>
      <c r="B317" t="s">
        <v>377</v>
      </c>
      <c r="C317">
        <v>310</v>
      </c>
      <c r="D317" t="s">
        <v>712</v>
      </c>
      <c r="F317">
        <v>314</v>
      </c>
      <c r="G317" t="s">
        <v>151</v>
      </c>
    </row>
    <row r="318" spans="1:10" x14ac:dyDescent="0.35">
      <c r="A318">
        <v>62</v>
      </c>
      <c r="B318" t="s">
        <v>377</v>
      </c>
      <c r="C318">
        <v>311</v>
      </c>
      <c r="D318" t="s">
        <v>727</v>
      </c>
      <c r="F318">
        <v>315</v>
      </c>
      <c r="G318" t="s">
        <v>364</v>
      </c>
    </row>
    <row r="319" spans="1:10" x14ac:dyDescent="0.35">
      <c r="A319">
        <v>13</v>
      </c>
      <c r="B319" t="s">
        <v>388</v>
      </c>
      <c r="C319">
        <v>312</v>
      </c>
      <c r="D319" t="s">
        <v>564</v>
      </c>
      <c r="F319">
        <v>316</v>
      </c>
      <c r="G319" t="s">
        <v>152</v>
      </c>
    </row>
    <row r="320" spans="1:10" x14ac:dyDescent="0.35">
      <c r="A320">
        <v>400</v>
      </c>
      <c r="B320" t="s">
        <v>1152</v>
      </c>
      <c r="C320">
        <v>313</v>
      </c>
      <c r="D320" t="s">
        <v>725</v>
      </c>
      <c r="F320">
        <v>317</v>
      </c>
      <c r="G320" t="s">
        <v>153</v>
      </c>
    </row>
    <row r="321" spans="1:7" x14ac:dyDescent="0.35">
      <c r="A321">
        <v>400</v>
      </c>
      <c r="B321" t="s">
        <v>1152</v>
      </c>
      <c r="C321">
        <v>314</v>
      </c>
      <c r="D321" t="s">
        <v>724</v>
      </c>
      <c r="F321">
        <v>318</v>
      </c>
      <c r="G321" t="s">
        <v>154</v>
      </c>
    </row>
    <row r="322" spans="1:7" x14ac:dyDescent="0.35">
      <c r="A322">
        <v>70</v>
      </c>
      <c r="B322" t="s">
        <v>382</v>
      </c>
      <c r="C322">
        <v>315</v>
      </c>
      <c r="D322" t="s">
        <v>723</v>
      </c>
      <c r="F322">
        <v>319</v>
      </c>
      <c r="G322" t="s">
        <v>155</v>
      </c>
    </row>
    <row r="323" spans="1:7" x14ac:dyDescent="0.35">
      <c r="A323">
        <v>70</v>
      </c>
      <c r="B323" t="s">
        <v>382</v>
      </c>
      <c r="C323">
        <v>316</v>
      </c>
      <c r="D323" t="s">
        <v>722</v>
      </c>
      <c r="F323">
        <v>320</v>
      </c>
      <c r="G323" t="s">
        <v>156</v>
      </c>
    </row>
    <row r="324" spans="1:7" x14ac:dyDescent="0.35">
      <c r="A324">
        <v>70</v>
      </c>
      <c r="B324" t="s">
        <v>382</v>
      </c>
      <c r="C324">
        <v>317</v>
      </c>
      <c r="D324" t="s">
        <v>721</v>
      </c>
      <c r="F324">
        <v>321</v>
      </c>
      <c r="G324" t="s">
        <v>157</v>
      </c>
    </row>
    <row r="325" spans="1:7" x14ac:dyDescent="0.35">
      <c r="A325">
        <v>70</v>
      </c>
      <c r="B325" t="s">
        <v>382</v>
      </c>
      <c r="C325">
        <v>318</v>
      </c>
      <c r="D325" t="s">
        <v>720</v>
      </c>
    </row>
    <row r="326" spans="1:7" x14ac:dyDescent="0.35">
      <c r="A326">
        <v>70</v>
      </c>
      <c r="B326" t="s">
        <v>382</v>
      </c>
      <c r="C326">
        <v>319</v>
      </c>
      <c r="D326" t="s">
        <v>719</v>
      </c>
    </row>
    <row r="327" spans="1:7" x14ac:dyDescent="0.35">
      <c r="A327">
        <v>70</v>
      </c>
      <c r="B327" t="s">
        <v>382</v>
      </c>
      <c r="C327">
        <v>320</v>
      </c>
      <c r="D327" t="s">
        <v>718</v>
      </c>
    </row>
    <row r="328" spans="1:7" x14ac:dyDescent="0.35">
      <c r="A328">
        <v>70</v>
      </c>
      <c r="B328" t="s">
        <v>382</v>
      </c>
      <c r="C328">
        <v>321</v>
      </c>
      <c r="D328" t="s">
        <v>717</v>
      </c>
    </row>
    <row r="329" spans="1:7" x14ac:dyDescent="0.35">
      <c r="A329">
        <v>70</v>
      </c>
      <c r="B329" t="s">
        <v>382</v>
      </c>
      <c r="C329">
        <v>322</v>
      </c>
      <c r="D329" t="s">
        <v>716</v>
      </c>
    </row>
    <row r="330" spans="1:7" x14ac:dyDescent="0.35">
      <c r="A330">
        <v>70</v>
      </c>
      <c r="B330" t="s">
        <v>382</v>
      </c>
      <c r="C330">
        <v>323</v>
      </c>
      <c r="D330" t="s">
        <v>715</v>
      </c>
    </row>
    <row r="331" spans="1:7" x14ac:dyDescent="0.35">
      <c r="A331">
        <v>70</v>
      </c>
      <c r="B331" t="s">
        <v>382</v>
      </c>
      <c r="C331">
        <v>324</v>
      </c>
      <c r="D331" t="s">
        <v>714</v>
      </c>
    </row>
    <row r="332" spans="1:7" x14ac:dyDescent="0.35">
      <c r="A332">
        <v>200</v>
      </c>
      <c r="B332" t="s">
        <v>398</v>
      </c>
      <c r="C332">
        <v>325</v>
      </c>
      <c r="D332" t="s">
        <v>713</v>
      </c>
    </row>
    <row r="333" spans="1:7" x14ac:dyDescent="0.35">
      <c r="A333">
        <v>70</v>
      </c>
      <c r="B333" t="s">
        <v>382</v>
      </c>
      <c r="C333">
        <v>326</v>
      </c>
      <c r="D333" t="s">
        <v>1155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59"/>
  <sheetViews>
    <sheetView workbookViewId="0"/>
  </sheetViews>
  <sheetFormatPr defaultRowHeight="14.5" x14ac:dyDescent="0.35"/>
  <cols>
    <col min="2" max="2" width="10.453125" customWidth="1"/>
    <col min="3" max="3" width="52.81640625" bestFit="1" customWidth="1"/>
    <col min="5" max="5" width="10.453125" customWidth="1"/>
    <col min="7" max="7" width="10.1796875" customWidth="1"/>
  </cols>
  <sheetData>
    <row r="2" spans="2:18" x14ac:dyDescent="0.35">
      <c r="B2" s="7" t="s">
        <v>1325</v>
      </c>
      <c r="D2" t="s">
        <v>1328</v>
      </c>
      <c r="G2" s="7" t="s">
        <v>1324</v>
      </c>
      <c r="K2" t="s">
        <v>1326</v>
      </c>
      <c r="O2" t="s">
        <v>1327</v>
      </c>
    </row>
    <row r="3" spans="2:18" x14ac:dyDescent="0.35">
      <c r="B3" s="2" t="s">
        <v>384</v>
      </c>
      <c r="C3" t="s">
        <v>385</v>
      </c>
      <c r="D3" s="2" t="s">
        <v>384</v>
      </c>
      <c r="E3" t="s">
        <v>1330</v>
      </c>
      <c r="G3" t="s">
        <v>1148</v>
      </c>
      <c r="J3" t="s">
        <v>384</v>
      </c>
      <c r="K3" s="1"/>
      <c r="O3" t="s">
        <v>384</v>
      </c>
      <c r="P3" t="s">
        <v>1148</v>
      </c>
    </row>
    <row r="4" spans="2:18" x14ac:dyDescent="0.35">
      <c r="B4">
        <v>162</v>
      </c>
      <c r="C4" t="s">
        <v>567</v>
      </c>
      <c r="D4">
        <v>162</v>
      </c>
      <c r="E4">
        <v>175</v>
      </c>
      <c r="G4">
        <v>175</v>
      </c>
      <c r="H4" t="s">
        <v>0</v>
      </c>
      <c r="J4">
        <v>1</v>
      </c>
      <c r="K4" t="s">
        <v>0</v>
      </c>
      <c r="O4">
        <v>1</v>
      </c>
      <c r="P4">
        <v>175</v>
      </c>
    </row>
    <row r="5" spans="2:18" x14ac:dyDescent="0.35">
      <c r="B5">
        <v>163</v>
      </c>
      <c r="C5" t="s">
        <v>568</v>
      </c>
      <c r="D5">
        <v>163</v>
      </c>
      <c r="E5">
        <v>176</v>
      </c>
      <c r="G5">
        <v>176</v>
      </c>
      <c r="H5" t="s">
        <v>102</v>
      </c>
      <c r="O5">
        <v>2</v>
      </c>
      <c r="P5">
        <v>177</v>
      </c>
    </row>
    <row r="6" spans="2:18" x14ac:dyDescent="0.35">
      <c r="B6">
        <v>164</v>
      </c>
      <c r="C6" t="s">
        <v>569</v>
      </c>
      <c r="D6">
        <v>164</v>
      </c>
      <c r="E6">
        <v>177</v>
      </c>
      <c r="G6">
        <v>177</v>
      </c>
      <c r="H6" t="s">
        <v>1</v>
      </c>
      <c r="J6">
        <v>2</v>
      </c>
      <c r="K6" t="s">
        <v>1</v>
      </c>
      <c r="O6">
        <v>3</v>
      </c>
      <c r="P6">
        <v>178</v>
      </c>
    </row>
    <row r="7" spans="2:18" x14ac:dyDescent="0.35">
      <c r="B7">
        <v>165</v>
      </c>
      <c r="C7" t="s">
        <v>570</v>
      </c>
      <c r="D7">
        <v>165</v>
      </c>
      <c r="E7">
        <v>178</v>
      </c>
      <c r="G7">
        <v>178</v>
      </c>
      <c r="H7" t="s">
        <v>2</v>
      </c>
      <c r="J7">
        <v>3</v>
      </c>
      <c r="K7" t="s">
        <v>2</v>
      </c>
      <c r="O7">
        <v>4</v>
      </c>
      <c r="P7">
        <v>179</v>
      </c>
    </row>
    <row r="8" spans="2:18" x14ac:dyDescent="0.35">
      <c r="B8">
        <v>166</v>
      </c>
      <c r="C8" t="s">
        <v>571</v>
      </c>
      <c r="D8">
        <v>166</v>
      </c>
      <c r="E8">
        <v>179</v>
      </c>
      <c r="G8">
        <v>179</v>
      </c>
      <c r="H8" t="s">
        <v>3</v>
      </c>
      <c r="J8">
        <v>4</v>
      </c>
      <c r="K8" t="s">
        <v>3</v>
      </c>
      <c r="O8">
        <v>5</v>
      </c>
      <c r="P8">
        <v>181</v>
      </c>
    </row>
    <row r="9" spans="2:18" x14ac:dyDescent="0.35">
      <c r="B9">
        <v>167</v>
      </c>
      <c r="C9" t="s">
        <v>572</v>
      </c>
      <c r="D9">
        <v>167</v>
      </c>
      <c r="E9">
        <v>180</v>
      </c>
      <c r="G9">
        <v>180</v>
      </c>
      <c r="H9" t="s">
        <v>103</v>
      </c>
      <c r="O9">
        <v>6</v>
      </c>
      <c r="P9">
        <v>182</v>
      </c>
    </row>
    <row r="10" spans="2:18" x14ac:dyDescent="0.35">
      <c r="B10">
        <v>168</v>
      </c>
      <c r="C10" t="s">
        <v>573</v>
      </c>
      <c r="D10">
        <v>168</v>
      </c>
      <c r="E10">
        <v>181</v>
      </c>
      <c r="G10">
        <v>181</v>
      </c>
      <c r="H10" t="s">
        <v>4</v>
      </c>
      <c r="J10">
        <v>5</v>
      </c>
      <c r="K10" t="s">
        <v>4</v>
      </c>
      <c r="O10">
        <v>7</v>
      </c>
      <c r="P10">
        <v>183</v>
      </c>
      <c r="R10" t="s">
        <v>355</v>
      </c>
    </row>
    <row r="11" spans="2:18" x14ac:dyDescent="0.35">
      <c r="B11">
        <v>169</v>
      </c>
      <c r="C11" t="s">
        <v>574</v>
      </c>
      <c r="D11">
        <v>169</v>
      </c>
      <c r="E11">
        <v>182</v>
      </c>
      <c r="G11">
        <v>182</v>
      </c>
      <c r="H11" t="s">
        <v>104</v>
      </c>
      <c r="J11">
        <v>6</v>
      </c>
      <c r="K11" t="s">
        <v>5</v>
      </c>
      <c r="O11">
        <v>8</v>
      </c>
      <c r="P11">
        <v>184</v>
      </c>
    </row>
    <row r="12" spans="2:18" x14ac:dyDescent="0.35">
      <c r="B12">
        <v>170</v>
      </c>
      <c r="C12" t="s">
        <v>575</v>
      </c>
      <c r="D12">
        <v>170</v>
      </c>
      <c r="E12">
        <v>183</v>
      </c>
      <c r="G12">
        <v>183</v>
      </c>
      <c r="H12" t="s">
        <v>6</v>
      </c>
      <c r="J12">
        <v>7</v>
      </c>
      <c r="K12" t="s">
        <v>6</v>
      </c>
      <c r="O12">
        <v>9</v>
      </c>
      <c r="P12">
        <v>185</v>
      </c>
    </row>
    <row r="13" spans="2:18" x14ac:dyDescent="0.35">
      <c r="B13">
        <v>171</v>
      </c>
      <c r="C13" t="s">
        <v>576</v>
      </c>
      <c r="D13">
        <v>171</v>
      </c>
      <c r="E13">
        <v>184</v>
      </c>
      <c r="G13">
        <v>184</v>
      </c>
      <c r="H13" t="s">
        <v>7</v>
      </c>
      <c r="J13">
        <v>8</v>
      </c>
      <c r="K13" t="s">
        <v>7</v>
      </c>
      <c r="O13">
        <v>10</v>
      </c>
      <c r="P13">
        <v>186</v>
      </c>
    </row>
    <row r="14" spans="2:18" x14ac:dyDescent="0.35">
      <c r="B14">
        <v>172</v>
      </c>
      <c r="C14" t="s">
        <v>577</v>
      </c>
      <c r="D14">
        <v>172</v>
      </c>
      <c r="E14">
        <v>185</v>
      </c>
      <c r="G14">
        <v>185</v>
      </c>
      <c r="H14" t="s">
        <v>8</v>
      </c>
      <c r="J14">
        <v>9</v>
      </c>
      <c r="K14" t="s">
        <v>8</v>
      </c>
      <c r="O14">
        <v>11</v>
      </c>
      <c r="P14">
        <v>187</v>
      </c>
    </row>
    <row r="15" spans="2:18" x14ac:dyDescent="0.35">
      <c r="B15">
        <v>173</v>
      </c>
      <c r="C15" t="s">
        <v>578</v>
      </c>
      <c r="D15">
        <v>173</v>
      </c>
      <c r="E15">
        <v>186</v>
      </c>
      <c r="G15">
        <v>186</v>
      </c>
      <c r="H15" t="s">
        <v>9</v>
      </c>
      <c r="J15">
        <v>10</v>
      </c>
      <c r="K15" t="s">
        <v>9</v>
      </c>
      <c r="O15">
        <v>12</v>
      </c>
      <c r="P15">
        <v>192</v>
      </c>
    </row>
    <row r="16" spans="2:18" x14ac:dyDescent="0.35">
      <c r="B16">
        <v>174</v>
      </c>
      <c r="C16" t="s">
        <v>579</v>
      </c>
      <c r="D16">
        <v>174</v>
      </c>
      <c r="E16">
        <v>187</v>
      </c>
      <c r="G16">
        <v>187</v>
      </c>
      <c r="H16" t="s">
        <v>10</v>
      </c>
      <c r="J16">
        <v>11</v>
      </c>
      <c r="K16" t="s">
        <v>10</v>
      </c>
      <c r="O16">
        <v>13</v>
      </c>
      <c r="P16">
        <v>193</v>
      </c>
    </row>
    <row r="17" spans="2:16" x14ac:dyDescent="0.35">
      <c r="B17">
        <v>175</v>
      </c>
      <c r="C17" t="s">
        <v>580</v>
      </c>
      <c r="D17">
        <v>175</v>
      </c>
      <c r="E17">
        <v>189</v>
      </c>
      <c r="G17">
        <v>188</v>
      </c>
      <c r="H17" t="s">
        <v>105</v>
      </c>
      <c r="O17">
        <v>14</v>
      </c>
      <c r="P17">
        <v>194</v>
      </c>
    </row>
    <row r="18" spans="2:16" x14ac:dyDescent="0.35">
      <c r="B18">
        <v>176</v>
      </c>
      <c r="C18" t="s">
        <v>581</v>
      </c>
      <c r="D18">
        <v>176</v>
      </c>
      <c r="E18">
        <v>190</v>
      </c>
      <c r="G18">
        <v>189</v>
      </c>
      <c r="H18" t="s">
        <v>106</v>
      </c>
      <c r="O18">
        <v>15</v>
      </c>
      <c r="P18">
        <v>195</v>
      </c>
    </row>
    <row r="19" spans="2:16" x14ac:dyDescent="0.35">
      <c r="B19">
        <v>177</v>
      </c>
      <c r="C19" t="s">
        <v>582</v>
      </c>
      <c r="D19">
        <v>177</v>
      </c>
      <c r="E19">
        <v>191</v>
      </c>
      <c r="G19">
        <v>190</v>
      </c>
      <c r="H19" t="s">
        <v>107</v>
      </c>
      <c r="O19">
        <v>16</v>
      </c>
      <c r="P19">
        <v>196</v>
      </c>
    </row>
    <row r="20" spans="2:16" x14ac:dyDescent="0.35">
      <c r="B20">
        <v>178</v>
      </c>
      <c r="C20" t="s">
        <v>583</v>
      </c>
      <c r="D20">
        <v>178</v>
      </c>
      <c r="E20">
        <v>188</v>
      </c>
      <c r="G20">
        <v>191</v>
      </c>
      <c r="H20" t="s">
        <v>108</v>
      </c>
      <c r="O20">
        <v>17</v>
      </c>
      <c r="P20">
        <v>197</v>
      </c>
    </row>
    <row r="21" spans="2:16" x14ac:dyDescent="0.35">
      <c r="B21">
        <v>179</v>
      </c>
      <c r="C21" t="s">
        <v>584</v>
      </c>
      <c r="D21">
        <v>179</v>
      </c>
      <c r="E21">
        <v>192</v>
      </c>
      <c r="G21">
        <v>192</v>
      </c>
      <c r="H21" t="s">
        <v>11</v>
      </c>
      <c r="J21">
        <v>12</v>
      </c>
      <c r="K21" t="s">
        <v>11</v>
      </c>
      <c r="O21">
        <v>18</v>
      </c>
      <c r="P21">
        <v>198</v>
      </c>
    </row>
    <row r="22" spans="2:16" x14ac:dyDescent="0.35">
      <c r="B22">
        <v>180</v>
      </c>
      <c r="C22" t="s">
        <v>585</v>
      </c>
      <c r="D22">
        <v>180</v>
      </c>
      <c r="E22">
        <v>193</v>
      </c>
      <c r="G22">
        <v>193</v>
      </c>
      <c r="H22" t="s">
        <v>109</v>
      </c>
      <c r="J22">
        <v>13</v>
      </c>
      <c r="K22" t="s">
        <v>12</v>
      </c>
      <c r="O22">
        <v>19</v>
      </c>
      <c r="P22">
        <v>201</v>
      </c>
    </row>
    <row r="23" spans="2:16" x14ac:dyDescent="0.35">
      <c r="B23">
        <v>181</v>
      </c>
      <c r="C23" t="s">
        <v>586</v>
      </c>
      <c r="D23">
        <v>181</v>
      </c>
      <c r="E23">
        <v>194</v>
      </c>
      <c r="G23">
        <v>194</v>
      </c>
      <c r="H23" t="s">
        <v>13</v>
      </c>
      <c r="J23">
        <v>14</v>
      </c>
      <c r="K23" t="s">
        <v>13</v>
      </c>
      <c r="O23">
        <v>20</v>
      </c>
      <c r="P23">
        <v>203</v>
      </c>
    </row>
    <row r="24" spans="2:16" x14ac:dyDescent="0.35">
      <c r="B24">
        <v>182</v>
      </c>
      <c r="C24" t="s">
        <v>587</v>
      </c>
      <c r="D24">
        <v>182</v>
      </c>
      <c r="E24">
        <v>195</v>
      </c>
      <c r="G24">
        <v>195</v>
      </c>
      <c r="H24" t="s">
        <v>14</v>
      </c>
      <c r="J24">
        <v>15</v>
      </c>
      <c r="K24" t="s">
        <v>14</v>
      </c>
      <c r="O24">
        <v>21</v>
      </c>
      <c r="P24">
        <v>204</v>
      </c>
    </row>
    <row r="25" spans="2:16" x14ac:dyDescent="0.35">
      <c r="B25">
        <v>183</v>
      </c>
      <c r="C25" t="s">
        <v>588</v>
      </c>
      <c r="D25">
        <v>183</v>
      </c>
      <c r="E25">
        <v>196</v>
      </c>
      <c r="G25">
        <v>196</v>
      </c>
      <c r="H25" t="s">
        <v>15</v>
      </c>
      <c r="J25">
        <v>16</v>
      </c>
      <c r="K25" t="s">
        <v>15</v>
      </c>
      <c r="O25">
        <v>22</v>
      </c>
      <c r="P25">
        <v>205</v>
      </c>
    </row>
    <row r="26" spans="2:16" x14ac:dyDescent="0.35">
      <c r="B26">
        <v>184</v>
      </c>
      <c r="C26" t="s">
        <v>589</v>
      </c>
      <c r="D26">
        <v>184</v>
      </c>
      <c r="E26">
        <v>197</v>
      </c>
      <c r="G26">
        <v>197</v>
      </c>
      <c r="H26" t="s">
        <v>16</v>
      </c>
      <c r="I26" t="s">
        <v>355</v>
      </c>
      <c r="J26">
        <v>17</v>
      </c>
      <c r="K26" t="s">
        <v>16</v>
      </c>
      <c r="O26">
        <v>23</v>
      </c>
      <c r="P26">
        <v>206</v>
      </c>
    </row>
    <row r="27" spans="2:16" x14ac:dyDescent="0.35">
      <c r="B27">
        <v>185</v>
      </c>
      <c r="C27" t="s">
        <v>590</v>
      </c>
      <c r="D27">
        <v>185</v>
      </c>
      <c r="E27">
        <v>198</v>
      </c>
      <c r="G27">
        <v>198</v>
      </c>
      <c r="H27" t="s">
        <v>17</v>
      </c>
      <c r="J27">
        <v>18</v>
      </c>
      <c r="K27" t="s">
        <v>17</v>
      </c>
      <c r="O27">
        <v>24</v>
      </c>
      <c r="P27">
        <v>209</v>
      </c>
    </row>
    <row r="28" spans="2:16" x14ac:dyDescent="0.35">
      <c r="B28">
        <v>186</v>
      </c>
      <c r="C28" t="s">
        <v>591</v>
      </c>
      <c r="D28">
        <v>186</v>
      </c>
      <c r="E28">
        <v>200</v>
      </c>
      <c r="G28">
        <v>199</v>
      </c>
      <c r="H28" t="s">
        <v>110</v>
      </c>
      <c r="O28">
        <v>25</v>
      </c>
      <c r="P28">
        <v>210</v>
      </c>
    </row>
    <row r="29" spans="2:16" x14ac:dyDescent="0.35">
      <c r="B29">
        <v>187</v>
      </c>
      <c r="C29" t="s">
        <v>592</v>
      </c>
      <c r="D29">
        <v>187</v>
      </c>
      <c r="E29">
        <v>199</v>
      </c>
      <c r="G29">
        <v>200</v>
      </c>
      <c r="H29" t="s">
        <v>111</v>
      </c>
      <c r="O29">
        <v>26</v>
      </c>
      <c r="P29">
        <v>215</v>
      </c>
    </row>
    <row r="30" spans="2:16" x14ac:dyDescent="0.35">
      <c r="B30">
        <v>188</v>
      </c>
      <c r="C30" t="s">
        <v>593</v>
      </c>
      <c r="D30">
        <v>188</v>
      </c>
      <c r="E30">
        <v>201</v>
      </c>
      <c r="G30">
        <v>201</v>
      </c>
      <c r="H30" t="s">
        <v>18</v>
      </c>
      <c r="J30">
        <v>19</v>
      </c>
      <c r="K30" t="s">
        <v>18</v>
      </c>
      <c r="O30">
        <v>27</v>
      </c>
      <c r="P30">
        <v>216</v>
      </c>
    </row>
    <row r="31" spans="2:16" x14ac:dyDescent="0.35">
      <c r="B31">
        <v>189</v>
      </c>
      <c r="C31" t="s">
        <v>594</v>
      </c>
      <c r="D31">
        <v>189</v>
      </c>
      <c r="E31">
        <v>202</v>
      </c>
      <c r="G31">
        <v>202</v>
      </c>
      <c r="H31" t="s">
        <v>112</v>
      </c>
      <c r="O31">
        <v>28</v>
      </c>
      <c r="P31">
        <v>219</v>
      </c>
    </row>
    <row r="32" spans="2:16" x14ac:dyDescent="0.35">
      <c r="B32">
        <v>190</v>
      </c>
      <c r="C32" t="s">
        <v>595</v>
      </c>
      <c r="D32">
        <v>190</v>
      </c>
      <c r="E32">
        <v>203</v>
      </c>
      <c r="G32">
        <v>203</v>
      </c>
      <c r="H32" t="s">
        <v>113</v>
      </c>
      <c r="J32">
        <v>20</v>
      </c>
      <c r="K32" t="s">
        <v>19</v>
      </c>
      <c r="O32">
        <v>29</v>
      </c>
      <c r="P32">
        <v>220</v>
      </c>
    </row>
    <row r="33" spans="2:16" x14ac:dyDescent="0.35">
      <c r="B33">
        <v>191</v>
      </c>
      <c r="C33" t="s">
        <v>596</v>
      </c>
      <c r="D33">
        <v>191</v>
      </c>
      <c r="E33">
        <v>204</v>
      </c>
      <c r="G33">
        <v>204</v>
      </c>
      <c r="H33" t="s">
        <v>20</v>
      </c>
      <c r="J33">
        <v>21</v>
      </c>
      <c r="K33" t="s">
        <v>20</v>
      </c>
      <c r="O33">
        <v>30</v>
      </c>
      <c r="P33">
        <v>221</v>
      </c>
    </row>
    <row r="34" spans="2:16" x14ac:dyDescent="0.35">
      <c r="B34">
        <v>192</v>
      </c>
      <c r="C34" t="s">
        <v>597</v>
      </c>
      <c r="D34">
        <v>192</v>
      </c>
      <c r="E34">
        <v>205</v>
      </c>
      <c r="G34">
        <v>205</v>
      </c>
      <c r="H34" t="s">
        <v>21</v>
      </c>
      <c r="J34">
        <v>22</v>
      </c>
      <c r="K34" t="s">
        <v>21</v>
      </c>
      <c r="O34">
        <v>31</v>
      </c>
      <c r="P34">
        <v>221</v>
      </c>
    </row>
    <row r="35" spans="2:16" x14ac:dyDescent="0.35">
      <c r="B35">
        <v>193</v>
      </c>
      <c r="C35" t="s">
        <v>598</v>
      </c>
      <c r="D35">
        <v>193</v>
      </c>
      <c r="G35">
        <v>206</v>
      </c>
      <c r="H35" t="s">
        <v>22</v>
      </c>
      <c r="J35">
        <v>23</v>
      </c>
      <c r="K35" t="s">
        <v>22</v>
      </c>
      <c r="O35">
        <v>32</v>
      </c>
      <c r="P35">
        <v>322</v>
      </c>
    </row>
    <row r="36" spans="2:16" x14ac:dyDescent="0.35">
      <c r="B36">
        <v>194</v>
      </c>
      <c r="C36" t="s">
        <v>599</v>
      </c>
      <c r="D36">
        <v>194</v>
      </c>
      <c r="E36">
        <v>206</v>
      </c>
      <c r="G36">
        <v>207</v>
      </c>
      <c r="H36" t="s">
        <v>1329</v>
      </c>
      <c r="O36">
        <v>33</v>
      </c>
      <c r="P36">
        <v>222</v>
      </c>
    </row>
    <row r="37" spans="2:16" x14ac:dyDescent="0.35">
      <c r="B37">
        <v>195</v>
      </c>
      <c r="C37" t="s">
        <v>600</v>
      </c>
      <c r="D37">
        <v>195</v>
      </c>
      <c r="E37">
        <v>207</v>
      </c>
      <c r="G37">
        <v>208</v>
      </c>
      <c r="H37" t="s">
        <v>115</v>
      </c>
      <c r="O37">
        <v>34</v>
      </c>
      <c r="P37">
        <v>222</v>
      </c>
    </row>
    <row r="38" spans="2:16" x14ac:dyDescent="0.35">
      <c r="B38">
        <v>196</v>
      </c>
      <c r="C38" t="s">
        <v>601</v>
      </c>
      <c r="D38">
        <v>196</v>
      </c>
      <c r="E38">
        <v>208</v>
      </c>
      <c r="G38">
        <v>209</v>
      </c>
      <c r="H38" t="s">
        <v>23</v>
      </c>
      <c r="J38">
        <v>24</v>
      </c>
      <c r="K38" t="s">
        <v>23</v>
      </c>
      <c r="O38">
        <v>35</v>
      </c>
      <c r="P38">
        <v>222</v>
      </c>
    </row>
    <row r="39" spans="2:16" x14ac:dyDescent="0.35">
      <c r="B39">
        <v>197</v>
      </c>
      <c r="C39" t="s">
        <v>602</v>
      </c>
      <c r="D39">
        <v>197</v>
      </c>
      <c r="E39">
        <v>209</v>
      </c>
      <c r="G39">
        <v>210</v>
      </c>
      <c r="H39" t="s">
        <v>24</v>
      </c>
      <c r="J39">
        <v>25</v>
      </c>
      <c r="K39" t="s">
        <v>24</v>
      </c>
      <c r="O39">
        <v>36</v>
      </c>
      <c r="P39">
        <v>223</v>
      </c>
    </row>
    <row r="40" spans="2:16" x14ac:dyDescent="0.35">
      <c r="B40">
        <v>198</v>
      </c>
      <c r="C40" t="s">
        <v>603</v>
      </c>
      <c r="D40">
        <v>198</v>
      </c>
      <c r="E40">
        <v>210</v>
      </c>
      <c r="G40">
        <v>211</v>
      </c>
      <c r="H40" t="s">
        <v>116</v>
      </c>
      <c r="O40">
        <v>37</v>
      </c>
      <c r="P40">
        <v>224</v>
      </c>
    </row>
    <row r="41" spans="2:16" x14ac:dyDescent="0.35">
      <c r="B41">
        <v>199</v>
      </c>
      <c r="C41" t="s">
        <v>604</v>
      </c>
      <c r="D41">
        <v>199</v>
      </c>
      <c r="E41">
        <v>212</v>
      </c>
      <c r="G41">
        <v>212</v>
      </c>
      <c r="H41" t="s">
        <v>117</v>
      </c>
      <c r="O41">
        <v>38</v>
      </c>
      <c r="P41">
        <v>225</v>
      </c>
    </row>
    <row r="42" spans="2:16" x14ac:dyDescent="0.35">
      <c r="B42">
        <v>200</v>
      </c>
      <c r="C42" t="s">
        <v>605</v>
      </c>
      <c r="D42">
        <v>200</v>
      </c>
      <c r="E42">
        <v>211</v>
      </c>
      <c r="O42">
        <v>39</v>
      </c>
      <c r="P42">
        <v>226</v>
      </c>
    </row>
    <row r="43" spans="2:16" x14ac:dyDescent="0.35">
      <c r="B43">
        <v>201</v>
      </c>
      <c r="C43" t="s">
        <v>606</v>
      </c>
      <c r="D43">
        <v>201</v>
      </c>
      <c r="E43">
        <v>213</v>
      </c>
      <c r="G43">
        <v>213</v>
      </c>
      <c r="H43" t="s">
        <v>118</v>
      </c>
      <c r="O43">
        <v>40</v>
      </c>
      <c r="P43">
        <v>227</v>
      </c>
    </row>
    <row r="44" spans="2:16" x14ac:dyDescent="0.35">
      <c r="B44">
        <v>202</v>
      </c>
      <c r="C44" t="s">
        <v>607</v>
      </c>
      <c r="D44">
        <v>202</v>
      </c>
      <c r="E44">
        <v>214</v>
      </c>
      <c r="G44">
        <v>214</v>
      </c>
      <c r="H44" t="s">
        <v>119</v>
      </c>
      <c r="O44">
        <v>41</v>
      </c>
      <c r="P44">
        <v>228</v>
      </c>
    </row>
    <row r="45" spans="2:16" x14ac:dyDescent="0.35">
      <c r="B45">
        <v>203</v>
      </c>
      <c r="C45" t="s">
        <v>608</v>
      </c>
      <c r="D45">
        <v>203</v>
      </c>
      <c r="E45">
        <v>215</v>
      </c>
      <c r="G45">
        <v>215</v>
      </c>
      <c r="H45" t="s">
        <v>25</v>
      </c>
      <c r="J45">
        <v>26</v>
      </c>
      <c r="K45" t="s">
        <v>25</v>
      </c>
      <c r="O45">
        <v>42</v>
      </c>
      <c r="P45">
        <v>229</v>
      </c>
    </row>
    <row r="46" spans="2:16" x14ac:dyDescent="0.35">
      <c r="B46">
        <v>204</v>
      </c>
      <c r="C46" t="s">
        <v>609</v>
      </c>
      <c r="D46">
        <v>204</v>
      </c>
      <c r="E46">
        <v>216</v>
      </c>
      <c r="G46">
        <v>216</v>
      </c>
      <c r="H46" t="s">
        <v>120</v>
      </c>
      <c r="J46">
        <v>27</v>
      </c>
      <c r="K46" t="s">
        <v>26</v>
      </c>
      <c r="O46">
        <v>43</v>
      </c>
      <c r="P46">
        <v>230</v>
      </c>
    </row>
    <row r="47" spans="2:16" x14ac:dyDescent="0.35">
      <c r="B47">
        <v>205</v>
      </c>
      <c r="C47" t="s">
        <v>732</v>
      </c>
      <c r="D47">
        <v>205</v>
      </c>
      <c r="O47">
        <v>44</v>
      </c>
      <c r="P47">
        <v>231</v>
      </c>
    </row>
    <row r="48" spans="2:16" x14ac:dyDescent="0.35">
      <c r="B48">
        <v>206</v>
      </c>
      <c r="C48" t="s">
        <v>610</v>
      </c>
      <c r="D48">
        <v>206</v>
      </c>
      <c r="E48">
        <v>217</v>
      </c>
      <c r="G48">
        <v>217</v>
      </c>
      <c r="H48" t="s">
        <v>358</v>
      </c>
      <c r="O48">
        <v>45</v>
      </c>
      <c r="P48">
        <v>233</v>
      </c>
    </row>
    <row r="49" spans="2:16" x14ac:dyDescent="0.35">
      <c r="B49">
        <v>207</v>
      </c>
      <c r="C49" t="s">
        <v>611</v>
      </c>
      <c r="D49">
        <v>207</v>
      </c>
      <c r="E49">
        <v>218</v>
      </c>
      <c r="G49">
        <v>218</v>
      </c>
      <c r="H49" t="s">
        <v>121</v>
      </c>
      <c r="O49">
        <v>46</v>
      </c>
      <c r="P49">
        <v>234</v>
      </c>
    </row>
    <row r="50" spans="2:16" x14ac:dyDescent="0.35">
      <c r="B50">
        <v>208</v>
      </c>
      <c r="C50" t="s">
        <v>612</v>
      </c>
      <c r="D50">
        <v>208</v>
      </c>
      <c r="E50">
        <v>219</v>
      </c>
      <c r="G50">
        <v>219</v>
      </c>
      <c r="H50" t="s">
        <v>27</v>
      </c>
      <c r="J50">
        <v>28</v>
      </c>
      <c r="K50" t="s">
        <v>27</v>
      </c>
      <c r="O50">
        <v>47</v>
      </c>
      <c r="P50">
        <v>235</v>
      </c>
    </row>
    <row r="51" spans="2:16" x14ac:dyDescent="0.35">
      <c r="B51">
        <v>209</v>
      </c>
      <c r="C51" t="s">
        <v>613</v>
      </c>
      <c r="D51">
        <v>209</v>
      </c>
      <c r="E51">
        <v>220</v>
      </c>
      <c r="G51">
        <v>220</v>
      </c>
      <c r="H51" t="s">
        <v>28</v>
      </c>
      <c r="J51">
        <v>29</v>
      </c>
      <c r="K51" t="s">
        <v>28</v>
      </c>
      <c r="O51">
        <v>48</v>
      </c>
      <c r="P51">
        <v>236</v>
      </c>
    </row>
    <row r="52" spans="2:16" x14ac:dyDescent="0.35">
      <c r="B52">
        <v>210</v>
      </c>
      <c r="C52" t="s">
        <v>614</v>
      </c>
      <c r="D52">
        <v>210</v>
      </c>
      <c r="E52">
        <v>221</v>
      </c>
      <c r="G52">
        <v>221</v>
      </c>
      <c r="H52" t="s">
        <v>122</v>
      </c>
      <c r="J52">
        <v>30</v>
      </c>
      <c r="K52" t="s">
        <v>29</v>
      </c>
      <c r="O52">
        <v>49</v>
      </c>
      <c r="P52">
        <v>237</v>
      </c>
    </row>
    <row r="53" spans="2:16" x14ac:dyDescent="0.35">
      <c r="B53">
        <v>211</v>
      </c>
      <c r="C53" t="s">
        <v>615</v>
      </c>
      <c r="D53">
        <v>211</v>
      </c>
      <c r="E53">
        <v>222</v>
      </c>
      <c r="G53">
        <v>221</v>
      </c>
      <c r="J53" s="1">
        <v>31</v>
      </c>
      <c r="K53" t="s">
        <v>30</v>
      </c>
      <c r="O53">
        <v>50</v>
      </c>
      <c r="P53">
        <v>239</v>
      </c>
    </row>
    <row r="54" spans="2:16" x14ac:dyDescent="0.35">
      <c r="B54">
        <v>212</v>
      </c>
      <c r="C54" t="s">
        <v>734</v>
      </c>
      <c r="D54">
        <v>212</v>
      </c>
      <c r="G54" s="1">
        <v>322</v>
      </c>
      <c r="J54" s="1">
        <v>32</v>
      </c>
      <c r="K54" t="s">
        <v>31</v>
      </c>
      <c r="O54">
        <v>51</v>
      </c>
      <c r="P54">
        <v>240</v>
      </c>
    </row>
    <row r="55" spans="2:16" x14ac:dyDescent="0.35">
      <c r="B55">
        <v>213</v>
      </c>
      <c r="C55" t="s">
        <v>616</v>
      </c>
      <c r="D55">
        <v>213</v>
      </c>
      <c r="E55">
        <v>223</v>
      </c>
      <c r="G55">
        <v>222</v>
      </c>
      <c r="J55" s="1">
        <v>33</v>
      </c>
      <c r="K55" t="s">
        <v>32</v>
      </c>
      <c r="O55">
        <v>52</v>
      </c>
      <c r="P55">
        <v>241</v>
      </c>
    </row>
    <row r="56" spans="2:16" x14ac:dyDescent="0.35">
      <c r="B56">
        <v>214</v>
      </c>
      <c r="C56" t="s">
        <v>617</v>
      </c>
      <c r="D56">
        <v>214</v>
      </c>
      <c r="E56">
        <v>224</v>
      </c>
      <c r="G56">
        <v>222</v>
      </c>
      <c r="J56" s="1">
        <v>34</v>
      </c>
      <c r="K56" t="s">
        <v>33</v>
      </c>
      <c r="O56">
        <v>53</v>
      </c>
      <c r="P56">
        <v>242</v>
      </c>
    </row>
    <row r="57" spans="2:16" x14ac:dyDescent="0.35">
      <c r="B57">
        <v>215</v>
      </c>
      <c r="C57" t="s">
        <v>618</v>
      </c>
      <c r="D57">
        <v>215</v>
      </c>
      <c r="E57">
        <v>225</v>
      </c>
      <c r="G57">
        <v>222</v>
      </c>
      <c r="H57" t="s">
        <v>34</v>
      </c>
      <c r="J57">
        <v>35</v>
      </c>
      <c r="K57" t="s">
        <v>34</v>
      </c>
      <c r="O57">
        <v>54</v>
      </c>
      <c r="P57">
        <v>243</v>
      </c>
    </row>
    <row r="58" spans="2:16" x14ac:dyDescent="0.35">
      <c r="B58">
        <v>216</v>
      </c>
      <c r="C58" t="s">
        <v>619</v>
      </c>
      <c r="D58">
        <v>216</v>
      </c>
      <c r="E58">
        <v>226</v>
      </c>
      <c r="G58">
        <v>223</v>
      </c>
      <c r="H58" t="s">
        <v>123</v>
      </c>
      <c r="J58">
        <v>36</v>
      </c>
      <c r="K58" t="s">
        <v>35</v>
      </c>
      <c r="O58">
        <v>55</v>
      </c>
      <c r="P58">
        <v>244</v>
      </c>
    </row>
    <row r="59" spans="2:16" x14ac:dyDescent="0.35">
      <c r="B59">
        <v>217</v>
      </c>
      <c r="C59" t="s">
        <v>620</v>
      </c>
      <c r="D59">
        <v>217</v>
      </c>
      <c r="E59">
        <v>227</v>
      </c>
      <c r="G59">
        <v>224</v>
      </c>
      <c r="H59" t="s">
        <v>36</v>
      </c>
      <c r="J59">
        <v>37</v>
      </c>
      <c r="K59" t="s">
        <v>36</v>
      </c>
      <c r="O59">
        <v>56</v>
      </c>
      <c r="P59">
        <v>245</v>
      </c>
    </row>
    <row r="60" spans="2:16" x14ac:dyDescent="0.35">
      <c r="B60">
        <v>218</v>
      </c>
      <c r="C60" t="s">
        <v>621</v>
      </c>
      <c r="D60">
        <v>218</v>
      </c>
      <c r="E60">
        <v>228</v>
      </c>
      <c r="G60">
        <v>225</v>
      </c>
      <c r="H60" t="s">
        <v>37</v>
      </c>
      <c r="J60">
        <v>38</v>
      </c>
      <c r="K60" t="s">
        <v>37</v>
      </c>
      <c r="O60">
        <v>57</v>
      </c>
      <c r="P60">
        <v>322</v>
      </c>
    </row>
    <row r="61" spans="2:16" x14ac:dyDescent="0.35">
      <c r="B61">
        <v>219</v>
      </c>
      <c r="C61" t="s">
        <v>622</v>
      </c>
      <c r="D61">
        <v>219</v>
      </c>
      <c r="E61">
        <v>229</v>
      </c>
      <c r="G61">
        <v>226</v>
      </c>
      <c r="H61" t="s">
        <v>38</v>
      </c>
      <c r="J61">
        <v>39</v>
      </c>
      <c r="K61" t="s">
        <v>38</v>
      </c>
      <c r="O61">
        <v>58</v>
      </c>
      <c r="P61">
        <v>246</v>
      </c>
    </row>
    <row r="62" spans="2:16" x14ac:dyDescent="0.35">
      <c r="B62">
        <v>220</v>
      </c>
      <c r="C62" t="s">
        <v>623</v>
      </c>
      <c r="D62">
        <v>220</v>
      </c>
      <c r="E62">
        <v>230</v>
      </c>
      <c r="G62">
        <v>227</v>
      </c>
      <c r="H62" t="s">
        <v>39</v>
      </c>
      <c r="J62">
        <v>40</v>
      </c>
      <c r="K62" t="s">
        <v>39</v>
      </c>
      <c r="O62">
        <v>59</v>
      </c>
      <c r="P62">
        <v>248</v>
      </c>
    </row>
    <row r="63" spans="2:16" x14ac:dyDescent="0.35">
      <c r="B63">
        <v>221</v>
      </c>
      <c r="C63" t="s">
        <v>624</v>
      </c>
      <c r="D63">
        <v>221</v>
      </c>
      <c r="E63">
        <v>231</v>
      </c>
      <c r="G63">
        <v>228</v>
      </c>
      <c r="H63" t="s">
        <v>40</v>
      </c>
      <c r="J63">
        <v>41</v>
      </c>
      <c r="K63" t="s">
        <v>40</v>
      </c>
      <c r="O63">
        <v>60</v>
      </c>
      <c r="P63">
        <v>249</v>
      </c>
    </row>
    <row r="64" spans="2:16" x14ac:dyDescent="0.35">
      <c r="B64">
        <v>222</v>
      </c>
      <c r="C64" s="33" t="s">
        <v>625</v>
      </c>
      <c r="D64">
        <v>222</v>
      </c>
      <c r="E64">
        <v>232</v>
      </c>
      <c r="G64">
        <v>229</v>
      </c>
      <c r="H64" t="s">
        <v>41</v>
      </c>
      <c r="J64">
        <v>42</v>
      </c>
      <c r="K64" t="s">
        <v>41</v>
      </c>
      <c r="O64">
        <v>61</v>
      </c>
      <c r="P64">
        <v>250</v>
      </c>
    </row>
    <row r="65" spans="2:16" x14ac:dyDescent="0.35">
      <c r="B65">
        <v>223</v>
      </c>
      <c r="C65" t="s">
        <v>626</v>
      </c>
      <c r="D65">
        <v>223</v>
      </c>
      <c r="E65">
        <v>233</v>
      </c>
      <c r="G65">
        <v>230</v>
      </c>
      <c r="H65" t="s">
        <v>42</v>
      </c>
      <c r="J65">
        <v>43</v>
      </c>
      <c r="K65" t="s">
        <v>42</v>
      </c>
      <c r="O65">
        <v>62</v>
      </c>
      <c r="P65">
        <v>251</v>
      </c>
    </row>
    <row r="66" spans="2:16" x14ac:dyDescent="0.35">
      <c r="B66">
        <v>224</v>
      </c>
      <c r="C66" t="s">
        <v>627</v>
      </c>
      <c r="D66">
        <v>224</v>
      </c>
      <c r="E66">
        <v>234</v>
      </c>
      <c r="G66">
        <v>231</v>
      </c>
      <c r="H66" t="s">
        <v>43</v>
      </c>
      <c r="J66">
        <v>44</v>
      </c>
      <c r="K66" t="s">
        <v>43</v>
      </c>
      <c r="O66">
        <v>63</v>
      </c>
      <c r="P66">
        <v>252</v>
      </c>
    </row>
    <row r="67" spans="2:16" x14ac:dyDescent="0.35">
      <c r="B67">
        <v>225</v>
      </c>
      <c r="C67" t="s">
        <v>628</v>
      </c>
      <c r="D67">
        <v>225</v>
      </c>
      <c r="E67">
        <v>235</v>
      </c>
      <c r="G67">
        <v>232</v>
      </c>
      <c r="H67" t="s">
        <v>359</v>
      </c>
      <c r="O67">
        <v>64</v>
      </c>
      <c r="P67">
        <v>253</v>
      </c>
    </row>
    <row r="68" spans="2:16" x14ac:dyDescent="0.35">
      <c r="B68">
        <v>226</v>
      </c>
      <c r="C68" t="s">
        <v>629</v>
      </c>
      <c r="D68">
        <v>226</v>
      </c>
      <c r="E68">
        <v>236</v>
      </c>
      <c r="G68">
        <v>233</v>
      </c>
      <c r="H68" t="s">
        <v>124</v>
      </c>
      <c r="J68">
        <v>45</v>
      </c>
      <c r="K68" t="s">
        <v>44</v>
      </c>
      <c r="O68">
        <v>65</v>
      </c>
      <c r="P68">
        <v>254</v>
      </c>
    </row>
    <row r="69" spans="2:16" x14ac:dyDescent="0.35">
      <c r="B69">
        <v>227</v>
      </c>
      <c r="C69" t="s">
        <v>630</v>
      </c>
      <c r="D69">
        <v>227</v>
      </c>
      <c r="E69">
        <v>237</v>
      </c>
      <c r="G69">
        <v>234</v>
      </c>
      <c r="H69" t="s">
        <v>45</v>
      </c>
      <c r="J69">
        <v>46</v>
      </c>
      <c r="K69" t="s">
        <v>45</v>
      </c>
      <c r="O69">
        <v>66</v>
      </c>
      <c r="P69">
        <v>255</v>
      </c>
    </row>
    <row r="70" spans="2:16" x14ac:dyDescent="0.35">
      <c r="B70">
        <v>228</v>
      </c>
      <c r="C70" t="s">
        <v>631</v>
      </c>
      <c r="D70">
        <v>228</v>
      </c>
      <c r="E70">
        <v>238</v>
      </c>
      <c r="G70">
        <v>235</v>
      </c>
      <c r="H70" t="s">
        <v>46</v>
      </c>
      <c r="J70">
        <v>47</v>
      </c>
      <c r="K70" t="s">
        <v>46</v>
      </c>
      <c r="O70">
        <v>67</v>
      </c>
      <c r="P70">
        <v>256</v>
      </c>
    </row>
    <row r="71" spans="2:16" x14ac:dyDescent="0.35">
      <c r="B71">
        <v>229</v>
      </c>
      <c r="C71" t="s">
        <v>632</v>
      </c>
      <c r="D71">
        <v>229</v>
      </c>
      <c r="E71">
        <v>239</v>
      </c>
      <c r="G71">
        <v>236</v>
      </c>
      <c r="H71" t="s">
        <v>47</v>
      </c>
      <c r="J71">
        <v>48</v>
      </c>
      <c r="K71" t="s">
        <v>47</v>
      </c>
      <c r="O71">
        <v>68</v>
      </c>
      <c r="P71">
        <v>257</v>
      </c>
    </row>
    <row r="72" spans="2:16" x14ac:dyDescent="0.35">
      <c r="B72">
        <v>230</v>
      </c>
      <c r="C72" t="s">
        <v>633</v>
      </c>
      <c r="D72">
        <v>230</v>
      </c>
      <c r="E72">
        <v>245</v>
      </c>
      <c r="G72">
        <v>237</v>
      </c>
      <c r="H72" t="s">
        <v>48</v>
      </c>
      <c r="J72">
        <v>49</v>
      </c>
      <c r="K72" t="s">
        <v>48</v>
      </c>
      <c r="O72">
        <v>69</v>
      </c>
      <c r="P72">
        <v>258</v>
      </c>
    </row>
    <row r="73" spans="2:16" x14ac:dyDescent="0.35">
      <c r="B73">
        <v>231</v>
      </c>
      <c r="C73" t="s">
        <v>634</v>
      </c>
      <c r="D73">
        <v>231</v>
      </c>
      <c r="E73">
        <v>248</v>
      </c>
      <c r="G73">
        <v>238</v>
      </c>
      <c r="H73" t="s">
        <v>125</v>
      </c>
      <c r="O73">
        <v>70</v>
      </c>
      <c r="P73">
        <v>259</v>
      </c>
    </row>
    <row r="74" spans="2:16" x14ac:dyDescent="0.35">
      <c r="B74">
        <v>232</v>
      </c>
      <c r="C74" t="s">
        <v>635</v>
      </c>
      <c r="D74">
        <v>232</v>
      </c>
      <c r="E74">
        <v>246</v>
      </c>
      <c r="G74">
        <v>239</v>
      </c>
      <c r="H74" t="s">
        <v>126</v>
      </c>
      <c r="J74">
        <v>50</v>
      </c>
      <c r="K74" t="s">
        <v>49</v>
      </c>
      <c r="O74">
        <v>71</v>
      </c>
      <c r="P74">
        <v>266</v>
      </c>
    </row>
    <row r="75" spans="2:16" x14ac:dyDescent="0.35">
      <c r="B75">
        <v>233</v>
      </c>
      <c r="C75" t="s">
        <v>636</v>
      </c>
      <c r="D75">
        <v>233</v>
      </c>
      <c r="E75">
        <v>247</v>
      </c>
      <c r="G75">
        <v>240</v>
      </c>
      <c r="H75" t="s">
        <v>50</v>
      </c>
      <c r="J75">
        <v>51</v>
      </c>
      <c r="K75" t="s">
        <v>50</v>
      </c>
      <c r="O75">
        <v>72</v>
      </c>
      <c r="P75">
        <v>260</v>
      </c>
    </row>
    <row r="76" spans="2:16" x14ac:dyDescent="0.35">
      <c r="B76">
        <v>234</v>
      </c>
      <c r="C76" t="s">
        <v>637</v>
      </c>
      <c r="D76">
        <v>234</v>
      </c>
      <c r="E76">
        <v>240</v>
      </c>
      <c r="G76">
        <v>241</v>
      </c>
      <c r="H76" t="s">
        <v>51</v>
      </c>
      <c r="J76">
        <v>52</v>
      </c>
      <c r="K76" t="s">
        <v>51</v>
      </c>
      <c r="O76">
        <v>73</v>
      </c>
      <c r="P76">
        <v>262</v>
      </c>
    </row>
    <row r="77" spans="2:16" x14ac:dyDescent="0.35">
      <c r="B77">
        <v>235</v>
      </c>
      <c r="C77" t="s">
        <v>638</v>
      </c>
      <c r="D77">
        <v>235</v>
      </c>
      <c r="E77">
        <v>241</v>
      </c>
      <c r="G77">
        <v>242</v>
      </c>
      <c r="H77" t="s">
        <v>52</v>
      </c>
      <c r="J77">
        <v>53</v>
      </c>
      <c r="K77" t="s">
        <v>52</v>
      </c>
      <c r="O77">
        <v>74</v>
      </c>
      <c r="P77">
        <v>263</v>
      </c>
    </row>
    <row r="78" spans="2:16" x14ac:dyDescent="0.35">
      <c r="B78">
        <v>236</v>
      </c>
      <c r="C78" t="s">
        <v>639</v>
      </c>
      <c r="D78">
        <v>236</v>
      </c>
      <c r="E78">
        <v>242</v>
      </c>
      <c r="G78">
        <v>243</v>
      </c>
      <c r="H78" t="s">
        <v>53</v>
      </c>
      <c r="J78">
        <v>54</v>
      </c>
      <c r="K78" t="s">
        <v>53</v>
      </c>
      <c r="O78">
        <v>75</v>
      </c>
      <c r="P78">
        <v>264</v>
      </c>
    </row>
    <row r="79" spans="2:16" x14ac:dyDescent="0.35">
      <c r="B79">
        <v>237</v>
      </c>
      <c r="C79" t="s">
        <v>640</v>
      </c>
      <c r="D79">
        <v>237</v>
      </c>
      <c r="E79">
        <v>243</v>
      </c>
      <c r="G79">
        <v>244</v>
      </c>
      <c r="H79" t="s">
        <v>54</v>
      </c>
      <c r="J79">
        <v>55</v>
      </c>
      <c r="K79" t="s">
        <v>54</v>
      </c>
      <c r="O79">
        <v>76</v>
      </c>
      <c r="P79">
        <v>265</v>
      </c>
    </row>
    <row r="80" spans="2:16" x14ac:dyDescent="0.35">
      <c r="B80">
        <v>238</v>
      </c>
      <c r="C80" t="s">
        <v>641</v>
      </c>
      <c r="D80">
        <v>238</v>
      </c>
      <c r="E80">
        <v>244</v>
      </c>
      <c r="G80">
        <v>245</v>
      </c>
      <c r="H80" t="s">
        <v>55</v>
      </c>
      <c r="J80">
        <v>56</v>
      </c>
      <c r="K80" t="s">
        <v>55</v>
      </c>
      <c r="O80">
        <v>77</v>
      </c>
      <c r="P80">
        <v>267</v>
      </c>
    </row>
    <row r="81" spans="2:16" x14ac:dyDescent="0.35">
      <c r="B81">
        <v>239</v>
      </c>
      <c r="C81" t="s">
        <v>642</v>
      </c>
      <c r="D81">
        <v>239</v>
      </c>
      <c r="E81">
        <v>249</v>
      </c>
      <c r="G81" s="1">
        <v>322</v>
      </c>
      <c r="J81" s="1">
        <v>57</v>
      </c>
      <c r="K81" t="s">
        <v>56</v>
      </c>
      <c r="O81">
        <v>78</v>
      </c>
      <c r="P81">
        <v>268</v>
      </c>
    </row>
    <row r="82" spans="2:16" x14ac:dyDescent="0.35">
      <c r="B82">
        <v>240</v>
      </c>
      <c r="C82" t="s">
        <v>643</v>
      </c>
      <c r="D82">
        <v>240</v>
      </c>
      <c r="E82">
        <v>250</v>
      </c>
      <c r="G82">
        <v>246</v>
      </c>
      <c r="H82" t="s">
        <v>57</v>
      </c>
      <c r="J82">
        <v>58</v>
      </c>
      <c r="K82" t="s">
        <v>57</v>
      </c>
      <c r="O82">
        <v>79</v>
      </c>
      <c r="P82">
        <v>269</v>
      </c>
    </row>
    <row r="83" spans="2:16" x14ac:dyDescent="0.35">
      <c r="B83">
        <v>241</v>
      </c>
      <c r="C83" t="s">
        <v>644</v>
      </c>
      <c r="D83">
        <v>241</v>
      </c>
      <c r="E83">
        <v>251</v>
      </c>
      <c r="G83">
        <v>247</v>
      </c>
      <c r="H83" t="s">
        <v>127</v>
      </c>
      <c r="O83">
        <v>80</v>
      </c>
      <c r="P83">
        <v>269</v>
      </c>
    </row>
    <row r="84" spans="2:16" x14ac:dyDescent="0.35">
      <c r="B84">
        <v>242</v>
      </c>
      <c r="C84" t="s">
        <v>645</v>
      </c>
      <c r="D84">
        <v>242</v>
      </c>
      <c r="E84">
        <v>252</v>
      </c>
      <c r="G84">
        <v>248</v>
      </c>
      <c r="H84" t="s">
        <v>58</v>
      </c>
      <c r="J84">
        <v>59</v>
      </c>
      <c r="K84" t="s">
        <v>58</v>
      </c>
      <c r="O84">
        <v>81</v>
      </c>
      <c r="P84">
        <v>269</v>
      </c>
    </row>
    <row r="85" spans="2:16" x14ac:dyDescent="0.35">
      <c r="B85">
        <v>243</v>
      </c>
      <c r="C85" t="s">
        <v>646</v>
      </c>
      <c r="D85">
        <v>243</v>
      </c>
      <c r="E85">
        <v>253</v>
      </c>
      <c r="G85">
        <v>249</v>
      </c>
      <c r="H85" t="s">
        <v>59</v>
      </c>
      <c r="J85">
        <v>60</v>
      </c>
      <c r="K85" t="s">
        <v>59</v>
      </c>
      <c r="O85">
        <v>82</v>
      </c>
      <c r="P85">
        <v>270</v>
      </c>
    </row>
    <row r="86" spans="2:16" x14ac:dyDescent="0.35">
      <c r="B86">
        <v>244</v>
      </c>
      <c r="C86" t="s">
        <v>647</v>
      </c>
      <c r="D86">
        <v>244</v>
      </c>
      <c r="E86">
        <v>255</v>
      </c>
      <c r="G86">
        <v>250</v>
      </c>
      <c r="H86" t="s">
        <v>60</v>
      </c>
      <c r="J86">
        <v>61</v>
      </c>
      <c r="K86" t="s">
        <v>60</v>
      </c>
      <c r="O86">
        <v>83</v>
      </c>
      <c r="P86">
        <v>271</v>
      </c>
    </row>
    <row r="87" spans="2:16" x14ac:dyDescent="0.35">
      <c r="B87">
        <v>245</v>
      </c>
      <c r="C87" t="s">
        <v>648</v>
      </c>
      <c r="D87">
        <v>245</v>
      </c>
      <c r="E87">
        <v>256</v>
      </c>
      <c r="G87">
        <v>251</v>
      </c>
      <c r="H87" t="s">
        <v>61</v>
      </c>
      <c r="J87">
        <v>62</v>
      </c>
      <c r="K87" t="s">
        <v>61</v>
      </c>
      <c r="O87">
        <v>84</v>
      </c>
      <c r="P87">
        <v>272</v>
      </c>
    </row>
    <row r="88" spans="2:16" x14ac:dyDescent="0.35">
      <c r="B88">
        <v>246</v>
      </c>
      <c r="C88" t="s">
        <v>649</v>
      </c>
      <c r="D88">
        <v>246</v>
      </c>
      <c r="E88">
        <v>257</v>
      </c>
      <c r="G88">
        <v>252</v>
      </c>
      <c r="H88" t="s">
        <v>62</v>
      </c>
      <c r="J88">
        <v>63</v>
      </c>
      <c r="K88" t="s">
        <v>62</v>
      </c>
      <c r="O88">
        <v>85</v>
      </c>
      <c r="P88">
        <v>273</v>
      </c>
    </row>
    <row r="89" spans="2:16" x14ac:dyDescent="0.35">
      <c r="B89">
        <v>247</v>
      </c>
      <c r="C89" t="s">
        <v>650</v>
      </c>
      <c r="D89">
        <v>247</v>
      </c>
      <c r="E89">
        <v>258</v>
      </c>
      <c r="G89">
        <v>253</v>
      </c>
      <c r="H89" t="s">
        <v>63</v>
      </c>
      <c r="J89">
        <v>64</v>
      </c>
      <c r="K89" t="s">
        <v>63</v>
      </c>
      <c r="O89">
        <v>86</v>
      </c>
      <c r="P89">
        <v>274</v>
      </c>
    </row>
    <row r="90" spans="2:16" x14ac:dyDescent="0.35">
      <c r="B90">
        <v>248</v>
      </c>
      <c r="C90" t="s">
        <v>651</v>
      </c>
      <c r="D90">
        <v>248</v>
      </c>
      <c r="E90">
        <v>259</v>
      </c>
      <c r="G90">
        <v>254</v>
      </c>
      <c r="H90" t="s">
        <v>64</v>
      </c>
      <c r="J90">
        <v>65</v>
      </c>
      <c r="K90" t="s">
        <v>64</v>
      </c>
      <c r="O90">
        <v>87</v>
      </c>
      <c r="P90">
        <v>275</v>
      </c>
    </row>
    <row r="91" spans="2:16" x14ac:dyDescent="0.35">
      <c r="B91">
        <v>249</v>
      </c>
      <c r="C91" t="s">
        <v>652</v>
      </c>
      <c r="D91">
        <v>249</v>
      </c>
      <c r="E91">
        <v>260</v>
      </c>
      <c r="G91">
        <v>255</v>
      </c>
      <c r="H91" t="s">
        <v>65</v>
      </c>
      <c r="J91">
        <v>66</v>
      </c>
      <c r="K91" t="s">
        <v>65</v>
      </c>
      <c r="O91">
        <v>88</v>
      </c>
      <c r="P91">
        <v>276</v>
      </c>
    </row>
    <row r="92" spans="2:16" x14ac:dyDescent="0.35">
      <c r="B92">
        <v>250</v>
      </c>
      <c r="C92" t="s">
        <v>653</v>
      </c>
      <c r="D92">
        <v>250</v>
      </c>
      <c r="E92">
        <v>261</v>
      </c>
      <c r="G92">
        <v>256</v>
      </c>
      <c r="H92" t="s">
        <v>66</v>
      </c>
      <c r="J92">
        <v>67</v>
      </c>
      <c r="K92" t="s">
        <v>66</v>
      </c>
      <c r="O92">
        <v>89</v>
      </c>
      <c r="P92">
        <v>277</v>
      </c>
    </row>
    <row r="93" spans="2:16" x14ac:dyDescent="0.35">
      <c r="B93">
        <v>251</v>
      </c>
      <c r="C93" t="s">
        <v>654</v>
      </c>
      <c r="D93">
        <v>251</v>
      </c>
      <c r="E93">
        <v>262</v>
      </c>
      <c r="G93">
        <v>257</v>
      </c>
      <c r="H93" t="s">
        <v>67</v>
      </c>
      <c r="J93">
        <v>68</v>
      </c>
      <c r="K93" t="s">
        <v>67</v>
      </c>
      <c r="O93">
        <v>91</v>
      </c>
      <c r="P93">
        <v>280</v>
      </c>
    </row>
    <row r="94" spans="2:16" x14ac:dyDescent="0.35">
      <c r="B94">
        <v>252</v>
      </c>
      <c r="C94" t="s">
        <v>655</v>
      </c>
      <c r="D94">
        <v>252</v>
      </c>
      <c r="E94">
        <v>263</v>
      </c>
      <c r="G94">
        <v>258</v>
      </c>
      <c r="H94" t="s">
        <v>68</v>
      </c>
      <c r="J94">
        <v>69</v>
      </c>
      <c r="K94" t="s">
        <v>68</v>
      </c>
      <c r="O94">
        <v>90</v>
      </c>
      <c r="P94">
        <v>282</v>
      </c>
    </row>
    <row r="95" spans="2:16" x14ac:dyDescent="0.35">
      <c r="B95">
        <v>253</v>
      </c>
      <c r="C95" t="s">
        <v>656</v>
      </c>
      <c r="D95">
        <v>253</v>
      </c>
      <c r="E95">
        <v>264</v>
      </c>
      <c r="G95">
        <v>259</v>
      </c>
      <c r="H95" t="s">
        <v>69</v>
      </c>
      <c r="J95">
        <v>70</v>
      </c>
      <c r="K95" t="s">
        <v>69</v>
      </c>
      <c r="O95">
        <v>92</v>
      </c>
      <c r="P95">
        <v>286</v>
      </c>
    </row>
    <row r="96" spans="2:16" x14ac:dyDescent="0.35">
      <c r="B96">
        <v>254</v>
      </c>
      <c r="C96" t="s">
        <v>657</v>
      </c>
      <c r="D96">
        <v>254</v>
      </c>
      <c r="E96">
        <v>265</v>
      </c>
      <c r="G96" s="1">
        <v>266</v>
      </c>
      <c r="H96" t="s">
        <v>70</v>
      </c>
      <c r="J96">
        <v>71</v>
      </c>
      <c r="K96" t="s">
        <v>70</v>
      </c>
      <c r="O96">
        <v>93</v>
      </c>
      <c r="P96">
        <v>287</v>
      </c>
    </row>
    <row r="97" spans="2:16" x14ac:dyDescent="0.35">
      <c r="B97">
        <v>255</v>
      </c>
      <c r="C97" t="s">
        <v>658</v>
      </c>
      <c r="D97">
        <v>255</v>
      </c>
      <c r="E97">
        <v>266</v>
      </c>
      <c r="G97">
        <v>260</v>
      </c>
      <c r="H97" t="s">
        <v>71</v>
      </c>
      <c r="J97">
        <v>72</v>
      </c>
      <c r="K97" t="s">
        <v>71</v>
      </c>
      <c r="O97">
        <v>94</v>
      </c>
      <c r="P97">
        <v>295</v>
      </c>
    </row>
    <row r="98" spans="2:16" x14ac:dyDescent="0.35">
      <c r="B98">
        <v>256</v>
      </c>
      <c r="C98" t="s">
        <v>659</v>
      </c>
      <c r="D98">
        <v>256</v>
      </c>
      <c r="E98">
        <v>267</v>
      </c>
      <c r="G98">
        <v>261</v>
      </c>
      <c r="H98" t="s">
        <v>78</v>
      </c>
      <c r="O98">
        <v>95</v>
      </c>
      <c r="P98">
        <v>297</v>
      </c>
    </row>
    <row r="99" spans="2:16" x14ac:dyDescent="0.35">
      <c r="B99">
        <v>257</v>
      </c>
      <c r="C99" t="s">
        <v>660</v>
      </c>
      <c r="D99">
        <v>257</v>
      </c>
      <c r="E99">
        <v>268</v>
      </c>
      <c r="G99">
        <v>262</v>
      </c>
      <c r="H99" t="s">
        <v>72</v>
      </c>
      <c r="J99">
        <v>73</v>
      </c>
      <c r="K99" t="s">
        <v>72</v>
      </c>
      <c r="O99">
        <v>96</v>
      </c>
      <c r="P99">
        <v>301</v>
      </c>
    </row>
    <row r="100" spans="2:16" x14ac:dyDescent="0.35">
      <c r="B100">
        <v>258</v>
      </c>
      <c r="C100" t="s">
        <v>661</v>
      </c>
      <c r="D100">
        <v>258</v>
      </c>
      <c r="E100">
        <v>269</v>
      </c>
      <c r="G100">
        <v>263</v>
      </c>
      <c r="H100" t="s">
        <v>73</v>
      </c>
      <c r="J100">
        <v>74</v>
      </c>
      <c r="K100" t="s">
        <v>73</v>
      </c>
      <c r="O100">
        <v>97</v>
      </c>
      <c r="P100">
        <v>302</v>
      </c>
    </row>
    <row r="101" spans="2:16" x14ac:dyDescent="0.35">
      <c r="B101">
        <v>259</v>
      </c>
      <c r="C101" t="s">
        <v>662</v>
      </c>
      <c r="D101">
        <v>259</v>
      </c>
      <c r="E101">
        <v>254</v>
      </c>
      <c r="G101">
        <v>264</v>
      </c>
      <c r="H101" t="s">
        <v>74</v>
      </c>
      <c r="J101">
        <v>75</v>
      </c>
      <c r="K101" t="s">
        <v>74</v>
      </c>
      <c r="O101">
        <v>98</v>
      </c>
      <c r="P101">
        <v>303</v>
      </c>
    </row>
    <row r="102" spans="2:16" x14ac:dyDescent="0.35">
      <c r="B102">
        <v>260</v>
      </c>
      <c r="C102" t="s">
        <v>728</v>
      </c>
      <c r="D102">
        <v>260</v>
      </c>
      <c r="G102">
        <v>265</v>
      </c>
      <c r="H102" t="s">
        <v>128</v>
      </c>
      <c r="J102">
        <v>76</v>
      </c>
      <c r="K102" t="s">
        <v>75</v>
      </c>
      <c r="O102">
        <v>99</v>
      </c>
      <c r="P102">
        <v>304</v>
      </c>
    </row>
    <row r="103" spans="2:16" x14ac:dyDescent="0.35">
      <c r="B103">
        <v>261</v>
      </c>
      <c r="C103" t="s">
        <v>663</v>
      </c>
      <c r="D103">
        <v>261</v>
      </c>
      <c r="E103">
        <v>270</v>
      </c>
      <c r="G103">
        <v>267</v>
      </c>
      <c r="H103" t="s">
        <v>76</v>
      </c>
      <c r="J103">
        <v>77</v>
      </c>
      <c r="K103" t="s">
        <v>76</v>
      </c>
      <c r="O103">
        <v>100</v>
      </c>
      <c r="P103">
        <v>307</v>
      </c>
    </row>
    <row r="104" spans="2:16" x14ac:dyDescent="0.35">
      <c r="B104">
        <v>262</v>
      </c>
      <c r="C104" t="s">
        <v>664</v>
      </c>
      <c r="D104">
        <v>262</v>
      </c>
      <c r="E104">
        <v>271</v>
      </c>
      <c r="G104">
        <v>268</v>
      </c>
      <c r="H104" t="s">
        <v>129</v>
      </c>
      <c r="J104">
        <v>78</v>
      </c>
      <c r="K104" t="s">
        <v>77</v>
      </c>
      <c r="O104">
        <v>101</v>
      </c>
      <c r="P104">
        <v>308</v>
      </c>
    </row>
    <row r="105" spans="2:16" x14ac:dyDescent="0.35">
      <c r="B105">
        <v>263</v>
      </c>
      <c r="C105" t="s">
        <v>665</v>
      </c>
      <c r="D105">
        <v>263</v>
      </c>
      <c r="E105">
        <v>272</v>
      </c>
      <c r="G105">
        <v>269</v>
      </c>
      <c r="H105" t="s">
        <v>130</v>
      </c>
      <c r="J105">
        <v>79</v>
      </c>
      <c r="K105" t="s">
        <v>78</v>
      </c>
      <c r="O105">
        <v>102</v>
      </c>
      <c r="P105">
        <v>309</v>
      </c>
    </row>
    <row r="106" spans="2:16" x14ac:dyDescent="0.35">
      <c r="B106">
        <v>264</v>
      </c>
      <c r="C106" t="s">
        <v>666</v>
      </c>
      <c r="D106">
        <v>264</v>
      </c>
      <c r="E106">
        <v>275</v>
      </c>
      <c r="G106">
        <v>269</v>
      </c>
      <c r="J106" s="1">
        <v>80</v>
      </c>
      <c r="K106" t="s">
        <v>79</v>
      </c>
    </row>
    <row r="107" spans="2:16" x14ac:dyDescent="0.35">
      <c r="B107">
        <v>265</v>
      </c>
      <c r="C107" t="s">
        <v>667</v>
      </c>
      <c r="D107">
        <v>265</v>
      </c>
      <c r="E107">
        <v>276</v>
      </c>
      <c r="G107">
        <v>269</v>
      </c>
      <c r="J107" s="1">
        <v>81</v>
      </c>
      <c r="K107" t="s">
        <v>80</v>
      </c>
    </row>
    <row r="108" spans="2:16" x14ac:dyDescent="0.35">
      <c r="B108">
        <v>266</v>
      </c>
      <c r="C108" t="s">
        <v>668</v>
      </c>
      <c r="D108">
        <v>266</v>
      </c>
      <c r="E108">
        <v>277</v>
      </c>
      <c r="G108">
        <v>270</v>
      </c>
      <c r="H108" t="s">
        <v>81</v>
      </c>
      <c r="J108">
        <v>82</v>
      </c>
      <c r="K108" t="s">
        <v>81</v>
      </c>
    </row>
    <row r="109" spans="2:16" x14ac:dyDescent="0.35">
      <c r="B109">
        <v>267</v>
      </c>
      <c r="C109" t="s">
        <v>669</v>
      </c>
      <c r="D109">
        <v>267</v>
      </c>
      <c r="E109">
        <v>273</v>
      </c>
      <c r="G109">
        <v>271</v>
      </c>
      <c r="H109" t="s">
        <v>82</v>
      </c>
      <c r="J109">
        <v>83</v>
      </c>
      <c r="K109" t="s">
        <v>82</v>
      </c>
    </row>
    <row r="110" spans="2:16" x14ac:dyDescent="0.35">
      <c r="B110">
        <v>268</v>
      </c>
      <c r="C110" t="s">
        <v>670</v>
      </c>
      <c r="D110">
        <v>268</v>
      </c>
      <c r="E110">
        <v>274</v>
      </c>
      <c r="G110">
        <v>272</v>
      </c>
      <c r="H110" t="s">
        <v>83</v>
      </c>
      <c r="J110">
        <v>84</v>
      </c>
      <c r="K110" t="s">
        <v>83</v>
      </c>
    </row>
    <row r="111" spans="2:16" x14ac:dyDescent="0.35">
      <c r="B111">
        <v>269</v>
      </c>
      <c r="C111" t="s">
        <v>671</v>
      </c>
      <c r="D111">
        <v>269</v>
      </c>
      <c r="E111">
        <v>278</v>
      </c>
      <c r="G111">
        <v>273</v>
      </c>
      <c r="H111" t="s">
        <v>84</v>
      </c>
      <c r="J111">
        <v>85</v>
      </c>
      <c r="K111" t="s">
        <v>84</v>
      </c>
    </row>
    <row r="112" spans="2:16" x14ac:dyDescent="0.35">
      <c r="B112">
        <v>270</v>
      </c>
      <c r="C112" t="s">
        <v>672</v>
      </c>
      <c r="D112">
        <v>270</v>
      </c>
      <c r="E112">
        <v>279</v>
      </c>
      <c r="G112">
        <v>274</v>
      </c>
      <c r="H112" t="s">
        <v>85</v>
      </c>
      <c r="J112">
        <v>86</v>
      </c>
      <c r="K112" t="s">
        <v>85</v>
      </c>
    </row>
    <row r="113" spans="2:11" x14ac:dyDescent="0.35">
      <c r="B113">
        <v>271</v>
      </c>
      <c r="C113" t="s">
        <v>673</v>
      </c>
      <c r="D113">
        <v>271</v>
      </c>
      <c r="E113">
        <v>280</v>
      </c>
      <c r="G113">
        <v>275</v>
      </c>
      <c r="H113" t="s">
        <v>86</v>
      </c>
      <c r="J113">
        <v>87</v>
      </c>
      <c r="K113" t="s">
        <v>86</v>
      </c>
    </row>
    <row r="114" spans="2:11" x14ac:dyDescent="0.35">
      <c r="B114">
        <v>272</v>
      </c>
      <c r="C114" t="s">
        <v>674</v>
      </c>
      <c r="D114">
        <v>272</v>
      </c>
      <c r="E114">
        <v>281</v>
      </c>
      <c r="G114">
        <v>276</v>
      </c>
      <c r="H114" t="s">
        <v>87</v>
      </c>
      <c r="J114">
        <v>88</v>
      </c>
      <c r="K114" t="s">
        <v>87</v>
      </c>
    </row>
    <row r="115" spans="2:11" x14ac:dyDescent="0.35">
      <c r="B115">
        <v>273</v>
      </c>
      <c r="C115" t="s">
        <v>675</v>
      </c>
      <c r="D115">
        <v>273</v>
      </c>
      <c r="E115">
        <v>282</v>
      </c>
      <c r="G115">
        <v>277</v>
      </c>
      <c r="H115" t="s">
        <v>88</v>
      </c>
      <c r="J115">
        <v>89</v>
      </c>
      <c r="K115" t="s">
        <v>88</v>
      </c>
    </row>
    <row r="116" spans="2:11" x14ac:dyDescent="0.35">
      <c r="B116">
        <v>274</v>
      </c>
      <c r="C116" t="s">
        <v>676</v>
      </c>
      <c r="D116">
        <v>274</v>
      </c>
      <c r="E116">
        <v>283</v>
      </c>
      <c r="G116">
        <v>278</v>
      </c>
      <c r="H116" t="s">
        <v>131</v>
      </c>
      <c r="I116" t="s">
        <v>101</v>
      </c>
    </row>
    <row r="117" spans="2:11" x14ac:dyDescent="0.35">
      <c r="B117">
        <v>275</v>
      </c>
      <c r="C117" t="s">
        <v>677</v>
      </c>
      <c r="D117">
        <v>275</v>
      </c>
      <c r="E117">
        <v>284</v>
      </c>
      <c r="G117">
        <v>279</v>
      </c>
      <c r="H117" t="s">
        <v>360</v>
      </c>
    </row>
    <row r="118" spans="2:11" x14ac:dyDescent="0.35">
      <c r="B118">
        <v>276</v>
      </c>
      <c r="C118" t="s">
        <v>678</v>
      </c>
      <c r="D118">
        <v>276</v>
      </c>
      <c r="E118">
        <v>285</v>
      </c>
      <c r="G118">
        <v>280</v>
      </c>
      <c r="H118" t="s">
        <v>90</v>
      </c>
      <c r="J118">
        <v>91</v>
      </c>
      <c r="K118" t="s">
        <v>90</v>
      </c>
    </row>
    <row r="119" spans="2:11" x14ac:dyDescent="0.35">
      <c r="B119">
        <v>277</v>
      </c>
      <c r="C119" t="s">
        <v>679</v>
      </c>
      <c r="D119">
        <v>277</v>
      </c>
      <c r="E119">
        <v>286</v>
      </c>
      <c r="G119">
        <v>281</v>
      </c>
      <c r="H119" t="s">
        <v>132</v>
      </c>
    </row>
    <row r="120" spans="2:11" x14ac:dyDescent="0.35">
      <c r="B120">
        <v>278</v>
      </c>
      <c r="C120" t="s">
        <v>680</v>
      </c>
      <c r="D120">
        <v>278</v>
      </c>
      <c r="E120">
        <v>287</v>
      </c>
      <c r="G120">
        <v>282</v>
      </c>
      <c r="H120" t="s">
        <v>89</v>
      </c>
      <c r="J120">
        <v>90</v>
      </c>
      <c r="K120" t="s">
        <v>89</v>
      </c>
    </row>
    <row r="121" spans="2:11" x14ac:dyDescent="0.35">
      <c r="B121">
        <v>279</v>
      </c>
      <c r="C121" t="s">
        <v>681</v>
      </c>
      <c r="D121">
        <v>279</v>
      </c>
      <c r="E121">
        <v>288</v>
      </c>
      <c r="G121">
        <v>283</v>
      </c>
      <c r="H121" t="s">
        <v>133</v>
      </c>
    </row>
    <row r="122" spans="2:11" x14ac:dyDescent="0.35">
      <c r="B122">
        <v>280</v>
      </c>
      <c r="C122" t="s">
        <v>682</v>
      </c>
      <c r="D122">
        <v>280</v>
      </c>
      <c r="E122">
        <v>290</v>
      </c>
      <c r="G122">
        <v>284</v>
      </c>
      <c r="H122" t="s">
        <v>134</v>
      </c>
    </row>
    <row r="123" spans="2:11" x14ac:dyDescent="0.35">
      <c r="B123">
        <v>281</v>
      </c>
      <c r="C123" t="s">
        <v>683</v>
      </c>
      <c r="D123">
        <v>281</v>
      </c>
      <c r="E123">
        <v>291</v>
      </c>
      <c r="G123">
        <v>285</v>
      </c>
      <c r="H123" t="s">
        <v>135</v>
      </c>
    </row>
    <row r="124" spans="2:11" x14ac:dyDescent="0.35">
      <c r="B124">
        <v>282</v>
      </c>
      <c r="C124" t="s">
        <v>684</v>
      </c>
      <c r="D124">
        <v>282</v>
      </c>
      <c r="E124">
        <v>292</v>
      </c>
      <c r="G124">
        <v>286</v>
      </c>
      <c r="H124" t="s">
        <v>136</v>
      </c>
      <c r="J124">
        <v>92</v>
      </c>
      <c r="K124" t="s">
        <v>91</v>
      </c>
    </row>
    <row r="125" spans="2:11" x14ac:dyDescent="0.35">
      <c r="B125">
        <v>283</v>
      </c>
      <c r="C125" t="s">
        <v>685</v>
      </c>
      <c r="D125">
        <v>283</v>
      </c>
      <c r="E125">
        <v>289</v>
      </c>
      <c r="G125">
        <v>287</v>
      </c>
      <c r="H125" t="s">
        <v>137</v>
      </c>
      <c r="J125">
        <v>93</v>
      </c>
      <c r="K125" t="s">
        <v>92</v>
      </c>
    </row>
    <row r="126" spans="2:11" x14ac:dyDescent="0.35">
      <c r="B126">
        <v>284</v>
      </c>
      <c r="C126" t="s">
        <v>686</v>
      </c>
      <c r="D126">
        <v>284</v>
      </c>
      <c r="E126">
        <v>293</v>
      </c>
      <c r="G126">
        <v>288</v>
      </c>
      <c r="H126" t="s">
        <v>138</v>
      </c>
    </row>
    <row r="127" spans="2:11" x14ac:dyDescent="0.35">
      <c r="B127">
        <v>285</v>
      </c>
      <c r="C127" t="s">
        <v>687</v>
      </c>
      <c r="D127">
        <v>285</v>
      </c>
      <c r="E127">
        <v>294</v>
      </c>
      <c r="G127">
        <v>289</v>
      </c>
      <c r="H127" t="s">
        <v>139</v>
      </c>
    </row>
    <row r="128" spans="2:11" x14ac:dyDescent="0.35">
      <c r="B128">
        <v>286</v>
      </c>
      <c r="C128" t="s">
        <v>688</v>
      </c>
      <c r="D128">
        <v>286</v>
      </c>
      <c r="E128">
        <v>295</v>
      </c>
      <c r="G128">
        <v>290</v>
      </c>
      <c r="H128" t="s">
        <v>140</v>
      </c>
    </row>
    <row r="129" spans="2:11" x14ac:dyDescent="0.35">
      <c r="B129">
        <v>287</v>
      </c>
      <c r="C129" t="s">
        <v>689</v>
      </c>
      <c r="D129">
        <v>287</v>
      </c>
      <c r="E129">
        <v>296</v>
      </c>
      <c r="G129">
        <v>291</v>
      </c>
      <c r="H129" t="s">
        <v>141</v>
      </c>
    </row>
    <row r="130" spans="2:11" x14ac:dyDescent="0.35">
      <c r="B130">
        <v>288</v>
      </c>
      <c r="C130" t="s">
        <v>690</v>
      </c>
      <c r="D130">
        <v>288</v>
      </c>
      <c r="E130">
        <v>297</v>
      </c>
      <c r="G130">
        <v>292</v>
      </c>
      <c r="H130" t="s">
        <v>91</v>
      </c>
    </row>
    <row r="131" spans="2:11" x14ac:dyDescent="0.35">
      <c r="B131">
        <v>289</v>
      </c>
      <c r="C131" t="s">
        <v>691</v>
      </c>
      <c r="D131">
        <v>289</v>
      </c>
      <c r="E131">
        <v>298</v>
      </c>
      <c r="G131">
        <v>293</v>
      </c>
      <c r="H131" t="s">
        <v>142</v>
      </c>
    </row>
    <row r="132" spans="2:11" x14ac:dyDescent="0.35">
      <c r="B132">
        <v>290</v>
      </c>
      <c r="C132" t="s">
        <v>692</v>
      </c>
      <c r="D132">
        <v>290</v>
      </c>
      <c r="E132">
        <v>299</v>
      </c>
      <c r="G132">
        <v>294</v>
      </c>
      <c r="H132" t="s">
        <v>143</v>
      </c>
    </row>
    <row r="133" spans="2:11" x14ac:dyDescent="0.35">
      <c r="B133">
        <v>291</v>
      </c>
      <c r="C133" t="s">
        <v>693</v>
      </c>
      <c r="D133">
        <v>291</v>
      </c>
      <c r="E133">
        <v>300</v>
      </c>
      <c r="G133">
        <v>295</v>
      </c>
      <c r="H133" t="s">
        <v>93</v>
      </c>
      <c r="J133">
        <v>94</v>
      </c>
      <c r="K133" t="s">
        <v>93</v>
      </c>
    </row>
    <row r="134" spans="2:11" x14ac:dyDescent="0.35">
      <c r="B134">
        <v>292</v>
      </c>
      <c r="C134" t="s">
        <v>694</v>
      </c>
      <c r="D134">
        <v>292</v>
      </c>
      <c r="E134">
        <v>306</v>
      </c>
      <c r="G134">
        <v>296</v>
      </c>
      <c r="H134" t="s">
        <v>361</v>
      </c>
    </row>
    <row r="135" spans="2:11" x14ac:dyDescent="0.35">
      <c r="B135">
        <v>293</v>
      </c>
      <c r="C135" t="s">
        <v>695</v>
      </c>
      <c r="D135">
        <v>293</v>
      </c>
      <c r="E135">
        <v>301</v>
      </c>
      <c r="G135">
        <v>297</v>
      </c>
      <c r="H135" t="s">
        <v>94</v>
      </c>
      <c r="J135">
        <v>95</v>
      </c>
      <c r="K135" t="s">
        <v>94</v>
      </c>
    </row>
    <row r="136" spans="2:11" x14ac:dyDescent="0.35">
      <c r="B136">
        <v>294</v>
      </c>
      <c r="C136" t="s">
        <v>696</v>
      </c>
      <c r="D136">
        <v>294</v>
      </c>
      <c r="E136">
        <v>303</v>
      </c>
      <c r="G136">
        <v>298</v>
      </c>
      <c r="H136" t="s">
        <v>363</v>
      </c>
    </row>
    <row r="137" spans="2:11" x14ac:dyDescent="0.35">
      <c r="B137">
        <v>295</v>
      </c>
      <c r="C137" t="s">
        <v>697</v>
      </c>
      <c r="D137">
        <v>295</v>
      </c>
      <c r="E137">
        <v>304</v>
      </c>
      <c r="G137">
        <v>299</v>
      </c>
      <c r="H137" t="s">
        <v>144</v>
      </c>
    </row>
    <row r="138" spans="2:11" x14ac:dyDescent="0.35">
      <c r="B138">
        <v>296</v>
      </c>
      <c r="C138" t="s">
        <v>698</v>
      </c>
      <c r="D138">
        <v>296</v>
      </c>
      <c r="E138">
        <v>305</v>
      </c>
      <c r="G138">
        <v>300</v>
      </c>
      <c r="H138" t="s">
        <v>145</v>
      </c>
    </row>
    <row r="139" spans="2:11" x14ac:dyDescent="0.35">
      <c r="B139">
        <v>297</v>
      </c>
      <c r="C139" t="s">
        <v>699</v>
      </c>
      <c r="D139">
        <v>297</v>
      </c>
      <c r="E139">
        <v>302</v>
      </c>
      <c r="G139">
        <v>301</v>
      </c>
      <c r="H139" t="s">
        <v>95</v>
      </c>
      <c r="J139">
        <v>96</v>
      </c>
      <c r="K139" t="s">
        <v>95</v>
      </c>
    </row>
    <row r="140" spans="2:11" x14ac:dyDescent="0.35">
      <c r="B140">
        <v>298</v>
      </c>
      <c r="C140" t="s">
        <v>700</v>
      </c>
      <c r="D140">
        <v>298</v>
      </c>
      <c r="E140">
        <v>312</v>
      </c>
      <c r="G140">
        <v>302</v>
      </c>
      <c r="H140" t="s">
        <v>96</v>
      </c>
      <c r="J140">
        <v>97</v>
      </c>
      <c r="K140" t="s">
        <v>96</v>
      </c>
    </row>
    <row r="141" spans="2:11" x14ac:dyDescent="0.35">
      <c r="B141">
        <v>299</v>
      </c>
      <c r="C141" t="s">
        <v>701</v>
      </c>
      <c r="D141">
        <v>299</v>
      </c>
      <c r="E141">
        <v>313</v>
      </c>
      <c r="G141">
        <v>303</v>
      </c>
      <c r="H141" t="s">
        <v>97</v>
      </c>
      <c r="J141">
        <v>98</v>
      </c>
      <c r="K141" t="s">
        <v>97</v>
      </c>
    </row>
    <row r="142" spans="2:11" x14ac:dyDescent="0.35">
      <c r="B142">
        <v>300</v>
      </c>
      <c r="C142" t="s">
        <v>702</v>
      </c>
      <c r="D142">
        <v>300</v>
      </c>
      <c r="E142">
        <v>310</v>
      </c>
      <c r="G142">
        <v>304</v>
      </c>
      <c r="H142" t="s">
        <v>146</v>
      </c>
      <c r="J142">
        <v>99</v>
      </c>
      <c r="K142" t="s">
        <v>98</v>
      </c>
    </row>
    <row r="143" spans="2:11" x14ac:dyDescent="0.35">
      <c r="B143">
        <v>301</v>
      </c>
      <c r="C143" t="s">
        <v>703</v>
      </c>
      <c r="D143">
        <v>301</v>
      </c>
      <c r="E143">
        <v>311</v>
      </c>
      <c r="G143">
        <v>305</v>
      </c>
      <c r="H143" t="s">
        <v>367</v>
      </c>
    </row>
    <row r="144" spans="2:11" x14ac:dyDescent="0.35">
      <c r="B144">
        <v>302</v>
      </c>
      <c r="C144" t="s">
        <v>704</v>
      </c>
      <c r="D144">
        <v>302</v>
      </c>
      <c r="E144">
        <v>307</v>
      </c>
      <c r="G144">
        <v>306</v>
      </c>
      <c r="H144" t="s">
        <v>147</v>
      </c>
    </row>
    <row r="145" spans="2:11" x14ac:dyDescent="0.35">
      <c r="B145">
        <v>303</v>
      </c>
      <c r="C145" t="s">
        <v>705</v>
      </c>
      <c r="D145">
        <v>303</v>
      </c>
      <c r="E145">
        <v>308</v>
      </c>
      <c r="G145">
        <v>307</v>
      </c>
      <c r="H145" t="s">
        <v>99</v>
      </c>
      <c r="J145">
        <v>100</v>
      </c>
      <c r="K145" t="s">
        <v>99</v>
      </c>
    </row>
    <row r="146" spans="2:11" x14ac:dyDescent="0.35">
      <c r="B146">
        <v>304</v>
      </c>
      <c r="C146" t="s">
        <v>706</v>
      </c>
      <c r="D146">
        <v>304</v>
      </c>
      <c r="E146">
        <v>309</v>
      </c>
      <c r="G146">
        <v>308</v>
      </c>
      <c r="H146" t="s">
        <v>100</v>
      </c>
      <c r="J146">
        <v>101</v>
      </c>
      <c r="K146" t="s">
        <v>100</v>
      </c>
    </row>
    <row r="147" spans="2:11" x14ac:dyDescent="0.35">
      <c r="B147">
        <v>305</v>
      </c>
      <c r="C147" t="s">
        <v>707</v>
      </c>
      <c r="D147">
        <v>305</v>
      </c>
      <c r="E147">
        <v>314</v>
      </c>
      <c r="G147">
        <v>309</v>
      </c>
      <c r="H147" t="s">
        <v>148</v>
      </c>
      <c r="J147">
        <v>102</v>
      </c>
      <c r="K147" t="s">
        <v>148</v>
      </c>
    </row>
    <row r="148" spans="2:11" x14ac:dyDescent="0.35">
      <c r="B148">
        <v>306</v>
      </c>
      <c r="C148" t="s">
        <v>708</v>
      </c>
      <c r="D148">
        <v>306</v>
      </c>
      <c r="E148">
        <v>315</v>
      </c>
      <c r="G148">
        <v>310</v>
      </c>
      <c r="H148" t="s">
        <v>149</v>
      </c>
    </row>
    <row r="149" spans="2:11" x14ac:dyDescent="0.35">
      <c r="B149">
        <v>307</v>
      </c>
      <c r="C149" t="s">
        <v>709</v>
      </c>
      <c r="D149">
        <v>307</v>
      </c>
      <c r="E149">
        <v>316</v>
      </c>
      <c r="G149">
        <v>311</v>
      </c>
      <c r="H149" t="s">
        <v>366</v>
      </c>
    </row>
    <row r="150" spans="2:11" x14ac:dyDescent="0.35">
      <c r="B150">
        <v>308</v>
      </c>
      <c r="C150" t="s">
        <v>710</v>
      </c>
      <c r="D150">
        <v>308</v>
      </c>
      <c r="E150">
        <v>317</v>
      </c>
      <c r="G150">
        <v>312</v>
      </c>
      <c r="H150" t="s">
        <v>150</v>
      </c>
    </row>
    <row r="151" spans="2:11" x14ac:dyDescent="0.35">
      <c r="B151">
        <v>309</v>
      </c>
      <c r="C151" t="s">
        <v>711</v>
      </c>
      <c r="D151">
        <v>309</v>
      </c>
      <c r="E151">
        <v>318</v>
      </c>
      <c r="G151">
        <v>313</v>
      </c>
      <c r="H151" t="s">
        <v>365</v>
      </c>
    </row>
    <row r="152" spans="2:11" x14ac:dyDescent="0.35">
      <c r="B152">
        <v>310</v>
      </c>
      <c r="C152" t="s">
        <v>712</v>
      </c>
      <c r="D152">
        <v>310</v>
      </c>
      <c r="E152">
        <v>319</v>
      </c>
      <c r="G152">
        <v>314</v>
      </c>
      <c r="H152" t="s">
        <v>151</v>
      </c>
    </row>
    <row r="153" spans="2:11" x14ac:dyDescent="0.35">
      <c r="B153">
        <v>311</v>
      </c>
      <c r="C153" t="s">
        <v>727</v>
      </c>
      <c r="D153">
        <v>311</v>
      </c>
      <c r="E153">
        <v>321</v>
      </c>
      <c r="F153">
        <v>320</v>
      </c>
      <c r="G153">
        <v>315</v>
      </c>
      <c r="H153" t="s">
        <v>364</v>
      </c>
    </row>
    <row r="154" spans="2:11" x14ac:dyDescent="0.35">
      <c r="B154">
        <v>312</v>
      </c>
      <c r="C154" t="s">
        <v>564</v>
      </c>
      <c r="D154">
        <v>312</v>
      </c>
      <c r="G154">
        <v>316</v>
      </c>
      <c r="H154" t="s">
        <v>152</v>
      </c>
    </row>
    <row r="155" spans="2:11" x14ac:dyDescent="0.35">
      <c r="G155">
        <v>317</v>
      </c>
      <c r="H155" t="s">
        <v>153</v>
      </c>
    </row>
    <row r="156" spans="2:11" x14ac:dyDescent="0.35">
      <c r="G156">
        <v>318</v>
      </c>
      <c r="H156" t="s">
        <v>154</v>
      </c>
    </row>
    <row r="157" spans="2:11" x14ac:dyDescent="0.35">
      <c r="G157">
        <v>319</v>
      </c>
      <c r="H157" t="s">
        <v>155</v>
      </c>
    </row>
    <row r="158" spans="2:11" x14ac:dyDescent="0.35">
      <c r="G158">
        <v>320</v>
      </c>
      <c r="H158" t="s">
        <v>156</v>
      </c>
    </row>
    <row r="159" spans="2:11" x14ac:dyDescent="0.35">
      <c r="G159">
        <v>321</v>
      </c>
      <c r="H15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EICV5</vt:lpstr>
      <vt:lpstr>Sheet3</vt:lpstr>
      <vt:lpstr>Sheet2</vt:lpstr>
      <vt:lpstr>James</vt:lpstr>
      <vt:lpstr>Sheet1</vt:lpstr>
      <vt:lpstr>map_purchase_homeprod</vt:lpstr>
      <vt:lpstr>Final_EICV4</vt:lpstr>
      <vt:lpstr>map_food_EICV3_EICV4</vt:lpstr>
    </vt:vector>
  </TitlesOfParts>
  <Company>IFPRI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Randriamamonjy, Josee (IFPRI)</dc:creator>
  <cp:lastModifiedBy>James Thurlow</cp:lastModifiedBy>
  <dcterms:created xsi:type="dcterms:W3CDTF">2016-07-05T22:04:21Z</dcterms:created>
  <dcterms:modified xsi:type="dcterms:W3CDTF">2020-11-06T06:38:56Z</dcterms:modified>
</cp:coreProperties>
</file>