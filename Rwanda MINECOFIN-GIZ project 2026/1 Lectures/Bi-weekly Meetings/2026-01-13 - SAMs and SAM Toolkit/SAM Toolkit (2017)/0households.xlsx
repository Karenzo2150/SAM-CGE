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7545FB4-F302-4A8E-BA80-9F7B8E4C297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dex" sheetId="1" r:id="rId1"/>
    <sheet name="Data" sheetId="2" r:id="rId2"/>
    <sheet name="Work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6" i="2" l="1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I55" i="2"/>
  <c r="K56" i="3" s="1"/>
  <c r="H55" i="2"/>
  <c r="G55" i="2"/>
  <c r="F55" i="2"/>
  <c r="E55" i="2"/>
  <c r="D55" i="2"/>
  <c r="C55" i="2"/>
  <c r="B55" i="2"/>
  <c r="I54" i="2"/>
  <c r="K55" i="3" s="1"/>
  <c r="H54" i="2"/>
  <c r="G54" i="2"/>
  <c r="F54" i="2"/>
  <c r="E54" i="2"/>
  <c r="D54" i="2"/>
  <c r="C54" i="2"/>
  <c r="B54" i="2"/>
  <c r="I53" i="2"/>
  <c r="K54" i="3" s="1"/>
  <c r="H53" i="2"/>
  <c r="G53" i="2"/>
  <c r="F53" i="2"/>
  <c r="E53" i="2"/>
  <c r="D53" i="2"/>
  <c r="C53" i="2"/>
  <c r="B53" i="2"/>
  <c r="I52" i="2"/>
  <c r="K53" i="3" s="1"/>
  <c r="H52" i="2"/>
  <c r="G52" i="2"/>
  <c r="F52" i="2"/>
  <c r="E52" i="2"/>
  <c r="D52" i="2"/>
  <c r="C52" i="2"/>
  <c r="B52" i="2"/>
  <c r="I51" i="2"/>
  <c r="K52" i="3" s="1"/>
  <c r="H51" i="2"/>
  <c r="G51" i="2"/>
  <c r="F51" i="2"/>
  <c r="E51" i="2"/>
  <c r="D51" i="2"/>
  <c r="C51" i="2"/>
  <c r="B51" i="2"/>
  <c r="I50" i="2"/>
  <c r="K51" i="3" s="1"/>
  <c r="H50" i="2"/>
  <c r="G50" i="2"/>
  <c r="F50" i="2"/>
  <c r="E50" i="2"/>
  <c r="D50" i="2"/>
  <c r="C50" i="2"/>
  <c r="B50" i="2"/>
  <c r="I49" i="2"/>
  <c r="K50" i="3" s="1"/>
  <c r="H49" i="2"/>
  <c r="G49" i="2"/>
  <c r="F49" i="2"/>
  <c r="E49" i="2"/>
  <c r="D49" i="2"/>
  <c r="C49" i="2"/>
  <c r="B49" i="2"/>
  <c r="I48" i="2"/>
  <c r="K49" i="3" s="1"/>
  <c r="H48" i="2"/>
  <c r="G48" i="2"/>
  <c r="F48" i="2"/>
  <c r="E48" i="2"/>
  <c r="D48" i="2"/>
  <c r="C48" i="2"/>
  <c r="B48" i="2"/>
  <c r="I47" i="2"/>
  <c r="K48" i="3" s="1"/>
  <c r="H47" i="2"/>
  <c r="G47" i="2"/>
  <c r="F47" i="2"/>
  <c r="E47" i="2"/>
  <c r="D47" i="2"/>
  <c r="C47" i="2"/>
  <c r="B47" i="2"/>
  <c r="I46" i="2"/>
  <c r="K47" i="3" s="1"/>
  <c r="H46" i="2"/>
  <c r="G46" i="2"/>
  <c r="F46" i="2"/>
  <c r="E46" i="2"/>
  <c r="D46" i="2"/>
  <c r="C46" i="2"/>
  <c r="B46" i="2"/>
  <c r="I45" i="2"/>
  <c r="K46" i="3" s="1"/>
  <c r="H45" i="2"/>
  <c r="G45" i="2"/>
  <c r="F45" i="2"/>
  <c r="E45" i="2"/>
  <c r="D45" i="2"/>
  <c r="C45" i="2"/>
  <c r="B45" i="2"/>
  <c r="I44" i="2"/>
  <c r="K45" i="3" s="1"/>
  <c r="H44" i="2"/>
  <c r="G44" i="2"/>
  <c r="F44" i="2"/>
  <c r="E44" i="2"/>
  <c r="D44" i="2"/>
  <c r="C44" i="2"/>
  <c r="B44" i="2"/>
  <c r="I43" i="2"/>
  <c r="K44" i="3" s="1"/>
  <c r="H43" i="2"/>
  <c r="G43" i="2"/>
  <c r="F43" i="2"/>
  <c r="E43" i="2"/>
  <c r="D43" i="2"/>
  <c r="C43" i="2"/>
  <c r="B43" i="2"/>
  <c r="I42" i="2"/>
  <c r="K43" i="3" s="1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T20" i="2"/>
  <c r="T19" i="2"/>
  <c r="T18" i="2"/>
  <c r="T17" i="2"/>
  <c r="T16" i="2"/>
  <c r="T15" i="2"/>
  <c r="T14" i="2"/>
  <c r="T13" i="2"/>
  <c r="T12" i="2"/>
  <c r="S48" i="3" s="1"/>
  <c r="T48" i="3" s="1"/>
  <c r="T11" i="2"/>
  <c r="T10" i="2"/>
  <c r="T9" i="2"/>
  <c r="T8" i="2"/>
  <c r="T7" i="2"/>
  <c r="T6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S20" i="2"/>
  <c r="R20" i="2"/>
  <c r="Q20" i="2"/>
  <c r="P20" i="2"/>
  <c r="O20" i="2"/>
  <c r="N20" i="2"/>
  <c r="I21" i="3" s="1"/>
  <c r="I20" i="2"/>
  <c r="H20" i="2"/>
  <c r="G20" i="2"/>
  <c r="F20" i="2"/>
  <c r="E20" i="2"/>
  <c r="D20" i="2"/>
  <c r="C20" i="2"/>
  <c r="B20" i="2"/>
  <c r="S19" i="2"/>
  <c r="R19" i="2"/>
  <c r="Q19" i="2"/>
  <c r="P19" i="2"/>
  <c r="O19" i="2"/>
  <c r="N19" i="2"/>
  <c r="I19" i="2"/>
  <c r="H19" i="2"/>
  <c r="G19" i="2"/>
  <c r="F19" i="2"/>
  <c r="E19" i="2"/>
  <c r="D19" i="2"/>
  <c r="C19" i="2"/>
  <c r="B19" i="2"/>
  <c r="S18" i="2"/>
  <c r="R18" i="2"/>
  <c r="Q18" i="2"/>
  <c r="P18" i="2"/>
  <c r="O18" i="2"/>
  <c r="N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I17" i="2"/>
  <c r="H17" i="2"/>
  <c r="G17" i="2"/>
  <c r="F17" i="2"/>
  <c r="E17" i="2"/>
  <c r="D17" i="2"/>
  <c r="C17" i="2"/>
  <c r="B17" i="2"/>
  <c r="S16" i="2"/>
  <c r="R16" i="2"/>
  <c r="M17" i="3" s="1"/>
  <c r="Q16" i="2"/>
  <c r="P16" i="2"/>
  <c r="O16" i="2"/>
  <c r="N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J16" i="3" s="1"/>
  <c r="N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I6" i="2"/>
  <c r="H6" i="2"/>
  <c r="G6" i="2"/>
  <c r="F6" i="2"/>
  <c r="E6" i="2"/>
  <c r="D6" i="2"/>
  <c r="C6" i="2"/>
  <c r="B6" i="2"/>
  <c r="N12" i="3" l="1"/>
  <c r="L16" i="3"/>
  <c r="K17" i="3"/>
  <c r="J8" i="3"/>
  <c r="K8" i="3"/>
  <c r="L8" i="3"/>
  <c r="I10" i="3"/>
  <c r="N11" i="3"/>
  <c r="J17" i="3"/>
  <c r="I8" i="3"/>
  <c r="L17" i="3"/>
  <c r="N17" i="3"/>
  <c r="J15" i="3"/>
  <c r="K20" i="3"/>
  <c r="N13" i="3"/>
  <c r="M11" i="3"/>
  <c r="I17" i="3"/>
  <c r="M19" i="3"/>
  <c r="C61" i="2"/>
  <c r="C63" i="2"/>
  <c r="I7" i="3"/>
  <c r="M8" i="3"/>
  <c r="N8" i="3"/>
  <c r="N27" i="2"/>
  <c r="I60" i="2"/>
  <c r="K61" i="3" s="1"/>
  <c r="P28" i="2"/>
  <c r="F28" i="2"/>
  <c r="N19" i="3"/>
  <c r="H25" i="2"/>
  <c r="P27" i="2"/>
  <c r="R28" i="2"/>
  <c r="F13" i="3"/>
  <c r="I16" i="3"/>
  <c r="J26" i="2"/>
  <c r="S51" i="3"/>
  <c r="T51" i="3" s="1"/>
  <c r="F47" i="3"/>
  <c r="F49" i="3"/>
  <c r="F51" i="3"/>
  <c r="D11" i="3"/>
  <c r="K16" i="3"/>
  <c r="S53" i="3"/>
  <c r="T53" i="3" s="1"/>
  <c r="H43" i="3"/>
  <c r="H45" i="3"/>
  <c r="H47" i="3"/>
  <c r="H49" i="3"/>
  <c r="H51" i="3"/>
  <c r="H53" i="3"/>
  <c r="H55" i="3"/>
  <c r="S55" i="3"/>
  <c r="T55" i="3" s="1"/>
  <c r="P46" i="3"/>
  <c r="P54" i="3"/>
  <c r="O54" i="3"/>
  <c r="I19" i="3"/>
  <c r="E25" i="2"/>
  <c r="G26" i="2"/>
  <c r="J10" i="3"/>
  <c r="L11" i="3"/>
  <c r="J18" i="3"/>
  <c r="L19" i="3"/>
  <c r="N20" i="3"/>
  <c r="K25" i="2"/>
  <c r="K29" i="2"/>
  <c r="S47" i="3"/>
  <c r="T47" i="3" s="1"/>
  <c r="J44" i="3"/>
  <c r="J46" i="3"/>
  <c r="J48" i="3"/>
  <c r="J50" i="3"/>
  <c r="J52" i="3"/>
  <c r="J54" i="3"/>
  <c r="J56" i="3"/>
  <c r="F25" i="2"/>
  <c r="K18" i="3"/>
  <c r="G25" i="2"/>
  <c r="I26" i="2"/>
  <c r="O27" i="2"/>
  <c r="Q28" i="2"/>
  <c r="E13" i="3"/>
  <c r="G14" i="3"/>
  <c r="L18" i="3"/>
  <c r="E21" i="3"/>
  <c r="M25" i="2"/>
  <c r="M29" i="2"/>
  <c r="S49" i="3"/>
  <c r="T49" i="3" s="1"/>
  <c r="D43" i="3"/>
  <c r="D45" i="3"/>
  <c r="O47" i="3"/>
  <c r="D51" i="3"/>
  <c r="O53" i="3"/>
  <c r="O55" i="3"/>
  <c r="C95" i="2"/>
  <c r="H26" i="2"/>
  <c r="D14" i="3"/>
  <c r="M18" i="3"/>
  <c r="D20" i="3"/>
  <c r="F21" i="3"/>
  <c r="E47" i="3"/>
  <c r="E49" i="3"/>
  <c r="E51" i="3"/>
  <c r="E53" i="3"/>
  <c r="E55" i="3"/>
  <c r="B96" i="2"/>
  <c r="P51" i="3"/>
  <c r="N18" i="3"/>
  <c r="D61" i="2"/>
  <c r="D63" i="2"/>
  <c r="F53" i="3"/>
  <c r="F55" i="3"/>
  <c r="C96" i="2"/>
  <c r="D19" i="3"/>
  <c r="F20" i="3"/>
  <c r="E61" i="2"/>
  <c r="E63" i="2"/>
  <c r="G51" i="3"/>
  <c r="G53" i="3"/>
  <c r="G55" i="3"/>
  <c r="E18" i="3"/>
  <c r="R25" i="2"/>
  <c r="F10" i="3"/>
  <c r="D17" i="3"/>
  <c r="G10" i="3"/>
  <c r="E17" i="3"/>
  <c r="G18" i="3"/>
  <c r="J21" i="3"/>
  <c r="O44" i="3"/>
  <c r="O48" i="3"/>
  <c r="B27" i="2"/>
  <c r="F29" i="2"/>
  <c r="F18" i="3"/>
  <c r="F17" i="3"/>
  <c r="I20" i="3"/>
  <c r="K21" i="3"/>
  <c r="P47" i="3"/>
  <c r="P55" i="3"/>
  <c r="P48" i="3"/>
  <c r="P56" i="3"/>
  <c r="S52" i="3"/>
  <c r="T52" i="3" s="1"/>
  <c r="G47" i="3"/>
  <c r="G49" i="3"/>
  <c r="P44" i="3"/>
  <c r="P52" i="3"/>
  <c r="G20" i="3"/>
  <c r="M26" i="2"/>
  <c r="C97" i="2"/>
  <c r="F12" i="3"/>
  <c r="E11" i="3"/>
  <c r="G12" i="3"/>
  <c r="E19" i="3"/>
  <c r="F11" i="3"/>
  <c r="K15" i="3"/>
  <c r="M16" i="3"/>
  <c r="D18" i="3"/>
  <c r="F19" i="3"/>
  <c r="J27" i="2"/>
  <c r="S54" i="3"/>
  <c r="T54" i="3" s="1"/>
  <c r="I43" i="3"/>
  <c r="I45" i="3"/>
  <c r="I47" i="3"/>
  <c r="I49" i="3"/>
  <c r="I51" i="3"/>
  <c r="I53" i="3"/>
  <c r="I55" i="3"/>
  <c r="P45" i="3"/>
  <c r="P53" i="3"/>
  <c r="H60" i="2"/>
  <c r="Q25" i="2"/>
  <c r="C28" i="2"/>
  <c r="N16" i="3"/>
  <c r="K27" i="2"/>
  <c r="Q27" i="2"/>
  <c r="R27" i="2"/>
  <c r="L27" i="2"/>
  <c r="S56" i="3"/>
  <c r="T56" i="3" s="1"/>
  <c r="D56" i="3"/>
  <c r="I25" i="2"/>
  <c r="D27" i="2"/>
  <c r="K13" i="3"/>
  <c r="E44" i="3"/>
  <c r="E46" i="3"/>
  <c r="E48" i="3"/>
  <c r="E50" i="3"/>
  <c r="E52" i="3"/>
  <c r="E54" i="3"/>
  <c r="E56" i="3"/>
  <c r="L13" i="3"/>
  <c r="J20" i="3"/>
  <c r="L21" i="3"/>
  <c r="S43" i="3"/>
  <c r="T43" i="3" s="1"/>
  <c r="D60" i="2"/>
  <c r="F54" i="3"/>
  <c r="F56" i="3"/>
  <c r="J13" i="3"/>
  <c r="H29" i="2"/>
  <c r="M13" i="3"/>
  <c r="L28" i="2"/>
  <c r="S44" i="3"/>
  <c r="T44" i="3" s="1"/>
  <c r="E60" i="2"/>
  <c r="G44" i="3"/>
  <c r="G46" i="3"/>
  <c r="G48" i="3"/>
  <c r="G50" i="3"/>
  <c r="G52" i="3"/>
  <c r="G54" i="3"/>
  <c r="G56" i="3"/>
  <c r="S28" i="2"/>
  <c r="I13" i="3"/>
  <c r="D46" i="3"/>
  <c r="D52" i="3"/>
  <c r="K12" i="3"/>
  <c r="F16" i="3"/>
  <c r="M21" i="3"/>
  <c r="C25" i="2"/>
  <c r="E26" i="2"/>
  <c r="G27" i="2"/>
  <c r="I28" i="2"/>
  <c r="O29" i="2"/>
  <c r="L12" i="3"/>
  <c r="J19" i="3"/>
  <c r="L20" i="3"/>
  <c r="N21" i="3"/>
  <c r="S45" i="3"/>
  <c r="T45" i="3" s="1"/>
  <c r="F60" i="2"/>
  <c r="H44" i="3"/>
  <c r="H46" i="3"/>
  <c r="H48" i="3"/>
  <c r="H50" i="3"/>
  <c r="H52" i="3"/>
  <c r="H54" i="3"/>
  <c r="H56" i="3"/>
  <c r="G29" i="2"/>
  <c r="B26" i="2"/>
  <c r="I12" i="3"/>
  <c r="H27" i="2"/>
  <c r="P29" i="2"/>
  <c r="M12" i="3"/>
  <c r="I18" i="3"/>
  <c r="K19" i="3"/>
  <c r="M20" i="3"/>
  <c r="S46" i="3"/>
  <c r="T46" i="3" s="1"/>
  <c r="G60" i="2"/>
  <c r="I44" i="3"/>
  <c r="I46" i="3"/>
  <c r="I48" i="3"/>
  <c r="I50" i="3"/>
  <c r="I52" i="3"/>
  <c r="I54" i="3"/>
  <c r="I56" i="3"/>
  <c r="P49" i="3"/>
  <c r="P42" i="3"/>
  <c r="E28" i="2"/>
  <c r="O49" i="3"/>
  <c r="D12" i="3"/>
  <c r="S50" i="3"/>
  <c r="T50" i="3" s="1"/>
  <c r="E12" i="3"/>
  <c r="G13" i="3"/>
  <c r="E20" i="3"/>
  <c r="G21" i="3"/>
  <c r="B29" i="2"/>
  <c r="I15" i="3"/>
  <c r="R29" i="2"/>
  <c r="S29" i="2"/>
  <c r="B28" i="2"/>
  <c r="I14" i="3"/>
  <c r="G61" i="2"/>
  <c r="G11" i="3"/>
  <c r="J14" i="3"/>
  <c r="L15" i="3"/>
  <c r="G19" i="3"/>
  <c r="J43" i="3"/>
  <c r="J45" i="3"/>
  <c r="J47" i="3"/>
  <c r="J49" i="3"/>
  <c r="J51" i="3"/>
  <c r="J53" i="3"/>
  <c r="J55" i="3"/>
  <c r="C98" i="2"/>
  <c r="H61" i="2"/>
  <c r="S27" i="2"/>
  <c r="K14" i="3"/>
  <c r="M15" i="3"/>
  <c r="G63" i="2"/>
  <c r="S25" i="2"/>
  <c r="L14" i="3"/>
  <c r="N15" i="3"/>
  <c r="M27" i="2"/>
  <c r="B60" i="2"/>
  <c r="O50" i="3"/>
  <c r="C99" i="2"/>
  <c r="H63" i="2"/>
  <c r="M14" i="3"/>
  <c r="D16" i="3"/>
  <c r="J28" i="2"/>
  <c r="T25" i="2"/>
  <c r="C60" i="2"/>
  <c r="C27" i="2"/>
  <c r="C26" i="2"/>
  <c r="E27" i="2"/>
  <c r="G28" i="2"/>
  <c r="I29" i="2"/>
  <c r="O25" i="2"/>
  <c r="N14" i="3"/>
  <c r="C29" i="2"/>
  <c r="G17" i="3"/>
  <c r="I27" i="2"/>
  <c r="K28" i="2"/>
  <c r="K26" i="2"/>
  <c r="F44" i="3"/>
  <c r="F46" i="3"/>
  <c r="F48" i="3"/>
  <c r="F50" i="3"/>
  <c r="F52" i="3"/>
  <c r="B98" i="2"/>
  <c r="P25" i="2"/>
  <c r="D26" i="2"/>
  <c r="F27" i="2"/>
  <c r="H28" i="2"/>
  <c r="N29" i="2"/>
  <c r="D15" i="3"/>
  <c r="L26" i="2"/>
  <c r="E9" i="3"/>
  <c r="B25" i="2"/>
  <c r="E15" i="3"/>
  <c r="G16" i="3"/>
  <c r="M28" i="2"/>
  <c r="T28" i="2"/>
  <c r="L10" i="3"/>
  <c r="F43" i="3"/>
  <c r="D25" i="2"/>
  <c r="F26" i="2"/>
  <c r="F15" i="3"/>
  <c r="J25" i="2"/>
  <c r="J29" i="2"/>
  <c r="M10" i="3"/>
  <c r="G43" i="3"/>
  <c r="O51" i="3"/>
  <c r="E14" i="3"/>
  <c r="G15" i="3"/>
  <c r="N25" i="2"/>
  <c r="F45" i="3"/>
  <c r="O56" i="3"/>
  <c r="D13" i="3"/>
  <c r="F14" i="3"/>
  <c r="D21" i="3"/>
  <c r="L25" i="2"/>
  <c r="L29" i="2"/>
  <c r="P50" i="3"/>
  <c r="G45" i="3"/>
  <c r="D28" i="2"/>
  <c r="Q29" i="2"/>
  <c r="F61" i="2"/>
  <c r="F63" i="2"/>
  <c r="B97" i="2"/>
  <c r="P63" i="3" s="1"/>
  <c r="D9" i="3"/>
  <c r="K10" i="3"/>
  <c r="E43" i="3"/>
  <c r="E45" i="3"/>
  <c r="D47" i="3"/>
  <c r="D49" i="3"/>
  <c r="D53" i="3"/>
  <c r="D55" i="3"/>
  <c r="O45" i="3"/>
  <c r="D29" i="2"/>
  <c r="T29" i="2"/>
  <c r="I61" i="2"/>
  <c r="K62" i="3" s="1"/>
  <c r="I63" i="2"/>
  <c r="K64" i="3" s="1"/>
  <c r="G9" i="3"/>
  <c r="N10" i="3"/>
  <c r="J12" i="3"/>
  <c r="O46" i="3"/>
  <c r="N26" i="2"/>
  <c r="E29" i="2"/>
  <c r="B62" i="2"/>
  <c r="B64" i="2"/>
  <c r="B99" i="2"/>
  <c r="I9" i="3"/>
  <c r="O26" i="2"/>
  <c r="C62" i="2"/>
  <c r="C64" i="2"/>
  <c r="J9" i="3"/>
  <c r="O52" i="3"/>
  <c r="P26" i="2"/>
  <c r="D62" i="2"/>
  <c r="D64" i="2"/>
  <c r="D8" i="3"/>
  <c r="K9" i="3"/>
  <c r="F9" i="3"/>
  <c r="Q26" i="2"/>
  <c r="E62" i="2"/>
  <c r="E64" i="2"/>
  <c r="E8" i="3"/>
  <c r="L9" i="3"/>
  <c r="E16" i="3"/>
  <c r="D44" i="3"/>
  <c r="R26" i="2"/>
  <c r="F62" i="2"/>
  <c r="F64" i="2"/>
  <c r="F8" i="3"/>
  <c r="M9" i="3"/>
  <c r="I11" i="3"/>
  <c r="D48" i="3"/>
  <c r="D50" i="3"/>
  <c r="D54" i="3"/>
  <c r="S26" i="2"/>
  <c r="G62" i="2"/>
  <c r="G64" i="2"/>
  <c r="G8" i="3"/>
  <c r="N9" i="3"/>
  <c r="J11" i="3"/>
  <c r="T26" i="2"/>
  <c r="N28" i="2"/>
  <c r="H62" i="2"/>
  <c r="H64" i="2"/>
  <c r="D10" i="3"/>
  <c r="K11" i="3"/>
  <c r="O43" i="3"/>
  <c r="O28" i="2"/>
  <c r="I62" i="2"/>
  <c r="K63" i="3" s="1"/>
  <c r="I64" i="2"/>
  <c r="K65" i="3" s="1"/>
  <c r="E10" i="3"/>
  <c r="P43" i="3"/>
  <c r="B61" i="2"/>
  <c r="B63" i="2"/>
  <c r="B95" i="2"/>
  <c r="T27" i="2"/>
  <c r="G57" i="2"/>
  <c r="J7" i="3"/>
  <c r="M7" i="3"/>
  <c r="N7" i="3"/>
  <c r="E57" i="2"/>
  <c r="G56" i="2"/>
  <c r="D57" i="2"/>
  <c r="C92" i="2"/>
  <c r="H57" i="2"/>
  <c r="C93" i="2"/>
  <c r="S23" i="2"/>
  <c r="E22" i="2"/>
  <c r="K22" i="2"/>
  <c r="F22" i="2"/>
  <c r="L23" i="2"/>
  <c r="D58" i="2"/>
  <c r="L7" i="3"/>
  <c r="E58" i="2"/>
  <c r="K23" i="2"/>
  <c r="G58" i="2"/>
  <c r="P23" i="2"/>
  <c r="B57" i="2"/>
  <c r="C56" i="2"/>
  <c r="B93" i="2"/>
  <c r="D22" i="2"/>
  <c r="R23" i="2"/>
  <c r="F57" i="2"/>
  <c r="I57" i="2"/>
  <c r="K58" i="3" s="1"/>
  <c r="D21" i="2"/>
  <c r="H22" i="2"/>
  <c r="B23" i="2"/>
  <c r="L22" i="2"/>
  <c r="T22" i="2"/>
  <c r="F56" i="2"/>
  <c r="B58" i="2"/>
  <c r="E56" i="2"/>
  <c r="E21" i="2"/>
  <c r="I22" i="2"/>
  <c r="C23" i="2"/>
  <c r="C58" i="2"/>
  <c r="D23" i="2"/>
  <c r="J23" i="2"/>
  <c r="H56" i="2"/>
  <c r="O22" i="2"/>
  <c r="E23" i="2"/>
  <c r="I56" i="2"/>
  <c r="K57" i="3" s="1"/>
  <c r="C21" i="2"/>
  <c r="N22" i="2"/>
  <c r="H21" i="2"/>
  <c r="P22" i="2"/>
  <c r="F23" i="2"/>
  <c r="H58" i="2"/>
  <c r="O42" i="3"/>
  <c r="F21" i="2"/>
  <c r="I21" i="2"/>
  <c r="Q22" i="2"/>
  <c r="G23" i="2"/>
  <c r="M23" i="2"/>
  <c r="T23" i="2"/>
  <c r="I58" i="2"/>
  <c r="K59" i="3" s="1"/>
  <c r="G22" i="2"/>
  <c r="G21" i="2"/>
  <c r="R22" i="2"/>
  <c r="H23" i="2"/>
  <c r="J21" i="2"/>
  <c r="J22" i="2"/>
  <c r="T21" i="2"/>
  <c r="F7" i="3"/>
  <c r="D7" i="3"/>
  <c r="S42" i="3"/>
  <c r="T42" i="3" s="1"/>
  <c r="S22" i="2"/>
  <c r="I23" i="2"/>
  <c r="K21" i="2"/>
  <c r="B92" i="2"/>
  <c r="N23" i="2"/>
  <c r="L21" i="2"/>
  <c r="E7" i="3"/>
  <c r="G7" i="3"/>
  <c r="F58" i="2"/>
  <c r="C57" i="2"/>
  <c r="K7" i="3"/>
  <c r="R21" i="2"/>
  <c r="C91" i="2"/>
  <c r="B56" i="2"/>
  <c r="M22" i="2"/>
  <c r="D56" i="2"/>
  <c r="Q21" i="2"/>
  <c r="O23" i="2"/>
  <c r="S21" i="2"/>
  <c r="C22" i="2"/>
  <c r="Q23" i="2"/>
  <c r="B91" i="2"/>
  <c r="M21" i="2"/>
  <c r="N21" i="2"/>
  <c r="O21" i="2"/>
  <c r="P21" i="2"/>
  <c r="H8" i="3" l="1"/>
  <c r="H17" i="3"/>
  <c r="D61" i="3"/>
  <c r="I61" i="3"/>
  <c r="C20" i="3"/>
  <c r="C53" i="3"/>
  <c r="P65" i="3"/>
  <c r="C49" i="3"/>
  <c r="C47" i="3"/>
  <c r="C43" i="3"/>
  <c r="C48" i="3"/>
  <c r="H16" i="3"/>
  <c r="C51" i="3"/>
  <c r="H10" i="3"/>
  <c r="E58" i="3"/>
  <c r="F59" i="3"/>
  <c r="H20" i="3"/>
  <c r="H18" i="3"/>
  <c r="J28" i="3"/>
  <c r="H57" i="3"/>
  <c r="C12" i="3"/>
  <c r="H61" i="3"/>
  <c r="C19" i="3"/>
  <c r="G59" i="3"/>
  <c r="S58" i="3"/>
  <c r="T58" i="3" s="1"/>
  <c r="I58" i="3"/>
  <c r="F61" i="3"/>
  <c r="H59" i="3"/>
  <c r="P61" i="3"/>
  <c r="N27" i="3"/>
  <c r="L27" i="3"/>
  <c r="E61" i="3"/>
  <c r="C61" i="3" s="1"/>
  <c r="P62" i="3"/>
  <c r="C13" i="3"/>
  <c r="N29" i="3"/>
  <c r="G61" i="3"/>
  <c r="J61" i="3"/>
  <c r="P64" i="3"/>
  <c r="C17" i="3"/>
  <c r="L26" i="3"/>
  <c r="N30" i="3"/>
  <c r="M30" i="3"/>
  <c r="H15" i="3"/>
  <c r="D30" i="3"/>
  <c r="C44" i="3"/>
  <c r="C15" i="3"/>
  <c r="J64" i="3"/>
  <c r="C21" i="3"/>
  <c r="I30" i="3"/>
  <c r="H19" i="3"/>
  <c r="G64" i="3"/>
  <c r="H21" i="3"/>
  <c r="I63" i="3"/>
  <c r="F64" i="3"/>
  <c r="C10" i="3"/>
  <c r="I27" i="3"/>
  <c r="C45" i="3"/>
  <c r="G30" i="3"/>
  <c r="D28" i="3"/>
  <c r="C14" i="3"/>
  <c r="H13" i="3"/>
  <c r="H12" i="3"/>
  <c r="G62" i="3"/>
  <c r="F27" i="3"/>
  <c r="H62" i="3"/>
  <c r="S62" i="3"/>
  <c r="T62" i="3" s="1"/>
  <c r="J30" i="3"/>
  <c r="E27" i="3"/>
  <c r="C55" i="3"/>
  <c r="K30" i="3"/>
  <c r="C18" i="3"/>
  <c r="E26" i="3"/>
  <c r="H14" i="3"/>
  <c r="M28" i="3"/>
  <c r="K23" i="3"/>
  <c r="G63" i="3"/>
  <c r="I26" i="3"/>
  <c r="D26" i="3"/>
  <c r="L28" i="3"/>
  <c r="C52" i="3"/>
  <c r="G29" i="3"/>
  <c r="G24" i="3"/>
  <c r="I28" i="3"/>
  <c r="C46" i="3"/>
  <c r="C56" i="3"/>
  <c r="L30" i="3"/>
  <c r="E30" i="3"/>
  <c r="C50" i="3"/>
  <c r="F28" i="3"/>
  <c r="C11" i="3"/>
  <c r="C54" i="3"/>
  <c r="E28" i="3"/>
  <c r="I62" i="3"/>
  <c r="M26" i="3"/>
  <c r="D29" i="3"/>
  <c r="J29" i="3"/>
  <c r="L29" i="3"/>
  <c r="F26" i="3"/>
  <c r="S61" i="3"/>
  <c r="T61" i="3" s="1"/>
  <c r="P58" i="3"/>
  <c r="K27" i="3"/>
  <c r="H64" i="3"/>
  <c r="J26" i="3"/>
  <c r="L24" i="3"/>
  <c r="C9" i="3"/>
  <c r="I64" i="3"/>
  <c r="E29" i="3"/>
  <c r="I24" i="3"/>
  <c r="I29" i="3"/>
  <c r="I57" i="3"/>
  <c r="F29" i="3"/>
  <c r="K26" i="3"/>
  <c r="G22" i="3"/>
  <c r="K24" i="3"/>
  <c r="G58" i="3"/>
  <c r="N26" i="3"/>
  <c r="G57" i="3"/>
  <c r="I59" i="3"/>
  <c r="C16" i="3"/>
  <c r="E63" i="3"/>
  <c r="F30" i="3"/>
  <c r="O61" i="3"/>
  <c r="M29" i="3"/>
  <c r="F57" i="3"/>
  <c r="J59" i="3"/>
  <c r="S57" i="3"/>
  <c r="T57" i="3" s="1"/>
  <c r="J27" i="3"/>
  <c r="G26" i="3"/>
  <c r="K29" i="3"/>
  <c r="H11" i="3"/>
  <c r="C8" i="3"/>
  <c r="H9" i="3"/>
  <c r="I65" i="3"/>
  <c r="G65" i="3"/>
  <c r="D57" i="3"/>
  <c r="O57" i="3"/>
  <c r="O65" i="3"/>
  <c r="D65" i="3"/>
  <c r="O63" i="3"/>
  <c r="D63" i="3"/>
  <c r="E22" i="3"/>
  <c r="D24" i="3"/>
  <c r="M23" i="3"/>
  <c r="I22" i="3"/>
  <c r="F65" i="3"/>
  <c r="D62" i="3"/>
  <c r="O62" i="3"/>
  <c r="D59" i="3"/>
  <c r="O59" i="3"/>
  <c r="F22" i="3"/>
  <c r="F63" i="3"/>
  <c r="D58" i="3"/>
  <c r="O58" i="3"/>
  <c r="M22" i="3"/>
  <c r="G23" i="3"/>
  <c r="J63" i="3"/>
  <c r="H65" i="3"/>
  <c r="J23" i="3"/>
  <c r="S59" i="3"/>
  <c r="T59" i="3" s="1"/>
  <c r="J57" i="3"/>
  <c r="H58" i="3"/>
  <c r="N24" i="3"/>
  <c r="H63" i="3"/>
  <c r="G28" i="3"/>
  <c r="J22" i="3"/>
  <c r="M24" i="3"/>
  <c r="M27" i="3"/>
  <c r="D27" i="3"/>
  <c r="J62" i="3"/>
  <c r="E64" i="3"/>
  <c r="K22" i="3"/>
  <c r="J65" i="3"/>
  <c r="F24" i="3"/>
  <c r="F23" i="3"/>
  <c r="J58" i="3"/>
  <c r="S63" i="3"/>
  <c r="T63" i="3" s="1"/>
  <c r="S64" i="3"/>
  <c r="T64" i="3" s="1"/>
  <c r="N28" i="3"/>
  <c r="E62" i="3"/>
  <c r="I23" i="3"/>
  <c r="N22" i="3"/>
  <c r="J24" i="3"/>
  <c r="L23" i="3"/>
  <c r="E59" i="3"/>
  <c r="P59" i="3"/>
  <c r="F62" i="3"/>
  <c r="P57" i="3"/>
  <c r="E23" i="3"/>
  <c r="L22" i="3"/>
  <c r="N23" i="3"/>
  <c r="E24" i="3"/>
  <c r="E57" i="3"/>
  <c r="F58" i="3"/>
  <c r="O64" i="3"/>
  <c r="D64" i="3"/>
  <c r="E65" i="3"/>
  <c r="S65" i="3"/>
  <c r="T65" i="3" s="1"/>
  <c r="G27" i="3"/>
  <c r="K28" i="3"/>
  <c r="E24" i="2"/>
  <c r="G59" i="2"/>
  <c r="F24" i="2"/>
  <c r="M24" i="2"/>
  <c r="L24" i="2"/>
  <c r="H24" i="2"/>
  <c r="D24" i="2"/>
  <c r="K24" i="2"/>
  <c r="G24" i="2"/>
  <c r="S24" i="2"/>
  <c r="O24" i="2"/>
  <c r="B94" i="2"/>
  <c r="I59" i="2"/>
  <c r="K60" i="3" s="1"/>
  <c r="J24" i="2"/>
  <c r="C59" i="2"/>
  <c r="C24" i="2"/>
  <c r="N24" i="2"/>
  <c r="T24" i="2"/>
  <c r="R24" i="2"/>
  <c r="D59" i="2"/>
  <c r="Q24" i="2"/>
  <c r="I24" i="2"/>
  <c r="B59" i="2"/>
  <c r="F59" i="2"/>
  <c r="C94" i="2"/>
  <c r="H59" i="2"/>
  <c r="P24" i="2"/>
  <c r="E59" i="2"/>
  <c r="K42" i="3"/>
  <c r="O8" i="3" l="1"/>
  <c r="O17" i="3"/>
  <c r="L25" i="3"/>
  <c r="O20" i="3"/>
  <c r="O16" i="3"/>
  <c r="O18" i="3"/>
  <c r="O10" i="3"/>
  <c r="C58" i="3"/>
  <c r="M25" i="3"/>
  <c r="O12" i="3"/>
  <c r="O15" i="3"/>
  <c r="C28" i="3"/>
  <c r="O19" i="3"/>
  <c r="C30" i="3"/>
  <c r="H27" i="3"/>
  <c r="O21" i="3"/>
  <c r="O13" i="3"/>
  <c r="O14" i="3"/>
  <c r="H30" i="3"/>
  <c r="C27" i="3"/>
  <c r="O11" i="3"/>
  <c r="C26" i="3"/>
  <c r="H29" i="3"/>
  <c r="O9" i="3"/>
  <c r="H28" i="3"/>
  <c r="H26" i="3"/>
  <c r="N25" i="3"/>
  <c r="F25" i="3"/>
  <c r="C63" i="3"/>
  <c r="C29" i="3"/>
  <c r="H24" i="3"/>
  <c r="P60" i="3"/>
  <c r="R58" i="3" s="1"/>
  <c r="K25" i="3"/>
  <c r="J25" i="3"/>
  <c r="H23" i="3"/>
  <c r="C64" i="3"/>
  <c r="G60" i="3"/>
  <c r="J60" i="3"/>
  <c r="C65" i="3"/>
  <c r="O60" i="3"/>
  <c r="D60" i="3"/>
  <c r="C57" i="3"/>
  <c r="C62" i="3"/>
  <c r="H60" i="3"/>
  <c r="I25" i="3"/>
  <c r="H22" i="3"/>
  <c r="F60" i="3"/>
  <c r="I60" i="3"/>
  <c r="E25" i="3"/>
  <c r="E60" i="3"/>
  <c r="C59" i="3"/>
  <c r="S60" i="3"/>
  <c r="T60" i="3" s="1"/>
  <c r="G25" i="3"/>
  <c r="C24" i="3"/>
  <c r="G42" i="3"/>
  <c r="J42" i="3"/>
  <c r="I42" i="3"/>
  <c r="H42" i="3"/>
  <c r="F42" i="3"/>
  <c r="O27" i="3" l="1"/>
  <c r="O30" i="3"/>
  <c r="O29" i="3"/>
  <c r="O28" i="3"/>
  <c r="O26" i="3"/>
  <c r="R50" i="3"/>
  <c r="R56" i="3"/>
  <c r="O24" i="3"/>
  <c r="H25" i="3"/>
  <c r="R61" i="3"/>
  <c r="R57" i="3"/>
  <c r="R44" i="3"/>
  <c r="R52" i="3"/>
  <c r="R49" i="3"/>
  <c r="R43" i="3"/>
  <c r="R63" i="3"/>
  <c r="R45" i="3"/>
  <c r="R51" i="3"/>
  <c r="R60" i="3"/>
  <c r="R55" i="3"/>
  <c r="R59" i="3"/>
  <c r="R54" i="3"/>
  <c r="R53" i="3"/>
  <c r="R46" i="3"/>
  <c r="R64" i="3"/>
  <c r="R47" i="3"/>
  <c r="R65" i="3"/>
  <c r="R48" i="3"/>
  <c r="R62" i="3"/>
  <c r="Q60" i="3"/>
  <c r="Q55" i="3"/>
  <c r="Q56" i="3"/>
  <c r="Q50" i="3"/>
  <c r="Q51" i="3"/>
  <c r="Q54" i="3"/>
  <c r="Q44" i="3"/>
  <c r="Q43" i="3"/>
  <c r="Q45" i="3"/>
  <c r="Q47" i="3"/>
  <c r="Q49" i="3"/>
  <c r="Q48" i="3"/>
  <c r="Q53" i="3"/>
  <c r="Q52" i="3"/>
  <c r="Q61" i="3"/>
  <c r="Q46" i="3"/>
  <c r="Q63" i="3"/>
  <c r="C60" i="3"/>
  <c r="Q64" i="3"/>
  <c r="Q62" i="3"/>
  <c r="Q57" i="3"/>
  <c r="Q65" i="3"/>
  <c r="Q59" i="3"/>
  <c r="Q58" i="3"/>
  <c r="Q42" i="3"/>
  <c r="R42" i="3"/>
  <c r="D42" i="3"/>
  <c r="E42" i="3"/>
  <c r="C42" i="3" l="1"/>
  <c r="B22" i="2" l="1"/>
  <c r="D23" i="3" s="1"/>
  <c r="C23" i="3" s="1"/>
  <c r="O23" i="3" s="1"/>
  <c r="B21" i="2"/>
  <c r="D22" i="3" s="1"/>
  <c r="C22" i="3" s="1"/>
  <c r="O22" i="3" s="1"/>
  <c r="B24" i="2" l="1"/>
  <c r="D25" i="3" s="1"/>
  <c r="C25" i="3" s="1"/>
  <c r="O25" i="3" s="1"/>
  <c r="C7" i="3" l="1"/>
  <c r="H7" i="3"/>
  <c r="O7" i="3" l="1"/>
</calcChain>
</file>

<file path=xl/sharedStrings.xml><?xml version="1.0" encoding="utf-8"?>
<sst xmlns="http://schemas.openxmlformats.org/spreadsheetml/2006/main" count="381" uniqueCount="116">
  <si>
    <t>GDX index</t>
  </si>
  <si>
    <t>Type</t>
  </si>
  <si>
    <t>Name</t>
  </si>
  <si>
    <t>Location</t>
  </si>
  <si>
    <t>Row</t>
  </si>
  <si>
    <t>Column</t>
  </si>
  <si>
    <t>rdim</t>
  </si>
  <si>
    <t>cdim</t>
  </si>
  <si>
    <t>par</t>
  </si>
  <si>
    <t>inctab</t>
  </si>
  <si>
    <t>exptab</t>
  </si>
  <si>
    <t>hhd-f1</t>
  </si>
  <si>
    <t>hhd-f2</t>
  </si>
  <si>
    <t>hhd-f3</t>
  </si>
  <si>
    <t>hhd-f4</t>
  </si>
  <si>
    <t>hhd-f5</t>
  </si>
  <si>
    <t>hhd-u1</t>
  </si>
  <si>
    <t>hhd-u2</t>
  </si>
  <si>
    <t>hhd-u3</t>
  </si>
  <si>
    <t>hhd-u4</t>
  </si>
  <si>
    <t>hhd-u5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</si>
  <si>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</si>
  <si>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</si>
  <si>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</si>
  <si>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</si>
  <si>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</si>
  <si>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</si>
  <si>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</si>
  <si>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</si>
  <si>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</si>
  <si>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</si>
  <si>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</si>
  <si>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ent</t>
  </si>
  <si>
    <t>gov</t>
  </si>
  <si>
    <t>row</t>
  </si>
  <si>
    <t>total</t>
  </si>
  <si>
    <t>amaiz</t>
  </si>
  <si>
    <t>dtax</t>
  </si>
  <si>
    <t>s-i</t>
  </si>
  <si>
    <t>INCTAB</t>
  </si>
  <si>
    <t>Household income table</t>
  </si>
  <si>
    <t>Farm</t>
  </si>
  <si>
    <t>Urban</t>
  </si>
  <si>
    <t>Total</t>
  </si>
  <si>
    <t>Q1</t>
  </si>
  <si>
    <t>Q2</t>
  </si>
  <si>
    <t>Q3</t>
  </si>
  <si>
    <t>Q4</t>
  </si>
  <si>
    <t>Q5</t>
  </si>
  <si>
    <t>Household expenditure table</t>
  </si>
  <si>
    <t>EXPTAB</t>
  </si>
  <si>
    <t>hhddata</t>
  </si>
  <si>
    <t>tcons</t>
  </si>
  <si>
    <t>pop</t>
  </si>
  <si>
    <t>HHDDATA</t>
  </si>
  <si>
    <t>Survey household consumption and population data</t>
  </si>
  <si>
    <t>Rural - farm q1</t>
  </si>
  <si>
    <t>Rural - farm q2</t>
  </si>
  <si>
    <t>Rural - farm q3</t>
  </si>
  <si>
    <t>Rural - farm q4</t>
  </si>
  <si>
    <t>Rural - farm q5</t>
  </si>
  <si>
    <t>Urban - q1</t>
  </si>
  <si>
    <t>Urban - q2</t>
  </si>
  <si>
    <t>Urban - q3</t>
  </si>
  <si>
    <t>Urban - q4</t>
  </si>
  <si>
    <t>Urban - q5</t>
  </si>
  <si>
    <t>Labor</t>
  </si>
  <si>
    <t>None</t>
  </si>
  <si>
    <t>Second.</t>
  </si>
  <si>
    <t>Tertiary</t>
  </si>
  <si>
    <t>Primary</t>
  </si>
  <si>
    <t>Land</t>
  </si>
  <si>
    <t>Livestock</t>
  </si>
  <si>
    <t>Crops</t>
  </si>
  <si>
    <t>Farm earnnings</t>
  </si>
  <si>
    <t>Non-farm earnings</t>
  </si>
  <si>
    <t>Enterprises</t>
  </si>
  <si>
    <t>Government</t>
  </si>
  <si>
    <t>Rest of world</t>
  </si>
  <si>
    <t>Household incomes</t>
  </si>
  <si>
    <t>Household expenses</t>
  </si>
  <si>
    <t>Consumption</t>
  </si>
  <si>
    <t>cmaiz</t>
  </si>
  <si>
    <t>Own</t>
  </si>
  <si>
    <t>Marketed</t>
  </si>
  <si>
    <t>Other expenditures</t>
  </si>
  <si>
    <t>Taxes</t>
  </si>
  <si>
    <t>Saving</t>
  </si>
  <si>
    <t>cfood</t>
  </si>
  <si>
    <t>Per capita consumption</t>
  </si>
  <si>
    <t>SAM</t>
  </si>
  <si>
    <t>Survey</t>
  </si>
  <si>
    <t>Foods</t>
  </si>
  <si>
    <t>Ratios</t>
  </si>
  <si>
    <t>Abs</t>
  </si>
  <si>
    <t>Inc-Exp differences</t>
  </si>
  <si>
    <t>% exp</t>
  </si>
  <si>
    <t>hhd-k1</t>
  </si>
  <si>
    <t>hhd-k2</t>
  </si>
  <si>
    <t>hhd-k3</t>
  </si>
  <si>
    <t>hhd-k4</t>
  </si>
  <si>
    <t>hhd-k5</t>
  </si>
  <si>
    <t>flab-kn</t>
  </si>
  <si>
    <t>flab-kp</t>
  </si>
  <si>
    <t>flab-ks</t>
  </si>
  <si>
    <t>flab-kt</t>
  </si>
  <si>
    <t>data!aa5</t>
  </si>
  <si>
    <t>data!aa40</t>
  </si>
  <si>
    <t>data!aa75</t>
  </si>
  <si>
    <t>Kigali</t>
  </si>
  <si>
    <t>Kigali - q1</t>
  </si>
  <si>
    <t>Kigali - q2</t>
  </si>
  <si>
    <t>Kigali - q3</t>
  </si>
  <si>
    <t>Kigali - q4</t>
  </si>
  <si>
    <t>Kigali - q5</t>
  </si>
  <si>
    <t>Household Income Sources and Expenditure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</si>
</sst>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0" fontId="3" fillId="0" borderId="0" xfId="0" applyFont="1"/>
    <xf numFmtId="164" fontId="0" fillId="0" borderId="0" xfId="0" applyNumberFormat="1"/>
    <xf numFmtId="3" fontId="4" fillId="0" borderId="0" xfId="0" applyNumberFormat="1" applyFont="1"/>
    <xf numFmtId="3" fontId="5" fillId="0" borderId="0" xfId="0" applyNumberFormat="1" applyFont="1"/>
    <xf numFmtId="164" fontId="0" fillId="0" borderId="0" xfId="0" quotePrefix="1" applyNumberFormat="1"/>
    <xf numFmtId="3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3" fontId="0" fillId="0" borderId="0" xfId="0" quotePrefix="1" applyNumberForma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1" fillId="2" borderId="0" xfId="0" quotePrefix="1" applyFont="1" applyFill="1"/>
    <xf numFmtId="0" fontId="0" fillId="2" borderId="0" xfId="0" quotePrefix="1" applyFill="1"/>
    <xf numFmtId="0" fontId="4" fillId="2" borderId="0" xfId="0" applyFont="1" applyFill="1"/>
    <xf numFmtId="164" fontId="7" fillId="2" borderId="0" xfId="0" applyNumberFormat="1" applyFont="1" applyFill="1"/>
    <xf numFmtId="164" fontId="6" fillId="2" borderId="0" xfId="0" applyNumberFormat="1" applyFont="1" applyFill="1"/>
    <xf numFmtId="0" fontId="4" fillId="2" borderId="1" xfId="0" applyFont="1" applyFill="1" applyBorder="1"/>
    <xf numFmtId="0" fontId="0" fillId="2" borderId="1" xfId="0" quotePrefix="1" applyFill="1" applyBorder="1"/>
    <xf numFmtId="164" fontId="7" fillId="2" borderId="1" xfId="0" applyNumberFormat="1" applyFont="1" applyFill="1" applyBorder="1"/>
    <xf numFmtId="164" fontId="6" fillId="2" borderId="1" xfId="0" applyNumberFormat="1" applyFont="1" applyFill="1" applyBorder="1"/>
    <xf numFmtId="3" fontId="4" fillId="2" borderId="0" xfId="0" applyNumberFormat="1" applyFont="1" applyFill="1"/>
    <xf numFmtId="3" fontId="4" fillId="2" borderId="1" xfId="0" applyNumberFormat="1" applyFont="1" applyFill="1" applyBorder="1"/>
    <xf numFmtId="0" fontId="0" fillId="2" borderId="1" xfId="0" applyFill="1" applyBorder="1"/>
    <xf numFmtId="3" fontId="5" fillId="2" borderId="2" xfId="0" applyNumberFormat="1" applyFont="1" applyFill="1" applyBorder="1"/>
    <xf numFmtId="0" fontId="0" fillId="2" borderId="2" xfId="0" applyFill="1" applyBorder="1"/>
    <xf numFmtId="164" fontId="7" fillId="2" borderId="2" xfId="0" applyNumberFormat="1" applyFont="1" applyFill="1" applyBorder="1"/>
    <xf numFmtId="164" fontId="6" fillId="2" borderId="2" xfId="0" applyNumberFormat="1" applyFont="1" applyFill="1" applyBorder="1"/>
    <xf numFmtId="0" fontId="0" fillId="2" borderId="3" xfId="0" applyFill="1" applyBorder="1"/>
    <xf numFmtId="164" fontId="0" fillId="2" borderId="0" xfId="0" applyNumberFormat="1" applyFill="1"/>
    <xf numFmtId="164" fontId="4" fillId="2" borderId="0" xfId="0" applyNumberFormat="1" applyFont="1" applyFill="1"/>
    <xf numFmtId="4" fontId="0" fillId="2" borderId="3" xfId="0" applyNumberFormat="1" applyFill="1" applyBorder="1"/>
    <xf numFmtId="4" fontId="0" fillId="2" borderId="0" xfId="0" applyNumberFormat="1" applyFill="1"/>
    <xf numFmtId="3" fontId="0" fillId="2" borderId="3" xfId="0" applyNumberFormat="1" applyFill="1" applyBorder="1"/>
    <xf numFmtId="164" fontId="0" fillId="2" borderId="1" xfId="0" applyNumberFormat="1" applyFill="1" applyBorder="1"/>
    <xf numFmtId="164" fontId="4" fillId="2" borderId="1" xfId="0" applyNumberFormat="1" applyFont="1" applyFill="1" applyBorder="1"/>
    <xf numFmtId="4" fontId="0" fillId="2" borderId="4" xfId="0" applyNumberFormat="1" applyFill="1" applyBorder="1"/>
    <xf numFmtId="4" fontId="0" fillId="2" borderId="1" xfId="0" applyNumberFormat="1" applyFill="1" applyBorder="1"/>
    <xf numFmtId="3" fontId="0" fillId="2" borderId="4" xfId="0" applyNumberFormat="1" applyFill="1" applyBorder="1"/>
    <xf numFmtId="4" fontId="4" fillId="2" borderId="3" xfId="0" applyNumberFormat="1" applyFont="1" applyFill="1" applyBorder="1"/>
    <xf numFmtId="4" fontId="4" fillId="2" borderId="0" xfId="0" applyNumberFormat="1" applyFont="1" applyFill="1"/>
    <xf numFmtId="3" fontId="4" fillId="2" borderId="3" xfId="0" applyNumberFormat="1" applyFont="1" applyFill="1" applyBorder="1"/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3" fontId="4" fillId="2" borderId="4" xfId="0" applyNumberFormat="1" applyFont="1" applyFill="1" applyBorder="1"/>
    <xf numFmtId="164" fontId="4" fillId="2" borderId="2" xfId="0" applyNumberFormat="1" applyFont="1" applyFill="1" applyBorder="1"/>
    <xf numFmtId="4" fontId="4" fillId="2" borderId="5" xfId="0" applyNumberFormat="1" applyFont="1" applyFill="1" applyBorder="1"/>
    <xf numFmtId="4" fontId="4" fillId="2" borderId="2" xfId="0" applyNumberFormat="1" applyFont="1" applyFill="1" applyBorder="1"/>
    <xf numFmtId="3" fontId="4" fillId="2" borderId="5" xfId="0" applyNumberFormat="1" applyFont="1" applyFill="1" applyBorder="1"/>
    <xf numFmtId="0" fontId="8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Workings!$Q$41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Workings!$M$42:$M$65</c:f>
              <c:strCache>
                <c:ptCount val="24"/>
                <c:pt idx="0">
                  <c:v>Rural - farm q1</c:v>
                </c:pt>
                <c:pt idx="1">
                  <c:v>Rural - farm q2</c:v>
                </c:pt>
                <c:pt idx="2">
                  <c:v>Rural - farm q3</c:v>
                </c:pt>
                <c:pt idx="3">
                  <c:v>Rural - farm q4</c:v>
                </c:pt>
                <c:pt idx="4">
                  <c:v>Rural - farm q5</c:v>
                </c:pt>
                <c:pt idx="5">
                  <c:v>Urban - q1</c:v>
                </c:pt>
                <c:pt idx="6">
                  <c:v>Urban - q2</c:v>
                </c:pt>
                <c:pt idx="7">
                  <c:v>Urban - q3</c:v>
                </c:pt>
                <c:pt idx="8">
                  <c:v>Urban - q4</c:v>
                </c:pt>
                <c:pt idx="9">
                  <c:v>Urban - q5</c:v>
                </c:pt>
                <c:pt idx="10">
                  <c:v>Kigali - q1</c:v>
                </c:pt>
                <c:pt idx="11">
                  <c:v>Kigali - q2</c:v>
                </c:pt>
                <c:pt idx="12">
                  <c:v>Kigali - q3</c:v>
                </c:pt>
                <c:pt idx="13">
                  <c:v>Kigali - q4</c:v>
                </c:pt>
                <c:pt idx="14">
                  <c:v>Kigali - q5</c:v>
                </c:pt>
                <c:pt idx="15">
                  <c:v>Farm</c:v>
                </c:pt>
                <c:pt idx="16">
                  <c:v>Urban</c:v>
                </c:pt>
                <c:pt idx="17">
                  <c:v>Kigali</c:v>
                </c:pt>
                <c:pt idx="18">
                  <c:v>Total</c:v>
                </c:pt>
                <c:pt idx="19">
                  <c:v>Q1</c:v>
                </c:pt>
                <c:pt idx="20">
                  <c:v>Q2</c:v>
                </c:pt>
                <c:pt idx="21">
                  <c:v>Q3</c:v>
                </c:pt>
                <c:pt idx="22">
                  <c:v>Q4</c:v>
                </c:pt>
                <c:pt idx="23">
                  <c:v>Q5</c:v>
                </c:pt>
              </c:strCache>
            </c:strRef>
          </c:cat>
          <c:val>
            <c:numRef>
              <c:f>Workings!$Q$42:$Q$65</c:f>
              <c:numCache>
                <c:formatCode>#,##0.00</c:formatCode>
                <c:ptCount val="24"/>
                <c:pt idx="0">
                  <c:v>0.26401227300097835</c:v>
                </c:pt>
                <c:pt idx="1">
                  <c:v>0.43307480130926523</c:v>
                </c:pt>
                <c:pt idx="2">
                  <c:v>0.61320565885600131</c:v>
                </c:pt>
                <c:pt idx="3">
                  <c:v>0.89681126273741851</c:v>
                </c:pt>
                <c:pt idx="4">
                  <c:v>1.8784055415525465</c:v>
                </c:pt>
                <c:pt idx="5">
                  <c:v>0.26765246258265318</c:v>
                </c:pt>
                <c:pt idx="6">
                  <c:v>0.41368868822728927</c:v>
                </c:pt>
                <c:pt idx="7">
                  <c:v>0.59623152316742767</c:v>
                </c:pt>
                <c:pt idx="8">
                  <c:v>0.98760201484754984</c:v>
                </c:pt>
                <c:pt idx="9">
                  <c:v>3.0204440275633968</c:v>
                </c:pt>
                <c:pt idx="10">
                  <c:v>0.27291681861701372</c:v>
                </c:pt>
                <c:pt idx="11">
                  <c:v>0.4471339385059227</c:v>
                </c:pt>
                <c:pt idx="12">
                  <c:v>0.61310677614966214</c:v>
                </c:pt>
                <c:pt idx="13">
                  <c:v>0.92772380017195977</c:v>
                </c:pt>
                <c:pt idx="14">
                  <c:v>3.909608951204993</c:v>
                </c:pt>
                <c:pt idx="15">
                  <c:v>0.71071352992963011</c:v>
                </c:pt>
                <c:pt idx="16">
                  <c:v>1.5057140586667666</c:v>
                </c:pt>
                <c:pt idx="17">
                  <c:v>2.4171559869009269</c:v>
                </c:pt>
                <c:pt idx="18">
                  <c:v>1</c:v>
                </c:pt>
                <c:pt idx="19">
                  <c:v>0.26476196922616529</c:v>
                </c:pt>
                <c:pt idx="20">
                  <c:v>0.43278438149720361</c:v>
                </c:pt>
                <c:pt idx="21">
                  <c:v>0.6120946841676741</c:v>
                </c:pt>
                <c:pt idx="22">
                  <c:v>0.90707890188609497</c:v>
                </c:pt>
                <c:pt idx="23">
                  <c:v>2.7774095572096469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5-4DF1-91D2-0D72E29293C3}"/>
            </c:ext>
          </c:extLst>
        </c:ser>
        <c:ser>
          <c:idx val="1"/>
          <c:order val="1"/>
          <c:tx>
            <c:strRef>
              <c:f>Workings!$R$41</c:f>
              <c:strCache>
                <c:ptCount val="1"/>
                <c:pt idx="0">
                  <c:v>Survey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Workings!$M$42:$M$65</c:f>
              <c:strCache>
                <c:ptCount val="24"/>
                <c:pt idx="0">
                  <c:v>Rural - farm q1</c:v>
                </c:pt>
                <c:pt idx="1">
                  <c:v>Rural - farm q2</c:v>
                </c:pt>
                <c:pt idx="2">
                  <c:v>Rural - farm q3</c:v>
                </c:pt>
                <c:pt idx="3">
                  <c:v>Rural - farm q4</c:v>
                </c:pt>
                <c:pt idx="4">
                  <c:v>Rural - farm q5</c:v>
                </c:pt>
                <c:pt idx="5">
                  <c:v>Urban - q1</c:v>
                </c:pt>
                <c:pt idx="6">
                  <c:v>Urban - q2</c:v>
                </c:pt>
                <c:pt idx="7">
                  <c:v>Urban - q3</c:v>
                </c:pt>
                <c:pt idx="8">
                  <c:v>Urban - q4</c:v>
                </c:pt>
                <c:pt idx="9">
                  <c:v>Urban - q5</c:v>
                </c:pt>
                <c:pt idx="10">
                  <c:v>Kigali - q1</c:v>
                </c:pt>
                <c:pt idx="11">
                  <c:v>Kigali - q2</c:v>
                </c:pt>
                <c:pt idx="12">
                  <c:v>Kigali - q3</c:v>
                </c:pt>
                <c:pt idx="13">
                  <c:v>Kigali - q4</c:v>
                </c:pt>
                <c:pt idx="14">
                  <c:v>Kigali - q5</c:v>
                </c:pt>
                <c:pt idx="15">
                  <c:v>Farm</c:v>
                </c:pt>
                <c:pt idx="16">
                  <c:v>Urban</c:v>
                </c:pt>
                <c:pt idx="17">
                  <c:v>Kigali</c:v>
                </c:pt>
                <c:pt idx="18">
                  <c:v>Total</c:v>
                </c:pt>
                <c:pt idx="19">
                  <c:v>Q1</c:v>
                </c:pt>
                <c:pt idx="20">
                  <c:v>Q2</c:v>
                </c:pt>
                <c:pt idx="21">
                  <c:v>Q3</c:v>
                </c:pt>
                <c:pt idx="22">
                  <c:v>Q4</c:v>
                </c:pt>
                <c:pt idx="23">
                  <c:v>Q5</c:v>
                </c:pt>
              </c:strCache>
            </c:strRef>
          </c:cat>
          <c:val>
            <c:numRef>
              <c:f>Workings!$R$42:$R$65</c:f>
              <c:numCache>
                <c:formatCode>#,##0.00</c:formatCode>
                <c:ptCount val="24"/>
                <c:pt idx="0">
                  <c:v>0.32497149904355865</c:v>
                </c:pt>
                <c:pt idx="1">
                  <c:v>0.51831647415259796</c:v>
                </c:pt>
                <c:pt idx="2">
                  <c:v>0.70536094732938548</c:v>
                </c:pt>
                <c:pt idx="3">
                  <c:v>0.99152477370780623</c:v>
                </c:pt>
                <c:pt idx="4">
                  <c:v>1.827210070859324</c:v>
                </c:pt>
                <c:pt idx="5">
                  <c:v>0.32331111687050318</c:v>
                </c:pt>
                <c:pt idx="6">
                  <c:v>0.53161543564333136</c:v>
                </c:pt>
                <c:pt idx="7">
                  <c:v>0.70131141723944523</c:v>
                </c:pt>
                <c:pt idx="8">
                  <c:v>1.0525037444025465</c:v>
                </c:pt>
                <c:pt idx="9">
                  <c:v>2.4846162216928485</c:v>
                </c:pt>
                <c:pt idx="10">
                  <c:v>0.35277678620947006</c:v>
                </c:pt>
                <c:pt idx="11">
                  <c:v>0.52428686419238169</c:v>
                </c:pt>
                <c:pt idx="12">
                  <c:v>0.71431708622954682</c:v>
                </c:pt>
                <c:pt idx="13">
                  <c:v>1.0199202182018254</c:v>
                </c:pt>
                <c:pt idx="14">
                  <c:v>3.2764228791899894</c:v>
                </c:pt>
                <c:pt idx="15">
                  <c:v>0.77695176791853782</c:v>
                </c:pt>
                <c:pt idx="16">
                  <c:v>1.3559913493585476</c:v>
                </c:pt>
                <c:pt idx="17">
                  <c:v>2.1137794382051993</c:v>
                </c:pt>
                <c:pt idx="18">
                  <c:v>1</c:v>
                </c:pt>
                <c:pt idx="19">
                  <c:v>0.32649775152470673</c:v>
                </c:pt>
                <c:pt idx="20">
                  <c:v>0.51936930744712684</c:v>
                </c:pt>
                <c:pt idx="21">
                  <c:v>0.70570573428220329</c:v>
                </c:pt>
                <c:pt idx="22">
                  <c:v>0.99932975372138411</c:v>
                </c:pt>
                <c:pt idx="23">
                  <c:v>2.4444083281371913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5-4DF1-91D2-0D72E292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97096"/>
        <c:axId val="170171120"/>
      </c:barChart>
      <c:catAx>
        <c:axId val="17009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1120"/>
        <c:crosses val="autoZero"/>
        <c:auto val="1"/>
        <c:lblAlgn val="ctr"/>
        <c:lblOffset val="100"/>
        <c:noMultiLvlLbl val="0"/>
      </c:catAx>
      <c:valAx>
        <c:axId val="1701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325437</xdr:colOff>
      <xdr:row>7</xdr:row>
      <xdr:rowOff>99102</xdr:rowOff>
    </xdr:from>
    <xdr:to>
      <xdr:col>36</xdr:col>
      <xdr:colOff>247198</xdr:colOff>
      <xdr:row>35</xdr:row>
      <xdr:rowOff>58962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85" zoomScaleNormal="85" workbookViewId="0">
      <pane ySplit="5" topLeftCell="A6" activePane="bottomLeft" state="frozen"/>
      <selection pane="bottomLeft" activeCell="F35" sqref="F35"/>
    </sheetView>
  </sheetViews>
  <sheetFormatPr defaultRowHeight="14.5" x14ac:dyDescent="0.35"/>
  <sheetData>
    <row r="1" spans="1:5" ht="18.5" x14ac:dyDescent="0.45">
      <c r="A1" s="1" t="s">
        <v>0</v>
      </c>
    </row>
    <row r="4" spans="1:5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35">
      <c r="D5" t="s">
        <v>6</v>
      </c>
      <c r="E5" t="s">
        <v>7</v>
      </c>
    </row>
    <row r="6" spans="1:5" x14ac:dyDescent="0.35">
      <c r="A6" t="s">
        <v>8</v>
      </c>
      <c r="B6" t="s">
        <v>9</v>
      </c>
      <c r="C6" t="s">
        <v>106</v>
      </c>
      <c r="D6">
        <v>1</v>
      </c>
      <c r="E6">
        <v>1</v>
      </c>
    </row>
    <row r="7" spans="1:5" x14ac:dyDescent="0.35">
      <c r="A7" t="s">
        <v>8</v>
      </c>
      <c r="B7" t="s">
        <v>10</v>
      </c>
      <c r="C7" t="s">
        <v>107</v>
      </c>
      <c r="D7">
        <v>1</v>
      </c>
      <c r="E7">
        <v>1</v>
      </c>
    </row>
    <row r="8" spans="1:5" x14ac:dyDescent="0.35">
      <c r="A8" t="s">
        <v>8</v>
      </c>
      <c r="B8" t="s">
        <v>51</v>
      </c>
      <c r="C8" t="s">
        <v>108</v>
      </c>
      <c r="D8">
        <v>1</v>
      </c>
      <c r="E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U99"/>
  <sheetViews>
    <sheetView showZeros="0" tabSelected="1" topLeftCell="A73" zoomScaleNormal="100" workbookViewId="0">
      <selection activeCell="J76" sqref="J76"/>
    </sheetView>
  </sheetViews>
  <sheetFormatPr defaultRowHeight="14.5" x14ac:dyDescent="0.35"/>
  <sheetData>
    <row r="3" spans="1:47" x14ac:dyDescent="0.35">
      <c r="A3" s="2" t="s">
        <v>40</v>
      </c>
    </row>
    <row r="4" spans="1:47" x14ac:dyDescent="0.35">
      <c r="A4" s="4" t="s">
        <v>39</v>
      </c>
    </row>
    <row r="5" spans="1:47" x14ac:dyDescent="0.35"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102</v>
      </c>
      <c r="K5" s="3" t="s">
        <v>103</v>
      </c>
      <c r="L5" s="3" t="s">
        <v>104</v>
      </c>
      <c r="M5" s="3" t="s">
        <v>105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t="s">
        <v>35</v>
      </c>
      <c r="AA5" s="5"/>
      <c r="AB5" s="8" t="s">
        <v>21</v>
      </c>
      <c r="AC5" s="8" t="s">
        <v>22</v>
      </c>
      <c r="AD5" s="8" t="s">
        <v>23</v>
      </c>
      <c r="AE5" s="8" t="s">
        <v>24</v>
      </c>
      <c r="AF5" s="8" t="s">
        <v>25</v>
      </c>
      <c r="AG5" s="8" t="s">
        <v>26</v>
      </c>
      <c r="AH5" s="8" t="s">
        <v>27</v>
      </c>
      <c r="AI5" s="8" t="s">
        <v>28</v>
      </c>
      <c r="AJ5" s="8" t="s">
        <v>102</v>
      </c>
      <c r="AK5" s="8" t="s">
        <v>103</v>
      </c>
      <c r="AL5" s="8" t="s">
        <v>104</v>
      </c>
      <c r="AM5" s="8" t="s">
        <v>105</v>
      </c>
      <c r="AN5" s="8" t="s">
        <v>29</v>
      </c>
      <c r="AO5" s="8" t="s">
        <v>30</v>
      </c>
      <c r="AP5" s="8" t="s">
        <v>31</v>
      </c>
      <c r="AQ5" s="8" t="s">
        <v>32</v>
      </c>
      <c r="AR5" s="8" t="s">
        <v>33</v>
      </c>
      <c r="AS5" s="8" t="s">
        <v>34</v>
      </c>
      <c r="AT5" s="8" t="s">
        <v>35</v>
      </c>
      <c r="AU5" s="5"/>
    </row>
    <row r="6" spans="1:47" x14ac:dyDescent="0.35">
      <c r="A6" s="8" t="s">
        <v>11</v>
      </c>
      <c r="B6" s="5">
        <f>IF(ISNA(INDEX($AB$6:$AT$25,MATCH($A6,$AA$6:$AA$25,0),MATCH(B$5,$AB$5:$AT$5,0))),0,INDEX($AB$6:$AT$25,MATCH($A6,$AA$6:$AA$25,0),MATCH(B$5,$AB$5:$AT$5,0)))</f>
        <v>72.99077569851319</v>
      </c>
      <c r="C6" s="5">
        <f t="shared" ref="C6:M10" si="0">IF(ISNA(INDEX($AB$6:$AT$25,MATCH($A6,$AA$6:$AA$25,0),MATCH(C$5,$AB$5:$AT$5,0))),0,INDEX($AB$6:$AT$25,MATCH($A6,$AA$6:$AA$25,0),MATCH(C$5,$AB$5:$AT$5,0)))</f>
        <v>55.303804040557573</v>
      </c>
      <c r="D6" s="5">
        <f t="shared" si="0"/>
        <v>1.9237748107190191</v>
      </c>
      <c r="E6" s="5">
        <f t="shared" si="0"/>
        <v>0.50047914457493992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ref="N6:T10" si="1">IF(ISNA(INDEX($AB$6:$AT$25,MATCH($A6,$AA$6:$AA$25,0),MATCH(N$5,$AB$5:$AT$5,0))),0,INDEX($AB$6:$AT$25,MATCH($A6,$AA$6:$AA$25,0),MATCH(N$5,$AB$5:$AT$5,0)))</f>
        <v>47.965049096393081</v>
      </c>
      <c r="O6" s="5">
        <f t="shared" si="1"/>
        <v>24.079146185194571</v>
      </c>
      <c r="P6" s="5">
        <f t="shared" si="1"/>
        <v>5.75430784223059</v>
      </c>
      <c r="Q6" s="5">
        <f t="shared" si="1"/>
        <v>2.1435149127778939</v>
      </c>
      <c r="R6" s="5">
        <f t="shared" si="1"/>
        <v>19.436807977961823</v>
      </c>
      <c r="S6" s="5">
        <f t="shared" si="1"/>
        <v>1.5689920056810076</v>
      </c>
      <c r="T6" s="5">
        <f t="shared" si="1"/>
        <v>231.66665171460366</v>
      </c>
      <c r="AA6" s="8" t="s">
        <v>11</v>
      </c>
      <c r="AB6" s="5">
        <v>72.99077569851319</v>
      </c>
      <c r="AC6" s="5">
        <v>55.303804040557573</v>
      </c>
      <c r="AD6" s="5">
        <v>1.9237748107190191</v>
      </c>
      <c r="AE6" s="5">
        <v>0.50047914457493992</v>
      </c>
      <c r="AF6" s="5"/>
      <c r="AG6" s="5"/>
      <c r="AH6" s="5"/>
      <c r="AI6" s="5"/>
      <c r="AJ6" s="5"/>
      <c r="AK6" s="5"/>
      <c r="AL6" s="5"/>
      <c r="AM6" s="5"/>
      <c r="AN6" s="5">
        <v>47.965049096393081</v>
      </c>
      <c r="AO6" s="5">
        <v>24.079146185194571</v>
      </c>
      <c r="AP6" s="5">
        <v>5.75430784223059</v>
      </c>
      <c r="AQ6" s="5">
        <v>2.1435149127778939</v>
      </c>
      <c r="AR6" s="5">
        <v>19.436807977961823</v>
      </c>
      <c r="AS6" s="5">
        <v>1.5689920056810076</v>
      </c>
      <c r="AT6" s="5">
        <v>231.66665171460366</v>
      </c>
      <c r="AU6" s="5"/>
    </row>
    <row r="7" spans="1:47" x14ac:dyDescent="0.35">
      <c r="A7" s="8" t="s">
        <v>12</v>
      </c>
      <c r="B7" s="5">
        <f t="shared" ref="B7:B10" si="2">IF(ISNA(INDEX($AB$6:$AT$25,MATCH($A7,$AA$6:$AA$25,0),MATCH(B$5,$AB$5:$AT$5,0))),0,INDEX($AB$6:$AT$25,MATCH($A7,$AA$6:$AA$25,0),MATCH(B$5,$AB$5:$AT$5,0)))</f>
        <v>116.67214422582778</v>
      </c>
      <c r="C7" s="5">
        <f t="shared" si="0"/>
        <v>112.49465278165259</v>
      </c>
      <c r="D7" s="5">
        <f t="shared" si="0"/>
        <v>8.6498515190904666</v>
      </c>
      <c r="E7" s="5">
        <f t="shared" si="0"/>
        <v>1.550931340321045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1"/>
        <v>83.132589932897829</v>
      </c>
      <c r="O7" s="5">
        <f t="shared" si="1"/>
        <v>41.733758715126839</v>
      </c>
      <c r="P7" s="5">
        <f t="shared" si="1"/>
        <v>9.911973562943297</v>
      </c>
      <c r="Q7" s="5">
        <f t="shared" si="1"/>
        <v>13.280739450074771</v>
      </c>
      <c r="R7" s="5">
        <f t="shared" si="1"/>
        <v>30.913690147611199</v>
      </c>
      <c r="S7" s="5">
        <f t="shared" si="1"/>
        <v>3.7503868141073404</v>
      </c>
      <c r="T7" s="5">
        <f t="shared" si="1"/>
        <v>422.09071848965311</v>
      </c>
      <c r="AA7" s="8" t="s">
        <v>12</v>
      </c>
      <c r="AB7" s="5">
        <v>116.67214422582778</v>
      </c>
      <c r="AC7" s="5">
        <v>112.49465278165259</v>
      </c>
      <c r="AD7" s="5">
        <v>8.6498515190904666</v>
      </c>
      <c r="AE7" s="5">
        <v>1.550931340321045</v>
      </c>
      <c r="AF7" s="5"/>
      <c r="AG7" s="5"/>
      <c r="AH7" s="5"/>
      <c r="AI7" s="5"/>
      <c r="AJ7" s="5"/>
      <c r="AK7" s="5"/>
      <c r="AL7" s="5"/>
      <c r="AM7" s="5"/>
      <c r="AN7" s="5">
        <v>83.132589932897829</v>
      </c>
      <c r="AO7" s="5">
        <v>41.733758715126839</v>
      </c>
      <c r="AP7" s="5">
        <v>9.911973562943297</v>
      </c>
      <c r="AQ7" s="5">
        <v>13.280739450074771</v>
      </c>
      <c r="AR7" s="5">
        <v>30.913690147611199</v>
      </c>
      <c r="AS7" s="5">
        <v>3.7503868141073404</v>
      </c>
      <c r="AT7" s="5">
        <v>422.09071848965311</v>
      </c>
      <c r="AU7" s="5"/>
    </row>
    <row r="8" spans="1:47" x14ac:dyDescent="0.35">
      <c r="A8" s="8" t="s">
        <v>13</v>
      </c>
      <c r="B8" s="5">
        <f t="shared" si="2"/>
        <v>131.6637056878352</v>
      </c>
      <c r="C8" s="5">
        <f t="shared" si="0"/>
        <v>140.57245004818549</v>
      </c>
      <c r="D8" s="5">
        <f t="shared" si="0"/>
        <v>14.072073942578971</v>
      </c>
      <c r="E8" s="5">
        <f t="shared" si="0"/>
        <v>5.1616713321173959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1"/>
        <v>117.43734447539147</v>
      </c>
      <c r="O8" s="5">
        <f t="shared" si="1"/>
        <v>58.955240086195396</v>
      </c>
      <c r="P8" s="5">
        <f t="shared" si="1"/>
        <v>16.473148379989166</v>
      </c>
      <c r="Q8" s="5">
        <f t="shared" si="1"/>
        <v>22.934451994085887</v>
      </c>
      <c r="R8" s="5">
        <f t="shared" si="1"/>
        <v>23.371936153890779</v>
      </c>
      <c r="S8" s="5">
        <f t="shared" si="1"/>
        <v>6.8362918507905368</v>
      </c>
      <c r="T8" s="5">
        <f t="shared" si="1"/>
        <v>537.47831395106027</v>
      </c>
      <c r="AA8" s="8" t="s">
        <v>13</v>
      </c>
      <c r="AB8" s="5">
        <v>131.6637056878352</v>
      </c>
      <c r="AC8" s="5">
        <v>140.57245004818549</v>
      </c>
      <c r="AD8" s="5">
        <v>14.072073942578971</v>
      </c>
      <c r="AE8" s="5">
        <v>5.1616713321173959</v>
      </c>
      <c r="AF8" s="5"/>
      <c r="AG8" s="5"/>
      <c r="AH8" s="5"/>
      <c r="AI8" s="5"/>
      <c r="AJ8" s="5"/>
      <c r="AK8" s="5"/>
      <c r="AL8" s="5"/>
      <c r="AM8" s="5"/>
      <c r="AN8" s="5">
        <v>117.43734447539147</v>
      </c>
      <c r="AO8" s="5">
        <v>58.955240086195396</v>
      </c>
      <c r="AP8" s="5">
        <v>16.473148379989166</v>
      </c>
      <c r="AQ8" s="5">
        <v>22.934451994085887</v>
      </c>
      <c r="AR8" s="5">
        <v>23.371936153890779</v>
      </c>
      <c r="AS8" s="5">
        <v>6.8362918507905368</v>
      </c>
      <c r="AT8" s="5">
        <v>537.47831395106027</v>
      </c>
      <c r="AU8" s="5"/>
    </row>
    <row r="9" spans="1:47" x14ac:dyDescent="0.35">
      <c r="A9" s="8" t="s">
        <v>14</v>
      </c>
      <c r="B9" s="5">
        <f t="shared" si="2"/>
        <v>216.55641220562342</v>
      </c>
      <c r="C9" s="5">
        <f t="shared" si="0"/>
        <v>236.76066623423131</v>
      </c>
      <c r="D9" s="5">
        <f t="shared" si="0"/>
        <v>33.631782960699859</v>
      </c>
      <c r="E9" s="5">
        <f t="shared" si="0"/>
        <v>60.6920504174633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1"/>
        <v>168.31436987169101</v>
      </c>
      <c r="O9" s="5">
        <f t="shared" si="1"/>
        <v>84.496240357525835</v>
      </c>
      <c r="P9" s="5">
        <f t="shared" si="1"/>
        <v>25.848779049443088</v>
      </c>
      <c r="Q9" s="5">
        <f t="shared" si="1"/>
        <v>109.95193754923146</v>
      </c>
      <c r="R9" s="5">
        <f t="shared" si="1"/>
        <v>30.836309860419266</v>
      </c>
      <c r="S9" s="5">
        <f t="shared" si="1"/>
        <v>13.471789844573509</v>
      </c>
      <c r="T9" s="5">
        <f t="shared" si="1"/>
        <v>980.56033835090227</v>
      </c>
      <c r="AA9" s="8" t="s">
        <v>14</v>
      </c>
      <c r="AB9" s="5">
        <v>216.55641220562342</v>
      </c>
      <c r="AC9" s="5">
        <v>236.76066623423131</v>
      </c>
      <c r="AD9" s="5">
        <v>33.631782960699859</v>
      </c>
      <c r="AE9" s="5">
        <v>60.6920504174633</v>
      </c>
      <c r="AF9" s="5"/>
      <c r="AG9" s="5"/>
      <c r="AH9" s="5"/>
      <c r="AI9" s="5"/>
      <c r="AJ9" s="5"/>
      <c r="AK9" s="5"/>
      <c r="AL9" s="5"/>
      <c r="AM9" s="5"/>
      <c r="AN9" s="5">
        <v>168.31436987169101</v>
      </c>
      <c r="AO9" s="5">
        <v>84.496240357525835</v>
      </c>
      <c r="AP9" s="5">
        <v>25.848779049443088</v>
      </c>
      <c r="AQ9" s="5">
        <v>109.95193754923146</v>
      </c>
      <c r="AR9" s="5">
        <v>30.836309860419266</v>
      </c>
      <c r="AS9" s="5">
        <v>13.471789844573509</v>
      </c>
      <c r="AT9" s="5">
        <v>980.56033835090227</v>
      </c>
      <c r="AU9" s="5"/>
    </row>
    <row r="10" spans="1:47" x14ac:dyDescent="0.35">
      <c r="A10" s="8" t="s">
        <v>15</v>
      </c>
      <c r="B10" s="5">
        <f t="shared" si="2"/>
        <v>152.29551045608218</v>
      </c>
      <c r="C10" s="5">
        <f t="shared" si="0"/>
        <v>204.38465979150087</v>
      </c>
      <c r="D10" s="5">
        <f t="shared" si="0"/>
        <v>93.681168475679186</v>
      </c>
      <c r="E10" s="5">
        <f t="shared" si="0"/>
        <v>133.22542137166195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0</v>
      </c>
      <c r="N10" s="5">
        <f t="shared" si="1"/>
        <v>132.29529934036222</v>
      </c>
      <c r="O10" s="5">
        <f t="shared" si="1"/>
        <v>66.414147643814402</v>
      </c>
      <c r="P10" s="5">
        <f t="shared" si="1"/>
        <v>22.743604936215025</v>
      </c>
      <c r="Q10" s="5">
        <f t="shared" si="1"/>
        <v>281.19806090239905</v>
      </c>
      <c r="R10" s="5">
        <f t="shared" si="1"/>
        <v>32.122650804878241</v>
      </c>
      <c r="S10" s="5">
        <f t="shared" si="1"/>
        <v>25.271502976255519</v>
      </c>
      <c r="T10" s="5">
        <f t="shared" si="1"/>
        <v>1143.6320266988487</v>
      </c>
      <c r="AA10" s="8" t="s">
        <v>15</v>
      </c>
      <c r="AB10" s="5">
        <v>152.29551045608218</v>
      </c>
      <c r="AC10" s="5">
        <v>204.38465979150087</v>
      </c>
      <c r="AD10" s="5">
        <v>93.681168475679186</v>
      </c>
      <c r="AE10" s="5">
        <v>133.22542137166195</v>
      </c>
      <c r="AF10" s="5"/>
      <c r="AG10" s="5"/>
      <c r="AH10" s="5"/>
      <c r="AI10" s="5"/>
      <c r="AJ10" s="5"/>
      <c r="AK10" s="5"/>
      <c r="AL10" s="5"/>
      <c r="AM10" s="5"/>
      <c r="AN10" s="5">
        <v>132.29529934036222</v>
      </c>
      <c r="AO10" s="5">
        <v>66.414147643814402</v>
      </c>
      <c r="AP10" s="5">
        <v>22.743604936215025</v>
      </c>
      <c r="AQ10" s="5">
        <v>281.19806090239905</v>
      </c>
      <c r="AR10" s="5">
        <v>32.122650804878241</v>
      </c>
      <c r="AS10" s="5">
        <v>25.271502976255519</v>
      </c>
      <c r="AT10" s="5">
        <v>1143.6320266988487</v>
      </c>
      <c r="AU10" s="5"/>
    </row>
    <row r="11" spans="1:47" x14ac:dyDescent="0.35">
      <c r="A11" s="8" t="s">
        <v>16</v>
      </c>
      <c r="B11" s="5">
        <f t="shared" ref="B11:K20" si="3">IF(ISNA(INDEX($AB$6:$AT$25,MATCH($A11,$AA$6:$AA$25,0),MATCH(B$5,$AB$5:$AT$5,0))),0,INDEX($AB$6:$AT$25,MATCH($A11,$AA$6:$AA$25,0),MATCH(B$5,$AB$5:$AT$5,0)))</f>
        <v>0</v>
      </c>
      <c r="C11" s="5">
        <f t="shared" si="3"/>
        <v>0</v>
      </c>
      <c r="D11" s="5">
        <f t="shared" si="3"/>
        <v>0</v>
      </c>
      <c r="E11" s="5">
        <f t="shared" si="3"/>
        <v>0</v>
      </c>
      <c r="F11" s="5">
        <f t="shared" si="3"/>
        <v>4.6850250009181753</v>
      </c>
      <c r="G11" s="5">
        <f t="shared" si="3"/>
        <v>3.624893470248904</v>
      </c>
      <c r="H11" s="5">
        <f t="shared" si="3"/>
        <v>0.41428695713788749</v>
      </c>
      <c r="I11" s="5">
        <f t="shared" si="3"/>
        <v>0.9832079833004177</v>
      </c>
      <c r="J11" s="5">
        <f t="shared" si="3"/>
        <v>0</v>
      </c>
      <c r="K11" s="5">
        <f t="shared" si="3"/>
        <v>0</v>
      </c>
      <c r="L11" s="5">
        <f t="shared" ref="L11:T20" si="4">IF(ISNA(INDEX($AB$6:$AT$25,MATCH($A11,$AA$6:$AA$25,0),MATCH(L$5,$AB$5:$AT$5,0))),0,INDEX($AB$6:$AT$25,MATCH($A11,$AA$6:$AA$25,0),MATCH(L$5,$AB$5:$AT$5,0)))</f>
        <v>0</v>
      </c>
      <c r="M11" s="5">
        <f t="shared" si="4"/>
        <v>0</v>
      </c>
      <c r="N11" s="5">
        <f t="shared" si="4"/>
        <v>1.279830263016412</v>
      </c>
      <c r="O11" s="5">
        <f t="shared" si="4"/>
        <v>0.64249324405936281</v>
      </c>
      <c r="P11" s="5">
        <f t="shared" si="4"/>
        <v>0.14590442908008</v>
      </c>
      <c r="Q11" s="5">
        <f t="shared" si="4"/>
        <v>0.26709764751399301</v>
      </c>
      <c r="R11" s="5">
        <f t="shared" si="4"/>
        <v>1.4022797235837943</v>
      </c>
      <c r="S11" s="5">
        <f t="shared" si="4"/>
        <v>6.4128863375216144E-2</v>
      </c>
      <c r="T11" s="5">
        <f t="shared" si="4"/>
        <v>13.509147582234244</v>
      </c>
      <c r="AA11" s="8" t="s">
        <v>16</v>
      </c>
      <c r="AB11" s="5"/>
      <c r="AC11" s="5"/>
      <c r="AD11" s="5"/>
      <c r="AE11" s="5"/>
      <c r="AF11" s="5">
        <v>4.6850250009181753</v>
      </c>
      <c r="AG11" s="5">
        <v>3.624893470248904</v>
      </c>
      <c r="AH11" s="5">
        <v>0.41428695713788749</v>
      </c>
      <c r="AI11" s="5">
        <v>0.9832079833004177</v>
      </c>
      <c r="AJ11" s="5"/>
      <c r="AK11" s="5"/>
      <c r="AL11" s="5"/>
      <c r="AM11" s="5"/>
      <c r="AN11" s="5">
        <v>1.279830263016412</v>
      </c>
      <c r="AO11" s="5">
        <v>0.64249324405936281</v>
      </c>
      <c r="AP11" s="5">
        <v>0.14590442908008</v>
      </c>
      <c r="AQ11" s="5">
        <v>0.26709764751399301</v>
      </c>
      <c r="AR11" s="5">
        <v>1.4022797235837943</v>
      </c>
      <c r="AS11" s="5">
        <v>6.4128863375216144E-2</v>
      </c>
      <c r="AT11" s="5">
        <v>13.509147582234244</v>
      </c>
      <c r="AU11" s="5"/>
    </row>
    <row r="12" spans="1:47" x14ac:dyDescent="0.35">
      <c r="A12" s="8" t="s">
        <v>17</v>
      </c>
      <c r="B12" s="5">
        <f t="shared" si="3"/>
        <v>0</v>
      </c>
      <c r="C12" s="5">
        <f t="shared" si="3"/>
        <v>0</v>
      </c>
      <c r="D12" s="5">
        <f t="shared" si="3"/>
        <v>0</v>
      </c>
      <c r="E12" s="5">
        <f t="shared" si="3"/>
        <v>0</v>
      </c>
      <c r="F12" s="5">
        <f t="shared" si="3"/>
        <v>7.1385418806754535</v>
      </c>
      <c r="G12" s="5">
        <f t="shared" si="3"/>
        <v>6.5814504679126848</v>
      </c>
      <c r="H12" s="5">
        <f t="shared" si="3"/>
        <v>1.1535290326142764</v>
      </c>
      <c r="I12" s="5">
        <f t="shared" si="3"/>
        <v>2.7376168481637269</v>
      </c>
      <c r="J12" s="5">
        <f t="shared" si="3"/>
        <v>0</v>
      </c>
      <c r="K12" s="5">
        <f t="shared" si="3"/>
        <v>0</v>
      </c>
      <c r="L12" s="5">
        <f t="shared" si="4"/>
        <v>0</v>
      </c>
      <c r="M12" s="5">
        <f t="shared" si="4"/>
        <v>0</v>
      </c>
      <c r="N12" s="5">
        <f t="shared" si="4"/>
        <v>1.8039303495006591</v>
      </c>
      <c r="O12" s="5">
        <f t="shared" si="4"/>
        <v>0.90559904371706212</v>
      </c>
      <c r="P12" s="5">
        <f t="shared" si="4"/>
        <v>0.37849744586498196</v>
      </c>
      <c r="Q12" s="5">
        <f t="shared" si="4"/>
        <v>1.8048202888333404</v>
      </c>
      <c r="R12" s="5">
        <f t="shared" si="4"/>
        <v>0.72003846564035123</v>
      </c>
      <c r="S12" s="5">
        <f t="shared" si="4"/>
        <v>0.13881730096996625</v>
      </c>
      <c r="T12" s="5">
        <f t="shared" si="4"/>
        <v>23.362841123892501</v>
      </c>
      <c r="AA12" s="8" t="s">
        <v>17</v>
      </c>
      <c r="AB12" s="5"/>
      <c r="AC12" s="5"/>
      <c r="AD12" s="5"/>
      <c r="AE12" s="5"/>
      <c r="AF12" s="5">
        <v>7.1385418806754535</v>
      </c>
      <c r="AG12" s="5">
        <v>6.5814504679126848</v>
      </c>
      <c r="AH12" s="5">
        <v>1.1535290326142764</v>
      </c>
      <c r="AI12" s="5">
        <v>2.7376168481637269</v>
      </c>
      <c r="AJ12" s="5"/>
      <c r="AK12" s="5"/>
      <c r="AL12" s="5"/>
      <c r="AM12" s="5"/>
      <c r="AN12" s="5">
        <v>1.8039303495006591</v>
      </c>
      <c r="AO12" s="5">
        <v>0.90559904371706212</v>
      </c>
      <c r="AP12" s="5">
        <v>0.37849744586498196</v>
      </c>
      <c r="AQ12" s="5">
        <v>1.8048202888333404</v>
      </c>
      <c r="AR12" s="5">
        <v>0.72003846564035123</v>
      </c>
      <c r="AS12" s="5">
        <v>0.13881730096996625</v>
      </c>
      <c r="AT12" s="5">
        <v>23.362841123892501</v>
      </c>
      <c r="AU12" s="5"/>
    </row>
    <row r="13" spans="1:47" x14ac:dyDescent="0.35">
      <c r="A13" s="8" t="s">
        <v>18</v>
      </c>
      <c r="B13" s="5">
        <f t="shared" si="3"/>
        <v>0</v>
      </c>
      <c r="C13" s="5">
        <f t="shared" si="3"/>
        <v>0</v>
      </c>
      <c r="D13" s="5">
        <f t="shared" si="3"/>
        <v>0</v>
      </c>
      <c r="E13" s="5">
        <f t="shared" si="3"/>
        <v>0</v>
      </c>
      <c r="F13" s="5">
        <f t="shared" si="3"/>
        <v>12.149027050625007</v>
      </c>
      <c r="G13" s="5">
        <f t="shared" si="3"/>
        <v>11.856115884299038</v>
      </c>
      <c r="H13" s="5">
        <f t="shared" si="3"/>
        <v>2.0698252941441133</v>
      </c>
      <c r="I13" s="5">
        <f t="shared" si="3"/>
        <v>4.9122201850112646</v>
      </c>
      <c r="J13" s="5">
        <f t="shared" si="3"/>
        <v>0</v>
      </c>
      <c r="K13" s="5">
        <f t="shared" si="3"/>
        <v>0</v>
      </c>
      <c r="L13" s="5">
        <f t="shared" si="4"/>
        <v>0</v>
      </c>
      <c r="M13" s="5">
        <f t="shared" si="4"/>
        <v>0</v>
      </c>
      <c r="N13" s="5">
        <f t="shared" si="4"/>
        <v>2.5157074999470455</v>
      </c>
      <c r="O13" s="5">
        <f t="shared" si="4"/>
        <v>1.2629214353284282</v>
      </c>
      <c r="P13" s="5">
        <f t="shared" si="4"/>
        <v>0.57992788163060383</v>
      </c>
      <c r="Q13" s="5">
        <f t="shared" si="4"/>
        <v>4.8839079707478321</v>
      </c>
      <c r="R13" s="5">
        <f t="shared" si="4"/>
        <v>1.7488087085807831</v>
      </c>
      <c r="S13" s="5">
        <f t="shared" si="4"/>
        <v>2.2252323196851219E-3</v>
      </c>
      <c r="T13" s="5">
        <f t="shared" si="4"/>
        <v>41.980687142633805</v>
      </c>
      <c r="AA13" s="8" t="s">
        <v>18</v>
      </c>
      <c r="AB13" s="5"/>
      <c r="AC13" s="5"/>
      <c r="AD13" s="5"/>
      <c r="AE13" s="5"/>
      <c r="AF13" s="5">
        <v>12.149027050625007</v>
      </c>
      <c r="AG13" s="5">
        <v>11.856115884299038</v>
      </c>
      <c r="AH13" s="5">
        <v>2.0698252941441133</v>
      </c>
      <c r="AI13" s="5">
        <v>4.9122201850112646</v>
      </c>
      <c r="AJ13" s="5"/>
      <c r="AK13" s="5"/>
      <c r="AL13" s="5"/>
      <c r="AM13" s="5"/>
      <c r="AN13" s="5">
        <v>2.5157074999470455</v>
      </c>
      <c r="AO13" s="5">
        <v>1.2629214353284282</v>
      </c>
      <c r="AP13" s="5">
        <v>0.57992788163060383</v>
      </c>
      <c r="AQ13" s="5">
        <v>4.8839079707478321</v>
      </c>
      <c r="AR13" s="5">
        <v>1.7488087085807831</v>
      </c>
      <c r="AS13" s="5">
        <v>2.2252323196851219E-3</v>
      </c>
      <c r="AT13" s="5">
        <v>41.980687142633805</v>
      </c>
      <c r="AU13" s="5"/>
    </row>
    <row r="14" spans="1:47" x14ac:dyDescent="0.35">
      <c r="A14" s="8" t="s">
        <v>19</v>
      </c>
      <c r="B14" s="5">
        <f t="shared" si="3"/>
        <v>0</v>
      </c>
      <c r="C14" s="5">
        <f t="shared" si="3"/>
        <v>0</v>
      </c>
      <c r="D14" s="5">
        <f t="shared" si="3"/>
        <v>0</v>
      </c>
      <c r="E14" s="5">
        <f t="shared" si="3"/>
        <v>0</v>
      </c>
      <c r="F14" s="5">
        <f t="shared" si="3"/>
        <v>16.215339596540993</v>
      </c>
      <c r="G14" s="5">
        <f t="shared" si="3"/>
        <v>19.211137165050516</v>
      </c>
      <c r="H14" s="5">
        <f t="shared" si="3"/>
        <v>9.1787616032872386</v>
      </c>
      <c r="I14" s="5">
        <f t="shared" si="3"/>
        <v>20.755688470593196</v>
      </c>
      <c r="J14" s="5">
        <f t="shared" si="3"/>
        <v>0</v>
      </c>
      <c r="K14" s="5">
        <f t="shared" si="3"/>
        <v>0</v>
      </c>
      <c r="L14" s="5">
        <f t="shared" si="4"/>
        <v>0</v>
      </c>
      <c r="M14" s="5">
        <f t="shared" si="4"/>
        <v>0</v>
      </c>
      <c r="N14" s="5">
        <f t="shared" si="4"/>
        <v>3.7082629603802353</v>
      </c>
      <c r="O14" s="5">
        <f t="shared" si="4"/>
        <v>1.8616014702016164</v>
      </c>
      <c r="P14" s="5">
        <f t="shared" si="4"/>
        <v>1.0323708914854048</v>
      </c>
      <c r="Q14" s="5">
        <f t="shared" si="4"/>
        <v>26.71695396587543</v>
      </c>
      <c r="R14" s="5">
        <f t="shared" si="4"/>
        <v>2.988940678177356</v>
      </c>
      <c r="S14" s="5">
        <f t="shared" si="4"/>
        <v>1.3552470783819681</v>
      </c>
      <c r="T14" s="5">
        <f t="shared" si="4"/>
        <v>103.02430387997396</v>
      </c>
      <c r="AA14" s="8" t="s">
        <v>19</v>
      </c>
      <c r="AB14" s="5"/>
      <c r="AC14" s="5"/>
      <c r="AD14" s="5"/>
      <c r="AE14" s="5"/>
      <c r="AF14" s="5">
        <v>16.215339596540993</v>
      </c>
      <c r="AG14" s="5">
        <v>19.211137165050516</v>
      </c>
      <c r="AH14" s="5">
        <v>9.1787616032872386</v>
      </c>
      <c r="AI14" s="5">
        <v>20.755688470593196</v>
      </c>
      <c r="AJ14" s="5"/>
      <c r="AK14" s="5"/>
      <c r="AL14" s="5"/>
      <c r="AM14" s="5"/>
      <c r="AN14" s="5">
        <v>3.7082629603802353</v>
      </c>
      <c r="AO14" s="5">
        <v>1.8616014702016164</v>
      </c>
      <c r="AP14" s="5">
        <v>1.0323708914854048</v>
      </c>
      <c r="AQ14" s="5">
        <v>26.71695396587543</v>
      </c>
      <c r="AR14" s="5">
        <v>2.988940678177356</v>
      </c>
      <c r="AS14" s="5">
        <v>1.3552470783819681</v>
      </c>
      <c r="AT14" s="5">
        <v>103.02430387997396</v>
      </c>
      <c r="AU14" s="5"/>
    </row>
    <row r="15" spans="1:47" x14ac:dyDescent="0.35">
      <c r="A15" s="8" t="s">
        <v>20</v>
      </c>
      <c r="B15" s="5">
        <f t="shared" si="3"/>
        <v>0</v>
      </c>
      <c r="C15" s="5">
        <f t="shared" si="3"/>
        <v>0</v>
      </c>
      <c r="D15" s="5">
        <f t="shared" si="3"/>
        <v>0</v>
      </c>
      <c r="E15" s="5">
        <f t="shared" si="3"/>
        <v>0</v>
      </c>
      <c r="F15" s="5">
        <f t="shared" si="3"/>
        <v>23.16205632713665</v>
      </c>
      <c r="G15" s="5">
        <f t="shared" si="3"/>
        <v>54.314270906724616</v>
      </c>
      <c r="H15" s="5">
        <f t="shared" si="3"/>
        <v>55.966349199497955</v>
      </c>
      <c r="I15" s="5">
        <f t="shared" si="3"/>
        <v>266.47572973797446</v>
      </c>
      <c r="J15" s="5">
        <f t="shared" si="3"/>
        <v>0</v>
      </c>
      <c r="K15" s="5">
        <f t="shared" si="3"/>
        <v>0</v>
      </c>
      <c r="L15" s="5">
        <f t="shared" si="4"/>
        <v>0</v>
      </c>
      <c r="M15" s="5">
        <f t="shared" si="4"/>
        <v>0</v>
      </c>
      <c r="N15" s="5">
        <f t="shared" si="4"/>
        <v>5.415679597667026</v>
      </c>
      <c r="O15" s="5">
        <f t="shared" si="4"/>
        <v>2.7187492388954184</v>
      </c>
      <c r="P15" s="5">
        <f t="shared" si="4"/>
        <v>2.0936083613782199</v>
      </c>
      <c r="Q15" s="5">
        <f t="shared" si="4"/>
        <v>359.86709423310606</v>
      </c>
      <c r="R15" s="5">
        <f t="shared" si="4"/>
        <v>26.004258364516435</v>
      </c>
      <c r="S15" s="5">
        <f t="shared" si="4"/>
        <v>10.199025089139187</v>
      </c>
      <c r="T15" s="5">
        <f t="shared" si="4"/>
        <v>806.21682105603611</v>
      </c>
      <c r="AA15" s="8" t="s">
        <v>20</v>
      </c>
      <c r="AB15" s="5"/>
      <c r="AC15" s="5"/>
      <c r="AD15" s="5"/>
      <c r="AE15" s="5"/>
      <c r="AF15" s="5">
        <v>23.16205632713665</v>
      </c>
      <c r="AG15" s="5">
        <v>54.314270906724616</v>
      </c>
      <c r="AH15" s="5">
        <v>55.966349199497955</v>
      </c>
      <c r="AI15" s="5">
        <v>266.47572973797446</v>
      </c>
      <c r="AJ15" s="5"/>
      <c r="AK15" s="5"/>
      <c r="AL15" s="5"/>
      <c r="AM15" s="5"/>
      <c r="AN15" s="5">
        <v>5.415679597667026</v>
      </c>
      <c r="AO15" s="5">
        <v>2.7187492388954184</v>
      </c>
      <c r="AP15" s="5">
        <v>2.0936083613782199</v>
      </c>
      <c r="AQ15" s="5">
        <v>359.86709423310606</v>
      </c>
      <c r="AR15" s="5">
        <v>26.004258364516435</v>
      </c>
      <c r="AS15" s="5">
        <v>10.199025089139187</v>
      </c>
      <c r="AT15" s="5">
        <v>806.21682105603611</v>
      </c>
      <c r="AU15" s="5"/>
    </row>
    <row r="16" spans="1:47" x14ac:dyDescent="0.35">
      <c r="A16" s="3" t="s">
        <v>97</v>
      </c>
      <c r="B16" s="5">
        <f t="shared" si="3"/>
        <v>0</v>
      </c>
      <c r="C16" s="5">
        <f t="shared" si="3"/>
        <v>0</v>
      </c>
      <c r="D16" s="5">
        <f t="shared" si="3"/>
        <v>0</v>
      </c>
      <c r="E16" s="5">
        <f t="shared" si="3"/>
        <v>0</v>
      </c>
      <c r="F16" s="5">
        <f t="shared" si="3"/>
        <v>0</v>
      </c>
      <c r="G16" s="5">
        <f t="shared" si="3"/>
        <v>0</v>
      </c>
      <c r="H16" s="5">
        <f t="shared" si="3"/>
        <v>0</v>
      </c>
      <c r="I16" s="5">
        <f t="shared" si="3"/>
        <v>0</v>
      </c>
      <c r="J16" s="5">
        <f t="shared" si="3"/>
        <v>6.9154194525541213</v>
      </c>
      <c r="K16" s="5">
        <f t="shared" si="3"/>
        <v>2.9081209554418774</v>
      </c>
      <c r="L16" s="5">
        <f t="shared" si="4"/>
        <v>1.2930166457672059</v>
      </c>
      <c r="M16" s="5">
        <f t="shared" si="4"/>
        <v>3.4895761822755134</v>
      </c>
      <c r="N16" s="5">
        <f t="shared" si="4"/>
        <v>0.70997532896841131</v>
      </c>
      <c r="O16" s="5">
        <f t="shared" si="4"/>
        <v>0.35641785125155961</v>
      </c>
      <c r="P16" s="5">
        <f t="shared" si="4"/>
        <v>7.7292209183962735E-2</v>
      </c>
      <c r="Q16" s="5">
        <f t="shared" si="4"/>
        <v>0.37218125812828429</v>
      </c>
      <c r="R16" s="5">
        <f t="shared" si="4"/>
        <v>1.663933502620812</v>
      </c>
      <c r="S16" s="5">
        <f t="shared" si="4"/>
        <v>4.6787436124673273E-2</v>
      </c>
      <c r="T16" s="5">
        <f t="shared" si="4"/>
        <v>17.832720822316421</v>
      </c>
      <c r="AA16" s="8" t="s">
        <v>97</v>
      </c>
      <c r="AB16" s="5"/>
      <c r="AC16" s="5"/>
      <c r="AD16" s="5"/>
      <c r="AE16" s="5"/>
      <c r="AF16" s="5"/>
      <c r="AG16" s="5"/>
      <c r="AH16" s="5"/>
      <c r="AI16" s="5"/>
      <c r="AJ16" s="5">
        <v>6.9154194525541213</v>
      </c>
      <c r="AK16" s="5">
        <v>2.9081209554418774</v>
      </c>
      <c r="AL16" s="5">
        <v>1.2930166457672059</v>
      </c>
      <c r="AM16" s="5">
        <v>3.4895761822755134</v>
      </c>
      <c r="AN16" s="5">
        <v>0.70997532896841131</v>
      </c>
      <c r="AO16" s="5">
        <v>0.35641785125155961</v>
      </c>
      <c r="AP16" s="5">
        <v>7.7292209183962735E-2</v>
      </c>
      <c r="AQ16" s="5">
        <v>0.37218125812828429</v>
      </c>
      <c r="AR16" s="5">
        <v>1.663933502620812</v>
      </c>
      <c r="AS16" s="5">
        <v>4.6787436124673273E-2</v>
      </c>
      <c r="AT16" s="5">
        <v>17.832720822316421</v>
      </c>
      <c r="AU16" s="5"/>
    </row>
    <row r="17" spans="1:47" x14ac:dyDescent="0.35">
      <c r="A17" s="3" t="s">
        <v>98</v>
      </c>
      <c r="B17" s="5">
        <f t="shared" si="3"/>
        <v>0</v>
      </c>
      <c r="C17" s="5">
        <f t="shared" si="3"/>
        <v>0</v>
      </c>
      <c r="D17" s="5">
        <f t="shared" si="3"/>
        <v>0</v>
      </c>
      <c r="E17" s="5">
        <f t="shared" si="3"/>
        <v>0</v>
      </c>
      <c r="F17" s="5">
        <f t="shared" si="3"/>
        <v>0</v>
      </c>
      <c r="G17" s="5">
        <f t="shared" si="3"/>
        <v>0</v>
      </c>
      <c r="H17" s="5">
        <f t="shared" si="3"/>
        <v>0</v>
      </c>
      <c r="I17" s="5">
        <f t="shared" si="3"/>
        <v>0</v>
      </c>
      <c r="J17" s="5">
        <f t="shared" si="3"/>
        <v>5.5218413330352325</v>
      </c>
      <c r="K17" s="5">
        <f t="shared" si="3"/>
        <v>3.0474657988880258</v>
      </c>
      <c r="L17" s="5">
        <f t="shared" si="4"/>
        <v>1.4574392268545677</v>
      </c>
      <c r="M17" s="5">
        <f t="shared" si="4"/>
        <v>3.9333176643894441</v>
      </c>
      <c r="N17" s="5">
        <f t="shared" si="4"/>
        <v>1.3316857118141789</v>
      </c>
      <c r="O17" s="5">
        <f t="shared" si="4"/>
        <v>0.66852542698470463</v>
      </c>
      <c r="P17" s="5">
        <f t="shared" si="4"/>
        <v>0.36144148262363601</v>
      </c>
      <c r="Q17" s="5">
        <f t="shared" si="4"/>
        <v>0.49123396045154055</v>
      </c>
      <c r="R17" s="5">
        <f t="shared" si="4"/>
        <v>1.3049424281503754</v>
      </c>
      <c r="S17" s="5">
        <f t="shared" si="4"/>
        <v>0.17080651467924807</v>
      </c>
      <c r="T17" s="5">
        <f t="shared" si="4"/>
        <v>18.288699547870955</v>
      </c>
      <c r="AA17" s="8" t="s">
        <v>98</v>
      </c>
      <c r="AB17" s="5"/>
      <c r="AC17" s="5"/>
      <c r="AD17" s="5"/>
      <c r="AE17" s="5"/>
      <c r="AF17" s="5"/>
      <c r="AG17" s="5"/>
      <c r="AH17" s="5"/>
      <c r="AI17" s="5"/>
      <c r="AJ17" s="5">
        <v>5.5218413330352325</v>
      </c>
      <c r="AK17" s="5">
        <v>3.0474657988880258</v>
      </c>
      <c r="AL17" s="5">
        <v>1.4574392268545677</v>
      </c>
      <c r="AM17" s="5">
        <v>3.9333176643894441</v>
      </c>
      <c r="AN17" s="5">
        <v>1.3316857118141789</v>
      </c>
      <c r="AO17" s="5">
        <v>0.66852542698470463</v>
      </c>
      <c r="AP17" s="5">
        <v>0.36144148262363601</v>
      </c>
      <c r="AQ17" s="5">
        <v>0.49123396045154055</v>
      </c>
      <c r="AR17" s="5">
        <v>1.3049424281503754</v>
      </c>
      <c r="AS17" s="5">
        <v>0.17080651467924807</v>
      </c>
      <c r="AT17" s="5">
        <v>18.288699547870955</v>
      </c>
      <c r="AU17" s="5"/>
    </row>
    <row r="18" spans="1:47" x14ac:dyDescent="0.35">
      <c r="A18" s="3" t="s">
        <v>99</v>
      </c>
      <c r="B18" s="5">
        <f t="shared" si="3"/>
        <v>0</v>
      </c>
      <c r="C18" s="5">
        <f t="shared" si="3"/>
        <v>0</v>
      </c>
      <c r="D18" s="5">
        <f t="shared" si="3"/>
        <v>0</v>
      </c>
      <c r="E18" s="5">
        <f t="shared" si="3"/>
        <v>0</v>
      </c>
      <c r="F18" s="5">
        <f t="shared" si="3"/>
        <v>0</v>
      </c>
      <c r="G18" s="5">
        <f t="shared" si="3"/>
        <v>0</v>
      </c>
      <c r="H18" s="5">
        <f t="shared" si="3"/>
        <v>0</v>
      </c>
      <c r="I18" s="5">
        <f t="shared" si="3"/>
        <v>0</v>
      </c>
      <c r="J18" s="5">
        <f t="shared" si="3"/>
        <v>13.284207555844635</v>
      </c>
      <c r="K18" s="5">
        <f t="shared" si="3"/>
        <v>8.1880143338403997</v>
      </c>
      <c r="L18" s="5">
        <f t="shared" si="4"/>
        <v>7.1057040050009963</v>
      </c>
      <c r="M18" s="5">
        <f t="shared" si="4"/>
        <v>19.176779769481367</v>
      </c>
      <c r="N18" s="5">
        <f t="shared" si="4"/>
        <v>2.6656172690167219</v>
      </c>
      <c r="O18" s="5">
        <f t="shared" si="4"/>
        <v>1.3381783007339709</v>
      </c>
      <c r="P18" s="5">
        <f t="shared" si="4"/>
        <v>0.28592560387938259</v>
      </c>
      <c r="Q18" s="5">
        <f t="shared" si="4"/>
        <v>6.9436725320828163</v>
      </c>
      <c r="R18" s="5">
        <f t="shared" si="4"/>
        <v>1.9709679673925662</v>
      </c>
      <c r="S18" s="5">
        <f t="shared" si="4"/>
        <v>0.21564638840660441</v>
      </c>
      <c r="T18" s="5">
        <f t="shared" si="4"/>
        <v>61.174713725679467</v>
      </c>
      <c r="AA18" s="8" t="s">
        <v>99</v>
      </c>
      <c r="AB18" s="5"/>
      <c r="AC18" s="5"/>
      <c r="AD18" s="5"/>
      <c r="AE18" s="5"/>
      <c r="AF18" s="5"/>
      <c r="AG18" s="5"/>
      <c r="AH18" s="5"/>
      <c r="AI18" s="5"/>
      <c r="AJ18" s="5">
        <v>13.284207555844635</v>
      </c>
      <c r="AK18" s="5">
        <v>8.1880143338403997</v>
      </c>
      <c r="AL18" s="5">
        <v>7.1057040050009963</v>
      </c>
      <c r="AM18" s="5">
        <v>19.176779769481367</v>
      </c>
      <c r="AN18" s="5">
        <v>2.6656172690167219</v>
      </c>
      <c r="AO18" s="5">
        <v>1.3381783007339709</v>
      </c>
      <c r="AP18" s="5">
        <v>0.28592560387938259</v>
      </c>
      <c r="AQ18" s="5">
        <v>6.9436725320828163</v>
      </c>
      <c r="AR18" s="5">
        <v>1.9709679673925662</v>
      </c>
      <c r="AS18" s="5">
        <v>0.21564638840660441</v>
      </c>
      <c r="AT18" s="5">
        <v>61.174713725679467</v>
      </c>
      <c r="AU18" s="5"/>
    </row>
    <row r="19" spans="1:47" x14ac:dyDescent="0.35">
      <c r="A19" s="3" t="s">
        <v>100</v>
      </c>
      <c r="B19" s="5">
        <f t="shared" si="3"/>
        <v>0</v>
      </c>
      <c r="C19" s="5">
        <f t="shared" si="3"/>
        <v>0</v>
      </c>
      <c r="D19" s="5">
        <f t="shared" si="3"/>
        <v>0</v>
      </c>
      <c r="E19" s="5">
        <f t="shared" si="3"/>
        <v>0</v>
      </c>
      <c r="F19" s="5">
        <f t="shared" si="3"/>
        <v>0</v>
      </c>
      <c r="G19" s="5">
        <f t="shared" si="3"/>
        <v>0</v>
      </c>
      <c r="H19" s="5">
        <f t="shared" si="3"/>
        <v>0</v>
      </c>
      <c r="I19" s="5">
        <f t="shared" si="3"/>
        <v>0</v>
      </c>
      <c r="J19" s="5">
        <f t="shared" si="3"/>
        <v>21.853460472889672</v>
      </c>
      <c r="K19" s="5">
        <f t="shared" si="3"/>
        <v>20.392985642872958</v>
      </c>
      <c r="L19" s="5">
        <f t="shared" si="4"/>
        <v>11.902488174852314</v>
      </c>
      <c r="M19" s="5">
        <f t="shared" si="4"/>
        <v>48.183415945279087</v>
      </c>
      <c r="N19" s="5">
        <f t="shared" si="4"/>
        <v>3.3350001123315427</v>
      </c>
      <c r="O19" s="5">
        <f t="shared" si="4"/>
        <v>1.6742181389429727</v>
      </c>
      <c r="P19" s="5">
        <f t="shared" si="4"/>
        <v>2.2891882173131783</v>
      </c>
      <c r="Q19" s="5">
        <f t="shared" si="4"/>
        <v>24.48072484521089</v>
      </c>
      <c r="R19" s="5">
        <f t="shared" si="4"/>
        <v>4.477249055228909</v>
      </c>
      <c r="S19" s="5">
        <f t="shared" si="4"/>
        <v>0.54664376263990289</v>
      </c>
      <c r="T19" s="5">
        <f t="shared" si="4"/>
        <v>139.13537436756144</v>
      </c>
      <c r="AA19" s="8" t="s">
        <v>100</v>
      </c>
      <c r="AB19" s="5"/>
      <c r="AC19" s="5"/>
      <c r="AD19" s="5"/>
      <c r="AE19" s="5"/>
      <c r="AF19" s="5"/>
      <c r="AG19" s="5"/>
      <c r="AH19" s="5"/>
      <c r="AI19" s="5"/>
      <c r="AJ19" s="5">
        <v>21.853460472889672</v>
      </c>
      <c r="AK19" s="5">
        <v>20.392985642872958</v>
      </c>
      <c r="AL19" s="5">
        <v>11.902488174852314</v>
      </c>
      <c r="AM19" s="5">
        <v>48.183415945279087</v>
      </c>
      <c r="AN19" s="5">
        <v>3.3350001123315427</v>
      </c>
      <c r="AO19" s="5">
        <v>1.6742181389429727</v>
      </c>
      <c r="AP19" s="5">
        <v>2.2891882173131783</v>
      </c>
      <c r="AQ19" s="5">
        <v>24.48072484521089</v>
      </c>
      <c r="AR19" s="5">
        <v>4.477249055228909</v>
      </c>
      <c r="AS19" s="5">
        <v>0.54664376263990289</v>
      </c>
      <c r="AT19" s="5">
        <v>139.13537436756144</v>
      </c>
      <c r="AU19" s="5"/>
    </row>
    <row r="20" spans="1:47" x14ac:dyDescent="0.35">
      <c r="A20" s="3" t="s">
        <v>101</v>
      </c>
      <c r="B20" s="5">
        <f t="shared" si="3"/>
        <v>0</v>
      </c>
      <c r="C20" s="5">
        <f t="shared" si="3"/>
        <v>0</v>
      </c>
      <c r="D20" s="5">
        <f t="shared" si="3"/>
        <v>0</v>
      </c>
      <c r="E20" s="5">
        <f t="shared" si="3"/>
        <v>0</v>
      </c>
      <c r="F20" s="5">
        <f t="shared" si="3"/>
        <v>0</v>
      </c>
      <c r="G20" s="5">
        <f t="shared" si="3"/>
        <v>0</v>
      </c>
      <c r="H20" s="5">
        <f t="shared" si="3"/>
        <v>0</v>
      </c>
      <c r="I20" s="5">
        <f t="shared" si="3"/>
        <v>0</v>
      </c>
      <c r="J20" s="5">
        <f t="shared" si="3"/>
        <v>50.323177065042991</v>
      </c>
      <c r="K20" s="5">
        <f t="shared" si="3"/>
        <v>91.101963796553292</v>
      </c>
      <c r="L20" s="5">
        <f t="shared" si="4"/>
        <v>157.62341303489086</v>
      </c>
      <c r="M20" s="5">
        <f t="shared" si="4"/>
        <v>1072.6783708766725</v>
      </c>
      <c r="N20" s="5">
        <f t="shared" si="4"/>
        <v>3.9799955505249383</v>
      </c>
      <c r="O20" s="5">
        <f t="shared" si="4"/>
        <v>1.9980151481742279</v>
      </c>
      <c r="P20" s="5">
        <f t="shared" si="4"/>
        <v>2.3723192750514377</v>
      </c>
      <c r="Q20" s="5">
        <f t="shared" si="4"/>
        <v>797.23024810935647</v>
      </c>
      <c r="R20" s="5">
        <f t="shared" si="4"/>
        <v>75.12660226483051</v>
      </c>
      <c r="S20" s="5">
        <f t="shared" si="4"/>
        <v>110.69010140708272</v>
      </c>
      <c r="T20" s="5">
        <f t="shared" si="4"/>
        <v>2363.1242065281804</v>
      </c>
      <c r="AA20" s="8" t="s">
        <v>101</v>
      </c>
      <c r="AB20" s="5"/>
      <c r="AC20" s="5"/>
      <c r="AD20" s="5"/>
      <c r="AE20" s="5"/>
      <c r="AF20" s="5"/>
      <c r="AG20" s="5"/>
      <c r="AH20" s="5"/>
      <c r="AI20" s="5"/>
      <c r="AJ20" s="5">
        <v>50.323177065042991</v>
      </c>
      <c r="AK20" s="5">
        <v>91.101963796553292</v>
      </c>
      <c r="AL20" s="5">
        <v>157.62341303489086</v>
      </c>
      <c r="AM20" s="5">
        <v>1072.6783708766725</v>
      </c>
      <c r="AN20" s="5">
        <v>3.9799955505249383</v>
      </c>
      <c r="AO20" s="5">
        <v>1.9980151481742279</v>
      </c>
      <c r="AP20" s="5">
        <v>2.3723192750514377</v>
      </c>
      <c r="AQ20" s="5">
        <v>797.23024810935647</v>
      </c>
      <c r="AR20" s="5">
        <v>75.12660226483051</v>
      </c>
      <c r="AS20" s="5">
        <v>110.69010140708272</v>
      </c>
      <c r="AT20" s="5">
        <v>2363.1242065281804</v>
      </c>
      <c r="AU20" s="5"/>
    </row>
    <row r="21" spans="1:47" x14ac:dyDescent="0.35">
      <c r="A21" s="6" t="s">
        <v>41</v>
      </c>
      <c r="B21" s="10">
        <f t="shared" ref="B21:T21" si="5">SUM(B6:B10)</f>
        <v>690.17854827388169</v>
      </c>
      <c r="C21" s="10">
        <f t="shared" si="5"/>
        <v>749.5162328961278</v>
      </c>
      <c r="D21" s="10">
        <f t="shared" si="5"/>
        <v>151.95865170876749</v>
      </c>
      <c r="E21" s="10">
        <f t="shared" si="5"/>
        <v>201.13055360613862</v>
      </c>
      <c r="F21" s="10">
        <f t="shared" si="5"/>
        <v>0</v>
      </c>
      <c r="G21" s="10">
        <f t="shared" si="5"/>
        <v>0</v>
      </c>
      <c r="H21" s="10">
        <f t="shared" si="5"/>
        <v>0</v>
      </c>
      <c r="I21" s="10">
        <f t="shared" si="5"/>
        <v>0</v>
      </c>
      <c r="J21" s="10">
        <f t="shared" si="5"/>
        <v>0</v>
      </c>
      <c r="K21" s="10">
        <f t="shared" si="5"/>
        <v>0</v>
      </c>
      <c r="L21" s="10">
        <f t="shared" si="5"/>
        <v>0</v>
      </c>
      <c r="M21" s="10">
        <f t="shared" si="5"/>
        <v>0</v>
      </c>
      <c r="N21" s="10">
        <f t="shared" si="5"/>
        <v>549.14465271673566</v>
      </c>
      <c r="O21" s="10">
        <f t="shared" si="5"/>
        <v>275.67853298785701</v>
      </c>
      <c r="P21" s="10">
        <f t="shared" si="5"/>
        <v>80.731813770821162</v>
      </c>
      <c r="Q21" s="10">
        <f t="shared" si="5"/>
        <v>429.50870480856906</v>
      </c>
      <c r="R21" s="10">
        <f t="shared" si="5"/>
        <v>136.68139494476131</v>
      </c>
      <c r="S21" s="10">
        <f t="shared" si="5"/>
        <v>50.898963491407912</v>
      </c>
      <c r="T21" s="10">
        <f t="shared" si="5"/>
        <v>3315.428049205068</v>
      </c>
      <c r="AA21" s="8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35">
      <c r="A22" s="6" t="s">
        <v>42</v>
      </c>
      <c r="B22" s="10">
        <f t="shared" ref="B22:T22" si="6">SUM(B11:B15)</f>
        <v>0</v>
      </c>
      <c r="C22" s="10">
        <f t="shared" si="6"/>
        <v>0</v>
      </c>
      <c r="D22" s="10">
        <f t="shared" si="6"/>
        <v>0</v>
      </c>
      <c r="E22" s="10">
        <f t="shared" si="6"/>
        <v>0</v>
      </c>
      <c r="F22" s="10">
        <f t="shared" si="6"/>
        <v>63.349989855896283</v>
      </c>
      <c r="G22" s="10">
        <f t="shared" si="6"/>
        <v>95.587867894235757</v>
      </c>
      <c r="H22" s="10">
        <f t="shared" si="6"/>
        <v>68.782752086681469</v>
      </c>
      <c r="I22" s="10">
        <f t="shared" si="6"/>
        <v>295.8644632250431</v>
      </c>
      <c r="J22" s="10">
        <f t="shared" si="6"/>
        <v>0</v>
      </c>
      <c r="K22" s="10">
        <f t="shared" si="6"/>
        <v>0</v>
      </c>
      <c r="L22" s="10">
        <f t="shared" si="6"/>
        <v>0</v>
      </c>
      <c r="M22" s="10">
        <f t="shared" si="6"/>
        <v>0</v>
      </c>
      <c r="N22" s="10">
        <f t="shared" si="6"/>
        <v>14.723410670511377</v>
      </c>
      <c r="O22" s="10">
        <f t="shared" si="6"/>
        <v>7.3913644322018879</v>
      </c>
      <c r="P22" s="10">
        <f t="shared" si="6"/>
        <v>4.2303090094392903</v>
      </c>
      <c r="Q22" s="10">
        <f t="shared" si="6"/>
        <v>393.53987410607664</v>
      </c>
      <c r="R22" s="10">
        <f t="shared" si="6"/>
        <v>32.864325940498716</v>
      </c>
      <c r="S22" s="10">
        <f t="shared" si="6"/>
        <v>11.759443564186023</v>
      </c>
      <c r="T22" s="10">
        <f t="shared" si="6"/>
        <v>988.09380078477056</v>
      </c>
      <c r="AA22" s="8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35">
      <c r="A23" s="6" t="s">
        <v>109</v>
      </c>
      <c r="B23" s="10">
        <f t="shared" ref="B23:T23" si="7">SUM(B16:B20)</f>
        <v>0</v>
      </c>
      <c r="C23" s="10">
        <f t="shared" si="7"/>
        <v>0</v>
      </c>
      <c r="D23" s="10">
        <f t="shared" si="7"/>
        <v>0</v>
      </c>
      <c r="E23" s="10">
        <f t="shared" si="7"/>
        <v>0</v>
      </c>
      <c r="F23" s="10">
        <f t="shared" si="7"/>
        <v>0</v>
      </c>
      <c r="G23" s="10">
        <f t="shared" si="7"/>
        <v>0</v>
      </c>
      <c r="H23" s="10">
        <f t="shared" si="7"/>
        <v>0</v>
      </c>
      <c r="I23" s="10">
        <f t="shared" si="7"/>
        <v>0</v>
      </c>
      <c r="J23" s="10">
        <f t="shared" si="7"/>
        <v>97.898105879366653</v>
      </c>
      <c r="K23" s="10">
        <f t="shared" si="7"/>
        <v>125.63855052759655</v>
      </c>
      <c r="L23" s="10">
        <f t="shared" si="7"/>
        <v>179.38206108736594</v>
      </c>
      <c r="M23" s="10">
        <f t="shared" si="7"/>
        <v>1147.4614604380979</v>
      </c>
      <c r="N23" s="10">
        <f t="shared" si="7"/>
        <v>12.022273972655793</v>
      </c>
      <c r="O23" s="10">
        <f t="shared" si="7"/>
        <v>6.0353548660874354</v>
      </c>
      <c r="P23" s="10">
        <f t="shared" si="7"/>
        <v>5.3861667880515975</v>
      </c>
      <c r="Q23" s="10">
        <f t="shared" si="7"/>
        <v>829.51806070523003</v>
      </c>
      <c r="R23" s="10">
        <f t="shared" si="7"/>
        <v>84.543695218223178</v>
      </c>
      <c r="S23" s="10">
        <f t="shared" si="7"/>
        <v>111.66998550893315</v>
      </c>
      <c r="T23" s="10">
        <f t="shared" si="7"/>
        <v>2599.5557149916085</v>
      </c>
      <c r="AA23" s="8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35">
      <c r="A24" s="7" t="s">
        <v>43</v>
      </c>
      <c r="B24" s="11">
        <f t="shared" ref="B24:T24" si="8">SUM(B21:B23)</f>
        <v>690.17854827388169</v>
      </c>
      <c r="C24" s="11">
        <f t="shared" si="8"/>
        <v>749.5162328961278</v>
      </c>
      <c r="D24" s="11">
        <f t="shared" si="8"/>
        <v>151.95865170876749</v>
      </c>
      <c r="E24" s="11">
        <f t="shared" si="8"/>
        <v>201.13055360613862</v>
      </c>
      <c r="F24" s="11">
        <f t="shared" si="8"/>
        <v>63.349989855896283</v>
      </c>
      <c r="G24" s="11">
        <f t="shared" si="8"/>
        <v>95.587867894235757</v>
      </c>
      <c r="H24" s="11">
        <f t="shared" si="8"/>
        <v>68.782752086681469</v>
      </c>
      <c r="I24" s="11">
        <f t="shared" si="8"/>
        <v>295.8644632250431</v>
      </c>
      <c r="J24" s="11">
        <f t="shared" si="8"/>
        <v>97.898105879366653</v>
      </c>
      <c r="K24" s="11">
        <f t="shared" si="8"/>
        <v>125.63855052759655</v>
      </c>
      <c r="L24" s="11">
        <f t="shared" si="8"/>
        <v>179.38206108736594</v>
      </c>
      <c r="M24" s="11">
        <f t="shared" si="8"/>
        <v>1147.4614604380979</v>
      </c>
      <c r="N24" s="11">
        <f t="shared" si="8"/>
        <v>575.89033735990279</v>
      </c>
      <c r="O24" s="11">
        <f t="shared" si="8"/>
        <v>289.10525228614637</v>
      </c>
      <c r="P24" s="11">
        <f t="shared" si="8"/>
        <v>90.348289568312055</v>
      </c>
      <c r="Q24" s="11">
        <f t="shared" si="8"/>
        <v>1652.5666396198758</v>
      </c>
      <c r="R24" s="11">
        <f t="shared" si="8"/>
        <v>254.08941610348322</v>
      </c>
      <c r="S24" s="11">
        <f t="shared" si="8"/>
        <v>174.32839256452709</v>
      </c>
      <c r="T24" s="11">
        <f t="shared" si="8"/>
        <v>6903.0775649814468</v>
      </c>
      <c r="AA24" s="8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35">
      <c r="A25" s="6" t="s">
        <v>44</v>
      </c>
      <c r="B25" s="10">
        <f>B6+B11+B16</f>
        <v>72.99077569851319</v>
      </c>
      <c r="C25" s="10">
        <f t="shared" ref="C25:T25" si="9">C6+C11+C16</f>
        <v>55.303804040557573</v>
      </c>
      <c r="D25" s="10">
        <f t="shared" si="9"/>
        <v>1.9237748107190191</v>
      </c>
      <c r="E25" s="10">
        <f t="shared" si="9"/>
        <v>0.50047914457493992</v>
      </c>
      <c r="F25" s="10">
        <f t="shared" si="9"/>
        <v>4.6850250009181753</v>
      </c>
      <c r="G25" s="10">
        <f t="shared" si="9"/>
        <v>3.624893470248904</v>
      </c>
      <c r="H25" s="10">
        <f t="shared" si="9"/>
        <v>0.41428695713788749</v>
      </c>
      <c r="I25" s="10">
        <f t="shared" si="9"/>
        <v>0.9832079833004177</v>
      </c>
      <c r="J25" s="10">
        <f t="shared" si="9"/>
        <v>6.9154194525541213</v>
      </c>
      <c r="K25" s="10">
        <f t="shared" si="9"/>
        <v>2.9081209554418774</v>
      </c>
      <c r="L25" s="10">
        <f t="shared" si="9"/>
        <v>1.2930166457672059</v>
      </c>
      <c r="M25" s="10">
        <f t="shared" si="9"/>
        <v>3.4895761822755134</v>
      </c>
      <c r="N25" s="10">
        <f t="shared" si="9"/>
        <v>49.954854688377907</v>
      </c>
      <c r="O25" s="10">
        <f t="shared" si="9"/>
        <v>25.078057280505494</v>
      </c>
      <c r="P25" s="10">
        <f t="shared" si="9"/>
        <v>5.9775044804946322</v>
      </c>
      <c r="Q25" s="10">
        <f t="shared" si="9"/>
        <v>2.7827938184201715</v>
      </c>
      <c r="R25" s="10">
        <f t="shared" si="9"/>
        <v>22.50302120416643</v>
      </c>
      <c r="S25" s="10">
        <f t="shared" si="9"/>
        <v>1.679908305180897</v>
      </c>
      <c r="T25" s="10">
        <f t="shared" si="9"/>
        <v>263.00852011915435</v>
      </c>
      <c r="AA25" s="8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35">
      <c r="A26" s="6" t="s">
        <v>45</v>
      </c>
      <c r="B26" s="10">
        <f t="shared" ref="B26:T26" si="10">B7+B12+B17</f>
        <v>116.67214422582778</v>
      </c>
      <c r="C26" s="10">
        <f t="shared" si="10"/>
        <v>112.49465278165259</v>
      </c>
      <c r="D26" s="10">
        <f t="shared" si="10"/>
        <v>8.6498515190904666</v>
      </c>
      <c r="E26" s="10">
        <f t="shared" si="10"/>
        <v>1.550931340321045</v>
      </c>
      <c r="F26" s="10">
        <f t="shared" si="10"/>
        <v>7.1385418806754535</v>
      </c>
      <c r="G26" s="10">
        <f t="shared" si="10"/>
        <v>6.5814504679126848</v>
      </c>
      <c r="H26" s="10">
        <f t="shared" si="10"/>
        <v>1.1535290326142764</v>
      </c>
      <c r="I26" s="10">
        <f t="shared" si="10"/>
        <v>2.7376168481637269</v>
      </c>
      <c r="J26" s="10">
        <f t="shared" si="10"/>
        <v>5.5218413330352325</v>
      </c>
      <c r="K26" s="10">
        <f t="shared" si="10"/>
        <v>3.0474657988880258</v>
      </c>
      <c r="L26" s="10">
        <f t="shared" si="10"/>
        <v>1.4574392268545677</v>
      </c>
      <c r="M26" s="10">
        <f t="shared" si="10"/>
        <v>3.9333176643894441</v>
      </c>
      <c r="N26" s="10">
        <f t="shared" si="10"/>
        <v>86.268205994212664</v>
      </c>
      <c r="O26" s="10">
        <f t="shared" si="10"/>
        <v>43.307883185828608</v>
      </c>
      <c r="P26" s="10">
        <f t="shared" si="10"/>
        <v>10.651912491431915</v>
      </c>
      <c r="Q26" s="10">
        <f t="shared" si="10"/>
        <v>15.576793699359651</v>
      </c>
      <c r="R26" s="10">
        <f t="shared" si="10"/>
        <v>32.938671041401925</v>
      </c>
      <c r="S26" s="10">
        <f t="shared" si="10"/>
        <v>4.0600106297565546</v>
      </c>
      <c r="T26" s="10">
        <f t="shared" si="10"/>
        <v>463.7422591614166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35">
      <c r="A27" s="6" t="s">
        <v>46</v>
      </c>
      <c r="B27" s="10">
        <f t="shared" ref="B27:T27" si="11">B8+B13+B18</f>
        <v>131.6637056878352</v>
      </c>
      <c r="C27" s="10">
        <f t="shared" si="11"/>
        <v>140.57245004818549</v>
      </c>
      <c r="D27" s="10">
        <f t="shared" si="11"/>
        <v>14.072073942578971</v>
      </c>
      <c r="E27" s="10">
        <f t="shared" si="11"/>
        <v>5.1616713321173959</v>
      </c>
      <c r="F27" s="10">
        <f t="shared" si="11"/>
        <v>12.149027050625007</v>
      </c>
      <c r="G27" s="10">
        <f t="shared" si="11"/>
        <v>11.856115884299038</v>
      </c>
      <c r="H27" s="10">
        <f t="shared" si="11"/>
        <v>2.0698252941441133</v>
      </c>
      <c r="I27" s="10">
        <f t="shared" si="11"/>
        <v>4.9122201850112646</v>
      </c>
      <c r="J27" s="10">
        <f t="shared" si="11"/>
        <v>13.284207555844635</v>
      </c>
      <c r="K27" s="10">
        <f t="shared" si="11"/>
        <v>8.1880143338403997</v>
      </c>
      <c r="L27" s="10">
        <f t="shared" si="11"/>
        <v>7.1057040050009963</v>
      </c>
      <c r="M27" s="10">
        <f t="shared" si="11"/>
        <v>19.176779769481367</v>
      </c>
      <c r="N27" s="10">
        <f t="shared" si="11"/>
        <v>122.61866924435523</v>
      </c>
      <c r="O27" s="10">
        <f t="shared" si="11"/>
        <v>61.556339822257797</v>
      </c>
      <c r="P27" s="10">
        <f t="shared" si="11"/>
        <v>17.339001865499149</v>
      </c>
      <c r="Q27" s="10">
        <f t="shared" si="11"/>
        <v>34.762032496916532</v>
      </c>
      <c r="R27" s="10">
        <f t="shared" si="11"/>
        <v>27.091712829864129</v>
      </c>
      <c r="S27" s="10">
        <f t="shared" si="11"/>
        <v>7.0541634715168264</v>
      </c>
      <c r="T27" s="10">
        <f t="shared" si="11"/>
        <v>640.63371481937349</v>
      </c>
    </row>
    <row r="28" spans="1:47" x14ac:dyDescent="0.35">
      <c r="A28" s="6" t="s">
        <v>47</v>
      </c>
      <c r="B28" s="10">
        <f t="shared" ref="B28:T28" si="12">B9+B14+B19</f>
        <v>216.55641220562342</v>
      </c>
      <c r="C28" s="10">
        <f t="shared" si="12"/>
        <v>236.76066623423131</v>
      </c>
      <c r="D28" s="10">
        <f t="shared" si="12"/>
        <v>33.631782960699859</v>
      </c>
      <c r="E28" s="10">
        <f t="shared" si="12"/>
        <v>60.6920504174633</v>
      </c>
      <c r="F28" s="10">
        <f t="shared" si="12"/>
        <v>16.215339596540993</v>
      </c>
      <c r="G28" s="10">
        <f t="shared" si="12"/>
        <v>19.211137165050516</v>
      </c>
      <c r="H28" s="10">
        <f t="shared" si="12"/>
        <v>9.1787616032872386</v>
      </c>
      <c r="I28" s="10">
        <f t="shared" si="12"/>
        <v>20.755688470593196</v>
      </c>
      <c r="J28" s="10">
        <f t="shared" si="12"/>
        <v>21.853460472889672</v>
      </c>
      <c r="K28" s="10">
        <f t="shared" si="12"/>
        <v>20.392985642872958</v>
      </c>
      <c r="L28" s="10">
        <f t="shared" si="12"/>
        <v>11.902488174852314</v>
      </c>
      <c r="M28" s="10">
        <f t="shared" si="12"/>
        <v>48.183415945279087</v>
      </c>
      <c r="N28" s="10">
        <f t="shared" si="12"/>
        <v>175.35763294440281</v>
      </c>
      <c r="O28" s="10">
        <f t="shared" si="12"/>
        <v>88.032059966670431</v>
      </c>
      <c r="P28" s="10">
        <f t="shared" si="12"/>
        <v>29.170338158241673</v>
      </c>
      <c r="Q28" s="10">
        <f t="shared" si="12"/>
        <v>161.14961636031776</v>
      </c>
      <c r="R28" s="10">
        <f t="shared" si="12"/>
        <v>38.30249959382553</v>
      </c>
      <c r="S28" s="10">
        <f t="shared" si="12"/>
        <v>15.37368068559538</v>
      </c>
      <c r="T28" s="10">
        <f t="shared" si="12"/>
        <v>1222.7200165984377</v>
      </c>
    </row>
    <row r="29" spans="1:47" x14ac:dyDescent="0.35">
      <c r="A29" s="6" t="s">
        <v>48</v>
      </c>
      <c r="B29" s="10">
        <f t="shared" ref="B29:T29" si="13">B10+B15+B20</f>
        <v>152.29551045608218</v>
      </c>
      <c r="C29" s="10">
        <f t="shared" si="13"/>
        <v>204.38465979150087</v>
      </c>
      <c r="D29" s="10">
        <f t="shared" si="13"/>
        <v>93.681168475679186</v>
      </c>
      <c r="E29" s="10">
        <f t="shared" si="13"/>
        <v>133.22542137166195</v>
      </c>
      <c r="F29" s="10">
        <f t="shared" si="13"/>
        <v>23.16205632713665</v>
      </c>
      <c r="G29" s="10">
        <f t="shared" si="13"/>
        <v>54.314270906724616</v>
      </c>
      <c r="H29" s="10">
        <f t="shared" si="13"/>
        <v>55.966349199497955</v>
      </c>
      <c r="I29" s="10">
        <f t="shared" si="13"/>
        <v>266.47572973797446</v>
      </c>
      <c r="J29" s="10">
        <f t="shared" si="13"/>
        <v>50.323177065042991</v>
      </c>
      <c r="K29" s="10">
        <f t="shared" si="13"/>
        <v>91.101963796553292</v>
      </c>
      <c r="L29" s="10">
        <f t="shared" si="13"/>
        <v>157.62341303489086</v>
      </c>
      <c r="M29" s="10">
        <f t="shared" si="13"/>
        <v>1072.6783708766725</v>
      </c>
      <c r="N29" s="10">
        <f t="shared" si="13"/>
        <v>141.69097448855419</v>
      </c>
      <c r="O29" s="10">
        <f t="shared" si="13"/>
        <v>71.130912030884048</v>
      </c>
      <c r="P29" s="10">
        <f t="shared" si="13"/>
        <v>27.209532572644683</v>
      </c>
      <c r="Q29" s="10">
        <f t="shared" si="13"/>
        <v>1438.2954032448615</v>
      </c>
      <c r="R29" s="10">
        <f t="shared" si="13"/>
        <v>133.25351143422517</v>
      </c>
      <c r="S29" s="10">
        <f t="shared" si="13"/>
        <v>146.16062947247741</v>
      </c>
      <c r="T29" s="10">
        <f t="shared" si="13"/>
        <v>4312.9730542830657</v>
      </c>
    </row>
    <row r="38" spans="1:41" x14ac:dyDescent="0.35">
      <c r="A38" s="2" t="s">
        <v>49</v>
      </c>
    </row>
    <row r="39" spans="1:41" x14ac:dyDescent="0.35">
      <c r="A39" s="4" t="s">
        <v>50</v>
      </c>
    </row>
    <row r="40" spans="1:41" x14ac:dyDescent="0.35">
      <c r="B40" s="3" t="s">
        <v>36</v>
      </c>
      <c r="C40" s="3" t="s">
        <v>82</v>
      </c>
      <c r="D40" t="s">
        <v>88</v>
      </c>
      <c r="E40" s="3" t="s">
        <v>33</v>
      </c>
      <c r="F40" s="3" t="s">
        <v>37</v>
      </c>
      <c r="G40" s="3" t="s">
        <v>38</v>
      </c>
      <c r="H40" s="3" t="s">
        <v>34</v>
      </c>
      <c r="I40" s="3" t="s">
        <v>35</v>
      </c>
      <c r="J40" s="3"/>
      <c r="K40" s="3"/>
      <c r="L40" s="3"/>
      <c r="M40" s="3"/>
      <c r="N40" s="3"/>
      <c r="O40" s="3"/>
      <c r="P40" s="3"/>
      <c r="AA40" s="5"/>
      <c r="AB40" s="8" t="s">
        <v>36</v>
      </c>
      <c r="AC40" s="8" t="s">
        <v>82</v>
      </c>
      <c r="AD40" s="8" t="s">
        <v>88</v>
      </c>
      <c r="AE40" s="8" t="s">
        <v>33</v>
      </c>
      <c r="AF40" s="8" t="s">
        <v>37</v>
      </c>
      <c r="AG40" s="8" t="s">
        <v>38</v>
      </c>
      <c r="AH40" s="8" t="s">
        <v>34</v>
      </c>
      <c r="AI40" s="8" t="s">
        <v>35</v>
      </c>
      <c r="AJ40" s="5"/>
      <c r="AK40" s="5"/>
      <c r="AL40" s="5"/>
      <c r="AM40" s="5"/>
      <c r="AN40" s="5"/>
      <c r="AO40" s="5"/>
    </row>
    <row r="41" spans="1:41" x14ac:dyDescent="0.35">
      <c r="A41" s="8" t="s">
        <v>11</v>
      </c>
      <c r="B41" s="5">
        <f>IF(ISNA(INDEX($AB$41:$AI$60,MATCH($A41,$AA$41:$AA$60,0),MATCH(B$40,$AB$40:$AI$40,0))),0,INDEX($AB$41:$AI$60,MATCH($A41,$AA$41:$AA$60,0),MATCH(B$40,$AB$40:$AI$40,0)))</f>
        <v>81.911382631196332</v>
      </c>
      <c r="C41" s="5">
        <f t="shared" ref="C41:I45" si="14">IF(ISNA(INDEX($AB$41:$AI$60,MATCH($A41,$AA$41:$AA$60,0),MATCH(C$40,$AB$40:$AI$40,0))),0,INDEX($AB$41:$AI$60,MATCH($A41,$AA$41:$AA$60,0),MATCH(C$40,$AB$40:$AI$40,0)))</f>
        <v>182.04158199295824</v>
      </c>
      <c r="D41" s="5">
        <f t="shared" si="14"/>
        <v>50.30530610853824</v>
      </c>
      <c r="E41" s="5">
        <f t="shared" si="14"/>
        <v>0.36525379348047937</v>
      </c>
      <c r="F41" s="5">
        <f t="shared" si="14"/>
        <v>0.60494601451389929</v>
      </c>
      <c r="G41" s="5">
        <f t="shared" si="14"/>
        <v>9.5630918470467563</v>
      </c>
      <c r="H41" s="5">
        <f t="shared" si="14"/>
        <v>1.1446139857159927</v>
      </c>
      <c r="I41" s="5">
        <f t="shared" si="14"/>
        <v>275.63087026491155</v>
      </c>
      <c r="J41" s="5"/>
      <c r="K41" s="5"/>
      <c r="L41" s="5"/>
      <c r="M41" s="5"/>
      <c r="N41" s="5"/>
      <c r="O41" s="5"/>
      <c r="P41" s="5"/>
      <c r="AA41" s="8" t="s">
        <v>11</v>
      </c>
      <c r="AB41" s="5">
        <v>81.911382631196332</v>
      </c>
      <c r="AC41" s="5">
        <v>182.04158199295824</v>
      </c>
      <c r="AD41" s="5">
        <v>50.30530610853824</v>
      </c>
      <c r="AE41" s="5">
        <v>0.36525379348047937</v>
      </c>
      <c r="AF41" s="5">
        <v>0.60494601451389929</v>
      </c>
      <c r="AG41" s="5">
        <v>9.5630918470467563</v>
      </c>
      <c r="AH41" s="5">
        <v>1.1446139857159927</v>
      </c>
      <c r="AI41" s="5">
        <v>275.63087026491155</v>
      </c>
      <c r="AJ41" s="5"/>
      <c r="AK41" s="5"/>
      <c r="AL41" s="5"/>
      <c r="AM41" s="5"/>
      <c r="AN41" s="5"/>
      <c r="AO41" s="5"/>
    </row>
    <row r="42" spans="1:41" x14ac:dyDescent="0.35">
      <c r="A42" s="8" t="s">
        <v>12</v>
      </c>
      <c r="B42" s="5">
        <f t="shared" ref="B42:B45" si="15">IF(ISNA(INDEX($AB$41:$AI$60,MATCH($A42,$AA$41:$AA$60,0),MATCH(B$40,$AB$40:$AI$40,0))),0,INDEX($AB$41:$AI$60,MATCH($A42,$AA$41:$AA$60,0),MATCH(B$40,$AB$40:$AI$40,0)))</f>
        <v>145.5745971875472</v>
      </c>
      <c r="C42" s="5">
        <f t="shared" si="14"/>
        <v>292.61410913983269</v>
      </c>
      <c r="D42" s="5">
        <f t="shared" si="14"/>
        <v>100.1453986113418</v>
      </c>
      <c r="E42" s="5">
        <f t="shared" si="14"/>
        <v>1.1599208793451727</v>
      </c>
      <c r="F42" s="5">
        <f t="shared" si="14"/>
        <v>2.7190707390017028</v>
      </c>
      <c r="G42" s="5">
        <f t="shared" si="14"/>
        <v>15.952140247978679</v>
      </c>
      <c r="H42" s="5">
        <f t="shared" si="14"/>
        <v>1.362612837926775</v>
      </c>
      <c r="I42" s="5">
        <f t="shared" si="14"/>
        <v>459.38245103163206</v>
      </c>
      <c r="J42" s="5"/>
      <c r="K42" s="5"/>
      <c r="L42" s="5"/>
      <c r="M42" s="5"/>
      <c r="N42" s="5"/>
      <c r="O42" s="5"/>
      <c r="P42" s="5"/>
      <c r="AA42" s="8" t="s">
        <v>12</v>
      </c>
      <c r="AB42" s="5">
        <v>145.5745971875472</v>
      </c>
      <c r="AC42" s="5">
        <v>292.61410913983269</v>
      </c>
      <c r="AD42" s="5">
        <v>100.1453986113418</v>
      </c>
      <c r="AE42" s="5">
        <v>1.1599208793451727</v>
      </c>
      <c r="AF42" s="5">
        <v>2.7190707390017028</v>
      </c>
      <c r="AG42" s="5">
        <v>15.952140247978679</v>
      </c>
      <c r="AH42" s="5">
        <v>1.362612837926775</v>
      </c>
      <c r="AI42" s="5">
        <v>459.38245103163206</v>
      </c>
      <c r="AJ42" s="5"/>
      <c r="AK42" s="5"/>
      <c r="AL42" s="5"/>
      <c r="AM42" s="5"/>
      <c r="AN42" s="5"/>
      <c r="AO42" s="5"/>
    </row>
    <row r="43" spans="1:41" x14ac:dyDescent="0.35">
      <c r="A43" s="8" t="s">
        <v>13</v>
      </c>
      <c r="B43" s="5">
        <f t="shared" si="15"/>
        <v>205.78503536934176</v>
      </c>
      <c r="C43" s="5">
        <f t="shared" si="14"/>
        <v>397.49282889541826</v>
      </c>
      <c r="D43" s="5">
        <f t="shared" si="14"/>
        <v>144.46349138888294</v>
      </c>
      <c r="E43" s="5">
        <f t="shared" si="14"/>
        <v>2.2429624760326856</v>
      </c>
      <c r="F43" s="5">
        <f t="shared" si="14"/>
        <v>4.9101441797346155</v>
      </c>
      <c r="G43" s="5">
        <f t="shared" si="14"/>
        <v>17.003753379014235</v>
      </c>
      <c r="H43" s="5">
        <f t="shared" si="14"/>
        <v>2.4937698246409123</v>
      </c>
      <c r="I43" s="5">
        <f t="shared" si="14"/>
        <v>629.92849412418229</v>
      </c>
      <c r="J43" s="5"/>
      <c r="K43" s="5"/>
      <c r="L43" s="5"/>
      <c r="M43" s="5"/>
      <c r="N43" s="5"/>
      <c r="O43" s="5"/>
      <c r="P43" s="5"/>
      <c r="AA43" s="8" t="s">
        <v>13</v>
      </c>
      <c r="AB43" s="5">
        <v>205.78503536934176</v>
      </c>
      <c r="AC43" s="5">
        <v>397.49282889541826</v>
      </c>
      <c r="AD43" s="5">
        <v>144.46349138888294</v>
      </c>
      <c r="AE43" s="5">
        <v>2.2429624760326856</v>
      </c>
      <c r="AF43" s="5">
        <v>4.9101441797346155</v>
      </c>
      <c r="AG43" s="5">
        <v>17.003753379014235</v>
      </c>
      <c r="AH43" s="5">
        <v>2.4937698246409123</v>
      </c>
      <c r="AI43" s="5">
        <v>629.92849412418229</v>
      </c>
      <c r="AJ43" s="5"/>
      <c r="AK43" s="5"/>
      <c r="AL43" s="5"/>
      <c r="AM43" s="5"/>
      <c r="AN43" s="5"/>
      <c r="AO43" s="5"/>
    </row>
    <row r="44" spans="1:41" x14ac:dyDescent="0.35">
      <c r="A44" s="8" t="s">
        <v>14</v>
      </c>
      <c r="B44" s="5">
        <f t="shared" si="15"/>
        <v>255.75587213146045</v>
      </c>
      <c r="C44" s="5">
        <f t="shared" si="14"/>
        <v>568.36411344319424</v>
      </c>
      <c r="D44" s="5">
        <f t="shared" si="14"/>
        <v>186.92449558816176</v>
      </c>
      <c r="E44" s="5">
        <f t="shared" si="14"/>
        <v>4.5710006766988744</v>
      </c>
      <c r="F44" s="5">
        <f t="shared" si="14"/>
        <v>18.07459083074334</v>
      </c>
      <c r="G44" s="5">
        <f t="shared" si="14"/>
        <v>34.654441678334436</v>
      </c>
      <c r="H44" s="5">
        <f t="shared" si="14"/>
        <v>2.3924081876157168</v>
      </c>
      <c r="I44" s="5">
        <f t="shared" si="14"/>
        <v>883.81242694804746</v>
      </c>
      <c r="J44" s="5"/>
      <c r="K44" s="5"/>
      <c r="L44" s="5"/>
      <c r="M44" s="5"/>
      <c r="N44" s="5"/>
      <c r="O44" s="5"/>
      <c r="P44" s="5"/>
      <c r="AA44" s="8" t="s">
        <v>14</v>
      </c>
      <c r="AB44" s="5">
        <v>255.75587213146045</v>
      </c>
      <c r="AC44" s="5">
        <v>568.36411344319424</v>
      </c>
      <c r="AD44" s="5">
        <v>186.92449558816176</v>
      </c>
      <c r="AE44" s="5">
        <v>4.5710006766988744</v>
      </c>
      <c r="AF44" s="5">
        <v>18.07459083074334</v>
      </c>
      <c r="AG44" s="5">
        <v>34.654441678334436</v>
      </c>
      <c r="AH44" s="5">
        <v>2.3924081876157168</v>
      </c>
      <c r="AI44" s="5">
        <v>883.81242694804746</v>
      </c>
      <c r="AJ44" s="5"/>
      <c r="AK44" s="5"/>
      <c r="AL44" s="5"/>
      <c r="AM44" s="5"/>
      <c r="AN44" s="5"/>
      <c r="AO44" s="5"/>
    </row>
    <row r="45" spans="1:41" x14ac:dyDescent="0.35">
      <c r="A45" s="8" t="s">
        <v>15</v>
      </c>
      <c r="B45" s="5">
        <f t="shared" si="15"/>
        <v>226.49945530740717</v>
      </c>
      <c r="C45" s="5">
        <f t="shared" si="14"/>
        <v>823.03691636788358</v>
      </c>
      <c r="D45" s="5">
        <f t="shared" si="14"/>
        <v>143.11874984077383</v>
      </c>
      <c r="E45" s="5">
        <f t="shared" si="14"/>
        <v>25.450626408045324</v>
      </c>
      <c r="F45" s="5">
        <f t="shared" si="14"/>
        <v>52.283569800348729</v>
      </c>
      <c r="G45" s="5">
        <f t="shared" si="14"/>
        <v>56.72309563022263</v>
      </c>
      <c r="H45" s="5">
        <f t="shared" si="14"/>
        <v>8.472123373983905</v>
      </c>
      <c r="I45" s="5">
        <f t="shared" si="14"/>
        <v>1192.4657868878915</v>
      </c>
      <c r="J45" s="5"/>
      <c r="K45" s="5"/>
      <c r="L45" s="5"/>
      <c r="M45" s="5"/>
      <c r="N45" s="5"/>
      <c r="O45" s="5"/>
      <c r="P45" s="5"/>
      <c r="AA45" s="8" t="s">
        <v>15</v>
      </c>
      <c r="AB45" s="5">
        <v>226.49945530740717</v>
      </c>
      <c r="AC45" s="5">
        <v>823.03691636788358</v>
      </c>
      <c r="AD45" s="5">
        <v>143.11874984077383</v>
      </c>
      <c r="AE45" s="5">
        <v>25.450626408045324</v>
      </c>
      <c r="AF45" s="5">
        <v>52.283569800348729</v>
      </c>
      <c r="AG45" s="5">
        <v>56.72309563022263</v>
      </c>
      <c r="AH45" s="5">
        <v>8.472123373983905</v>
      </c>
      <c r="AI45" s="5">
        <v>1192.4657868878915</v>
      </c>
      <c r="AJ45" s="5"/>
      <c r="AK45" s="5"/>
      <c r="AL45" s="5"/>
      <c r="AM45" s="5"/>
      <c r="AN45" s="5"/>
      <c r="AO45" s="5"/>
    </row>
    <row r="46" spans="1:41" x14ac:dyDescent="0.35">
      <c r="A46" s="8" t="s">
        <v>16</v>
      </c>
      <c r="B46" s="5">
        <f t="shared" ref="B46:I55" si="16">IF(ISNA(INDEX($AB$41:$AI$60,MATCH($A46,$AA$41:$AA$60,0),MATCH(B$40,$AB$40:$AI$40,0))),0,INDEX($AB$41:$AI$60,MATCH($A46,$AA$41:$AA$60,0),MATCH(B$40,$AB$40:$AI$40,0)))</f>
        <v>3.7363143434609141</v>
      </c>
      <c r="C46" s="5">
        <f t="shared" si="16"/>
        <v>15.306773420720283</v>
      </c>
      <c r="D46" s="5">
        <f t="shared" si="16"/>
        <v>1.0860177731439373</v>
      </c>
      <c r="E46" s="5">
        <f t="shared" si="16"/>
        <v>9.6189283226516917E-2</v>
      </c>
      <c r="F46" s="5">
        <f t="shared" si="16"/>
        <v>0.16442228418437368</v>
      </c>
      <c r="G46" s="5">
        <f t="shared" si="16"/>
        <v>0.9759116856312523</v>
      </c>
      <c r="H46" s="5">
        <f t="shared" si="16"/>
        <v>4.5771149640527059E-2</v>
      </c>
      <c r="I46" s="5">
        <f t="shared" si="16"/>
        <v>20.325382166863868</v>
      </c>
      <c r="J46" s="5"/>
      <c r="K46" s="5"/>
      <c r="L46" s="5"/>
      <c r="M46" s="5"/>
      <c r="N46" s="5"/>
      <c r="O46" s="5"/>
      <c r="P46" s="5"/>
      <c r="AA46" s="8" t="s">
        <v>16</v>
      </c>
      <c r="AB46" s="5">
        <v>3.7363143434609141</v>
      </c>
      <c r="AC46" s="5">
        <v>15.306773420720283</v>
      </c>
      <c r="AD46" s="5">
        <v>1.0860177731439373</v>
      </c>
      <c r="AE46" s="5">
        <v>9.6189283226516917E-2</v>
      </c>
      <c r="AF46" s="5">
        <v>0.16442228418437368</v>
      </c>
      <c r="AG46" s="5">
        <v>0.9759116856312523</v>
      </c>
      <c r="AH46" s="5">
        <v>4.5771149640527059E-2</v>
      </c>
      <c r="AI46" s="5">
        <v>20.325382166863868</v>
      </c>
      <c r="AJ46" s="5"/>
      <c r="AK46" s="5"/>
      <c r="AL46" s="5"/>
      <c r="AM46" s="5"/>
      <c r="AN46" s="5"/>
      <c r="AO46" s="5"/>
    </row>
    <row r="47" spans="1:41" x14ac:dyDescent="0.35">
      <c r="A47" s="8" t="s">
        <v>17</v>
      </c>
      <c r="B47" s="5">
        <f t="shared" si="16"/>
        <v>3.4288284128742337</v>
      </c>
      <c r="C47" s="5">
        <f t="shared" si="16"/>
        <v>22.241360994486769</v>
      </c>
      <c r="D47" s="5">
        <f t="shared" si="16"/>
        <v>1.8679152074296854</v>
      </c>
      <c r="E47" s="5">
        <f t="shared" si="16"/>
        <v>7.7246274782652904E-2</v>
      </c>
      <c r="F47" s="5">
        <f t="shared" si="16"/>
        <v>0.43034167289287795</v>
      </c>
      <c r="G47" s="5">
        <f t="shared" si="16"/>
        <v>0.84533899433570359</v>
      </c>
      <c r="H47" s="5">
        <f t="shared" si="16"/>
        <v>5.0135100074643432E-2</v>
      </c>
      <c r="I47" s="5">
        <f t="shared" si="16"/>
        <v>27.073251449446882</v>
      </c>
      <c r="J47" s="5"/>
      <c r="K47" s="5"/>
      <c r="L47" s="5"/>
      <c r="M47" s="5"/>
      <c r="N47" s="5"/>
      <c r="O47" s="5"/>
      <c r="P47" s="5"/>
      <c r="AA47" s="8" t="s">
        <v>17</v>
      </c>
      <c r="AB47" s="5">
        <v>3.4288284128742337</v>
      </c>
      <c r="AC47" s="5">
        <v>22.241360994486769</v>
      </c>
      <c r="AD47" s="5">
        <v>1.8679152074296854</v>
      </c>
      <c r="AE47" s="5">
        <v>7.7246274782652904E-2</v>
      </c>
      <c r="AF47" s="5">
        <v>0.43034167289287795</v>
      </c>
      <c r="AG47" s="5">
        <v>0.84533899433570359</v>
      </c>
      <c r="AH47" s="5">
        <v>5.0135100074643432E-2</v>
      </c>
      <c r="AI47" s="5">
        <v>27.073251449446882</v>
      </c>
      <c r="AJ47" s="5"/>
      <c r="AK47" s="5"/>
      <c r="AL47" s="5"/>
      <c r="AM47" s="5"/>
      <c r="AN47" s="5"/>
      <c r="AO47" s="5"/>
    </row>
    <row r="48" spans="1:41" x14ac:dyDescent="0.35">
      <c r="A48" s="8" t="s">
        <v>18</v>
      </c>
      <c r="B48" s="5">
        <f t="shared" si="16"/>
        <v>6.9322417856205876</v>
      </c>
      <c r="C48" s="5">
        <f t="shared" si="16"/>
        <v>37.080076643735595</v>
      </c>
      <c r="D48" s="5">
        <f t="shared" si="16"/>
        <v>3.1171173032066766</v>
      </c>
      <c r="E48" s="5">
        <f t="shared" si="16"/>
        <v>0.32656726572550737</v>
      </c>
      <c r="F48" s="5">
        <f t="shared" si="16"/>
        <v>0.84361933573576509</v>
      </c>
      <c r="G48" s="5">
        <f t="shared" si="16"/>
        <v>0.92351546113058147</v>
      </c>
      <c r="H48" s="5">
        <f t="shared" si="16"/>
        <v>8.0908468255618817E-4</v>
      </c>
      <c r="I48" s="5">
        <f t="shared" si="16"/>
        <v>46.106829576630588</v>
      </c>
      <c r="J48" s="5"/>
      <c r="K48" s="5"/>
      <c r="L48" s="5"/>
      <c r="M48" s="5"/>
      <c r="N48" s="5"/>
      <c r="O48" s="5"/>
      <c r="P48" s="5"/>
      <c r="AA48" s="8" t="s">
        <v>18</v>
      </c>
      <c r="AB48" s="5">
        <v>6.9322417856205876</v>
      </c>
      <c r="AC48" s="5">
        <v>37.080076643735595</v>
      </c>
      <c r="AD48" s="5">
        <v>3.1171173032066766</v>
      </c>
      <c r="AE48" s="5">
        <v>0.32656726572550737</v>
      </c>
      <c r="AF48" s="5">
        <v>0.84361933573576509</v>
      </c>
      <c r="AG48" s="5">
        <v>0.92351546113058147</v>
      </c>
      <c r="AH48" s="5">
        <v>8.0908468255618817E-4</v>
      </c>
      <c r="AI48" s="5">
        <v>46.106829576630588</v>
      </c>
      <c r="AJ48" s="5"/>
      <c r="AK48" s="5"/>
      <c r="AL48" s="5"/>
      <c r="AM48" s="5"/>
      <c r="AN48" s="5"/>
      <c r="AO48" s="5"/>
    </row>
    <row r="49" spans="1:41" x14ac:dyDescent="0.35">
      <c r="A49" s="8" t="s">
        <v>19</v>
      </c>
      <c r="B49" s="5">
        <f t="shared" si="16"/>
        <v>9.3377985767050014</v>
      </c>
      <c r="C49" s="5">
        <f t="shared" si="16"/>
        <v>72.11690717766092</v>
      </c>
      <c r="D49" s="5">
        <f t="shared" si="16"/>
        <v>4.745876803040697</v>
      </c>
      <c r="E49" s="5">
        <f t="shared" si="16"/>
        <v>1.5152434646612412</v>
      </c>
      <c r="F49" s="5">
        <f t="shared" si="16"/>
        <v>4.0605558508616335</v>
      </c>
      <c r="G49" s="5">
        <f t="shared" si="16"/>
        <v>2.2738744397033144</v>
      </c>
      <c r="H49" s="5">
        <f t="shared" si="16"/>
        <v>0.23480166841295533</v>
      </c>
      <c r="I49" s="5">
        <f t="shared" si="16"/>
        <v>89.539181178005066</v>
      </c>
      <c r="J49" s="5"/>
      <c r="K49" s="5"/>
      <c r="L49" s="5"/>
      <c r="M49" s="5"/>
      <c r="N49" s="5"/>
      <c r="O49" s="5"/>
      <c r="P49" s="5"/>
      <c r="AA49" s="8" t="s">
        <v>19</v>
      </c>
      <c r="AB49" s="5">
        <v>9.3377985767050014</v>
      </c>
      <c r="AC49" s="5">
        <v>72.11690717766092</v>
      </c>
      <c r="AD49" s="5">
        <v>4.745876803040697</v>
      </c>
      <c r="AE49" s="5">
        <v>1.5152434646612412</v>
      </c>
      <c r="AF49" s="5">
        <v>4.0605558508616335</v>
      </c>
      <c r="AG49" s="5">
        <v>2.2738744397033144</v>
      </c>
      <c r="AH49" s="5">
        <v>0.23480166841295533</v>
      </c>
      <c r="AI49" s="5">
        <v>89.539181178005066</v>
      </c>
      <c r="AJ49" s="5"/>
      <c r="AK49" s="5"/>
      <c r="AL49" s="5"/>
      <c r="AM49" s="5"/>
      <c r="AN49" s="5"/>
      <c r="AO49" s="5"/>
    </row>
    <row r="50" spans="1:41" x14ac:dyDescent="0.35">
      <c r="A50" s="8" t="s">
        <v>20</v>
      </c>
      <c r="B50" s="5">
        <f t="shared" si="16"/>
        <v>55.170352372020517</v>
      </c>
      <c r="C50" s="5">
        <f t="shared" si="16"/>
        <v>474.68163772291734</v>
      </c>
      <c r="D50" s="5">
        <f t="shared" si="16"/>
        <v>9.3468568982479088</v>
      </c>
      <c r="E50" s="5">
        <f t="shared" si="16"/>
        <v>33.984714065323438</v>
      </c>
      <c r="F50" s="5">
        <f t="shared" si="16"/>
        <v>44.157782223775961</v>
      </c>
      <c r="G50" s="5">
        <f t="shared" si="16"/>
        <v>94.940753989489266</v>
      </c>
      <c r="H50" s="5">
        <f t="shared" si="16"/>
        <v>2.9161481942139553</v>
      </c>
      <c r="I50" s="5">
        <f t="shared" si="16"/>
        <v>705.85138856774051</v>
      </c>
      <c r="J50" s="5"/>
      <c r="K50" s="5"/>
      <c r="L50" s="5"/>
      <c r="M50" s="5"/>
      <c r="N50" s="5"/>
      <c r="O50" s="5"/>
      <c r="P50" s="5"/>
      <c r="AA50" s="8" t="s">
        <v>20</v>
      </c>
      <c r="AB50" s="5">
        <v>55.170352372020517</v>
      </c>
      <c r="AC50" s="5">
        <v>474.68163772291734</v>
      </c>
      <c r="AD50" s="5">
        <v>9.3468568982479088</v>
      </c>
      <c r="AE50" s="5">
        <v>33.984714065323438</v>
      </c>
      <c r="AF50" s="5">
        <v>44.157782223775961</v>
      </c>
      <c r="AG50" s="5">
        <v>94.940753989489266</v>
      </c>
      <c r="AH50" s="5">
        <v>2.9161481942139553</v>
      </c>
      <c r="AI50" s="5">
        <v>705.85138856774051</v>
      </c>
      <c r="AJ50" s="5"/>
      <c r="AK50" s="5"/>
      <c r="AL50" s="5"/>
      <c r="AM50" s="5"/>
      <c r="AN50" s="5"/>
      <c r="AO50" s="5"/>
    </row>
    <row r="51" spans="1:41" x14ac:dyDescent="0.35">
      <c r="A51" s="3" t="s">
        <v>97</v>
      </c>
      <c r="B51" s="5">
        <f t="shared" si="16"/>
        <v>2.0491654387048763</v>
      </c>
      <c r="C51" s="5">
        <f t="shared" si="16"/>
        <v>16.152542746401249</v>
      </c>
      <c r="D51" s="5">
        <f t="shared" si="16"/>
        <v>0.87485415315997539</v>
      </c>
      <c r="E51" s="5">
        <f t="shared" si="16"/>
        <v>0.2442082738227577</v>
      </c>
      <c r="F51" s="5">
        <f t="shared" si="16"/>
        <v>0.31104499163073496</v>
      </c>
      <c r="G51" s="5">
        <f t="shared" si="16"/>
        <v>0.99863386346966176</v>
      </c>
      <c r="H51" s="5">
        <f t="shared" si="16"/>
        <v>3.278466745441852E-2</v>
      </c>
      <c r="I51" s="5">
        <f t="shared" si="16"/>
        <v>19.788379981483693</v>
      </c>
      <c r="J51" s="5"/>
      <c r="K51" s="5"/>
      <c r="L51" s="5"/>
      <c r="M51" s="5"/>
      <c r="N51" s="5"/>
      <c r="O51" s="5"/>
      <c r="P51" s="5"/>
      <c r="AA51" s="8" t="s">
        <v>97</v>
      </c>
      <c r="AB51" s="5">
        <v>2.0491654387048763</v>
      </c>
      <c r="AC51" s="5">
        <v>16.152542746401249</v>
      </c>
      <c r="AD51" s="5">
        <v>0.87485415315997539</v>
      </c>
      <c r="AE51" s="5">
        <v>0.2442082738227577</v>
      </c>
      <c r="AF51" s="5">
        <v>0.31104499163073496</v>
      </c>
      <c r="AG51" s="5">
        <v>0.99863386346966176</v>
      </c>
      <c r="AH51" s="5">
        <v>3.278466745441852E-2</v>
      </c>
      <c r="AI51" s="5">
        <v>19.788379981483693</v>
      </c>
      <c r="AJ51" s="5"/>
      <c r="AK51" s="5"/>
      <c r="AL51" s="5"/>
      <c r="AM51" s="5"/>
      <c r="AN51" s="5"/>
      <c r="AO51" s="5"/>
    </row>
    <row r="52" spans="1:41" x14ac:dyDescent="0.35">
      <c r="A52" s="3" t="s">
        <v>98</v>
      </c>
      <c r="B52" s="5">
        <f t="shared" si="16"/>
        <v>2.5697329023611348</v>
      </c>
      <c r="C52" s="5">
        <f t="shared" si="16"/>
        <v>25.196296926480727</v>
      </c>
      <c r="D52" s="5">
        <f t="shared" si="16"/>
        <v>1.4023178783842185</v>
      </c>
      <c r="E52" s="5">
        <f t="shared" si="16"/>
        <v>0.28022635460557332</v>
      </c>
      <c r="F52" s="5">
        <f t="shared" si="16"/>
        <v>0.38649858570228163</v>
      </c>
      <c r="G52" s="5">
        <f t="shared" si="16"/>
        <v>0.70420134194364448</v>
      </c>
      <c r="H52" s="5">
        <f t="shared" si="16"/>
        <v>6.1867489922354371E-2</v>
      </c>
      <c r="I52" s="5">
        <f t="shared" si="16"/>
        <v>29.198823601015718</v>
      </c>
      <c r="J52" s="5"/>
      <c r="K52" s="5"/>
      <c r="L52" s="5"/>
      <c r="M52" s="5"/>
      <c r="N52" s="5"/>
      <c r="O52" s="5"/>
      <c r="P52" s="5"/>
      <c r="AA52" s="8" t="s">
        <v>98</v>
      </c>
      <c r="AB52" s="5">
        <v>2.5697329023611348</v>
      </c>
      <c r="AC52" s="5">
        <v>25.196296926480727</v>
      </c>
      <c r="AD52" s="5">
        <v>1.4023178783842185</v>
      </c>
      <c r="AE52" s="5">
        <v>0.28022635460557332</v>
      </c>
      <c r="AF52" s="5">
        <v>0.38649858570228163</v>
      </c>
      <c r="AG52" s="5">
        <v>0.70420134194364448</v>
      </c>
      <c r="AH52" s="5">
        <v>6.1867489922354371E-2</v>
      </c>
      <c r="AI52" s="5">
        <v>29.198823601015718</v>
      </c>
      <c r="AJ52" s="5"/>
      <c r="AK52" s="5"/>
      <c r="AL52" s="5"/>
      <c r="AM52" s="5"/>
      <c r="AN52" s="5"/>
      <c r="AO52" s="5"/>
    </row>
    <row r="53" spans="1:41" x14ac:dyDescent="0.35">
      <c r="A53" s="3" t="s">
        <v>99</v>
      </c>
      <c r="B53" s="5">
        <f t="shared" si="16"/>
        <v>3.6902392364905809</v>
      </c>
      <c r="C53" s="5">
        <f t="shared" si="16"/>
        <v>43.555167823188683</v>
      </c>
      <c r="D53" s="5">
        <f t="shared" si="16"/>
        <v>2.7767060985483609</v>
      </c>
      <c r="E53" s="5">
        <f t="shared" si="16"/>
        <v>0.90510804768073494</v>
      </c>
      <c r="F53" s="5">
        <f t="shared" si="16"/>
        <v>1.8964482078660101</v>
      </c>
      <c r="G53" s="5">
        <f t="shared" si="16"/>
        <v>3.3115585812107469</v>
      </c>
      <c r="H53" s="5">
        <f t="shared" si="16"/>
        <v>7.2630139763866897E-2</v>
      </c>
      <c r="I53" s="5">
        <f t="shared" si="16"/>
        <v>53.431152036200622</v>
      </c>
      <c r="J53" s="5"/>
      <c r="K53" s="5"/>
      <c r="L53" s="5"/>
      <c r="M53" s="5"/>
      <c r="N53" s="5"/>
      <c r="O53" s="5"/>
      <c r="P53" s="5"/>
      <c r="AA53" s="8" t="s">
        <v>99</v>
      </c>
      <c r="AB53" s="5">
        <v>3.6902392364905809</v>
      </c>
      <c r="AC53" s="5">
        <v>43.555167823188683</v>
      </c>
      <c r="AD53" s="5">
        <v>2.7767060985483609</v>
      </c>
      <c r="AE53" s="5">
        <v>0.90510804768073494</v>
      </c>
      <c r="AF53" s="5">
        <v>1.8964482078660101</v>
      </c>
      <c r="AG53" s="5">
        <v>3.3115585812107469</v>
      </c>
      <c r="AH53" s="5">
        <v>7.2630139763866897E-2</v>
      </c>
      <c r="AI53" s="5">
        <v>53.431152036200622</v>
      </c>
      <c r="AJ53" s="5"/>
      <c r="AK53" s="5"/>
      <c r="AL53" s="5"/>
      <c r="AM53" s="5"/>
      <c r="AN53" s="5"/>
      <c r="AO53" s="5"/>
    </row>
    <row r="54" spans="1:41" x14ac:dyDescent="0.35">
      <c r="A54" s="3" t="s">
        <v>100</v>
      </c>
      <c r="B54" s="5">
        <f t="shared" si="16"/>
        <v>7.6005026113883369</v>
      </c>
      <c r="C54" s="5">
        <f t="shared" si="16"/>
        <v>117.95704534228446</v>
      </c>
      <c r="D54" s="5">
        <f t="shared" si="16"/>
        <v>4.9107307613537143</v>
      </c>
      <c r="E54" s="5">
        <f t="shared" si="16"/>
        <v>1.6862518245112477</v>
      </c>
      <c r="F54" s="5">
        <f t="shared" si="16"/>
        <v>5.9228643007845578</v>
      </c>
      <c r="G54" s="5">
        <f t="shared" si="16"/>
        <v>12.598794081377116</v>
      </c>
      <c r="H54" s="5">
        <f t="shared" si="16"/>
        <v>8.9620075675279617E-2</v>
      </c>
      <c r="I54" s="5">
        <f t="shared" si="16"/>
        <v>145.85507823602097</v>
      </c>
      <c r="J54" s="5"/>
      <c r="K54" s="5"/>
      <c r="L54" s="5"/>
      <c r="M54" s="5"/>
      <c r="N54" s="5"/>
      <c r="O54" s="5"/>
      <c r="P54" s="5"/>
      <c r="AA54" s="8" t="s">
        <v>100</v>
      </c>
      <c r="AB54" s="5">
        <v>7.6005026113883369</v>
      </c>
      <c r="AC54" s="5">
        <v>117.95704534228446</v>
      </c>
      <c r="AD54" s="5">
        <v>4.9107307613537143</v>
      </c>
      <c r="AE54" s="5">
        <v>1.6862518245112477</v>
      </c>
      <c r="AF54" s="5">
        <v>5.9228643007845578</v>
      </c>
      <c r="AG54" s="5">
        <v>12.598794081377116</v>
      </c>
      <c r="AH54" s="5">
        <v>8.9620075675279617E-2</v>
      </c>
      <c r="AI54" s="5">
        <v>145.85507823602097</v>
      </c>
      <c r="AJ54" s="5"/>
      <c r="AK54" s="5"/>
      <c r="AL54" s="5"/>
      <c r="AM54" s="5"/>
      <c r="AN54" s="5"/>
      <c r="AO54" s="5"/>
    </row>
    <row r="55" spans="1:41" x14ac:dyDescent="0.35">
      <c r="A55" s="3" t="s">
        <v>101</v>
      </c>
      <c r="B55" s="5">
        <f t="shared" si="16"/>
        <v>10.282870315821452</v>
      </c>
      <c r="C55" s="5">
        <f t="shared" si="16"/>
        <v>1577.0221569071073</v>
      </c>
      <c r="D55" s="5">
        <f t="shared" si="16"/>
        <v>8.1206433538082674</v>
      </c>
      <c r="E55" s="5">
        <f t="shared" si="16"/>
        <v>122.93235142625076</v>
      </c>
      <c r="F55" s="5">
        <f t="shared" si="16"/>
        <v>178.51677612400425</v>
      </c>
      <c r="G55" s="5">
        <f t="shared" si="16"/>
        <v>407.14573981272014</v>
      </c>
      <c r="H55" s="5">
        <f t="shared" si="16"/>
        <v>28.788174345470864</v>
      </c>
      <c r="I55" s="5">
        <f t="shared" si="16"/>
        <v>2324.6880689313748</v>
      </c>
      <c r="J55" s="5"/>
      <c r="K55" s="5"/>
      <c r="L55" s="5"/>
      <c r="M55" s="5"/>
      <c r="N55" s="5"/>
      <c r="O55" s="5"/>
      <c r="P55" s="5"/>
      <c r="AA55" s="8" t="s">
        <v>101</v>
      </c>
      <c r="AB55" s="5">
        <v>10.282870315821452</v>
      </c>
      <c r="AC55" s="5">
        <v>1577.0221569071073</v>
      </c>
      <c r="AD55" s="5">
        <v>8.1206433538082674</v>
      </c>
      <c r="AE55" s="5">
        <v>122.93235142625076</v>
      </c>
      <c r="AF55" s="5">
        <v>178.51677612400425</v>
      </c>
      <c r="AG55" s="5">
        <v>407.14573981272014</v>
      </c>
      <c r="AH55" s="5">
        <v>28.788174345470864</v>
      </c>
      <c r="AI55" s="5">
        <v>2324.6880689313748</v>
      </c>
      <c r="AJ55" s="5"/>
      <c r="AK55" s="5"/>
      <c r="AL55" s="5"/>
      <c r="AM55" s="5"/>
      <c r="AN55" s="5"/>
      <c r="AO55" s="5"/>
    </row>
    <row r="56" spans="1:41" x14ac:dyDescent="0.35">
      <c r="A56" s="6" t="s">
        <v>41</v>
      </c>
      <c r="B56" s="10">
        <f t="shared" ref="B56:I56" si="17">SUM(B41:B45)</f>
        <v>915.5263426269529</v>
      </c>
      <c r="C56" s="10">
        <f t="shared" si="17"/>
        <v>2263.549549839287</v>
      </c>
      <c r="D56" s="10">
        <f t="shared" si="17"/>
        <v>624.95744153769863</v>
      </c>
      <c r="E56" s="10">
        <f t="shared" si="17"/>
        <v>33.78976423360254</v>
      </c>
      <c r="F56" s="10">
        <f t="shared" si="17"/>
        <v>78.592321564342285</v>
      </c>
      <c r="G56" s="10">
        <f t="shared" si="17"/>
        <v>133.89652278259672</v>
      </c>
      <c r="H56" s="10">
        <f t="shared" si="17"/>
        <v>15.865528209883301</v>
      </c>
      <c r="I56" s="10">
        <f t="shared" si="17"/>
        <v>3441.2200292566649</v>
      </c>
      <c r="J56" s="6"/>
      <c r="K56" s="6"/>
      <c r="L56" s="6"/>
      <c r="M56" s="6"/>
      <c r="N56" s="6"/>
      <c r="O56" s="6"/>
      <c r="P56" s="6"/>
      <c r="AA56" s="8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35">
      <c r="A57" s="6" t="s">
        <v>42</v>
      </c>
      <c r="B57" s="10">
        <f t="shared" ref="B57:I57" si="18">SUM(B46:B50)</f>
        <v>78.605535490681262</v>
      </c>
      <c r="C57" s="10">
        <f t="shared" si="18"/>
        <v>621.42675595952096</v>
      </c>
      <c r="D57" s="10">
        <f t="shared" si="18"/>
        <v>20.163783985068903</v>
      </c>
      <c r="E57" s="10">
        <f t="shared" si="18"/>
        <v>35.999960353719359</v>
      </c>
      <c r="F57" s="10">
        <f t="shared" si="18"/>
        <v>49.656721367450608</v>
      </c>
      <c r="G57" s="10">
        <f t="shared" si="18"/>
        <v>99.959394570290115</v>
      </c>
      <c r="H57" s="10">
        <f t="shared" si="18"/>
        <v>3.2476651970246375</v>
      </c>
      <c r="I57" s="10">
        <f t="shared" si="18"/>
        <v>888.89603293868686</v>
      </c>
      <c r="J57" s="6"/>
      <c r="K57" s="6"/>
      <c r="L57" s="6"/>
      <c r="M57" s="6"/>
      <c r="AA57" s="8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35">
      <c r="A58" s="6" t="s">
        <v>109</v>
      </c>
      <c r="B58" s="10">
        <f t="shared" ref="B58:I58" si="19">SUM(B51:B55)</f>
        <v>26.192510504766378</v>
      </c>
      <c r="C58" s="10">
        <f t="shared" si="19"/>
        <v>1779.8832097454624</v>
      </c>
      <c r="D58" s="10">
        <f t="shared" si="19"/>
        <v>18.085252245254537</v>
      </c>
      <c r="E58" s="10">
        <f t="shared" si="19"/>
        <v>126.04814592687107</v>
      </c>
      <c r="F58" s="10">
        <f t="shared" si="19"/>
        <v>187.03363220998784</v>
      </c>
      <c r="G58" s="10">
        <f t="shared" si="19"/>
        <v>424.75892768072129</v>
      </c>
      <c r="H58" s="10">
        <f t="shared" si="19"/>
        <v>29.045076718286783</v>
      </c>
      <c r="I58" s="10">
        <f t="shared" si="19"/>
        <v>2572.9615027860959</v>
      </c>
      <c r="J58" s="6"/>
      <c r="K58" s="6"/>
      <c r="L58" s="6"/>
      <c r="M58" s="6"/>
      <c r="AA58" s="8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35">
      <c r="A59" s="7" t="s">
        <v>43</v>
      </c>
      <c r="B59" s="11">
        <f t="shared" ref="B59:I59" si="20">SUM(B56:B58)</f>
        <v>1020.3243886224005</v>
      </c>
      <c r="C59" s="11">
        <f t="shared" si="20"/>
        <v>4664.8595155442708</v>
      </c>
      <c r="D59" s="11">
        <f t="shared" si="20"/>
        <v>663.20647776802207</v>
      </c>
      <c r="E59" s="11">
        <f t="shared" si="20"/>
        <v>195.83787051419296</v>
      </c>
      <c r="F59" s="11">
        <f t="shared" si="20"/>
        <v>315.28267514178071</v>
      </c>
      <c r="G59" s="11">
        <f t="shared" si="20"/>
        <v>658.61484503360816</v>
      </c>
      <c r="H59" s="11">
        <f t="shared" si="20"/>
        <v>48.158270125194719</v>
      </c>
      <c r="I59" s="11">
        <f t="shared" si="20"/>
        <v>6903.0775649814477</v>
      </c>
      <c r="J59" s="7"/>
      <c r="K59" s="7"/>
      <c r="L59" s="7"/>
      <c r="M59" s="7"/>
      <c r="AA59" s="8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35">
      <c r="A60" s="6" t="s">
        <v>44</v>
      </c>
      <c r="B60" s="10">
        <f>B41+B46+B51</f>
        <v>87.696862413362126</v>
      </c>
      <c r="C60" s="10">
        <f t="shared" ref="C60:I60" si="21">C41+C46+C51</f>
        <v>213.50089816007977</v>
      </c>
      <c r="D60" s="10">
        <f t="shared" si="21"/>
        <v>52.266178034842149</v>
      </c>
      <c r="E60" s="10">
        <f t="shared" si="21"/>
        <v>0.70565135052975403</v>
      </c>
      <c r="F60" s="10">
        <f t="shared" si="21"/>
        <v>1.080413290329008</v>
      </c>
      <c r="G60" s="10">
        <f t="shared" si="21"/>
        <v>11.537637396147671</v>
      </c>
      <c r="H60" s="10">
        <f t="shared" si="21"/>
        <v>1.2231698028109383</v>
      </c>
      <c r="I60" s="10">
        <f t="shared" si="21"/>
        <v>315.74463241325907</v>
      </c>
      <c r="J60" s="6"/>
      <c r="K60" s="6"/>
      <c r="L60" s="6"/>
      <c r="M60" s="6"/>
      <c r="AA60" s="8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35">
      <c r="A61" s="6" t="s">
        <v>45</v>
      </c>
      <c r="B61" s="10">
        <f t="shared" ref="B61:I61" si="22">B42+B47+B52</f>
        <v>151.57315850278255</v>
      </c>
      <c r="C61" s="10">
        <f t="shared" si="22"/>
        <v>340.05176706080022</v>
      </c>
      <c r="D61" s="10">
        <f t="shared" si="22"/>
        <v>103.41563169715572</v>
      </c>
      <c r="E61" s="10">
        <f t="shared" si="22"/>
        <v>1.5173935087333992</v>
      </c>
      <c r="F61" s="10">
        <f t="shared" si="22"/>
        <v>3.5359109975968623</v>
      </c>
      <c r="G61" s="10">
        <f t="shared" si="22"/>
        <v>17.501680584258029</v>
      </c>
      <c r="H61" s="10">
        <f t="shared" si="22"/>
        <v>1.4746154279237729</v>
      </c>
      <c r="I61" s="10">
        <f t="shared" si="22"/>
        <v>515.65452608209466</v>
      </c>
      <c r="J61" s="6"/>
      <c r="K61" s="6"/>
      <c r="L61" s="6"/>
      <c r="M61" s="6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35">
      <c r="A62" s="6" t="s">
        <v>46</v>
      </c>
      <c r="B62" s="10">
        <f t="shared" ref="B62:I62" si="23">B43+B48+B53</f>
        <v>216.40751639145293</v>
      </c>
      <c r="C62" s="10">
        <f t="shared" si="23"/>
        <v>478.12807336234255</v>
      </c>
      <c r="D62" s="10">
        <f t="shared" si="23"/>
        <v>150.35731479063799</v>
      </c>
      <c r="E62" s="10">
        <f t="shared" si="23"/>
        <v>3.474637789438928</v>
      </c>
      <c r="F62" s="10">
        <f t="shared" si="23"/>
        <v>7.6502117233363904</v>
      </c>
      <c r="G62" s="10">
        <f t="shared" si="23"/>
        <v>21.238827421355563</v>
      </c>
      <c r="H62" s="10">
        <f t="shared" si="23"/>
        <v>2.5672090490873356</v>
      </c>
      <c r="I62" s="10">
        <f t="shared" si="23"/>
        <v>729.46647573701352</v>
      </c>
      <c r="J62" s="6"/>
      <c r="K62" s="6"/>
      <c r="L62" s="6"/>
      <c r="M62" s="6"/>
    </row>
    <row r="63" spans="1:41" x14ac:dyDescent="0.35">
      <c r="A63" s="6" t="s">
        <v>47</v>
      </c>
      <c r="B63" s="10">
        <f t="shared" ref="B63:I63" si="24">B44+B49+B54</f>
        <v>272.69417331955378</v>
      </c>
      <c r="C63" s="10">
        <f t="shared" si="24"/>
        <v>758.43806596313959</v>
      </c>
      <c r="D63" s="10">
        <f t="shared" si="24"/>
        <v>196.58110315255615</v>
      </c>
      <c r="E63" s="10">
        <f t="shared" si="24"/>
        <v>7.7724959658713626</v>
      </c>
      <c r="F63" s="10">
        <f t="shared" si="24"/>
        <v>28.058010982389529</v>
      </c>
      <c r="G63" s="10">
        <f t="shared" si="24"/>
        <v>49.527110199414864</v>
      </c>
      <c r="H63" s="10">
        <f t="shared" si="24"/>
        <v>2.7168299317039515</v>
      </c>
      <c r="I63" s="10">
        <f t="shared" si="24"/>
        <v>1119.2066863620735</v>
      </c>
      <c r="J63" s="6"/>
      <c r="K63" s="6"/>
      <c r="L63" s="6"/>
      <c r="M63" s="6"/>
    </row>
    <row r="64" spans="1:41" x14ac:dyDescent="0.35">
      <c r="A64" s="6" t="s">
        <v>48</v>
      </c>
      <c r="B64" s="10">
        <f t="shared" ref="B64:I64" si="25">B45+B50+B55</f>
        <v>291.95267799524913</v>
      </c>
      <c r="C64" s="10">
        <f t="shared" si="25"/>
        <v>2874.7407109979081</v>
      </c>
      <c r="D64" s="10">
        <f t="shared" si="25"/>
        <v>160.58625009283003</v>
      </c>
      <c r="E64" s="10">
        <f t="shared" si="25"/>
        <v>182.36769189961953</v>
      </c>
      <c r="F64" s="10">
        <f t="shared" si="25"/>
        <v>274.95812814812894</v>
      </c>
      <c r="G64" s="10">
        <f t="shared" si="25"/>
        <v>558.80958943243206</v>
      </c>
      <c r="H64" s="10">
        <f t="shared" si="25"/>
        <v>40.176445913668722</v>
      </c>
      <c r="I64" s="10">
        <f t="shared" si="25"/>
        <v>4223.0052443870063</v>
      </c>
      <c r="J64" s="6"/>
      <c r="K64" s="6"/>
      <c r="L64" s="6"/>
      <c r="M64" s="6"/>
    </row>
    <row r="73" spans="1:34" x14ac:dyDescent="0.35">
      <c r="A73" s="2" t="s">
        <v>55</v>
      </c>
    </row>
    <row r="74" spans="1:34" x14ac:dyDescent="0.35">
      <c r="A74" s="4" t="s">
        <v>54</v>
      </c>
    </row>
    <row r="75" spans="1:34" x14ac:dyDescent="0.35">
      <c r="B75" s="3" t="s">
        <v>52</v>
      </c>
      <c r="C75" s="3" t="s">
        <v>53</v>
      </c>
      <c r="AA75" s="9"/>
      <c r="AB75" s="12" t="s">
        <v>52</v>
      </c>
      <c r="AC75" s="12" t="s">
        <v>53</v>
      </c>
      <c r="AD75" s="9"/>
      <c r="AE75" s="9"/>
      <c r="AF75" s="9"/>
      <c r="AG75" s="9"/>
      <c r="AH75" s="9"/>
    </row>
    <row r="76" spans="1:34" x14ac:dyDescent="0.35">
      <c r="A76" s="8" t="s">
        <v>11</v>
      </c>
      <c r="B76" s="5">
        <f>INDEX($AB$76:$AC$95,MATCH($A76,$AA$76:$AA$95,0),MATCH(B$75,$AB$75:$AC$75,0))</f>
        <v>255188.34222030005</v>
      </c>
      <c r="C76" s="5">
        <f t="shared" ref="C76:C80" si="26">INDEX($AB$76:$AC$95,MATCH($A76,$AA$76:$AA$95,0),MATCH(C$75,$AB$75:$AC$75,0))</f>
        <v>2067.5140000000001</v>
      </c>
      <c r="AA76" s="12" t="s">
        <v>11</v>
      </c>
      <c r="AB76" s="9">
        <v>255188.34222030005</v>
      </c>
      <c r="AC76" s="9">
        <v>2067.5140000000001</v>
      </c>
      <c r="AD76" s="9"/>
      <c r="AE76" s="9"/>
      <c r="AF76" s="9"/>
      <c r="AG76" s="9"/>
      <c r="AH76" s="9"/>
    </row>
    <row r="77" spans="1:34" x14ac:dyDescent="0.35">
      <c r="A77" s="8" t="s">
        <v>12</v>
      </c>
      <c r="B77" s="5">
        <f t="shared" ref="B77:B80" si="27">INDEX($AB$76:$AC$95,MATCH($A77,$AA$76:$AA$95,0),MATCH(B$75,$AB$75:$AC$75,0))</f>
        <v>411913.86140139983</v>
      </c>
      <c r="C77" s="5">
        <f t="shared" si="26"/>
        <v>2092.3980000000001</v>
      </c>
      <c r="AA77" s="12" t="s">
        <v>12</v>
      </c>
      <c r="AB77" s="9">
        <v>411913.86140139983</v>
      </c>
      <c r="AC77" s="9">
        <v>2092.3980000000001</v>
      </c>
      <c r="AD77" s="9"/>
      <c r="AE77" s="9"/>
      <c r="AF77" s="9"/>
      <c r="AG77" s="9"/>
      <c r="AH77" s="9"/>
    </row>
    <row r="78" spans="1:34" x14ac:dyDescent="0.35">
      <c r="A78" s="8" t="s">
        <v>13</v>
      </c>
      <c r="B78" s="5">
        <f t="shared" si="27"/>
        <v>545049.28737300006</v>
      </c>
      <c r="C78" s="5">
        <f t="shared" si="26"/>
        <v>2034.498</v>
      </c>
      <c r="AA78" s="12" t="s">
        <v>13</v>
      </c>
      <c r="AB78" s="9">
        <v>545049.28737300006</v>
      </c>
      <c r="AC78" s="9">
        <v>2034.498</v>
      </c>
      <c r="AD78" s="9"/>
      <c r="AE78" s="9"/>
      <c r="AF78" s="9"/>
      <c r="AG78" s="9"/>
      <c r="AH78" s="9"/>
    </row>
    <row r="79" spans="1:34" x14ac:dyDescent="0.35">
      <c r="A79" s="8" t="s">
        <v>14</v>
      </c>
      <c r="B79" s="5">
        <f t="shared" si="27"/>
        <v>715658.92382879974</v>
      </c>
      <c r="C79" s="5">
        <f t="shared" si="26"/>
        <v>1900.3579999999999</v>
      </c>
      <c r="AA79" s="12" t="s">
        <v>14</v>
      </c>
      <c r="AB79" s="9">
        <v>715658.92382879974</v>
      </c>
      <c r="AC79" s="9">
        <v>1900.3579999999999</v>
      </c>
      <c r="AD79" s="9"/>
      <c r="AE79" s="9"/>
      <c r="AF79" s="9"/>
      <c r="AG79" s="9"/>
      <c r="AH79" s="9"/>
    </row>
    <row r="80" spans="1:34" x14ac:dyDescent="0.35">
      <c r="A80" s="8" t="s">
        <v>15</v>
      </c>
      <c r="B80" s="5">
        <f t="shared" si="27"/>
        <v>801880.66507809993</v>
      </c>
      <c r="C80" s="5">
        <f t="shared" si="26"/>
        <v>1155.4580000000001</v>
      </c>
      <c r="AA80" s="12" t="s">
        <v>15</v>
      </c>
      <c r="AB80" s="9">
        <v>801880.66507809993</v>
      </c>
      <c r="AC80" s="9">
        <v>1155.4580000000001</v>
      </c>
      <c r="AD80" s="9"/>
      <c r="AE80" s="9"/>
      <c r="AF80" s="9"/>
      <c r="AG80" s="9"/>
      <c r="AH80" s="9"/>
    </row>
    <row r="81" spans="1:34" x14ac:dyDescent="0.35">
      <c r="A81" s="8" t="s">
        <v>16</v>
      </c>
      <c r="B81" s="5">
        <f t="shared" ref="B81:C90" si="28">INDEX($AB$76:$AC$95,MATCH($A81,$AA$76:$AA$95,0),MATCH(B$75,$AB$75:$AC$75,0))</f>
        <v>18067.576077100002</v>
      </c>
      <c r="C81" s="5">
        <f t="shared" si="28"/>
        <v>147.1337</v>
      </c>
      <c r="AA81" s="12" t="s">
        <v>16</v>
      </c>
      <c r="AB81" s="9">
        <v>18067.576077100002</v>
      </c>
      <c r="AC81" s="9">
        <v>147.1337</v>
      </c>
      <c r="AD81" s="9"/>
      <c r="AE81" s="9"/>
      <c r="AF81" s="9"/>
      <c r="AG81" s="9"/>
      <c r="AH81" s="9"/>
    </row>
    <row r="82" spans="1:34" x14ac:dyDescent="0.35">
      <c r="A82" s="8" t="s">
        <v>17</v>
      </c>
      <c r="B82" s="5">
        <f t="shared" si="28"/>
        <v>25909.923961100001</v>
      </c>
      <c r="C82" s="5">
        <f t="shared" si="28"/>
        <v>128.32210000000001</v>
      </c>
      <c r="AA82" s="12" t="s">
        <v>17</v>
      </c>
      <c r="AB82" s="9">
        <v>25909.923961100001</v>
      </c>
      <c r="AC82" s="9">
        <v>128.32210000000001</v>
      </c>
      <c r="AD82" s="9"/>
      <c r="AE82" s="9"/>
      <c r="AF82" s="9"/>
      <c r="AG82" s="9"/>
      <c r="AH82" s="9"/>
    </row>
    <row r="83" spans="1:34" x14ac:dyDescent="0.35">
      <c r="A83" s="8" t="s">
        <v>18</v>
      </c>
      <c r="B83" s="5">
        <f t="shared" si="28"/>
        <v>40661.495787200009</v>
      </c>
      <c r="C83" s="5">
        <f t="shared" si="28"/>
        <v>152.65299999999999</v>
      </c>
      <c r="AA83" s="12" t="s">
        <v>18</v>
      </c>
      <c r="AB83" s="9">
        <v>40661.495787200009</v>
      </c>
      <c r="AC83" s="9">
        <v>152.65299999999999</v>
      </c>
      <c r="AD83" s="9"/>
      <c r="AE83" s="9"/>
      <c r="AF83" s="9"/>
      <c r="AG83" s="9"/>
      <c r="AH83" s="9"/>
    </row>
    <row r="84" spans="1:34" x14ac:dyDescent="0.35">
      <c r="A84" s="8" t="s">
        <v>19</v>
      </c>
      <c r="B84" s="5">
        <f t="shared" si="28"/>
        <v>68182.196861000004</v>
      </c>
      <c r="C84" s="5">
        <f t="shared" si="28"/>
        <v>170.56120000000001</v>
      </c>
      <c r="AA84" s="12" t="s">
        <v>19</v>
      </c>
      <c r="AB84" s="9">
        <v>68182.196861000004</v>
      </c>
      <c r="AC84" s="9">
        <v>170.56120000000001</v>
      </c>
      <c r="AD84" s="9"/>
      <c r="AE84" s="9"/>
      <c r="AF84" s="9"/>
      <c r="AG84" s="9"/>
      <c r="AH84" s="9"/>
    </row>
    <row r="85" spans="1:34" x14ac:dyDescent="0.35">
      <c r="A85" s="8" t="s">
        <v>20</v>
      </c>
      <c r="B85" s="5">
        <f t="shared" si="28"/>
        <v>342338.87794029998</v>
      </c>
      <c r="C85" s="5">
        <f t="shared" si="28"/>
        <v>362.76870000000002</v>
      </c>
      <c r="AA85" s="12" t="s">
        <v>20</v>
      </c>
      <c r="AB85" s="9">
        <v>342338.87794029998</v>
      </c>
      <c r="AC85" s="9">
        <v>362.76870000000002</v>
      </c>
      <c r="AD85" s="9"/>
      <c r="AE85" s="9"/>
      <c r="AF85" s="9"/>
      <c r="AG85" s="9"/>
      <c r="AH85" s="9"/>
    </row>
    <row r="86" spans="1:34" x14ac:dyDescent="0.35">
      <c r="A86" s="3" t="s">
        <v>97</v>
      </c>
      <c r="B86" s="5">
        <f t="shared" si="28"/>
        <v>18479.702510599996</v>
      </c>
      <c r="C86" s="5">
        <f t="shared" si="28"/>
        <v>137.92019999999999</v>
      </c>
      <c r="AA86" s="12" t="s">
        <v>97</v>
      </c>
      <c r="AB86" s="9">
        <v>18479.702510599996</v>
      </c>
      <c r="AC86" s="9">
        <v>137.92019999999999</v>
      </c>
      <c r="AD86" s="9"/>
      <c r="AE86" s="9"/>
      <c r="AF86" s="9"/>
      <c r="AG86" s="9"/>
      <c r="AH86" s="9"/>
    </row>
    <row r="87" spans="1:34" x14ac:dyDescent="0.35">
      <c r="A87" s="3" t="s">
        <v>98</v>
      </c>
      <c r="B87" s="5">
        <f t="shared" si="28"/>
        <v>25571.620841700002</v>
      </c>
      <c r="C87" s="5">
        <f t="shared" si="28"/>
        <v>128.4169</v>
      </c>
      <c r="AA87" s="12" t="s">
        <v>98</v>
      </c>
      <c r="AB87" s="9">
        <v>25571.620841700002</v>
      </c>
      <c r="AC87" s="9">
        <v>128.4169</v>
      </c>
      <c r="AD87" s="9"/>
      <c r="AE87" s="9"/>
      <c r="AF87" s="9"/>
      <c r="AG87" s="9"/>
      <c r="AH87" s="9"/>
    </row>
    <row r="88" spans="1:34" x14ac:dyDescent="0.35">
      <c r="A88" s="3" t="s">
        <v>99</v>
      </c>
      <c r="B88" s="5">
        <f t="shared" si="28"/>
        <v>43234.221812700001</v>
      </c>
      <c r="C88" s="5">
        <f t="shared" si="28"/>
        <v>159.35640000000001</v>
      </c>
      <c r="AA88" s="12" t="s">
        <v>99</v>
      </c>
      <c r="AB88" s="9">
        <v>43234.221812700001</v>
      </c>
      <c r="AC88" s="9">
        <v>159.35640000000001</v>
      </c>
      <c r="AD88" s="9"/>
      <c r="AE88" s="9"/>
      <c r="AF88" s="9"/>
      <c r="AG88" s="9"/>
      <c r="AH88" s="9"/>
    </row>
    <row r="89" spans="1:34" x14ac:dyDescent="0.35">
      <c r="A89" s="3" t="s">
        <v>100</v>
      </c>
      <c r="B89" s="5">
        <f t="shared" si="28"/>
        <v>108418.51568099999</v>
      </c>
      <c r="C89" s="5">
        <f t="shared" si="28"/>
        <v>279.87889999999999</v>
      </c>
      <c r="AA89" s="12" t="s">
        <v>100</v>
      </c>
      <c r="AB89" s="9">
        <v>108418.51568099999</v>
      </c>
      <c r="AC89" s="9">
        <v>279.87889999999999</v>
      </c>
      <c r="AD89" s="9"/>
      <c r="AE89" s="9"/>
      <c r="AF89" s="9"/>
      <c r="AG89" s="9"/>
      <c r="AH89" s="9"/>
    </row>
    <row r="90" spans="1:34" x14ac:dyDescent="0.35">
      <c r="A90" s="3" t="s">
        <v>101</v>
      </c>
      <c r="B90" s="5">
        <f t="shared" si="28"/>
        <v>1044816.8071267001</v>
      </c>
      <c r="C90" s="5">
        <f t="shared" si="28"/>
        <v>839.60130000000004</v>
      </c>
      <c r="AA90" s="12" t="s">
        <v>101</v>
      </c>
      <c r="AB90" s="9">
        <v>1044816.8071267001</v>
      </c>
      <c r="AC90" s="9">
        <v>839.60130000000004</v>
      </c>
      <c r="AD90" s="9"/>
      <c r="AE90" s="9"/>
      <c r="AF90" s="9"/>
      <c r="AG90" s="9"/>
      <c r="AH90" s="9"/>
    </row>
    <row r="91" spans="1:34" x14ac:dyDescent="0.35">
      <c r="A91" s="6" t="s">
        <v>41</v>
      </c>
      <c r="B91" s="10">
        <f>SUM(B76:B80)</f>
        <v>2729691.0799015998</v>
      </c>
      <c r="C91" s="10">
        <f>SUM(C76:C80)</f>
        <v>9250.2260000000006</v>
      </c>
      <c r="AA91" s="12"/>
      <c r="AB91" s="9"/>
      <c r="AC91" s="9"/>
      <c r="AD91" s="9"/>
      <c r="AE91" s="9"/>
      <c r="AF91" s="9"/>
      <c r="AG91" s="9"/>
      <c r="AH91" s="9"/>
    </row>
    <row r="92" spans="1:34" x14ac:dyDescent="0.35">
      <c r="A92" s="6" t="s">
        <v>42</v>
      </c>
      <c r="B92" s="10">
        <f>SUM(B81:B85)</f>
        <v>495160.07062670001</v>
      </c>
      <c r="C92" s="10">
        <f>SUM(C81:C85)</f>
        <v>961.43869999999993</v>
      </c>
      <c r="AA92" s="12"/>
      <c r="AB92" s="9"/>
      <c r="AC92" s="9"/>
      <c r="AD92" s="9"/>
      <c r="AE92" s="9"/>
      <c r="AF92" s="9"/>
      <c r="AG92" s="9"/>
      <c r="AH92" s="9"/>
    </row>
    <row r="93" spans="1:34" x14ac:dyDescent="0.35">
      <c r="A93" s="6" t="s">
        <v>109</v>
      </c>
      <c r="B93" s="10">
        <f>SUM(B86:B90)</f>
        <v>1240520.8679726999</v>
      </c>
      <c r="C93" s="10">
        <f>SUM(C86:C90)</f>
        <v>1545.1737000000001</v>
      </c>
      <c r="AA93" s="12"/>
      <c r="AB93" s="9"/>
      <c r="AC93" s="9"/>
      <c r="AD93" s="9"/>
      <c r="AE93" s="9"/>
      <c r="AF93" s="9"/>
      <c r="AG93" s="9"/>
      <c r="AH93" s="9"/>
    </row>
    <row r="94" spans="1:34" x14ac:dyDescent="0.35">
      <c r="A94" s="7" t="s">
        <v>43</v>
      </c>
      <c r="B94" s="11">
        <f>SUM(B91:B93)</f>
        <v>4465372.0185009995</v>
      </c>
      <c r="C94" s="11">
        <f>SUM(C91:C93)</f>
        <v>11756.838400000001</v>
      </c>
      <c r="AA94" s="12"/>
      <c r="AB94" s="9"/>
      <c r="AC94" s="9"/>
      <c r="AD94" s="9"/>
      <c r="AE94" s="9"/>
      <c r="AF94" s="9"/>
      <c r="AG94" s="9"/>
      <c r="AH94" s="9"/>
    </row>
    <row r="95" spans="1:34" x14ac:dyDescent="0.35">
      <c r="A95" s="6" t="s">
        <v>44</v>
      </c>
      <c r="B95" s="10">
        <f>B76+B81+B86</f>
        <v>291735.62080800004</v>
      </c>
      <c r="C95" s="10">
        <f t="shared" ref="C95:C99" si="29">C76+C81+C86</f>
        <v>2352.5679</v>
      </c>
      <c r="AA95" s="12"/>
      <c r="AB95" s="9"/>
      <c r="AC95" s="9"/>
      <c r="AD95" s="9"/>
      <c r="AE95" s="9"/>
      <c r="AF95" s="9"/>
      <c r="AG95" s="9"/>
      <c r="AH95" s="9"/>
    </row>
    <row r="96" spans="1:34" x14ac:dyDescent="0.35">
      <c r="A96" s="6" t="s">
        <v>45</v>
      </c>
      <c r="B96" s="10">
        <f t="shared" ref="B96" si="30">B77+B82+B87</f>
        <v>463395.40620419983</v>
      </c>
      <c r="C96" s="10">
        <f t="shared" si="29"/>
        <v>2349.1370000000002</v>
      </c>
      <c r="AA96" s="9"/>
      <c r="AB96" s="9"/>
      <c r="AC96" s="9"/>
      <c r="AD96" s="9"/>
      <c r="AE96" s="9"/>
      <c r="AF96" s="9"/>
      <c r="AG96" s="9"/>
      <c r="AH96" s="9"/>
    </row>
    <row r="97" spans="1:34" x14ac:dyDescent="0.35">
      <c r="A97" s="6" t="s">
        <v>46</v>
      </c>
      <c r="B97" s="10">
        <f t="shared" ref="B97" si="31">B78+B83+B88</f>
        <v>628945.00497290015</v>
      </c>
      <c r="C97" s="10">
        <f t="shared" si="29"/>
        <v>2346.5074</v>
      </c>
      <c r="AA97" s="9"/>
      <c r="AB97" s="9"/>
      <c r="AC97" s="9"/>
      <c r="AD97" s="9"/>
      <c r="AE97" s="9"/>
      <c r="AF97" s="9"/>
      <c r="AG97" s="9"/>
      <c r="AH97" s="9"/>
    </row>
    <row r="98" spans="1:34" x14ac:dyDescent="0.35">
      <c r="A98" s="6" t="s">
        <v>47</v>
      </c>
      <c r="B98" s="10">
        <f t="shared" ref="B98" si="32">B79+B84+B89</f>
        <v>892259.63637079974</v>
      </c>
      <c r="C98" s="10">
        <f t="shared" si="29"/>
        <v>2350.7981</v>
      </c>
      <c r="AA98" s="9"/>
      <c r="AB98" s="9"/>
      <c r="AC98" s="9"/>
      <c r="AD98" s="9"/>
      <c r="AE98" s="9"/>
      <c r="AF98" s="9"/>
      <c r="AG98" s="9"/>
      <c r="AH98" s="9"/>
    </row>
    <row r="99" spans="1:34" x14ac:dyDescent="0.35">
      <c r="A99" s="6" t="s">
        <v>48</v>
      </c>
      <c r="B99" s="10">
        <f t="shared" ref="B99" si="33">B80+B85+B90</f>
        <v>2189036.3501451002</v>
      </c>
      <c r="C99" s="10">
        <f t="shared" si="29"/>
        <v>2357.8280000000004</v>
      </c>
      <c r="AA99" s="9"/>
      <c r="AB99" s="9"/>
      <c r="AC99" s="9"/>
      <c r="AD99" s="9"/>
      <c r="AE99" s="9"/>
      <c r="AF99" s="9"/>
      <c r="AG99" s="9"/>
      <c r="AH9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3"/>
  <sheetViews>
    <sheetView showZeros="0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44" sqref="P44"/>
    </sheetView>
  </sheetViews>
  <sheetFormatPr defaultColWidth="0" defaultRowHeight="14.5" zeroHeight="1" x14ac:dyDescent="0.35"/>
  <cols>
    <col min="1" max="1" width="18.54296875" customWidth="1"/>
    <col min="2" max="37" width="8.7265625" customWidth="1"/>
    <col min="38" max="16384" width="8.7265625" hidden="1"/>
  </cols>
  <sheetData>
    <row r="1" spans="1:37" ht="18.5" x14ac:dyDescent="0.45">
      <c r="A1" s="53" t="s">
        <v>115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 x14ac:dyDescent="0.35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 x14ac:dyDescent="0.35">
      <c r="A5" s="15" t="s">
        <v>79</v>
      </c>
      <c r="B5" s="13"/>
      <c r="C5" s="15" t="s">
        <v>66</v>
      </c>
      <c r="D5" s="13"/>
      <c r="E5" s="13"/>
      <c r="F5" s="13"/>
      <c r="G5" s="13"/>
      <c r="H5" s="15" t="s">
        <v>74</v>
      </c>
      <c r="I5" s="13"/>
      <c r="J5" s="13"/>
      <c r="K5" s="13"/>
      <c r="L5" s="15" t="s">
        <v>75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x14ac:dyDescent="0.35">
      <c r="A6" s="13"/>
      <c r="B6" s="13"/>
      <c r="C6" s="15" t="s">
        <v>43</v>
      </c>
      <c r="D6" s="13" t="s">
        <v>67</v>
      </c>
      <c r="E6" s="13" t="s">
        <v>70</v>
      </c>
      <c r="F6" s="13" t="s">
        <v>68</v>
      </c>
      <c r="G6" s="13" t="s">
        <v>69</v>
      </c>
      <c r="H6" s="16" t="s">
        <v>43</v>
      </c>
      <c r="I6" s="17" t="s">
        <v>71</v>
      </c>
      <c r="J6" s="17" t="s">
        <v>73</v>
      </c>
      <c r="K6" s="17" t="s">
        <v>72</v>
      </c>
      <c r="L6" s="16" t="s">
        <v>76</v>
      </c>
      <c r="M6" s="16" t="s">
        <v>77</v>
      </c>
      <c r="N6" s="16" t="s">
        <v>78</v>
      </c>
      <c r="O6" s="17" t="s">
        <v>43</v>
      </c>
      <c r="P6" s="17"/>
      <c r="Q6" s="17"/>
      <c r="R6" s="17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37" x14ac:dyDescent="0.35">
      <c r="A7" s="18" t="s">
        <v>56</v>
      </c>
      <c r="B7" s="17" t="s">
        <v>11</v>
      </c>
      <c r="C7" s="19">
        <f t="shared" ref="C7:C30" si="0">SUM(D7:G7)</f>
        <v>56.425399481061596</v>
      </c>
      <c r="D7" s="20">
        <f>SUM(Data!B6,Data!F6,Data!J6)/Data!$T6*100</f>
        <v>31.506811687524401</v>
      </c>
      <c r="E7" s="20">
        <f>SUM(Data!C6,Data!G6,Data!K6)/Data!$T6*100</f>
        <v>23.872147169756573</v>
      </c>
      <c r="F7" s="20">
        <f>SUM(Data!D6,Data!H6,Data!L6)/Data!$T6*100</f>
        <v>0.83040644671161767</v>
      </c>
      <c r="G7" s="20">
        <f>SUM(Data!E6,Data!I6,Data!M6)/Data!$T6*100</f>
        <v>0.21603417706899547</v>
      </c>
      <c r="H7" s="19">
        <f t="shared" ref="H7:H30" si="1">SUM(I7:K7)</f>
        <v>33.582089846777038</v>
      </c>
      <c r="I7" s="20">
        <f>Data!N6/Data!$T6*100</f>
        <v>20.704339075734779</v>
      </c>
      <c r="J7" s="20">
        <f>Data!O6/Data!$T6*100</f>
        <v>10.393876721997223</v>
      </c>
      <c r="K7" s="20">
        <f>Data!P6/Data!$T6*100</f>
        <v>2.4838740490450375</v>
      </c>
      <c r="L7" s="19">
        <f>Data!Q6/Data!$T6*100</f>
        <v>0.92525829544881888</v>
      </c>
      <c r="M7" s="19">
        <f>Data!R6/Data!$T6*100</f>
        <v>8.3899895967359797</v>
      </c>
      <c r="N7" s="19">
        <f>Data!S6/Data!$T6*100</f>
        <v>0.67726277997658935</v>
      </c>
      <c r="O7" s="20">
        <f t="shared" ref="O7:O30" si="2">C7+H7+L7+M7+N7</f>
        <v>100.00000000000003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spans="1:37" x14ac:dyDescent="0.35">
      <c r="A8" s="18" t="s">
        <v>57</v>
      </c>
      <c r="B8" s="17" t="s">
        <v>12</v>
      </c>
      <c r="C8" s="19">
        <f t="shared" si="0"/>
        <v>56.709984224104566</v>
      </c>
      <c r="D8" s="20">
        <f>SUM(Data!B7,Data!F7,Data!J7)/Data!$T7*100</f>
        <v>27.641485376250419</v>
      </c>
      <c r="E8" s="20">
        <f>SUM(Data!C7,Data!G7,Data!K7)/Data!$T7*100</f>
        <v>26.651771255285304</v>
      </c>
      <c r="F8" s="20">
        <f>SUM(Data!D7,Data!H7,Data!L7)/Data!$T7*100</f>
        <v>2.0492873072503972</v>
      </c>
      <c r="G8" s="20">
        <f>SUM(Data!E7,Data!I7,Data!M7)/Data!$T7*100</f>
        <v>0.36744028531844242</v>
      </c>
      <c r="H8" s="19">
        <f t="shared" si="1"/>
        <v>31.931126723951365</v>
      </c>
      <c r="I8" s="20">
        <f>Data!N7/Data!$T7*100</f>
        <v>19.695431880228774</v>
      </c>
      <c r="J8" s="20">
        <f>Data!O7/Data!$T7*100</f>
        <v>9.8873907638767182</v>
      </c>
      <c r="K8" s="20">
        <f>Data!P7/Data!$T7*100</f>
        <v>2.3483040798458763</v>
      </c>
      <c r="L8" s="19">
        <f>Data!Q7/Data!$T7*100</f>
        <v>3.1464182623101973</v>
      </c>
      <c r="M8" s="19">
        <f>Data!R7/Data!$T7*100</f>
        <v>7.3239445440137052</v>
      </c>
      <c r="N8" s="19">
        <f>Data!S7/Data!$T7*100</f>
        <v>0.88852624562017579</v>
      </c>
      <c r="O8" s="20">
        <f t="shared" si="2"/>
        <v>100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x14ac:dyDescent="0.35">
      <c r="A9" s="18" t="s">
        <v>58</v>
      </c>
      <c r="B9" s="17" t="s">
        <v>13</v>
      </c>
      <c r="C9" s="19">
        <f t="shared" si="0"/>
        <v>54.229146264170325</v>
      </c>
      <c r="D9" s="20">
        <f>SUM(Data!B8,Data!F8,Data!J8)/Data!$T8*100</f>
        <v>24.496561492864949</v>
      </c>
      <c r="E9" s="20">
        <f>SUM(Data!C8,Data!G8,Data!K8)/Data!$T8*100</f>
        <v>26.154069178125987</v>
      </c>
      <c r="F9" s="20">
        <f>SUM(Data!D8,Data!H8,Data!L8)/Data!$T8*100</f>
        <v>2.6181659012683989</v>
      </c>
      <c r="G9" s="20">
        <f>SUM(Data!E8,Data!I8,Data!M8)/Data!$T8*100</f>
        <v>0.96034969191099095</v>
      </c>
      <c r="H9" s="19">
        <f t="shared" si="1"/>
        <v>35.883444584731151</v>
      </c>
      <c r="I9" s="20">
        <f>Data!N8/Data!$T8*100</f>
        <v>21.849689825082812</v>
      </c>
      <c r="J9" s="20">
        <f>Data!O8/Data!$T8*100</f>
        <v>10.968859311329075</v>
      </c>
      <c r="K9" s="20">
        <f>Data!P8/Data!$T8*100</f>
        <v>3.064895448319263</v>
      </c>
      <c r="L9" s="19">
        <f>Data!Q8/Data!$T8*100</f>
        <v>4.2670469484605418</v>
      </c>
      <c r="M9" s="19">
        <f>Data!R8/Data!$T8*100</f>
        <v>4.3484426342862443</v>
      </c>
      <c r="N9" s="19">
        <f>Data!S8/Data!$T8*100</f>
        <v>1.2719195683517401</v>
      </c>
      <c r="O9" s="20">
        <f t="shared" si="2"/>
        <v>100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1:37" x14ac:dyDescent="0.35">
      <c r="A10" s="18" t="s">
        <v>59</v>
      </c>
      <c r="B10" s="17" t="s">
        <v>14</v>
      </c>
      <c r="C10" s="19">
        <f t="shared" si="0"/>
        <v>55.849792246241115</v>
      </c>
      <c r="D10" s="20">
        <f>SUM(Data!B9,Data!F9,Data!J9)/Data!$T9*100</f>
        <v>22.084965476966577</v>
      </c>
      <c r="E10" s="20">
        <f>SUM(Data!C9,Data!G9,Data!K9)/Data!$T9*100</f>
        <v>24.145445922523574</v>
      </c>
      <c r="F10" s="20">
        <f>SUM(Data!D9,Data!H9,Data!L9)/Data!$T9*100</f>
        <v>3.4298534873704454</v>
      </c>
      <c r="G10" s="20">
        <f>SUM(Data!E9,Data!I9,Data!M9)/Data!$T9*100</f>
        <v>6.1895273593805209</v>
      </c>
      <c r="H10" s="19">
        <f t="shared" si="1"/>
        <v>28.418382671616804</v>
      </c>
      <c r="I10" s="20">
        <f>Data!N9/Data!$T9*100</f>
        <v>17.165121134183401</v>
      </c>
      <c r="J10" s="20">
        <f>Data!O9/Data!$T9*100</f>
        <v>8.6171382884638046</v>
      </c>
      <c r="K10" s="20">
        <f>Data!P9/Data!$T9*100</f>
        <v>2.6361232489695978</v>
      </c>
      <c r="L10" s="19">
        <f>Data!Q9/Data!$T9*100</f>
        <v>11.21317406475441</v>
      </c>
      <c r="M10" s="19">
        <f>Data!R9/Data!$T9*100</f>
        <v>3.1447641368280812</v>
      </c>
      <c r="N10" s="19">
        <f>Data!S9/Data!$T9*100</f>
        <v>1.3738868805595632</v>
      </c>
      <c r="O10" s="20">
        <f t="shared" si="2"/>
        <v>99.999999999999986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x14ac:dyDescent="0.35">
      <c r="A11" s="21" t="s">
        <v>60</v>
      </c>
      <c r="B11" s="22" t="s">
        <v>15</v>
      </c>
      <c r="C11" s="23">
        <f t="shared" si="0"/>
        <v>51.029242489778525</v>
      </c>
      <c r="D11" s="24">
        <f>SUM(Data!B10,Data!F10,Data!J10)/Data!$T10*100</f>
        <v>13.316828044392112</v>
      </c>
      <c r="E11" s="24">
        <f>SUM(Data!C10,Data!G10,Data!K10)/Data!$T10*100</f>
        <v>17.871540409852589</v>
      </c>
      <c r="F11" s="24">
        <f>SUM(Data!D10,Data!H10,Data!L10)/Data!$T10*100</f>
        <v>8.1915481805886987</v>
      </c>
      <c r="G11" s="24">
        <f>SUM(Data!E10,Data!I10,Data!M10)/Data!$T10*100</f>
        <v>11.649325854945127</v>
      </c>
      <c r="H11" s="23">
        <f t="shared" si="1"/>
        <v>19.364012789990415</v>
      </c>
      <c r="I11" s="24">
        <f>Data!N10/Data!$T10*100</f>
        <v>11.567995321208278</v>
      </c>
      <c r="J11" s="24">
        <f>Data!O10/Data!$T10*100</f>
        <v>5.8073004334726601</v>
      </c>
      <c r="K11" s="24">
        <f>Data!P10/Data!$T10*100</f>
        <v>1.9887170353094765</v>
      </c>
      <c r="L11" s="23">
        <f>Data!Q10/Data!$T10*100</f>
        <v>24.588158982753516</v>
      </c>
      <c r="M11" s="23">
        <f>Data!R10/Data!$T10*100</f>
        <v>2.8088274947669913</v>
      </c>
      <c r="N11" s="23">
        <f>Data!S10/Data!$T10*100</f>
        <v>2.2097582427105493</v>
      </c>
      <c r="O11" s="24">
        <f t="shared" si="2"/>
        <v>99.999999999999986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35">
      <c r="A12" s="18" t="s">
        <v>61</v>
      </c>
      <c r="B12" s="17" t="s">
        <v>16</v>
      </c>
      <c r="C12" s="19">
        <f t="shared" si="0"/>
        <v>71.858075074784992</v>
      </c>
      <c r="D12" s="20">
        <f>SUM(Data!B11,Data!F11,Data!J11)/Data!$T11*100</f>
        <v>34.680389509397386</v>
      </c>
      <c r="E12" s="20">
        <f>SUM(Data!C11,Data!G11,Data!K11)/Data!$T11*100</f>
        <v>26.832880817853884</v>
      </c>
      <c r="F12" s="20">
        <f>SUM(Data!D11,Data!H11,Data!L11)/Data!$T11*100</f>
        <v>3.066714273539453</v>
      </c>
      <c r="G12" s="20">
        <f>SUM(Data!E11,Data!I11,Data!M11)/Data!$T11*100</f>
        <v>7.2780904739942702</v>
      </c>
      <c r="H12" s="19">
        <f t="shared" si="1"/>
        <v>15.309833011786491</v>
      </c>
      <c r="I12" s="20">
        <f>Data!N11/Data!$T11*100</f>
        <v>9.4738047328723027</v>
      </c>
      <c r="J12" s="20">
        <f>Data!O11/Data!$T11*100</f>
        <v>4.7559865650168769</v>
      </c>
      <c r="K12" s="20">
        <f>Data!P11/Data!$T11*100</f>
        <v>1.080041713897312</v>
      </c>
      <c r="L12" s="19">
        <f>Data!Q11/Data!$T11*100</f>
        <v>1.9771613707533306</v>
      </c>
      <c r="M12" s="19">
        <f>Data!R11/Data!$T11*100</f>
        <v>10.380223585890198</v>
      </c>
      <c r="N12" s="19">
        <f>Data!S11/Data!$T11*100</f>
        <v>0.47470695678498198</v>
      </c>
      <c r="O12" s="20">
        <f t="shared" si="2"/>
        <v>100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x14ac:dyDescent="0.35">
      <c r="A13" s="18" t="s">
        <v>62</v>
      </c>
      <c r="B13" s="17" t="s">
        <v>17</v>
      </c>
      <c r="C13" s="19">
        <f t="shared" si="0"/>
        <v>75.380978434834887</v>
      </c>
      <c r="D13" s="20">
        <f>SUM(Data!B12,Data!F12,Data!J12)/Data!$T12*100</f>
        <v>30.555110325922964</v>
      </c>
      <c r="E13" s="20">
        <f>SUM(Data!C12,Data!G12,Data!K12)/Data!$T12*100</f>
        <v>28.170591209397156</v>
      </c>
      <c r="F13" s="20">
        <f>SUM(Data!D12,Data!H12,Data!L12)/Data!$T12*100</f>
        <v>4.9374518556931664</v>
      </c>
      <c r="G13" s="20">
        <f>SUM(Data!E12,Data!I12,Data!M12)/Data!$T12*100</f>
        <v>11.717825043821598</v>
      </c>
      <c r="H13" s="19">
        <f t="shared" si="1"/>
        <v>13.217685394969655</v>
      </c>
      <c r="I13" s="20">
        <f>Data!N12/Data!$T12*100</f>
        <v>7.7213654792003528</v>
      </c>
      <c r="J13" s="20">
        <f>Data!O12/Data!$T12*100</f>
        <v>3.8762367937816102</v>
      </c>
      <c r="K13" s="20">
        <f>Data!P12/Data!$T12*100</f>
        <v>1.6200831219876917</v>
      </c>
      <c r="L13" s="19">
        <f>Data!Q12/Data!$T12*100</f>
        <v>7.7251746877121166</v>
      </c>
      <c r="M13" s="19">
        <f>Data!R12/Data!$T12*100</f>
        <v>3.0819816041294255</v>
      </c>
      <c r="N13" s="19">
        <f>Data!S12/Data!$T12*100</f>
        <v>0.59417987835392938</v>
      </c>
      <c r="O13" s="20">
        <f t="shared" si="2"/>
        <v>100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x14ac:dyDescent="0.35">
      <c r="A14" s="18" t="s">
        <v>63</v>
      </c>
      <c r="B14" s="17" t="s">
        <v>18</v>
      </c>
      <c r="C14" s="19">
        <f t="shared" si="0"/>
        <v>73.812961442953963</v>
      </c>
      <c r="D14" s="20">
        <f>SUM(Data!B13,Data!F13,Data!J13)/Data!$T13*100</f>
        <v>28.939562159493505</v>
      </c>
      <c r="E14" s="20">
        <f>SUM(Data!C13,Data!G13,Data!K13)/Data!$T13*100</f>
        <v>28.241833784227104</v>
      </c>
      <c r="F14" s="20">
        <f>SUM(Data!D13,Data!H13,Data!L13)/Data!$T13*100</f>
        <v>4.9304226181712174</v>
      </c>
      <c r="G14" s="20">
        <f>SUM(Data!E13,Data!I13,Data!M13)/Data!$T13*100</f>
        <v>11.70114288106214</v>
      </c>
      <c r="H14" s="19">
        <f t="shared" si="1"/>
        <v>10.382290318634904</v>
      </c>
      <c r="I14" s="20">
        <f>Data!N13/Data!$T13*100</f>
        <v>5.9925353089139879</v>
      </c>
      <c r="J14" s="20">
        <f>Data!O13/Data!$T13*100</f>
        <v>3.0083391227912006</v>
      </c>
      <c r="K14" s="20">
        <f>Data!P13/Data!$T13*100</f>
        <v>1.3814158869297155</v>
      </c>
      <c r="L14" s="19">
        <f>Data!Q13/Data!$T13*100</f>
        <v>11.633701835689921</v>
      </c>
      <c r="M14" s="19">
        <f>Data!R13/Data!$T13*100</f>
        <v>4.1657457931525066</v>
      </c>
      <c r="N14" s="19">
        <f>Data!S13/Data!$T13*100</f>
        <v>5.300609568692053E-3</v>
      </c>
      <c r="O14" s="20">
        <f t="shared" si="2"/>
        <v>99.999999999999986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x14ac:dyDescent="0.35">
      <c r="A15" s="18" t="s">
        <v>64</v>
      </c>
      <c r="B15" s="17" t="s">
        <v>19</v>
      </c>
      <c r="C15" s="19">
        <f t="shared" si="0"/>
        <v>63.442240688778789</v>
      </c>
      <c r="D15" s="20">
        <f>SUM(Data!B14,Data!F14,Data!J14)/Data!$T14*100</f>
        <v>15.739334298664412</v>
      </c>
      <c r="E15" s="20">
        <f>SUM(Data!C14,Data!G14,Data!K14)/Data!$T14*100</f>
        <v>18.647189489804269</v>
      </c>
      <c r="F15" s="20">
        <f>SUM(Data!D14,Data!H14,Data!L14)/Data!$T14*100</f>
        <v>8.909316789930207</v>
      </c>
      <c r="G15" s="20">
        <f>SUM(Data!E14,Data!I14,Data!M14)/Data!$T14*100</f>
        <v>20.146400110379901</v>
      </c>
      <c r="H15" s="19">
        <f t="shared" si="1"/>
        <v>6.4084250739117206</v>
      </c>
      <c r="I15" s="20">
        <f>Data!N14/Data!$T14*100</f>
        <v>3.599405985504605</v>
      </c>
      <c r="J15" s="20">
        <f>Data!O14/Data!$T14*100</f>
        <v>1.8069536993624644</v>
      </c>
      <c r="K15" s="20">
        <f>Data!P14/Data!$T14*100</f>
        <v>1.0020653890446511</v>
      </c>
      <c r="L15" s="19">
        <f>Data!Q14/Data!$T14*100</f>
        <v>25.932671185045219</v>
      </c>
      <c r="M15" s="19">
        <f>Data!R14/Data!$T14*100</f>
        <v>2.9011995865165474</v>
      </c>
      <c r="N15" s="19">
        <f>Data!S14/Data!$T14*100</f>
        <v>1.31546346574772</v>
      </c>
      <c r="O15" s="20">
        <f t="shared" si="2"/>
        <v>100.00000000000001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x14ac:dyDescent="0.35">
      <c r="A16" s="21" t="s">
        <v>65</v>
      </c>
      <c r="B16" s="22" t="s">
        <v>20</v>
      </c>
      <c r="C16" s="23">
        <f t="shared" si="0"/>
        <v>49.604324261988744</v>
      </c>
      <c r="D16" s="24">
        <f>SUM(Data!B15,Data!F15,Data!J15)/Data!$T15*100</f>
        <v>2.8729314152485008</v>
      </c>
      <c r="E16" s="24">
        <f>SUM(Data!C15,Data!G15,Data!K15)/Data!$T15*100</f>
        <v>6.7369309952600833</v>
      </c>
      <c r="F16" s="24">
        <f>SUM(Data!D15,Data!H15,Data!L15)/Data!$T15*100</f>
        <v>6.9418483635939925</v>
      </c>
      <c r="G16" s="24">
        <f>SUM(Data!E15,Data!I15,Data!M15)/Data!$T15*100</f>
        <v>33.05261348788617</v>
      </c>
      <c r="H16" s="23">
        <f t="shared" si="1"/>
        <v>1.2686459685303146</v>
      </c>
      <c r="I16" s="24">
        <f>Data!N15/Data!$T15*100</f>
        <v>0.67173984171816337</v>
      </c>
      <c r="J16" s="24">
        <f>Data!O15/Data!$T15*100</f>
        <v>0.33722308538963758</v>
      </c>
      <c r="K16" s="24">
        <f>Data!P15/Data!$T15*100</f>
        <v>0.25968304142251375</v>
      </c>
      <c r="L16" s="23">
        <f>Data!Q15/Data!$T15*100</f>
        <v>44.6365152443394</v>
      </c>
      <c r="M16" s="23">
        <f>Data!R15/Data!$T15*100</f>
        <v>3.2254671057910125</v>
      </c>
      <c r="N16" s="23">
        <f>Data!S15/Data!$T15*100</f>
        <v>1.2650474193505203</v>
      </c>
      <c r="O16" s="24">
        <f t="shared" si="2"/>
        <v>99.999999999999986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1:37" x14ac:dyDescent="0.35">
      <c r="A17" s="18" t="s">
        <v>110</v>
      </c>
      <c r="B17" s="17" t="s">
        <v>97</v>
      </c>
      <c r="C17" s="19">
        <f t="shared" si="0"/>
        <v>81.906364046030191</v>
      </c>
      <c r="D17" s="20">
        <f>SUM(Data!B16,Data!F16,Data!J16)/Data!$T16*100</f>
        <v>38.779384937714887</v>
      </c>
      <c r="E17" s="20">
        <f>SUM(Data!C16,Data!G16,Data!K16)/Data!$T16*100</f>
        <v>16.307780424636963</v>
      </c>
      <c r="F17" s="20">
        <f>SUM(Data!D16,Data!H16,Data!L16)/Data!$T16*100</f>
        <v>7.2508096697677491</v>
      </c>
      <c r="G17" s="20">
        <f>SUM(Data!E16,Data!I16,Data!M16)/Data!$T16*100</f>
        <v>19.568389013910593</v>
      </c>
      <c r="H17" s="19">
        <f t="shared" si="1"/>
        <v>6.4134093770631457</v>
      </c>
      <c r="I17" s="20">
        <f>Data!N16/Data!$T16*100</f>
        <v>3.981306812586479</v>
      </c>
      <c r="J17" s="20">
        <f>Data!O16/Data!$T16*100</f>
        <v>1.9986734206343164</v>
      </c>
      <c r="K17" s="20">
        <f>Data!P16/Data!$T16*100</f>
        <v>0.43342914384235109</v>
      </c>
      <c r="L17" s="19">
        <f>Data!Q16/Data!$T16*100</f>
        <v>2.0870693924761334</v>
      </c>
      <c r="M17" s="19">
        <f>Data!R16/Data!$T16*100</f>
        <v>9.3307887181103268</v>
      </c>
      <c r="N17" s="19">
        <f>Data!S16/Data!$T16*100</f>
        <v>0.26236846632019278</v>
      </c>
      <c r="O17" s="20">
        <f t="shared" si="2"/>
        <v>100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x14ac:dyDescent="0.35">
      <c r="A18" s="18" t="s">
        <v>111</v>
      </c>
      <c r="B18" s="17" t="s">
        <v>98</v>
      </c>
      <c r="C18" s="19">
        <f t="shared" si="0"/>
        <v>76.331638488710396</v>
      </c>
      <c r="D18" s="20">
        <f>SUM(Data!B17,Data!F17,Data!J17)/Data!$T17*100</f>
        <v>30.192640644468611</v>
      </c>
      <c r="E18" s="20">
        <f>SUM(Data!C17,Data!G17,Data!K17)/Data!$T17*100</f>
        <v>16.663108226537577</v>
      </c>
      <c r="F18" s="20">
        <f>SUM(Data!D17,Data!H17,Data!L17)/Data!$T17*100</f>
        <v>7.9690697692293426</v>
      </c>
      <c r="G18" s="20">
        <f>SUM(Data!E17,Data!I17,Data!M17)/Data!$T17*100</f>
        <v>21.506819848474869</v>
      </c>
      <c r="H18" s="19">
        <f t="shared" si="1"/>
        <v>12.913179612584575</v>
      </c>
      <c r="I18" s="20">
        <f>Data!N17/Data!$T17*100</f>
        <v>7.2814674894104465</v>
      </c>
      <c r="J18" s="20">
        <f>Data!O17/Data!$T17*100</f>
        <v>3.6554016606529562</v>
      </c>
      <c r="K18" s="20">
        <f>Data!P17/Data!$T17*100</f>
        <v>1.9763104625211723</v>
      </c>
      <c r="L18" s="19">
        <f>Data!Q17/Data!$T17*100</f>
        <v>2.6859972146501065</v>
      </c>
      <c r="M18" s="19">
        <f>Data!R17/Data!$T17*100</f>
        <v>7.1352390296241035</v>
      </c>
      <c r="N18" s="19">
        <f>Data!S17/Data!$T17*100</f>
        <v>0.93394565443081046</v>
      </c>
      <c r="O18" s="20">
        <f t="shared" si="2"/>
        <v>99.999999999999986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x14ac:dyDescent="0.35">
      <c r="A19" s="18" t="s">
        <v>112</v>
      </c>
      <c r="B19" s="17" t="s">
        <v>99</v>
      </c>
      <c r="C19" s="19">
        <f t="shared" si="0"/>
        <v>78.062818370200688</v>
      </c>
      <c r="D19" s="20">
        <f>SUM(Data!B18,Data!F18,Data!J18)/Data!$T18*100</f>
        <v>21.715193658958292</v>
      </c>
      <c r="E19" s="20">
        <f>SUM(Data!C18,Data!G18,Data!K18)/Data!$T18*100</f>
        <v>13.384638578869712</v>
      </c>
      <c r="F19" s="20">
        <f>SUM(Data!D18,Data!H18,Data!L18)/Data!$T18*100</f>
        <v>11.615426656288898</v>
      </c>
      <c r="G19" s="20">
        <f>SUM(Data!E18,Data!I18,Data!M18)/Data!$T18*100</f>
        <v>31.347559476083791</v>
      </c>
      <c r="H19" s="19">
        <f t="shared" si="1"/>
        <v>7.0122456034140273</v>
      </c>
      <c r="I19" s="20">
        <f>Data!N18/Data!$T18*100</f>
        <v>4.3573841325517622</v>
      </c>
      <c r="J19" s="20">
        <f>Data!O18/Data!$T18*100</f>
        <v>2.1874696573728967</v>
      </c>
      <c r="K19" s="20">
        <f>Data!P18/Data!$T18*100</f>
        <v>0.46739181348936804</v>
      </c>
      <c r="L19" s="19">
        <f>Data!Q18/Data!$T18*100</f>
        <v>11.350559911436173</v>
      </c>
      <c r="M19" s="19">
        <f>Data!R18/Data!$T18*100</f>
        <v>3.2218670874878295</v>
      </c>
      <c r="N19" s="19">
        <f>Data!S18/Data!$T18*100</f>
        <v>0.35250902746126295</v>
      </c>
      <c r="O19" s="20">
        <f t="shared" si="2"/>
        <v>99.999999999999986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x14ac:dyDescent="0.35">
      <c r="A20" s="18" t="s">
        <v>113</v>
      </c>
      <c r="B20" s="17" t="s">
        <v>100</v>
      </c>
      <c r="C20" s="19">
        <f t="shared" si="0"/>
        <v>73.548765510600575</v>
      </c>
      <c r="D20" s="20">
        <f>SUM(Data!B19,Data!F19,Data!J19)/Data!$T19*100</f>
        <v>15.70661707867203</v>
      </c>
      <c r="E20" s="20">
        <f>SUM(Data!C19,Data!G19,Data!K19)/Data!$T19*100</f>
        <v>14.656938061631763</v>
      </c>
      <c r="F20" s="20">
        <f>SUM(Data!D19,Data!H19,Data!L19)/Data!$T19*100</f>
        <v>8.5546096590855942</v>
      </c>
      <c r="G20" s="20">
        <f>SUM(Data!E19,Data!I19,Data!M19)/Data!$T19*100</f>
        <v>34.630600711211187</v>
      </c>
      <c r="H20" s="19">
        <f t="shared" si="1"/>
        <v>5.2455434153697675</v>
      </c>
      <c r="I20" s="20">
        <f>Data!N19/Data!$T19*100</f>
        <v>2.3969462313166261</v>
      </c>
      <c r="J20" s="20">
        <f>Data!O19/Data!$T19*100</f>
        <v>1.2033015662286575</v>
      </c>
      <c r="K20" s="20">
        <f>Data!P19/Data!$T19*100</f>
        <v>1.6452956178244837</v>
      </c>
      <c r="L20" s="19">
        <f>Data!Q19/Data!$T19*100</f>
        <v>17.59489630619661</v>
      </c>
      <c r="M20" s="19">
        <f>Data!R19/Data!$T19*100</f>
        <v>3.2179085121811788</v>
      </c>
      <c r="N20" s="19">
        <f>Data!S19/Data!$T19*100</f>
        <v>0.39288625565185492</v>
      </c>
      <c r="O20" s="20">
        <f t="shared" si="2"/>
        <v>99.999999999999986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1:37" x14ac:dyDescent="0.35">
      <c r="A21" s="21" t="s">
        <v>114</v>
      </c>
      <c r="B21" s="22" t="s">
        <v>101</v>
      </c>
      <c r="C21" s="23">
        <f t="shared" si="0"/>
        <v>58.047178433691094</v>
      </c>
      <c r="D21" s="24">
        <f>SUM(Data!B20,Data!F20,Data!J20)/Data!$T20*100</f>
        <v>2.1295189193197785</v>
      </c>
      <c r="E21" s="24">
        <f>SUM(Data!C20,Data!G20,Data!K20)/Data!$T20*100</f>
        <v>3.8551491938037876</v>
      </c>
      <c r="F21" s="24">
        <f>SUM(Data!D20,Data!H20,Data!L20)/Data!$T20*100</f>
        <v>6.670128154899893</v>
      </c>
      <c r="G21" s="24">
        <f>SUM(Data!E20,Data!I20,Data!M20)/Data!$T20*100</f>
        <v>45.392382165667634</v>
      </c>
      <c r="H21" s="23">
        <f t="shared" si="1"/>
        <v>0.35335975784440954</v>
      </c>
      <c r="I21" s="24">
        <f>Data!N20/Data!$T20*100</f>
        <v>0.16842092089489485</v>
      </c>
      <c r="J21" s="24">
        <f>Data!O20/Data!$T20*100</f>
        <v>8.4549730507379545E-2</v>
      </c>
      <c r="K21" s="24">
        <f>Data!P20/Data!$T20*100</f>
        <v>0.1003891064421352</v>
      </c>
      <c r="L21" s="23">
        <f>Data!Q20/Data!$T20*100</f>
        <v>33.736282075524898</v>
      </c>
      <c r="M21" s="23">
        <f>Data!R20/Data!$T20*100</f>
        <v>3.1791220307968446</v>
      </c>
      <c r="N21" s="23">
        <f>Data!S20/Data!$T20*100</f>
        <v>4.6840577021427388</v>
      </c>
      <c r="O21" s="24">
        <f t="shared" si="2"/>
        <v>99.999999999999986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x14ac:dyDescent="0.35">
      <c r="A22" s="25" t="s">
        <v>41</v>
      </c>
      <c r="B22" s="13" t="s">
        <v>41</v>
      </c>
      <c r="C22" s="19">
        <f t="shared" si="0"/>
        <v>54.073982601274274</v>
      </c>
      <c r="D22" s="20">
        <f>SUM(Data!B21,Data!F21,Data!J21)/Data!$T21*100</f>
        <v>20.817177692616919</v>
      </c>
      <c r="E22" s="20">
        <f>SUM(Data!C21,Data!G21,Data!K21)/Data!$T21*100</f>
        <v>22.606921995361578</v>
      </c>
      <c r="F22" s="20">
        <f>SUM(Data!D21,Data!H21,Data!L21)/Data!$T21*100</f>
        <v>4.5833795652782223</v>
      </c>
      <c r="G22" s="20">
        <f>SUM(Data!E21,Data!I21,Data!M21)/Data!$T21*100</f>
        <v>6.066503348017557</v>
      </c>
      <c r="H22" s="19">
        <f t="shared" si="1"/>
        <v>27.313366058193797</v>
      </c>
      <c r="I22" s="20">
        <f>Data!N21/Data!$T21*100</f>
        <v>16.563310817389105</v>
      </c>
      <c r="J22" s="20">
        <f>Data!O21/Data!$T21*100</f>
        <v>8.3150208327988224</v>
      </c>
      <c r="K22" s="20">
        <f>Data!P21/Data!$T21*100</f>
        <v>2.435034408005869</v>
      </c>
      <c r="L22" s="19">
        <f>Data!Q21/Data!$T21*100</f>
        <v>12.954849221099863</v>
      </c>
      <c r="M22" s="19">
        <f>Data!R21/Data!$T21*100</f>
        <v>4.1225866740656025</v>
      </c>
      <c r="N22" s="19">
        <f>Data!S21/Data!$T21*100</f>
        <v>1.5352154453664537</v>
      </c>
      <c r="O22" s="20">
        <f t="shared" si="2"/>
        <v>99.999999999999986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1:37" x14ac:dyDescent="0.35">
      <c r="A23" s="25" t="s">
        <v>42</v>
      </c>
      <c r="B23" s="13" t="s">
        <v>42</v>
      </c>
      <c r="C23" s="19">
        <f t="shared" si="0"/>
        <v>52.989409775267418</v>
      </c>
      <c r="D23" s="20">
        <f>SUM(Data!B22,Data!F22,Data!J22)/Data!$T22*100</f>
        <v>6.4113336006745545</v>
      </c>
      <c r="E23" s="20">
        <f>SUM(Data!C22,Data!G22,Data!K22)/Data!$T22*100</f>
        <v>9.673966967338254</v>
      </c>
      <c r="F23" s="20">
        <f>SUM(Data!D22,Data!H22,Data!L22)/Data!$T22*100</f>
        <v>6.9611561202036043</v>
      </c>
      <c r="G23" s="20">
        <f>SUM(Data!E22,Data!I22,Data!M22)/Data!$T22*100</f>
        <v>29.942953087051009</v>
      </c>
      <c r="H23" s="19">
        <f t="shared" si="1"/>
        <v>2.6662533548159679</v>
      </c>
      <c r="I23" s="20">
        <f>Data!N22/Data!$T22*100</f>
        <v>1.4900822835663627</v>
      </c>
      <c r="J23" s="20">
        <f>Data!O22/Data!$T22*100</f>
        <v>0.74804278969582316</v>
      </c>
      <c r="K23" s="20">
        <f>Data!P22/Data!$T22*100</f>
        <v>0.42812828155378224</v>
      </c>
      <c r="L23" s="19">
        <f>Data!Q22/Data!$T22*100</f>
        <v>39.82818977242006</v>
      </c>
      <c r="M23" s="19">
        <f>Data!R22/Data!$T22*100</f>
        <v>3.3260330056111056</v>
      </c>
      <c r="N23" s="19">
        <f>Data!S22/Data!$T22*100</f>
        <v>1.1901140918854423</v>
      </c>
      <c r="O23" s="20">
        <f t="shared" si="2"/>
        <v>100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1:37" x14ac:dyDescent="0.35">
      <c r="A24" s="26" t="s">
        <v>109</v>
      </c>
      <c r="B24" s="27" t="s">
        <v>109</v>
      </c>
      <c r="C24" s="23">
        <f t="shared" si="0"/>
        <v>59.640198091981716</v>
      </c>
      <c r="D24" s="24">
        <f>SUM(Data!B23,Data!F23,Data!J23)/Data!$T23*100</f>
        <v>3.7659552866972374</v>
      </c>
      <c r="E24" s="24">
        <f>SUM(Data!C23,Data!G23,Data!K23)/Data!$T23*100</f>
        <v>4.83307781414495</v>
      </c>
      <c r="F24" s="24">
        <f>SUM(Data!D23,Data!H23,Data!L23)/Data!$T23*100</f>
        <v>6.9004891894746327</v>
      </c>
      <c r="G24" s="24">
        <f>SUM(Data!E23,Data!I23,Data!M23)/Data!$T23*100</f>
        <v>44.140675801664898</v>
      </c>
      <c r="H24" s="23">
        <f t="shared" si="1"/>
        <v>0.90183855231856425</v>
      </c>
      <c r="I24" s="24">
        <f>Data!N23/Data!$T23*100</f>
        <v>0.46247417985017492</v>
      </c>
      <c r="J24" s="24">
        <f>Data!O23/Data!$T23*100</f>
        <v>0.23216870603240436</v>
      </c>
      <c r="K24" s="24">
        <f>Data!P23/Data!$T23*100</f>
        <v>0.207195666435985</v>
      </c>
      <c r="L24" s="23">
        <f>Data!Q23/Data!$T23*100</f>
        <v>31.909993539334771</v>
      </c>
      <c r="M24" s="23">
        <f>Data!R23/Data!$T23*100</f>
        <v>3.252236323717189</v>
      </c>
      <c r="N24" s="23">
        <f>Data!S23/Data!$T23*100</f>
        <v>4.2957334926477477</v>
      </c>
      <c r="O24" s="24">
        <f t="shared" si="2"/>
        <v>99.999999999999986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x14ac:dyDescent="0.35">
      <c r="A25" s="28" t="s">
        <v>43</v>
      </c>
      <c r="B25" s="29" t="s">
        <v>43</v>
      </c>
      <c r="C25" s="30">
        <f t="shared" si="0"/>
        <v>56.014860054518195</v>
      </c>
      <c r="D25" s="31">
        <f>SUM(Data!B24,Data!F24,Data!J24)/Data!$T24*100</f>
        <v>12.334015314101906</v>
      </c>
      <c r="E25" s="31">
        <f>SUM(Data!C24,Data!G24,Data!K24)/Data!$T24*100</f>
        <v>14.062461882833691</v>
      </c>
      <c r="F25" s="31">
        <f>SUM(Data!D24,Data!H24,Data!L24)/Data!$T24*100</f>
        <v>5.7963055045563632</v>
      </c>
      <c r="G25" s="31">
        <f>SUM(Data!E24,Data!I24,Data!M24)/Data!$T24*100</f>
        <v>23.822077353026231</v>
      </c>
      <c r="H25" s="30">
        <f t="shared" si="1"/>
        <v>13.83939076768767</v>
      </c>
      <c r="I25" s="30">
        <f>Data!N24/Data!$T24*100</f>
        <v>8.3425158118073472</v>
      </c>
      <c r="J25" s="30">
        <f>Data!O24/Data!$T24*100</f>
        <v>4.1880632162203346</v>
      </c>
      <c r="K25" s="30">
        <f>Data!P24/Data!$T24*100</f>
        <v>1.3088117396599885</v>
      </c>
      <c r="L25" s="30">
        <f>Data!Q24/Data!$T24*100</f>
        <v>23.939563536170656</v>
      </c>
      <c r="M25" s="30">
        <f>Data!R24/Data!$T24*100</f>
        <v>3.6808135749835822</v>
      </c>
      <c r="N25" s="30">
        <f>Data!S24/Data!$T24*100</f>
        <v>2.525372066639898</v>
      </c>
      <c r="O25" s="30">
        <f t="shared" si="2"/>
        <v>100.00000000000001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1:37" x14ac:dyDescent="0.35">
      <c r="A26" s="25" t="s">
        <v>44</v>
      </c>
      <c r="B26" s="13" t="s">
        <v>44</v>
      </c>
      <c r="C26" s="19">
        <f t="shared" si="0"/>
        <v>58.945763533353357</v>
      </c>
      <c r="D26" s="20">
        <f>SUM(Data!B25,Data!F25,Data!J25)/Data!$T25*100</f>
        <v>32.162920088543885</v>
      </c>
      <c r="E26" s="20">
        <f>SUM(Data!C25,Data!G25,Data!K25)/Data!$T25*100</f>
        <v>23.511336605458098</v>
      </c>
      <c r="F26" s="20">
        <f>SUM(Data!D25,Data!H25,Data!L25)/Data!$T25*100</f>
        <v>1.3805934545310834</v>
      </c>
      <c r="G26" s="20">
        <f>SUM(Data!E25,Data!I25,Data!M25)/Data!$T25*100</f>
        <v>1.8909133848202961</v>
      </c>
      <c r="H26" s="19">
        <f t="shared" si="1"/>
        <v>30.801441874459719</v>
      </c>
      <c r="I26" s="20">
        <f>Data!N25/Data!$T25*100</f>
        <v>18.993626010954387</v>
      </c>
      <c r="J26" s="20">
        <f>Data!O25/Data!$T25*100</f>
        <v>9.5350740991752048</v>
      </c>
      <c r="K26" s="20">
        <f>Data!P25/Data!$T25*100</f>
        <v>2.2727417643301293</v>
      </c>
      <c r="L26" s="19">
        <f>Data!Q25/Data!$T25*100</f>
        <v>1.0580622320369866</v>
      </c>
      <c r="M26" s="19">
        <f>Data!R25/Data!$T25*100</f>
        <v>8.5560046472911147</v>
      </c>
      <c r="N26" s="19">
        <f>Data!S25/Data!$T25*100</f>
        <v>0.63872771285881735</v>
      </c>
      <c r="O26" s="20">
        <f t="shared" si="2"/>
        <v>100.00000000000001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x14ac:dyDescent="0.35">
      <c r="A27" s="25" t="s">
        <v>45</v>
      </c>
      <c r="B27" s="13" t="s">
        <v>45</v>
      </c>
      <c r="C27" s="19">
        <f t="shared" si="0"/>
        <v>58.424432271788838</v>
      </c>
      <c r="D27" s="20">
        <f>SUM(Data!B26,Data!F26,Data!J26)/Data!$T26*100</f>
        <v>27.888881136994069</v>
      </c>
      <c r="E27" s="20">
        <f>SUM(Data!C26,Data!G26,Data!K26)/Data!$T26*100</f>
        <v>26.334362813794222</v>
      </c>
      <c r="F27" s="20">
        <f>SUM(Data!D26,Data!H26,Data!L26)/Data!$T26*100</f>
        <v>2.4282496486134795</v>
      </c>
      <c r="G27" s="20">
        <f>SUM(Data!E26,Data!I26,Data!M26)/Data!$T26*100</f>
        <v>1.7729386723870679</v>
      </c>
      <c r="H27" s="19">
        <f t="shared" si="1"/>
        <v>30.23834875972851</v>
      </c>
      <c r="I27" s="20">
        <f>Data!N26/Data!$T26*100</f>
        <v>18.602619082033012</v>
      </c>
      <c r="J27" s="20">
        <f>Data!O26/Data!$T26*100</f>
        <v>9.3387829834921856</v>
      </c>
      <c r="K27" s="20">
        <f>Data!P26/Data!$T26*100</f>
        <v>2.2969466942033123</v>
      </c>
      <c r="L27" s="19">
        <f>Data!Q26/Data!$T26*100</f>
        <v>3.3589334143338827</v>
      </c>
      <c r="M27" s="19">
        <f>Data!R26/Data!$T26*100</f>
        <v>7.1027969503932642</v>
      </c>
      <c r="N27" s="19">
        <f>Data!S26/Data!$T26*100</f>
        <v>0.87548860375551207</v>
      </c>
      <c r="O27" s="20">
        <f t="shared" si="2"/>
        <v>100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x14ac:dyDescent="0.35">
      <c r="A28" s="25" t="s">
        <v>46</v>
      </c>
      <c r="B28" s="13" t="s">
        <v>46</v>
      </c>
      <c r="C28" s="19">
        <f t="shared" si="0"/>
        <v>57.788372126706598</v>
      </c>
      <c r="D28" s="20">
        <f>SUM(Data!B27,Data!F27,Data!J27)/Data!$T27*100</f>
        <v>24.522115627117483</v>
      </c>
      <c r="E28" s="20">
        <f>SUM(Data!C27,Data!G27,Data!K27)/Data!$T27*100</f>
        <v>25.071515368436508</v>
      </c>
      <c r="F28" s="20">
        <f>SUM(Data!D27,Data!H27,Data!L27)/Data!$T27*100</f>
        <v>3.6288447991343591</v>
      </c>
      <c r="G28" s="20">
        <f>SUM(Data!E27,Data!I27,Data!M27)/Data!$T27*100</f>
        <v>4.5658963320182497</v>
      </c>
      <c r="H28" s="19">
        <f t="shared" si="1"/>
        <v>31.455417701350456</v>
      </c>
      <c r="I28" s="20">
        <f>Data!N27/Data!$T27*100</f>
        <v>19.140214822900408</v>
      </c>
      <c r="J28" s="20">
        <f>Data!O27/Data!$T27*100</f>
        <v>9.6086637962245849</v>
      </c>
      <c r="K28" s="20">
        <f>Data!P27/Data!$T27*100</f>
        <v>2.7065390822254609</v>
      </c>
      <c r="L28" s="19">
        <f>Data!Q27/Data!$T27*100</f>
        <v>5.426194671430566</v>
      </c>
      <c r="M28" s="19">
        <f>Data!R27/Data!$T27*100</f>
        <v>4.2288927671411471</v>
      </c>
      <c r="N28" s="19">
        <f>Data!S27/Data!$T27*100</f>
        <v>1.1011227333712441</v>
      </c>
      <c r="O28" s="20">
        <f t="shared" si="2"/>
        <v>100.00000000000001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x14ac:dyDescent="0.35">
      <c r="A29" s="25" t="s">
        <v>47</v>
      </c>
      <c r="B29" s="13" t="s">
        <v>47</v>
      </c>
      <c r="C29" s="19">
        <f t="shared" si="0"/>
        <v>58.503515046675808</v>
      </c>
      <c r="D29" s="20">
        <f>SUM(Data!B28,Data!F28,Data!J28)/Data!$T28*100</f>
        <v>20.824490383613092</v>
      </c>
      <c r="E29" s="20">
        <f>SUM(Data!C28,Data!G28,Data!K28)/Data!$T28*100</f>
        <v>22.602458885967334</v>
      </c>
      <c r="F29" s="20">
        <f>SUM(Data!D28,Data!H28,Data!L28)/Data!$T28*100</f>
        <v>4.4746983770699256</v>
      </c>
      <c r="G29" s="20">
        <f>SUM(Data!E28,Data!I28,Data!M28)/Data!$T28*100</f>
        <v>10.601867400025453</v>
      </c>
      <c r="H29" s="19">
        <f t="shared" si="1"/>
        <v>23.926984681514107</v>
      </c>
      <c r="I29" s="20">
        <f>Data!N28/Data!$T28*100</f>
        <v>14.341601557504664</v>
      </c>
      <c r="J29" s="20">
        <f>Data!O28/Data!$T28*100</f>
        <v>7.1996907527180589</v>
      </c>
      <c r="K29" s="20">
        <f>Data!P28/Data!$T28*100</f>
        <v>2.385692371291384</v>
      </c>
      <c r="L29" s="19">
        <f>Data!Q28/Data!$T28*100</f>
        <v>13.179600740374733</v>
      </c>
      <c r="M29" s="19">
        <f>Data!R28/Data!$T28*100</f>
        <v>3.1325650250154311</v>
      </c>
      <c r="N29" s="19">
        <f>Data!S28/Data!$T28*100</f>
        <v>1.2573345064199075</v>
      </c>
      <c r="O29" s="20">
        <f t="shared" si="2"/>
        <v>100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x14ac:dyDescent="0.35">
      <c r="A30" s="25" t="s">
        <v>48</v>
      </c>
      <c r="B30" s="13" t="s">
        <v>48</v>
      </c>
      <c r="C30" s="19">
        <f t="shared" si="0"/>
        <v>54.608087307675547</v>
      </c>
      <c r="D30" s="20">
        <f>SUM(Data!B29,Data!F29,Data!J29)/Data!$T29*100</f>
        <v>5.2349212713964599</v>
      </c>
      <c r="E30" s="20">
        <f>SUM(Data!C29,Data!G29,Data!K29)/Data!$T29*100</f>
        <v>8.1104354256839937</v>
      </c>
      <c r="F30" s="20">
        <f>SUM(Data!D29,Data!H29,Data!L29)/Data!$T29*100</f>
        <v>7.1243415352416308</v>
      </c>
      <c r="G30" s="20">
        <f>SUM(Data!E29,Data!I29,Data!M29)/Data!$T29*100</f>
        <v>34.138389075353466</v>
      </c>
      <c r="H30" s="19">
        <f t="shared" si="1"/>
        <v>5.5653354674617308</v>
      </c>
      <c r="I30" s="20">
        <f>Data!N29/Data!$T29*100</f>
        <v>3.2852274453197836</v>
      </c>
      <c r="J30" s="20">
        <f>Data!O29/Data!$T29*100</f>
        <v>1.6492315425028305</v>
      </c>
      <c r="K30" s="20">
        <f>Data!P29/Data!$T29*100</f>
        <v>0.63087647963911642</v>
      </c>
      <c r="L30" s="19">
        <f>Data!Q29/Data!$T29*100</f>
        <v>33.34811938638336</v>
      </c>
      <c r="M30" s="19">
        <f>Data!R29/Data!$T29*100</f>
        <v>3.0895975874900419</v>
      </c>
      <c r="N30" s="19">
        <f>Data!S29/Data!$T29*100</f>
        <v>3.3888602509892869</v>
      </c>
      <c r="O30" s="20">
        <f t="shared" si="2"/>
        <v>99.999999999999972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1:37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37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1:37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1:37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1:37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1:37" x14ac:dyDescent="0.35">
      <c r="A40" s="15" t="s">
        <v>80</v>
      </c>
      <c r="B40" s="13"/>
      <c r="C40" s="15" t="s">
        <v>81</v>
      </c>
      <c r="D40" s="13"/>
      <c r="E40" s="13"/>
      <c r="F40" s="13"/>
      <c r="G40" s="15" t="s">
        <v>85</v>
      </c>
      <c r="H40" s="13"/>
      <c r="I40" s="13"/>
      <c r="J40" s="13"/>
      <c r="K40" s="13"/>
      <c r="L40" s="13"/>
      <c r="M40" s="15" t="s">
        <v>89</v>
      </c>
      <c r="N40" s="13"/>
      <c r="O40" s="13"/>
      <c r="P40" s="13"/>
      <c r="Q40" s="14" t="s">
        <v>93</v>
      </c>
      <c r="R40" s="13"/>
      <c r="S40" s="14" t="s">
        <v>95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1:37" x14ac:dyDescent="0.35">
      <c r="A41" s="13"/>
      <c r="B41" s="13"/>
      <c r="C41" s="13" t="s">
        <v>43</v>
      </c>
      <c r="D41" s="13" t="s">
        <v>83</v>
      </c>
      <c r="E41" s="13" t="s">
        <v>84</v>
      </c>
      <c r="F41" s="18" t="s">
        <v>92</v>
      </c>
      <c r="G41" s="13" t="s">
        <v>77</v>
      </c>
      <c r="H41" s="13" t="s">
        <v>86</v>
      </c>
      <c r="I41" s="13" t="s">
        <v>87</v>
      </c>
      <c r="J41" s="13" t="s">
        <v>78</v>
      </c>
      <c r="K41" s="13" t="s">
        <v>43</v>
      </c>
      <c r="L41" s="13"/>
      <c r="M41" s="13"/>
      <c r="N41" s="13"/>
      <c r="O41" s="13" t="s">
        <v>90</v>
      </c>
      <c r="P41" s="13" t="s">
        <v>91</v>
      </c>
      <c r="Q41" s="32" t="s">
        <v>90</v>
      </c>
      <c r="R41" s="13" t="s">
        <v>91</v>
      </c>
      <c r="S41" s="32" t="s">
        <v>94</v>
      </c>
      <c r="T41" s="13" t="s">
        <v>96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x14ac:dyDescent="0.35">
      <c r="A42" s="18" t="s">
        <v>56</v>
      </c>
      <c r="B42" s="17" t="s">
        <v>11</v>
      </c>
      <c r="C42" s="33">
        <f t="shared" ref="C42:C65" si="3">SUM(D42:E42)</f>
        <v>95.763208370117184</v>
      </c>
      <c r="D42" s="33">
        <f>Data!B41/Data!$I41*100</f>
        <v>29.717782537373445</v>
      </c>
      <c r="E42" s="33">
        <f>Data!C41/Data!$I41*100</f>
        <v>66.045425832743732</v>
      </c>
      <c r="F42" s="34">
        <f>Data!D41/Data!$I41*100</f>
        <v>18.250969515928791</v>
      </c>
      <c r="G42" s="33">
        <f>Data!E41/Data!$I41*100</f>
        <v>0.13251556080399496</v>
      </c>
      <c r="H42" s="33">
        <f>Data!F41/Data!$I41*100</f>
        <v>0.21947687279457476</v>
      </c>
      <c r="I42" s="33">
        <f>Data!G41/Data!$I41*100</f>
        <v>3.4695285901232955</v>
      </c>
      <c r="J42" s="33">
        <f>Data!H41/Data!$I41*100</f>
        <v>0.41527060616101996</v>
      </c>
      <c r="K42" s="33">
        <f>Data!I41/Data!$I41*100</f>
        <v>100</v>
      </c>
      <c r="L42" s="13"/>
      <c r="M42" s="18" t="s">
        <v>56</v>
      </c>
      <c r="N42" s="17" t="s">
        <v>11</v>
      </c>
      <c r="O42" s="33">
        <f>SUM(Data!B41:C41)/Data!C76*1000</f>
        <v>127.66683302950044</v>
      </c>
      <c r="P42" s="33">
        <f>Data!B76/Data!C76</f>
        <v>123.42762478043682</v>
      </c>
      <c r="Q42" s="35">
        <f>O42/O$60</f>
        <v>0.26401227300097835</v>
      </c>
      <c r="R42" s="36">
        <f>P42/P$60</f>
        <v>0.32497149904355865</v>
      </c>
      <c r="S42" s="37">
        <f>Data!T6-Data!I41</f>
        <v>-43.964218550307891</v>
      </c>
      <c r="T42" s="33">
        <f>S42/Data!I41*100</f>
        <v>-15.950397177229622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1:37" x14ac:dyDescent="0.35">
      <c r="A43" s="18" t="s">
        <v>57</v>
      </c>
      <c r="B43" s="17" t="s">
        <v>12</v>
      </c>
      <c r="C43" s="33">
        <f t="shared" si="3"/>
        <v>95.386470541776788</v>
      </c>
      <c r="D43" s="33">
        <f>Data!B42/Data!$I42*100</f>
        <v>31.689194234701677</v>
      </c>
      <c r="E43" s="33">
        <f>Data!C42/Data!$I42*100</f>
        <v>63.697276307075114</v>
      </c>
      <c r="F43" s="34">
        <f>Data!D42/Data!$I42*100</f>
        <v>21.800005286759642</v>
      </c>
      <c r="G43" s="33">
        <f>Data!E42/Data!$I42*100</f>
        <v>0.25249568779572362</v>
      </c>
      <c r="H43" s="33">
        <f>Data!F42/Data!$I42*100</f>
        <v>0.59189695490010652</v>
      </c>
      <c r="I43" s="33">
        <f>Data!G42/Data!$I42*100</f>
        <v>3.4725184238438076</v>
      </c>
      <c r="J43" s="33">
        <f>Data!H42/Data!$I42*100</f>
        <v>0.29661839168361015</v>
      </c>
      <c r="K43" s="33">
        <f>Data!I42/Data!$I42*100</f>
        <v>100</v>
      </c>
      <c r="L43" s="13"/>
      <c r="M43" s="18" t="s">
        <v>57</v>
      </c>
      <c r="N43" s="17" t="s">
        <v>12</v>
      </c>
      <c r="O43" s="33">
        <f>SUM(Data!B42:C42)/Data!C77*1000</f>
        <v>209.41938690793046</v>
      </c>
      <c r="P43" s="33">
        <f>Data!B77/Data!C77</f>
        <v>196.86209860714825</v>
      </c>
      <c r="Q43" s="35">
        <f t="shared" ref="Q43:Q65" si="4">O43/O$60</f>
        <v>0.43307480130926523</v>
      </c>
      <c r="R43" s="36">
        <f t="shared" ref="R43:R65" si="5">P43/P$60</f>
        <v>0.51831647415259796</v>
      </c>
      <c r="S43" s="37">
        <f>Data!T7-Data!I42</f>
        <v>-37.291732541978945</v>
      </c>
      <c r="T43" s="33">
        <f>S43/Data!I42*100</f>
        <v>-8.1177965022897922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1:37" x14ac:dyDescent="0.35">
      <c r="A44" s="18" t="s">
        <v>58</v>
      </c>
      <c r="B44" s="17" t="s">
        <v>13</v>
      </c>
      <c r="C44" s="33">
        <f t="shared" si="3"/>
        <v>95.769261097408247</v>
      </c>
      <c r="D44" s="33">
        <f>Data!B43/Data!$I43*100</f>
        <v>32.667999191789839</v>
      </c>
      <c r="E44" s="33">
        <f>Data!C43/Data!$I43*100</f>
        <v>63.101261905618401</v>
      </c>
      <c r="F44" s="34">
        <f>Data!D43/Data!$I43*100</f>
        <v>22.933315882104523</v>
      </c>
      <c r="G44" s="33">
        <f>Data!E43/Data!$I43*100</f>
        <v>0.35606620385559418</v>
      </c>
      <c r="H44" s="33">
        <f>Data!F43/Data!$I43*100</f>
        <v>0.77947643669642352</v>
      </c>
      <c r="I44" s="33">
        <f>Data!G43/Data!$I43*100</f>
        <v>2.6993148488472984</v>
      </c>
      <c r="J44" s="33">
        <f>Data!H43/Data!$I43*100</f>
        <v>0.3958814131924786</v>
      </c>
      <c r="K44" s="33">
        <f>Data!I43/Data!$I43*100</f>
        <v>100</v>
      </c>
      <c r="L44" s="13"/>
      <c r="M44" s="18" t="s">
        <v>58</v>
      </c>
      <c r="N44" s="17" t="s">
        <v>13</v>
      </c>
      <c r="O44" s="33">
        <f>SUM(Data!B43:C43)/Data!C78*1000</f>
        <v>296.52418644046833</v>
      </c>
      <c r="P44" s="33">
        <f>Data!B78/Data!C78</f>
        <v>267.90357492265906</v>
      </c>
      <c r="Q44" s="35">
        <f t="shared" si="4"/>
        <v>0.61320565885600131</v>
      </c>
      <c r="R44" s="36">
        <f t="shared" si="5"/>
        <v>0.70536094732938548</v>
      </c>
      <c r="S44" s="37">
        <f>Data!T8-Data!I43</f>
        <v>-92.450180173122021</v>
      </c>
      <c r="T44" s="33">
        <f>S44/Data!I43*100</f>
        <v>-14.67629755368657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1:37" x14ac:dyDescent="0.35">
      <c r="A45" s="18" t="s">
        <v>59</v>
      </c>
      <c r="B45" s="17" t="s">
        <v>14</v>
      </c>
      <c r="C45" s="33">
        <f t="shared" si="3"/>
        <v>93.246028280059292</v>
      </c>
      <c r="D45" s="33">
        <f>Data!B44/Data!$I44*100</f>
        <v>28.937799959956251</v>
      </c>
      <c r="E45" s="33">
        <f>Data!C44/Data!$I44*100</f>
        <v>64.308228320103041</v>
      </c>
      <c r="F45" s="34">
        <f>Data!D44/Data!$I44*100</f>
        <v>21.149792635711563</v>
      </c>
      <c r="G45" s="33">
        <f>Data!E44/Data!$I44*100</f>
        <v>0.51719126562672424</v>
      </c>
      <c r="H45" s="33">
        <f>Data!F44/Data!$I44*100</f>
        <v>2.0450709086720962</v>
      </c>
      <c r="I45" s="33">
        <f>Data!G44/Data!$I44*100</f>
        <v>3.9210176980654183</v>
      </c>
      <c r="J45" s="33">
        <f>Data!H44/Data!$I44*100</f>
        <v>0.27069184757642567</v>
      </c>
      <c r="K45" s="33">
        <f>Data!I44/Data!$I44*100</f>
        <v>100</v>
      </c>
      <c r="L45" s="13"/>
      <c r="M45" s="18" t="s">
        <v>59</v>
      </c>
      <c r="N45" s="17" t="s">
        <v>14</v>
      </c>
      <c r="O45" s="33">
        <f>SUM(Data!B44:C44)/Data!C79*1000</f>
        <v>433.66564909067387</v>
      </c>
      <c r="P45" s="33">
        <f>Data!B79/Data!C79</f>
        <v>376.59163369680857</v>
      </c>
      <c r="Q45" s="35">
        <f t="shared" si="4"/>
        <v>0.89681126273741851</v>
      </c>
      <c r="R45" s="36">
        <f t="shared" si="5"/>
        <v>0.99152477370780623</v>
      </c>
      <c r="S45" s="37">
        <f>Data!T9-Data!I44</f>
        <v>96.747911402854811</v>
      </c>
      <c r="T45" s="33">
        <f>S45/Data!I44*100</f>
        <v>10.946656604155429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1:37" x14ac:dyDescent="0.35">
      <c r="A46" s="21" t="s">
        <v>60</v>
      </c>
      <c r="B46" s="22" t="s">
        <v>15</v>
      </c>
      <c r="C46" s="38">
        <f t="shared" si="3"/>
        <v>88.013960921627842</v>
      </c>
      <c r="D46" s="38">
        <f>Data!B45/Data!$I45*100</f>
        <v>18.994209963753143</v>
      </c>
      <c r="E46" s="38">
        <f>Data!C45/Data!$I45*100</f>
        <v>69.019750957874706</v>
      </c>
      <c r="F46" s="39">
        <f>Data!D45/Data!$I45*100</f>
        <v>12.001916651570063</v>
      </c>
      <c r="G46" s="38">
        <f>Data!E45/Data!$I45*100</f>
        <v>2.1342856699030848</v>
      </c>
      <c r="H46" s="38">
        <f>Data!F45/Data!$I45*100</f>
        <v>4.3844922324185829</v>
      </c>
      <c r="I46" s="38">
        <f>Data!G45/Data!$I45*100</f>
        <v>4.7567901950679108</v>
      </c>
      <c r="J46" s="38">
        <f>Data!H45/Data!$I45*100</f>
        <v>0.71047098098256833</v>
      </c>
      <c r="K46" s="38">
        <f>Data!I45/Data!$I45*100</f>
        <v>100</v>
      </c>
      <c r="L46" s="13"/>
      <c r="M46" s="21" t="s">
        <v>60</v>
      </c>
      <c r="N46" s="22" t="s">
        <v>15</v>
      </c>
      <c r="O46" s="38">
        <f>SUM(Data!B45:C45)/Data!C80*1000</f>
        <v>908.32931328987365</v>
      </c>
      <c r="P46" s="38">
        <f>Data!B80/Data!C80</f>
        <v>693.99378002324613</v>
      </c>
      <c r="Q46" s="40">
        <f t="shared" si="4"/>
        <v>1.8784055415525465</v>
      </c>
      <c r="R46" s="41">
        <f t="shared" si="5"/>
        <v>1.827210070859324</v>
      </c>
      <c r="S46" s="42">
        <f>Data!T10-Data!I45</f>
        <v>-48.833760189042778</v>
      </c>
      <c r="T46" s="38">
        <f>S46/Data!I45*100</f>
        <v>-4.095191721725584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1:37" x14ac:dyDescent="0.35">
      <c r="A47" s="18" t="s">
        <v>61</v>
      </c>
      <c r="B47" s="17" t="s">
        <v>16</v>
      </c>
      <c r="C47" s="33">
        <f t="shared" si="3"/>
        <v>93.691167072995199</v>
      </c>
      <c r="D47" s="33">
        <f>Data!B46/Data!$I46*100</f>
        <v>18.382504755812981</v>
      </c>
      <c r="E47" s="33">
        <f>Data!C46/Data!$I46*100</f>
        <v>75.308662317182211</v>
      </c>
      <c r="F47" s="34">
        <f>Data!D46/Data!$I46*100</f>
        <v>5.343160410112505</v>
      </c>
      <c r="G47" s="33">
        <f>Data!E46/Data!$I46*100</f>
        <v>0.47324710766488171</v>
      </c>
      <c r="H47" s="33">
        <f>Data!F46/Data!$I46*100</f>
        <v>0.80895051731144618</v>
      </c>
      <c r="I47" s="33">
        <f>Data!G46/Data!$I46*100</f>
        <v>4.8014432280750166</v>
      </c>
      <c r="J47" s="33">
        <f>Data!H46/Data!$I46*100</f>
        <v>0.22519207395345808</v>
      </c>
      <c r="K47" s="33">
        <f>Data!I46/Data!$I46*100</f>
        <v>100</v>
      </c>
      <c r="L47" s="13"/>
      <c r="M47" s="18" t="s">
        <v>61</v>
      </c>
      <c r="N47" s="17" t="s">
        <v>16</v>
      </c>
      <c r="O47" s="33">
        <f>SUM(Data!B46:C46)/Data!C81*1000</f>
        <v>129.42709769536955</v>
      </c>
      <c r="P47" s="33">
        <f>Data!B81/Data!C81</f>
        <v>122.7969940068115</v>
      </c>
      <c r="Q47" s="35">
        <f t="shared" si="4"/>
        <v>0.26765246258265318</v>
      </c>
      <c r="R47" s="36">
        <f t="shared" si="5"/>
        <v>0.32331111687050318</v>
      </c>
      <c r="S47" s="37">
        <f>Data!T11-Data!I46</f>
        <v>-6.8162345846296244</v>
      </c>
      <c r="T47" s="33">
        <f>S47/Data!I46*100</f>
        <v>-33.535578955765068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1:37" x14ac:dyDescent="0.35">
      <c r="A48" s="18" t="s">
        <v>62</v>
      </c>
      <c r="B48" s="17" t="s">
        <v>17</v>
      </c>
      <c r="C48" s="33">
        <f t="shared" si="3"/>
        <v>94.817534034632743</v>
      </c>
      <c r="D48" s="33">
        <f>Data!B47/Data!$I47*100</f>
        <v>12.665004125111414</v>
      </c>
      <c r="E48" s="33">
        <f>Data!C47/Data!$I47*100</f>
        <v>82.152529909521334</v>
      </c>
      <c r="F48" s="34">
        <f>Data!D47/Data!$I47*100</f>
        <v>6.8994860514541108</v>
      </c>
      <c r="G48" s="33">
        <f>Data!E47/Data!$I47*100</f>
        <v>0.28532322734449789</v>
      </c>
      <c r="H48" s="33">
        <f>Data!F47/Data!$I47*100</f>
        <v>1.589545584121814</v>
      </c>
      <c r="I48" s="33">
        <f>Data!G47/Data!$I47*100</f>
        <v>3.1224140030397947</v>
      </c>
      <c r="J48" s="33">
        <f>Data!H47/Data!$I47*100</f>
        <v>0.18518315086113424</v>
      </c>
      <c r="K48" s="33">
        <f>Data!I47/Data!$I47*100</f>
        <v>100</v>
      </c>
      <c r="L48" s="13"/>
      <c r="M48" s="18" t="s">
        <v>62</v>
      </c>
      <c r="N48" s="17" t="s">
        <v>17</v>
      </c>
      <c r="O48" s="33">
        <f>SUM(Data!B47:C47)/Data!C82*1000</f>
        <v>200.04496035648575</v>
      </c>
      <c r="P48" s="33">
        <f>Data!B82/Data!C82</f>
        <v>201.91318534453535</v>
      </c>
      <c r="Q48" s="35">
        <f t="shared" si="4"/>
        <v>0.41368868822728927</v>
      </c>
      <c r="R48" s="36">
        <f t="shared" si="5"/>
        <v>0.53161543564333136</v>
      </c>
      <c r="S48" s="37">
        <f>Data!T12-Data!I47</f>
        <v>-3.7104103255543812</v>
      </c>
      <c r="T48" s="33">
        <f>S48/Data!I47*100</f>
        <v>-13.70507835929026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1:37" x14ac:dyDescent="0.35">
      <c r="A49" s="18" t="s">
        <v>63</v>
      </c>
      <c r="B49" s="17" t="s">
        <v>18</v>
      </c>
      <c r="C49" s="33">
        <f t="shared" si="3"/>
        <v>95.457264863997466</v>
      </c>
      <c r="D49" s="33">
        <f>Data!B48/Data!$I48*100</f>
        <v>15.035173420673059</v>
      </c>
      <c r="E49" s="33">
        <f>Data!C48/Data!$I48*100</f>
        <v>80.422091443324405</v>
      </c>
      <c r="F49" s="34">
        <f>Data!D48/Data!$I48*100</f>
        <v>6.7606411714471877</v>
      </c>
      <c r="G49" s="33">
        <f>Data!E48/Data!$I48*100</f>
        <v>0.70828393260643796</v>
      </c>
      <c r="H49" s="33">
        <f>Data!F48/Data!$I48*100</f>
        <v>1.829705801683134</v>
      </c>
      <c r="I49" s="33">
        <f>Data!G48/Data!$I48*100</f>
        <v>2.0029905972946547</v>
      </c>
      <c r="J49" s="33">
        <f>Data!H48/Data!$I48*100</f>
        <v>1.7548044183161005E-3</v>
      </c>
      <c r="K49" s="33">
        <f>Data!I48/Data!$I48*100</f>
        <v>100</v>
      </c>
      <c r="L49" s="13"/>
      <c r="M49" s="18" t="s">
        <v>63</v>
      </c>
      <c r="N49" s="17" t="s">
        <v>18</v>
      </c>
      <c r="O49" s="33">
        <f>SUM(Data!B48:C48)/Data!C83*1000</f>
        <v>288.31610534582472</v>
      </c>
      <c r="P49" s="33">
        <f>Data!B83/Data!C83</f>
        <v>266.36552041034247</v>
      </c>
      <c r="Q49" s="35">
        <f t="shared" si="4"/>
        <v>0.59623152316742767</v>
      </c>
      <c r="R49" s="36">
        <f t="shared" si="5"/>
        <v>0.70131141723944523</v>
      </c>
      <c r="S49" s="37">
        <f>Data!T13-Data!I48</f>
        <v>-4.1261424339967832</v>
      </c>
      <c r="T49" s="33">
        <f>S49/Data!I48*100</f>
        <v>-8.9490916462582657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1:37" x14ac:dyDescent="0.35">
      <c r="A50" s="18" t="s">
        <v>64</v>
      </c>
      <c r="B50" s="17" t="s">
        <v>19</v>
      </c>
      <c r="C50" s="33">
        <f t="shared" si="3"/>
        <v>90.971019259638865</v>
      </c>
      <c r="D50" s="33">
        <f>Data!B49/Data!$I49*100</f>
        <v>10.428729025499278</v>
      </c>
      <c r="E50" s="33">
        <f>Data!C49/Data!$I49*100</f>
        <v>80.542290234139585</v>
      </c>
      <c r="F50" s="34">
        <f>Data!D49/Data!$I49*100</f>
        <v>5.3003352728967128</v>
      </c>
      <c r="G50" s="33">
        <f>Data!E49/Data!$I49*100</f>
        <v>1.6922686188618559</v>
      </c>
      <c r="H50" s="33">
        <f>Data!F49/Data!$I49*100</f>
        <v>4.5349486084635906</v>
      </c>
      <c r="I50" s="33">
        <f>Data!G49/Data!$I49*100</f>
        <v>2.5395300803374807</v>
      </c>
      <c r="J50" s="33">
        <f>Data!H49/Data!$I49*100</f>
        <v>0.26223343269821348</v>
      </c>
      <c r="K50" s="33">
        <f>Data!I49/Data!$I49*100</f>
        <v>100</v>
      </c>
      <c r="L50" s="13"/>
      <c r="M50" s="18" t="s">
        <v>64</v>
      </c>
      <c r="N50" s="17" t="s">
        <v>19</v>
      </c>
      <c r="O50" s="33">
        <f>SUM(Data!B49:C49)/Data!C84*1000</f>
        <v>477.5687891171375</v>
      </c>
      <c r="P50" s="33">
        <f>Data!B84/Data!C84</f>
        <v>399.75209403428209</v>
      </c>
      <c r="Q50" s="35">
        <f t="shared" si="4"/>
        <v>0.98760201484754984</v>
      </c>
      <c r="R50" s="36">
        <f t="shared" si="5"/>
        <v>1.0525037444025465</v>
      </c>
      <c r="S50" s="37">
        <f>Data!T14-Data!I49</f>
        <v>13.485122701968891</v>
      </c>
      <c r="T50" s="33">
        <f>S50/Data!I49*100</f>
        <v>15.060583003501327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x14ac:dyDescent="0.35">
      <c r="A51" s="21" t="s">
        <v>65</v>
      </c>
      <c r="B51" s="22" t="s">
        <v>20</v>
      </c>
      <c r="C51" s="38">
        <f t="shared" si="3"/>
        <v>75.065658108298521</v>
      </c>
      <c r="D51" s="38">
        <f>Data!B50/Data!$I50*100</f>
        <v>7.8161427838185542</v>
      </c>
      <c r="E51" s="38">
        <f>Data!C50/Data!$I50*100</f>
        <v>67.249515324479972</v>
      </c>
      <c r="F51" s="39">
        <f>Data!D50/Data!$I50*100</f>
        <v>1.3241961480324964</v>
      </c>
      <c r="G51" s="38">
        <f>Data!E50/Data!$I50*100</f>
        <v>4.8147123623688852</v>
      </c>
      <c r="H51" s="38">
        <f>Data!F50/Data!$I50*100</f>
        <v>6.2559602402111221</v>
      </c>
      <c r="I51" s="38">
        <f>Data!G50/Data!$I50*100</f>
        <v>13.450530172099789</v>
      </c>
      <c r="J51" s="38">
        <f>Data!H50/Data!$I50*100</f>
        <v>0.41313911702166928</v>
      </c>
      <c r="K51" s="38">
        <f>Data!I50/Data!$I50*100</f>
        <v>100</v>
      </c>
      <c r="L51" s="13"/>
      <c r="M51" s="21" t="s">
        <v>65</v>
      </c>
      <c r="N51" s="22" t="s">
        <v>20</v>
      </c>
      <c r="O51" s="38">
        <f>SUM(Data!B50:C50)/Data!C85*1000</f>
        <v>1460.5780214636427</v>
      </c>
      <c r="P51" s="38">
        <f>Data!B85/Data!C85</f>
        <v>943.6836142156144</v>
      </c>
      <c r="Q51" s="40">
        <f t="shared" si="4"/>
        <v>3.0204440275633968</v>
      </c>
      <c r="R51" s="41">
        <f t="shared" si="5"/>
        <v>2.4846162216928485</v>
      </c>
      <c r="S51" s="42">
        <f>Data!T15-Data!I50</f>
        <v>100.3654324882956</v>
      </c>
      <c r="T51" s="38">
        <f>S51/Data!I50*100</f>
        <v>14.219060005244083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1:37" x14ac:dyDescent="0.35">
      <c r="A52" s="18" t="s">
        <v>110</v>
      </c>
      <c r="B52" s="17" t="s">
        <v>97</v>
      </c>
      <c r="C52" s="33">
        <f t="shared" si="3"/>
        <v>91.981800441156665</v>
      </c>
      <c r="D52" s="33">
        <f>Data!B51/Data!$I51*100</f>
        <v>10.355397665813541</v>
      </c>
      <c r="E52" s="33">
        <f>Data!C51/Data!$I51*100</f>
        <v>81.626402775343124</v>
      </c>
      <c r="F52" s="34">
        <f>Data!D51/Data!$I51*100</f>
        <v>4.4210498988729272</v>
      </c>
      <c r="G52" s="33">
        <f>Data!E51/Data!$I51*100</f>
        <v>1.2340993757511596</v>
      </c>
      <c r="H52" s="33">
        <f>Data!F51/Data!$I51*100</f>
        <v>1.5718567761574458</v>
      </c>
      <c r="I52" s="33">
        <f>Data!G51/Data!$I51*100</f>
        <v>5.046567047954909</v>
      </c>
      <c r="J52" s="33">
        <f>Data!H51/Data!$I51*100</f>
        <v>0.16567635897984404</v>
      </c>
      <c r="K52" s="33">
        <f>Data!I51/Data!$I51*100</f>
        <v>100</v>
      </c>
      <c r="L52" s="13"/>
      <c r="M52" s="18" t="s">
        <v>110</v>
      </c>
      <c r="N52" s="17" t="s">
        <v>97</v>
      </c>
      <c r="O52" s="33">
        <f>SUM(Data!B51:C51)/Data!C86*1000</f>
        <v>131.97275080159488</v>
      </c>
      <c r="P52" s="33">
        <f>Data!B86/Data!C86</f>
        <v>133.98836798815546</v>
      </c>
      <c r="Q52" s="35">
        <f t="shared" si="4"/>
        <v>0.27291681861701372</v>
      </c>
      <c r="R52" s="36">
        <f t="shared" si="5"/>
        <v>0.35277678620947006</v>
      </c>
      <c r="S52" s="37">
        <f>Data!T16-Data!I51</f>
        <v>-1.9556591591672721</v>
      </c>
      <c r="T52" s="33">
        <f>S52/Data!I51*100</f>
        <v>-9.8828664145180856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1:37" x14ac:dyDescent="0.35">
      <c r="A53" s="18" t="s">
        <v>111</v>
      </c>
      <c r="B53" s="17" t="s">
        <v>98</v>
      </c>
      <c r="C53" s="33">
        <f t="shared" si="3"/>
        <v>95.092974320636614</v>
      </c>
      <c r="D53" s="33">
        <f>Data!B52/Data!$I52*100</f>
        <v>8.8008097088943789</v>
      </c>
      <c r="E53" s="33">
        <f>Data!C52/Data!$I52*100</f>
        <v>86.292164611742237</v>
      </c>
      <c r="F53" s="34">
        <f>Data!D52/Data!$I52*100</f>
        <v>4.8026519751139469</v>
      </c>
      <c r="G53" s="33">
        <f>Data!E52/Data!$I52*100</f>
        <v>0.95971796136274912</v>
      </c>
      <c r="H53" s="33">
        <f>Data!F52/Data!$I52*100</f>
        <v>1.3236786213840368</v>
      </c>
      <c r="I53" s="33">
        <f>Data!G52/Data!$I52*100</f>
        <v>2.4117455948435813</v>
      </c>
      <c r="J53" s="33">
        <f>Data!H52/Data!$I52*100</f>
        <v>0.21188350177300375</v>
      </c>
      <c r="K53" s="33">
        <f>Data!I52/Data!$I52*100</f>
        <v>100</v>
      </c>
      <c r="L53" s="13"/>
      <c r="M53" s="18" t="s">
        <v>111</v>
      </c>
      <c r="N53" s="17" t="s">
        <v>98</v>
      </c>
      <c r="O53" s="33">
        <f>SUM(Data!B52:C52)/Data!C87*1000</f>
        <v>216.217879647008</v>
      </c>
      <c r="P53" s="33">
        <f>Data!B87/Data!C87</f>
        <v>199.12971611758266</v>
      </c>
      <c r="Q53" s="35">
        <f t="shared" si="4"/>
        <v>0.4471339385059227</v>
      </c>
      <c r="R53" s="36">
        <f t="shared" si="5"/>
        <v>0.52428686419238169</v>
      </c>
      <c r="S53" s="37">
        <f>Data!T17-Data!I52</f>
        <v>-10.910124053144763</v>
      </c>
      <c r="T53" s="33">
        <f>S53/Data!I52*100</f>
        <v>-37.364943883442074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1:37" x14ac:dyDescent="0.35">
      <c r="A54" s="18" t="s">
        <v>112</v>
      </c>
      <c r="B54" s="17" t="s">
        <v>99</v>
      </c>
      <c r="C54" s="33">
        <f t="shared" si="3"/>
        <v>88.422961622967819</v>
      </c>
      <c r="D54" s="33">
        <f>Data!B53/Data!$I53*100</f>
        <v>6.9065312946843704</v>
      </c>
      <c r="E54" s="33">
        <f>Data!C53/Data!$I53*100</f>
        <v>81.516430328283448</v>
      </c>
      <c r="F54" s="34">
        <f>Data!D53/Data!$I53*100</f>
        <v>5.1967924941372958</v>
      </c>
      <c r="G54" s="33">
        <f>Data!E53/Data!$I53*100</f>
        <v>1.6939706766335618</v>
      </c>
      <c r="H54" s="33">
        <f>Data!F53/Data!$I53*100</f>
        <v>3.5493305601592313</v>
      </c>
      <c r="I54" s="33">
        <f>Data!G53/Data!$I53*100</f>
        <v>6.1978049415200767</v>
      </c>
      <c r="J54" s="33">
        <f>Data!H53/Data!$I53*100</f>
        <v>0.13593219871931378</v>
      </c>
      <c r="K54" s="33">
        <f>Data!I53/Data!$I53*100</f>
        <v>100</v>
      </c>
      <c r="L54" s="13"/>
      <c r="M54" s="18" t="s">
        <v>112</v>
      </c>
      <c r="N54" s="17" t="s">
        <v>99</v>
      </c>
      <c r="O54" s="33">
        <f>SUM(Data!B53:C53)/Data!C88*1000</f>
        <v>296.47637032261815</v>
      </c>
      <c r="P54" s="33">
        <f>Data!B88/Data!C88</f>
        <v>271.30521154280592</v>
      </c>
      <c r="Q54" s="35">
        <f t="shared" si="4"/>
        <v>0.61310677614966214</v>
      </c>
      <c r="R54" s="36">
        <f t="shared" si="5"/>
        <v>0.71431708622954682</v>
      </c>
      <c r="S54" s="37">
        <f>Data!T18-Data!I53</f>
        <v>7.7435616894788453</v>
      </c>
      <c r="T54" s="33">
        <f>S54/Data!I53*100</f>
        <v>14.492597285254929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1:37" x14ac:dyDescent="0.35">
      <c r="A55" s="18" t="s">
        <v>113</v>
      </c>
      <c r="B55" s="17" t="s">
        <v>100</v>
      </c>
      <c r="C55" s="33">
        <f t="shared" si="3"/>
        <v>86.083768540782003</v>
      </c>
      <c r="D55" s="33">
        <f>Data!B54/Data!$I54*100</f>
        <v>5.2109962185130732</v>
      </c>
      <c r="E55" s="33">
        <f>Data!C54/Data!$I54*100</f>
        <v>80.872772322268929</v>
      </c>
      <c r="F55" s="34">
        <f>Data!D54/Data!$I54*100</f>
        <v>3.3668562114835847</v>
      </c>
      <c r="G55" s="33">
        <f>Data!E54/Data!$I54*100</f>
        <v>1.1561145795572334</v>
      </c>
      <c r="H55" s="33">
        <f>Data!F54/Data!$I54*100</f>
        <v>4.0607871679313412</v>
      </c>
      <c r="I55" s="33">
        <f>Data!G54/Data!$I54*100</f>
        <v>8.6378851074282768</v>
      </c>
      <c r="J55" s="33">
        <f>Data!H54/Data!$I54*100</f>
        <v>6.1444604301166307E-2</v>
      </c>
      <c r="K55" s="33">
        <f>Data!I54/Data!$I54*100</f>
        <v>100</v>
      </c>
      <c r="L55" s="13"/>
      <c r="M55" s="18" t="s">
        <v>113</v>
      </c>
      <c r="N55" s="17" t="s">
        <v>100</v>
      </c>
      <c r="O55" s="33">
        <f>SUM(Data!B54:C54)/Data!C89*1000</f>
        <v>448.61383960588955</v>
      </c>
      <c r="P55" s="33">
        <f>Data!B89/Data!C89</f>
        <v>387.37652492202875</v>
      </c>
      <c r="Q55" s="35">
        <f t="shared" si="4"/>
        <v>0.92772380017195977</v>
      </c>
      <c r="R55" s="36">
        <f t="shared" si="5"/>
        <v>1.0199202182018254</v>
      </c>
      <c r="S55" s="37">
        <f>Data!T19-Data!I54</f>
        <v>-6.7197038684595327</v>
      </c>
      <c r="T55" s="33">
        <f>S55/Data!I54*100</f>
        <v>-4.607109981858696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1:37" x14ac:dyDescent="0.35">
      <c r="A56" s="21" t="s">
        <v>114</v>
      </c>
      <c r="B56" s="22" t="s">
        <v>101</v>
      </c>
      <c r="C56" s="38">
        <f t="shared" si="3"/>
        <v>68.280344723952126</v>
      </c>
      <c r="D56" s="38">
        <f>Data!B55/Data!$I55*100</f>
        <v>0.44233333724418078</v>
      </c>
      <c r="E56" s="38">
        <f>Data!C55/Data!$I55*100</f>
        <v>67.838011386707947</v>
      </c>
      <c r="F56" s="39">
        <f>Data!D55/Data!$I55*100</f>
        <v>0.34932184934132726</v>
      </c>
      <c r="G56" s="38">
        <f>Data!E55/Data!$I55*100</f>
        <v>5.288122439702672</v>
      </c>
      <c r="H56" s="38">
        <f>Data!F55/Data!$I55*100</f>
        <v>7.6791711761167942</v>
      </c>
      <c r="I56" s="38">
        <f>Data!G55/Data!$I55*100</f>
        <v>17.513994468938755</v>
      </c>
      <c r="J56" s="38">
        <f>Data!H55/Data!$I55*100</f>
        <v>1.2383671912896412</v>
      </c>
      <c r="K56" s="38">
        <f>Data!I55/Data!$I55*100</f>
        <v>100</v>
      </c>
      <c r="L56" s="13"/>
      <c r="M56" s="21" t="s">
        <v>114</v>
      </c>
      <c r="N56" s="22" t="s">
        <v>101</v>
      </c>
      <c r="O56" s="38">
        <f>SUM(Data!B55:C55)/Data!C90*1000</f>
        <v>1890.5461761706758</v>
      </c>
      <c r="P56" s="38">
        <f>Data!B90/Data!C90</f>
        <v>1244.4201874469466</v>
      </c>
      <c r="Q56" s="40">
        <f t="shared" si="4"/>
        <v>3.909608951204993</v>
      </c>
      <c r="R56" s="41">
        <f t="shared" si="5"/>
        <v>3.2764228791899894</v>
      </c>
      <c r="S56" s="42">
        <f>Data!T20-Data!I55</f>
        <v>38.436137596805565</v>
      </c>
      <c r="T56" s="38">
        <f>S56/Data!I55*100</f>
        <v>1.6533890335865189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1:37" x14ac:dyDescent="0.35">
      <c r="A57" s="25" t="s">
        <v>41</v>
      </c>
      <c r="B57" s="13" t="s">
        <v>41</v>
      </c>
      <c r="C57" s="34">
        <f t="shared" si="3"/>
        <v>92.382232622101455</v>
      </c>
      <c r="D57" s="34">
        <f>Data!B56/Data!$I56*100</f>
        <v>26.604702252204287</v>
      </c>
      <c r="E57" s="34">
        <f>Data!C56/Data!$I56*100</f>
        <v>65.777530369897164</v>
      </c>
      <c r="F57" s="34">
        <f>Data!D56/Data!$I56*100</f>
        <v>18.160926538390953</v>
      </c>
      <c r="G57" s="34">
        <f>Data!E56/Data!$I56*100</f>
        <v>0.98191234348073453</v>
      </c>
      <c r="H57" s="34">
        <f>Data!F56/Data!$I56*100</f>
        <v>2.2838505209246662</v>
      </c>
      <c r="I57" s="34">
        <f>Data!G56/Data!$I56*100</f>
        <v>3.8909608116956007</v>
      </c>
      <c r="J57" s="34">
        <f>Data!H56/Data!$I56*100</f>
        <v>0.46104370179753956</v>
      </c>
      <c r="K57" s="34">
        <f>Data!I56/Data!$I56*100</f>
        <v>100</v>
      </c>
      <c r="L57" s="13"/>
      <c r="M57" s="25" t="s">
        <v>41</v>
      </c>
      <c r="N57" s="13" t="s">
        <v>41</v>
      </c>
      <c r="O57" s="34">
        <f>SUM(Data!B56:C56)/Data!C91*1000</f>
        <v>343.67548343859272</v>
      </c>
      <c r="P57" s="34">
        <f>Data!B91/Data!C91</f>
        <v>295.09452849061199</v>
      </c>
      <c r="Q57" s="43">
        <f t="shared" si="4"/>
        <v>0.71071352992963011</v>
      </c>
      <c r="R57" s="44">
        <f t="shared" si="5"/>
        <v>0.77695176791853782</v>
      </c>
      <c r="S57" s="45">
        <f>Data!T21-Data!I56</f>
        <v>-125.79198005159697</v>
      </c>
      <c r="T57" s="34">
        <f>S57/Data!I56*100</f>
        <v>-3.6554471664739552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spans="1:37" x14ac:dyDescent="0.35">
      <c r="A58" s="25" t="s">
        <v>42</v>
      </c>
      <c r="B58" s="13" t="s">
        <v>42</v>
      </c>
      <c r="C58" s="34">
        <f t="shared" si="3"/>
        <v>78.752999845876033</v>
      </c>
      <c r="D58" s="34">
        <f>Data!B57/Data!$I57*100</f>
        <v>8.8430516705999533</v>
      </c>
      <c r="E58" s="34">
        <f>Data!C57/Data!$I57*100</f>
        <v>69.909948175276085</v>
      </c>
      <c r="F58" s="34">
        <f>Data!D57/Data!$I57*100</f>
        <v>2.2684074670023571</v>
      </c>
      <c r="G58" s="34">
        <f>Data!E57/Data!$I57*100</f>
        <v>4.0499629900139871</v>
      </c>
      <c r="H58" s="34">
        <f>Data!F57/Data!$I57*100</f>
        <v>5.5863362561407417</v>
      </c>
      <c r="I58" s="34">
        <f>Data!G57/Data!$I57*100</f>
        <v>11.24534150971793</v>
      </c>
      <c r="J58" s="34">
        <f>Data!H57/Data!$I57*100</f>
        <v>0.36535939825131952</v>
      </c>
      <c r="K58" s="34">
        <f>Data!I57/Data!$I57*100</f>
        <v>100</v>
      </c>
      <c r="L58" s="13"/>
      <c r="M58" s="25" t="s">
        <v>42</v>
      </c>
      <c r="N58" s="13" t="s">
        <v>42</v>
      </c>
      <c r="O58" s="34">
        <f>SUM(Data!B57:C57)/Data!C92*1000</f>
        <v>728.10912588623933</v>
      </c>
      <c r="P58" s="34">
        <f>Data!B92/Data!C92</f>
        <v>515.01990779724179</v>
      </c>
      <c r="Q58" s="43">
        <f t="shared" si="4"/>
        <v>1.5057140586667666</v>
      </c>
      <c r="R58" s="44">
        <f t="shared" si="5"/>
        <v>1.3559913493585476</v>
      </c>
      <c r="S58" s="45">
        <f>Data!T22-Data!I57</f>
        <v>99.197767846083707</v>
      </c>
      <c r="T58" s="34">
        <f>S58/Data!I57*100</f>
        <v>11.159659191878298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1:37" x14ac:dyDescent="0.35">
      <c r="A59" s="26" t="s">
        <v>109</v>
      </c>
      <c r="B59" s="27" t="s">
        <v>109</v>
      </c>
      <c r="C59" s="39">
        <f t="shared" si="3"/>
        <v>70.194432302797566</v>
      </c>
      <c r="D59" s="39">
        <f>Data!B58/Data!$I58*100</f>
        <v>1.0179907657539446</v>
      </c>
      <c r="E59" s="39">
        <f>Data!C58/Data!$I58*100</f>
        <v>69.176441537043615</v>
      </c>
      <c r="F59" s="39">
        <f>Data!D58/Data!$I58*100</f>
        <v>0.70289634048823391</v>
      </c>
      <c r="G59" s="39">
        <f>Data!E58/Data!$I58*100</f>
        <v>4.8989518805618184</v>
      </c>
      <c r="H59" s="39">
        <f>Data!F58/Data!$I58*100</f>
        <v>7.2691966827898931</v>
      </c>
      <c r="I59" s="39">
        <f>Data!G58/Data!$I58*100</f>
        <v>16.50856132984411</v>
      </c>
      <c r="J59" s="39">
        <f>Data!H58/Data!$I58*100</f>
        <v>1.1288578040066173</v>
      </c>
      <c r="K59" s="39">
        <f>Data!I58/Data!$I58*100</f>
        <v>100</v>
      </c>
      <c r="L59" s="13"/>
      <c r="M59" s="26" t="s">
        <v>109</v>
      </c>
      <c r="N59" s="27" t="s">
        <v>109</v>
      </c>
      <c r="O59" s="39">
        <f>SUM(Data!B58:C58)/Data!C93*1000</f>
        <v>1168.8496382317592</v>
      </c>
      <c r="P59" s="39">
        <f>Data!B93/Data!C93</f>
        <v>802.83586756149157</v>
      </c>
      <c r="Q59" s="46">
        <f t="shared" si="4"/>
        <v>2.4171559869009269</v>
      </c>
      <c r="R59" s="47">
        <f t="shared" si="5"/>
        <v>2.1137794382051993</v>
      </c>
      <c r="S59" s="48">
        <f>Data!T23-Data!I58</f>
        <v>26.594212205512576</v>
      </c>
      <c r="T59" s="39">
        <f>S59/Data!I58*100</f>
        <v>1.0336031913697661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1:37" x14ac:dyDescent="0.35">
      <c r="A60" s="28" t="s">
        <v>43</v>
      </c>
      <c r="B60" s="29" t="s">
        <v>43</v>
      </c>
      <c r="C60" s="49">
        <f t="shared" si="3"/>
        <v>82.357236329010462</v>
      </c>
      <c r="D60" s="49">
        <f>Data!B59/Data!$I59*100</f>
        <v>14.780717426650309</v>
      </c>
      <c r="E60" s="49">
        <f>Data!C59/Data!$I59*100</f>
        <v>67.576518902360149</v>
      </c>
      <c r="F60" s="49">
        <f>Data!D59/Data!$I59*100</f>
        <v>9.607402952161447</v>
      </c>
      <c r="G60" s="49">
        <f>Data!E59/Data!$I59*100</f>
        <v>2.8369646533838315</v>
      </c>
      <c r="H60" s="49">
        <f>Data!F59/Data!$I59*100</f>
        <v>4.5672770177344519</v>
      </c>
      <c r="I60" s="49">
        <f>Data!G59/Data!$I59*100</f>
        <v>9.54088721782135</v>
      </c>
      <c r="J60" s="49">
        <f>Data!H59/Data!$I59*100</f>
        <v>0.69763478204991236</v>
      </c>
      <c r="K60" s="49">
        <f>Data!I59/Data!$I59*100</f>
        <v>100</v>
      </c>
      <c r="L60" s="13"/>
      <c r="M60" s="28" t="s">
        <v>43</v>
      </c>
      <c r="N60" s="29" t="s">
        <v>43</v>
      </c>
      <c r="O60" s="49">
        <f>SUM(Data!B59:C59)/Data!C94*1000</f>
        <v>483.56400851496534</v>
      </c>
      <c r="P60" s="49">
        <f>Data!B94/Data!C94</f>
        <v>379.81061460375258</v>
      </c>
      <c r="Q60" s="50">
        <f t="shared" si="4"/>
        <v>1</v>
      </c>
      <c r="R60" s="51">
        <f t="shared" si="5"/>
        <v>1</v>
      </c>
      <c r="S60" s="52">
        <f>Data!T24-Data!I59</f>
        <v>0</v>
      </c>
      <c r="T60" s="49">
        <f>S60/Data!I59*100</f>
        <v>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1:37" x14ac:dyDescent="0.35">
      <c r="A61" s="25" t="s">
        <v>44</v>
      </c>
      <c r="B61" s="13" t="s">
        <v>44</v>
      </c>
      <c r="C61" s="34">
        <f t="shared" si="3"/>
        <v>95.392836378995781</v>
      </c>
      <c r="D61" s="34">
        <f>Data!B60/Data!$I60*100</f>
        <v>27.774617019801305</v>
      </c>
      <c r="E61" s="34">
        <f>Data!C60/Data!$I60*100</f>
        <v>67.61821935919447</v>
      </c>
      <c r="F61" s="34">
        <f>Data!D60/Data!$I60*100</f>
        <v>16.553306903546694</v>
      </c>
      <c r="G61" s="34">
        <f>Data!E60/Data!$I60*100</f>
        <v>0.22348799570602665</v>
      </c>
      <c r="H61" s="34">
        <f>Data!F60/Data!$I60*100</f>
        <v>0.34217946385068559</v>
      </c>
      <c r="I61" s="34">
        <f>Data!G60/Data!$I60*100</f>
        <v>3.6541040485675635</v>
      </c>
      <c r="J61" s="34">
        <f>Data!H60/Data!$I60*100</f>
        <v>0.3873921128800078</v>
      </c>
      <c r="K61" s="34">
        <f>Data!I60/Data!$I60*100</f>
        <v>100</v>
      </c>
      <c r="L61" s="13"/>
      <c r="M61" s="25" t="s">
        <v>44</v>
      </c>
      <c r="N61" s="13" t="s">
        <v>44</v>
      </c>
      <c r="O61" s="34">
        <f>SUM(Data!B60:C60)/Data!C95*1000</f>
        <v>128.02935914132038</v>
      </c>
      <c r="P61" s="34">
        <f>Data!B95/Data!C95</f>
        <v>124.00731167334216</v>
      </c>
      <c r="Q61" s="43">
        <f t="shared" si="4"/>
        <v>0.26476196922616529</v>
      </c>
      <c r="R61" s="44">
        <f t="shared" si="5"/>
        <v>0.32649775152470673</v>
      </c>
      <c r="S61" s="45">
        <f>Data!T25-Data!I60</f>
        <v>-52.736112294104714</v>
      </c>
      <c r="T61" s="34">
        <f>S61/Data!I60*100</f>
        <v>-16.702140552964842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1:37" x14ac:dyDescent="0.35">
      <c r="A62" s="25" t="s">
        <v>45</v>
      </c>
      <c r="B62" s="13" t="s">
        <v>45</v>
      </c>
      <c r="C62" s="34">
        <f t="shared" si="3"/>
        <v>95.339980684143896</v>
      </c>
      <c r="D62" s="34">
        <f>Data!B61/Data!$I61*100</f>
        <v>29.39432329905534</v>
      </c>
      <c r="E62" s="34">
        <f>Data!C61/Data!$I61*100</f>
        <v>65.945657385088552</v>
      </c>
      <c r="F62" s="34">
        <f>Data!D61/Data!$I61*100</f>
        <v>20.055216519265354</v>
      </c>
      <c r="G62" s="34">
        <f>Data!E61/Data!$I61*100</f>
        <v>0.29426552701135855</v>
      </c>
      <c r="H62" s="34">
        <f>Data!F61/Data!$I61*100</f>
        <v>0.6857131701068262</v>
      </c>
      <c r="I62" s="34">
        <f>Data!G61/Data!$I61*100</f>
        <v>3.3940709717481807</v>
      </c>
      <c r="J62" s="34">
        <f>Data!H61/Data!$I61*100</f>
        <v>0.28596964698977684</v>
      </c>
      <c r="K62" s="34">
        <f>Data!I61/Data!$I61*100</f>
        <v>100</v>
      </c>
      <c r="L62" s="13"/>
      <c r="M62" s="25" t="s">
        <v>45</v>
      </c>
      <c r="N62" s="13" t="s">
        <v>45</v>
      </c>
      <c r="O62" s="34">
        <f>SUM(Data!B61:C61)/Data!C96*1000</f>
        <v>209.27895033945777</v>
      </c>
      <c r="P62" s="34">
        <f>Data!B96/Data!C96</f>
        <v>197.26197586781859</v>
      </c>
      <c r="Q62" s="43">
        <f t="shared" si="4"/>
        <v>0.43278438149720361</v>
      </c>
      <c r="R62" s="44">
        <f t="shared" si="5"/>
        <v>0.51936930744712684</v>
      </c>
      <c r="S62" s="45">
        <f>Data!T26-Data!I61</f>
        <v>-51.912266920678064</v>
      </c>
      <c r="T62" s="34">
        <f>S62/Data!I61*100</f>
        <v>-10.067257106245856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spans="1:37" x14ac:dyDescent="0.35">
      <c r="A63" s="25" t="s">
        <v>46</v>
      </c>
      <c r="B63" s="13" t="s">
        <v>46</v>
      </c>
      <c r="C63" s="34">
        <f t="shared" si="3"/>
        <v>95.211447387225604</v>
      </c>
      <c r="D63" s="34">
        <f>Data!B62/Data!$I62*100</f>
        <v>29.666547208054556</v>
      </c>
      <c r="E63" s="34">
        <f>Data!C62/Data!$I62*100</f>
        <v>65.544900179171051</v>
      </c>
      <c r="F63" s="34">
        <f>Data!D62/Data!$I62*100</f>
        <v>20.611956791945111</v>
      </c>
      <c r="G63" s="34">
        <f>Data!E62/Data!$I62*100</f>
        <v>0.476325904617939</v>
      </c>
      <c r="H63" s="34">
        <f>Data!F62/Data!$I62*100</f>
        <v>1.0487406862127597</v>
      </c>
      <c r="I63" s="34">
        <f>Data!G62/Data!$I62*100</f>
        <v>2.911556339843719</v>
      </c>
      <c r="J63" s="34">
        <f>Data!H62/Data!$I62*100</f>
        <v>0.35192968209999864</v>
      </c>
      <c r="K63" s="34">
        <f>Data!I62/Data!$I62*100</f>
        <v>100</v>
      </c>
      <c r="L63" s="13"/>
      <c r="M63" s="25" t="s">
        <v>46</v>
      </c>
      <c r="N63" s="13" t="s">
        <v>46</v>
      </c>
      <c r="O63" s="34">
        <f>SUM(Data!B62:C62)/Data!C97*1000</f>
        <v>295.98695906682218</v>
      </c>
      <c r="P63" s="34">
        <f>Data!B97/Data!C97</f>
        <v>268.03452866711615</v>
      </c>
      <c r="Q63" s="43">
        <f t="shared" si="4"/>
        <v>0.6120946841676741</v>
      </c>
      <c r="R63" s="44">
        <f t="shared" si="5"/>
        <v>0.70570573428220329</v>
      </c>
      <c r="S63" s="45">
        <f>Data!T27-Data!I62</f>
        <v>-88.83276091764003</v>
      </c>
      <c r="T63" s="34">
        <f>S63/Data!I62*100</f>
        <v>-12.177771545688678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1:37" x14ac:dyDescent="0.35">
      <c r="A64" s="25" t="s">
        <v>47</v>
      </c>
      <c r="B64" s="13" t="s">
        <v>47</v>
      </c>
      <c r="C64" s="34">
        <f t="shared" si="3"/>
        <v>92.130636087811297</v>
      </c>
      <c r="D64" s="34">
        <f>Data!B63/Data!$I63*100</f>
        <v>24.36495212568224</v>
      </c>
      <c r="E64" s="34">
        <f>Data!C63/Data!$I63*100</f>
        <v>67.76568396212906</v>
      </c>
      <c r="F64" s="34">
        <f>Data!D63/Data!$I63*100</f>
        <v>17.564325298264023</v>
      </c>
      <c r="G64" s="34">
        <f>Data!E63/Data!$I63*100</f>
        <v>0.69446475441774569</v>
      </c>
      <c r="H64" s="34">
        <f>Data!F63/Data!$I63*100</f>
        <v>2.5069552678952194</v>
      </c>
      <c r="I64" s="34">
        <f>Data!G63/Data!$I63*100</f>
        <v>4.4251978479864436</v>
      </c>
      <c r="J64" s="34">
        <f>Data!H63/Data!$I63*100</f>
        <v>0.2427460418892666</v>
      </c>
      <c r="K64" s="34">
        <f>Data!I63/Data!$I63*100</f>
        <v>100</v>
      </c>
      <c r="L64" s="13"/>
      <c r="M64" s="25" t="s">
        <v>47</v>
      </c>
      <c r="N64" s="13" t="s">
        <v>47</v>
      </c>
      <c r="O64" s="34">
        <f>SUM(Data!B63:C63)/Data!C98*1000</f>
        <v>438.63070983539302</v>
      </c>
      <c r="P64" s="34">
        <f>Data!B98/Data!C98</f>
        <v>379.55604795273558</v>
      </c>
      <c r="Q64" s="43">
        <f t="shared" si="4"/>
        <v>0.90707890188609497</v>
      </c>
      <c r="R64" s="44">
        <f t="shared" si="5"/>
        <v>0.99932975372138411</v>
      </c>
      <c r="S64" s="45">
        <f>Data!T28-Data!I63</f>
        <v>103.51333023636425</v>
      </c>
      <c r="T64" s="34">
        <f>S64/Data!I63*100</f>
        <v>9.2488127079395195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1:37" x14ac:dyDescent="0.35">
      <c r="A65" s="25" t="s">
        <v>48</v>
      </c>
      <c r="B65" s="13" t="s">
        <v>48</v>
      </c>
      <c r="C65" s="34">
        <f t="shared" si="3"/>
        <v>74.986726412479783</v>
      </c>
      <c r="D65" s="34">
        <f>Data!B64/Data!$I64*100</f>
        <v>6.913386583720138</v>
      </c>
      <c r="E65" s="34">
        <f>Data!C64/Data!$I64*100</f>
        <v>68.073339828759643</v>
      </c>
      <c r="F65" s="34">
        <f>Data!D64/Data!$I64*100</f>
        <v>3.8026533428125084</v>
      </c>
      <c r="G65" s="34">
        <f>Data!E64/Data!$I64*100</f>
        <v>4.3184339432685519</v>
      </c>
      <c r="H65" s="34">
        <f>Data!F64/Data!$I64*100</f>
        <v>6.5109587186421001</v>
      </c>
      <c r="I65" s="34">
        <f>Data!G64/Data!$I64*100</f>
        <v>13.232509956627972</v>
      </c>
      <c r="J65" s="34">
        <f>Data!H64/Data!$I64*100</f>
        <v>0.95137096898160656</v>
      </c>
      <c r="K65" s="34">
        <f>Data!I64/Data!$I64*100</f>
        <v>100</v>
      </c>
      <c r="L65" s="13"/>
      <c r="M65" s="25" t="s">
        <v>48</v>
      </c>
      <c r="N65" s="13" t="s">
        <v>48</v>
      </c>
      <c r="O65" s="34">
        <f>SUM(Data!B64:C64)/Data!C99*1000</f>
        <v>1343.0552987720719</v>
      </c>
      <c r="P65" s="34">
        <f>Data!B99/Data!C99</f>
        <v>928.41222945231789</v>
      </c>
      <c r="Q65" s="43">
        <f t="shared" si="4"/>
        <v>2.7774095572096469</v>
      </c>
      <c r="R65" s="44">
        <f t="shared" si="5"/>
        <v>2.4444083281371913</v>
      </c>
      <c r="S65" s="45">
        <f>Data!T29-Data!I64</f>
        <v>89.967809896059407</v>
      </c>
      <c r="T65" s="34">
        <f>S65/Data!I64*100</f>
        <v>2.1304214579330636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1:37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1:37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1:37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1:37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1:37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1:37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</sheetData>
  <conditionalFormatting sqref="C42:K65">
    <cfRule type="cellIs" dxfId="2" priority="7" operator="lessThan">
      <formula>0</formula>
    </cfRule>
  </conditionalFormatting>
  <conditionalFormatting sqref="C7:O30">
    <cfRule type="cellIs" dxfId="1" priority="11" operator="lessThan">
      <formula>0</formula>
    </cfRule>
  </conditionalFormatting>
  <conditionalFormatting sqref="O42:R65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2026-02-05T09:21:48Z</dcterms:modified>
</cp:coreProperties>
</file>