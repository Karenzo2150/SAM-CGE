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0" documentId="13_ncr:1_{3694A4D1-CB04-48E8-8AC1-AF9273C76ADC}" xr6:coauthVersionLast="46" xr6:coauthVersionMax="46" xr10:uidLastSave="{00000000-0000-0000-0000-000000000000}"/>
  <bookViews>
    <workbookView xWindow="-28920" yWindow="-120" windowWidth="29040" windowHeight="17640" activeTab="2" xr2:uid="{00000000-000D-0000-FFFF-FFFF00000000}"/>
  </bookViews>
  <sheets>
    <sheet name="Index" sheetId="1" r:id="rId1"/>
    <sheet name="Data" sheetId="2" r:id="rId2"/>
    <sheet name="Work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6" i="2" l="1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I55" i="2"/>
  <c r="K56" i="3" s="1"/>
  <c r="H55" i="2"/>
  <c r="G55" i="2"/>
  <c r="F55" i="2"/>
  <c r="E55" i="2"/>
  <c r="D55" i="2"/>
  <c r="C55" i="2"/>
  <c r="B55" i="2"/>
  <c r="I54" i="2"/>
  <c r="K55" i="3" s="1"/>
  <c r="H54" i="2"/>
  <c r="G54" i="2"/>
  <c r="F54" i="2"/>
  <c r="E54" i="2"/>
  <c r="D54" i="2"/>
  <c r="C54" i="2"/>
  <c r="B54" i="2"/>
  <c r="I53" i="2"/>
  <c r="K54" i="3" s="1"/>
  <c r="H53" i="2"/>
  <c r="G53" i="2"/>
  <c r="F53" i="2"/>
  <c r="E53" i="2"/>
  <c r="D53" i="2"/>
  <c r="C53" i="2"/>
  <c r="B53" i="2"/>
  <c r="I52" i="2"/>
  <c r="K53" i="3" s="1"/>
  <c r="H52" i="2"/>
  <c r="G52" i="2"/>
  <c r="F52" i="2"/>
  <c r="E52" i="2"/>
  <c r="D52" i="2"/>
  <c r="C52" i="2"/>
  <c r="B52" i="2"/>
  <c r="I51" i="2"/>
  <c r="K52" i="3" s="1"/>
  <c r="H51" i="2"/>
  <c r="G51" i="2"/>
  <c r="F51" i="2"/>
  <c r="E51" i="2"/>
  <c r="D51" i="2"/>
  <c r="C51" i="2"/>
  <c r="B51" i="2"/>
  <c r="I50" i="2"/>
  <c r="K51" i="3" s="1"/>
  <c r="H50" i="2"/>
  <c r="G50" i="2"/>
  <c r="F50" i="2"/>
  <c r="E50" i="2"/>
  <c r="D50" i="2"/>
  <c r="C50" i="2"/>
  <c r="B50" i="2"/>
  <c r="I49" i="2"/>
  <c r="K50" i="3" s="1"/>
  <c r="H49" i="2"/>
  <c r="G49" i="2"/>
  <c r="F49" i="2"/>
  <c r="E49" i="2"/>
  <c r="D49" i="2"/>
  <c r="C49" i="2"/>
  <c r="B49" i="2"/>
  <c r="I48" i="2"/>
  <c r="K49" i="3" s="1"/>
  <c r="H48" i="2"/>
  <c r="G48" i="2"/>
  <c r="F48" i="2"/>
  <c r="E48" i="2"/>
  <c r="D48" i="2"/>
  <c r="C48" i="2"/>
  <c r="B48" i="2"/>
  <c r="I47" i="2"/>
  <c r="K48" i="3" s="1"/>
  <c r="H47" i="2"/>
  <c r="G47" i="2"/>
  <c r="F47" i="2"/>
  <c r="E47" i="2"/>
  <c r="D47" i="2"/>
  <c r="C47" i="2"/>
  <c r="B47" i="2"/>
  <c r="I46" i="2"/>
  <c r="K47" i="3" s="1"/>
  <c r="H46" i="2"/>
  <c r="G46" i="2"/>
  <c r="F46" i="2"/>
  <c r="E46" i="2"/>
  <c r="D46" i="2"/>
  <c r="C46" i="2"/>
  <c r="B46" i="2"/>
  <c r="I45" i="2"/>
  <c r="K46" i="3" s="1"/>
  <c r="H45" i="2"/>
  <c r="G45" i="2"/>
  <c r="F45" i="2"/>
  <c r="E45" i="2"/>
  <c r="D45" i="2"/>
  <c r="C45" i="2"/>
  <c r="B45" i="2"/>
  <c r="I44" i="2"/>
  <c r="K45" i="3" s="1"/>
  <c r="H44" i="2"/>
  <c r="G44" i="2"/>
  <c r="F44" i="2"/>
  <c r="E44" i="2"/>
  <c r="D44" i="2"/>
  <c r="C44" i="2"/>
  <c r="B44" i="2"/>
  <c r="I43" i="2"/>
  <c r="K44" i="3" s="1"/>
  <c r="H43" i="2"/>
  <c r="G43" i="2"/>
  <c r="F43" i="2"/>
  <c r="E43" i="2"/>
  <c r="D43" i="2"/>
  <c r="C43" i="2"/>
  <c r="B43" i="2"/>
  <c r="I42" i="2"/>
  <c r="K43" i="3" s="1"/>
  <c r="H42" i="2"/>
  <c r="G42" i="2"/>
  <c r="F42" i="2"/>
  <c r="E42" i="2"/>
  <c r="D42" i="2"/>
  <c r="C42" i="2"/>
  <c r="B42" i="2"/>
  <c r="I41" i="2"/>
  <c r="H41" i="2"/>
  <c r="G41" i="2"/>
  <c r="F41" i="2"/>
  <c r="E41" i="2"/>
  <c r="D41" i="2"/>
  <c r="C41" i="2"/>
  <c r="B41" i="2"/>
  <c r="T20" i="2"/>
  <c r="T19" i="2"/>
  <c r="T18" i="2"/>
  <c r="T17" i="2"/>
  <c r="T16" i="2"/>
  <c r="T15" i="2"/>
  <c r="T14" i="2"/>
  <c r="T13" i="2"/>
  <c r="T12" i="2"/>
  <c r="S48" i="3" s="1"/>
  <c r="T48" i="3" s="1"/>
  <c r="T11" i="2"/>
  <c r="T10" i="2"/>
  <c r="T9" i="2"/>
  <c r="T8" i="2"/>
  <c r="T7" i="2"/>
  <c r="T6" i="2"/>
  <c r="M20" i="2"/>
  <c r="L20" i="2"/>
  <c r="K20" i="2"/>
  <c r="J20" i="2"/>
  <c r="M19" i="2"/>
  <c r="L19" i="2"/>
  <c r="K19" i="2"/>
  <c r="J19" i="2"/>
  <c r="M18" i="2"/>
  <c r="L18" i="2"/>
  <c r="K18" i="2"/>
  <c r="J18" i="2"/>
  <c r="M17" i="2"/>
  <c r="L17" i="2"/>
  <c r="K17" i="2"/>
  <c r="J17" i="2"/>
  <c r="M16" i="2"/>
  <c r="L16" i="2"/>
  <c r="K16" i="2"/>
  <c r="J16" i="2"/>
  <c r="M15" i="2"/>
  <c r="L15" i="2"/>
  <c r="K15" i="2"/>
  <c r="J15" i="2"/>
  <c r="M14" i="2"/>
  <c r="L14" i="2"/>
  <c r="K14" i="2"/>
  <c r="J14" i="2"/>
  <c r="M13" i="2"/>
  <c r="L13" i="2"/>
  <c r="K13" i="2"/>
  <c r="J13" i="2"/>
  <c r="M12" i="2"/>
  <c r="L12" i="2"/>
  <c r="K12" i="2"/>
  <c r="J12" i="2"/>
  <c r="M11" i="2"/>
  <c r="L11" i="2"/>
  <c r="K11" i="2"/>
  <c r="J11" i="2"/>
  <c r="M10" i="2"/>
  <c r="L10" i="2"/>
  <c r="K10" i="2"/>
  <c r="J10" i="2"/>
  <c r="M9" i="2"/>
  <c r="L9" i="2"/>
  <c r="K9" i="2"/>
  <c r="J9" i="2"/>
  <c r="M8" i="2"/>
  <c r="L8" i="2"/>
  <c r="K8" i="2"/>
  <c r="J8" i="2"/>
  <c r="M7" i="2"/>
  <c r="L7" i="2"/>
  <c r="K7" i="2"/>
  <c r="J7" i="2"/>
  <c r="M6" i="2"/>
  <c r="L6" i="2"/>
  <c r="K6" i="2"/>
  <c r="J6" i="2"/>
  <c r="S20" i="2"/>
  <c r="R20" i="2"/>
  <c r="Q20" i="2"/>
  <c r="P20" i="2"/>
  <c r="O20" i="2"/>
  <c r="N20" i="2"/>
  <c r="I21" i="3" s="1"/>
  <c r="I20" i="2"/>
  <c r="H20" i="2"/>
  <c r="G20" i="2"/>
  <c r="F20" i="2"/>
  <c r="E20" i="2"/>
  <c r="D20" i="2"/>
  <c r="C20" i="2"/>
  <c r="B20" i="2"/>
  <c r="S19" i="2"/>
  <c r="R19" i="2"/>
  <c r="Q19" i="2"/>
  <c r="P19" i="2"/>
  <c r="O19" i="2"/>
  <c r="N19" i="2"/>
  <c r="I19" i="2"/>
  <c r="H19" i="2"/>
  <c r="G19" i="2"/>
  <c r="F19" i="2"/>
  <c r="E19" i="2"/>
  <c r="D19" i="2"/>
  <c r="C19" i="2"/>
  <c r="B19" i="2"/>
  <c r="S18" i="2"/>
  <c r="R18" i="2"/>
  <c r="Q18" i="2"/>
  <c r="P18" i="2"/>
  <c r="O18" i="2"/>
  <c r="N18" i="2"/>
  <c r="I18" i="2"/>
  <c r="H18" i="2"/>
  <c r="G18" i="2"/>
  <c r="F18" i="2"/>
  <c r="E18" i="2"/>
  <c r="D18" i="2"/>
  <c r="C18" i="2"/>
  <c r="B18" i="2"/>
  <c r="S17" i="2"/>
  <c r="R17" i="2"/>
  <c r="Q17" i="2"/>
  <c r="P17" i="2"/>
  <c r="O17" i="2"/>
  <c r="N17" i="2"/>
  <c r="I17" i="2"/>
  <c r="H17" i="2"/>
  <c r="G17" i="2"/>
  <c r="F17" i="2"/>
  <c r="E17" i="2"/>
  <c r="D17" i="2"/>
  <c r="C17" i="2"/>
  <c r="B17" i="2"/>
  <c r="S16" i="2"/>
  <c r="R16" i="2"/>
  <c r="M17" i="3" s="1"/>
  <c r="Q16" i="2"/>
  <c r="P16" i="2"/>
  <c r="O16" i="2"/>
  <c r="N16" i="2"/>
  <c r="I16" i="2"/>
  <c r="H16" i="2"/>
  <c r="G16" i="2"/>
  <c r="F16" i="2"/>
  <c r="E16" i="2"/>
  <c r="D16" i="2"/>
  <c r="C16" i="2"/>
  <c r="B16" i="2"/>
  <c r="S15" i="2"/>
  <c r="R15" i="2"/>
  <c r="Q15" i="2"/>
  <c r="P15" i="2"/>
  <c r="O15" i="2"/>
  <c r="J16" i="3" s="1"/>
  <c r="N15" i="2"/>
  <c r="I15" i="2"/>
  <c r="H15" i="2"/>
  <c r="G15" i="2"/>
  <c r="F15" i="2"/>
  <c r="E15" i="2"/>
  <c r="D15" i="2"/>
  <c r="C15" i="2"/>
  <c r="B15" i="2"/>
  <c r="S14" i="2"/>
  <c r="R14" i="2"/>
  <c r="Q14" i="2"/>
  <c r="P14" i="2"/>
  <c r="O14" i="2"/>
  <c r="N14" i="2"/>
  <c r="I14" i="2"/>
  <c r="H14" i="2"/>
  <c r="G14" i="2"/>
  <c r="F14" i="2"/>
  <c r="E14" i="2"/>
  <c r="D14" i="2"/>
  <c r="C14" i="2"/>
  <c r="B14" i="2"/>
  <c r="S13" i="2"/>
  <c r="R13" i="2"/>
  <c r="Q13" i="2"/>
  <c r="P13" i="2"/>
  <c r="O13" i="2"/>
  <c r="N13" i="2"/>
  <c r="I13" i="2"/>
  <c r="H13" i="2"/>
  <c r="G13" i="2"/>
  <c r="F13" i="2"/>
  <c r="E13" i="2"/>
  <c r="D13" i="2"/>
  <c r="C13" i="2"/>
  <c r="B13" i="2"/>
  <c r="S12" i="2"/>
  <c r="R12" i="2"/>
  <c r="Q12" i="2"/>
  <c r="P12" i="2"/>
  <c r="O12" i="2"/>
  <c r="N12" i="2"/>
  <c r="I12" i="2"/>
  <c r="H12" i="2"/>
  <c r="G12" i="2"/>
  <c r="F12" i="2"/>
  <c r="E12" i="2"/>
  <c r="D12" i="2"/>
  <c r="C12" i="2"/>
  <c r="B12" i="2"/>
  <c r="S11" i="2"/>
  <c r="R11" i="2"/>
  <c r="Q11" i="2"/>
  <c r="P11" i="2"/>
  <c r="O11" i="2"/>
  <c r="N11" i="2"/>
  <c r="I11" i="2"/>
  <c r="H11" i="2"/>
  <c r="G11" i="2"/>
  <c r="F11" i="2"/>
  <c r="E11" i="2"/>
  <c r="D11" i="2"/>
  <c r="C11" i="2"/>
  <c r="B11" i="2"/>
  <c r="S10" i="2"/>
  <c r="R10" i="2"/>
  <c r="Q10" i="2"/>
  <c r="P10" i="2"/>
  <c r="O10" i="2"/>
  <c r="N10" i="2"/>
  <c r="I10" i="2"/>
  <c r="H10" i="2"/>
  <c r="G10" i="2"/>
  <c r="F10" i="2"/>
  <c r="E10" i="2"/>
  <c r="D10" i="2"/>
  <c r="C10" i="2"/>
  <c r="B10" i="2"/>
  <c r="S9" i="2"/>
  <c r="R9" i="2"/>
  <c r="Q9" i="2"/>
  <c r="P9" i="2"/>
  <c r="O9" i="2"/>
  <c r="N9" i="2"/>
  <c r="I9" i="2"/>
  <c r="H9" i="2"/>
  <c r="G9" i="2"/>
  <c r="F9" i="2"/>
  <c r="E9" i="2"/>
  <c r="D9" i="2"/>
  <c r="C9" i="2"/>
  <c r="B9" i="2"/>
  <c r="S8" i="2"/>
  <c r="R8" i="2"/>
  <c r="Q8" i="2"/>
  <c r="P8" i="2"/>
  <c r="O8" i="2"/>
  <c r="N8" i="2"/>
  <c r="I8" i="2"/>
  <c r="H8" i="2"/>
  <c r="G8" i="2"/>
  <c r="F8" i="2"/>
  <c r="E8" i="2"/>
  <c r="D8" i="2"/>
  <c r="C8" i="2"/>
  <c r="B8" i="2"/>
  <c r="S7" i="2"/>
  <c r="R7" i="2"/>
  <c r="Q7" i="2"/>
  <c r="P7" i="2"/>
  <c r="O7" i="2"/>
  <c r="N7" i="2"/>
  <c r="I7" i="2"/>
  <c r="H7" i="2"/>
  <c r="G7" i="2"/>
  <c r="F7" i="2"/>
  <c r="E7" i="2"/>
  <c r="D7" i="2"/>
  <c r="C7" i="2"/>
  <c r="B7" i="2"/>
  <c r="S6" i="2"/>
  <c r="R6" i="2"/>
  <c r="Q6" i="2"/>
  <c r="P6" i="2"/>
  <c r="O6" i="2"/>
  <c r="N6" i="2"/>
  <c r="I6" i="2"/>
  <c r="H6" i="2"/>
  <c r="G6" i="2"/>
  <c r="F6" i="2"/>
  <c r="E6" i="2"/>
  <c r="D6" i="2"/>
  <c r="C6" i="2"/>
  <c r="B6" i="2"/>
  <c r="N12" i="3" l="1"/>
  <c r="L16" i="3"/>
  <c r="K17" i="3"/>
  <c r="J8" i="3"/>
  <c r="K8" i="3"/>
  <c r="L8" i="3"/>
  <c r="I10" i="3"/>
  <c r="N11" i="3"/>
  <c r="J17" i="3"/>
  <c r="I8" i="3"/>
  <c r="L17" i="3"/>
  <c r="N17" i="3"/>
  <c r="J15" i="3"/>
  <c r="K20" i="3"/>
  <c r="N13" i="3"/>
  <c r="M11" i="3"/>
  <c r="I17" i="3"/>
  <c r="M19" i="3"/>
  <c r="C61" i="2"/>
  <c r="C63" i="2"/>
  <c r="I7" i="3"/>
  <c r="M8" i="3"/>
  <c r="N8" i="3"/>
  <c r="N27" i="2"/>
  <c r="I60" i="2"/>
  <c r="K61" i="3" s="1"/>
  <c r="P28" i="2"/>
  <c r="F28" i="2"/>
  <c r="N19" i="3"/>
  <c r="H25" i="2"/>
  <c r="P27" i="2"/>
  <c r="R28" i="2"/>
  <c r="F13" i="3"/>
  <c r="I16" i="3"/>
  <c r="J26" i="2"/>
  <c r="S51" i="3"/>
  <c r="T51" i="3" s="1"/>
  <c r="F47" i="3"/>
  <c r="F49" i="3"/>
  <c r="F51" i="3"/>
  <c r="D11" i="3"/>
  <c r="K16" i="3"/>
  <c r="S53" i="3"/>
  <c r="T53" i="3" s="1"/>
  <c r="H43" i="3"/>
  <c r="H45" i="3"/>
  <c r="H47" i="3"/>
  <c r="H49" i="3"/>
  <c r="H51" i="3"/>
  <c r="H53" i="3"/>
  <c r="H55" i="3"/>
  <c r="S55" i="3"/>
  <c r="T55" i="3" s="1"/>
  <c r="P46" i="3"/>
  <c r="P54" i="3"/>
  <c r="O54" i="3"/>
  <c r="I19" i="3"/>
  <c r="E25" i="2"/>
  <c r="G26" i="2"/>
  <c r="J10" i="3"/>
  <c r="L11" i="3"/>
  <c r="J18" i="3"/>
  <c r="L19" i="3"/>
  <c r="N20" i="3"/>
  <c r="K25" i="2"/>
  <c r="K29" i="2"/>
  <c r="S47" i="3"/>
  <c r="T47" i="3" s="1"/>
  <c r="J44" i="3"/>
  <c r="J46" i="3"/>
  <c r="J48" i="3"/>
  <c r="J50" i="3"/>
  <c r="J52" i="3"/>
  <c r="J54" i="3"/>
  <c r="J56" i="3"/>
  <c r="F25" i="2"/>
  <c r="K18" i="3"/>
  <c r="G25" i="2"/>
  <c r="I26" i="2"/>
  <c r="O27" i="2"/>
  <c r="Q28" i="2"/>
  <c r="E13" i="3"/>
  <c r="G14" i="3"/>
  <c r="L18" i="3"/>
  <c r="E21" i="3"/>
  <c r="M25" i="2"/>
  <c r="M29" i="2"/>
  <c r="S49" i="3"/>
  <c r="T49" i="3" s="1"/>
  <c r="D43" i="3"/>
  <c r="D45" i="3"/>
  <c r="O47" i="3"/>
  <c r="D51" i="3"/>
  <c r="O53" i="3"/>
  <c r="O55" i="3"/>
  <c r="C95" i="2"/>
  <c r="H26" i="2"/>
  <c r="D14" i="3"/>
  <c r="M18" i="3"/>
  <c r="D20" i="3"/>
  <c r="F21" i="3"/>
  <c r="E47" i="3"/>
  <c r="E49" i="3"/>
  <c r="E51" i="3"/>
  <c r="E53" i="3"/>
  <c r="E55" i="3"/>
  <c r="B96" i="2"/>
  <c r="P51" i="3"/>
  <c r="N18" i="3"/>
  <c r="D61" i="2"/>
  <c r="D63" i="2"/>
  <c r="F53" i="3"/>
  <c r="F55" i="3"/>
  <c r="C96" i="2"/>
  <c r="D19" i="3"/>
  <c r="F20" i="3"/>
  <c r="E61" i="2"/>
  <c r="E63" i="2"/>
  <c r="G51" i="3"/>
  <c r="G53" i="3"/>
  <c r="G55" i="3"/>
  <c r="E18" i="3"/>
  <c r="R25" i="2"/>
  <c r="F10" i="3"/>
  <c r="D17" i="3"/>
  <c r="G10" i="3"/>
  <c r="E17" i="3"/>
  <c r="G18" i="3"/>
  <c r="J21" i="3"/>
  <c r="O44" i="3"/>
  <c r="O48" i="3"/>
  <c r="B27" i="2"/>
  <c r="F29" i="2"/>
  <c r="F18" i="3"/>
  <c r="F17" i="3"/>
  <c r="I20" i="3"/>
  <c r="K21" i="3"/>
  <c r="P47" i="3"/>
  <c r="P55" i="3"/>
  <c r="P48" i="3"/>
  <c r="P56" i="3"/>
  <c r="S52" i="3"/>
  <c r="T52" i="3" s="1"/>
  <c r="G47" i="3"/>
  <c r="G49" i="3"/>
  <c r="P44" i="3"/>
  <c r="P52" i="3"/>
  <c r="G20" i="3"/>
  <c r="M26" i="2"/>
  <c r="C97" i="2"/>
  <c r="F12" i="3"/>
  <c r="E11" i="3"/>
  <c r="G12" i="3"/>
  <c r="E19" i="3"/>
  <c r="F11" i="3"/>
  <c r="K15" i="3"/>
  <c r="M16" i="3"/>
  <c r="D18" i="3"/>
  <c r="F19" i="3"/>
  <c r="J27" i="2"/>
  <c r="S54" i="3"/>
  <c r="T54" i="3" s="1"/>
  <c r="I43" i="3"/>
  <c r="I45" i="3"/>
  <c r="I47" i="3"/>
  <c r="I49" i="3"/>
  <c r="I51" i="3"/>
  <c r="I53" i="3"/>
  <c r="I55" i="3"/>
  <c r="P45" i="3"/>
  <c r="P53" i="3"/>
  <c r="H60" i="2"/>
  <c r="Q25" i="2"/>
  <c r="C28" i="2"/>
  <c r="N16" i="3"/>
  <c r="K27" i="2"/>
  <c r="Q27" i="2"/>
  <c r="R27" i="2"/>
  <c r="L27" i="2"/>
  <c r="S56" i="3"/>
  <c r="T56" i="3" s="1"/>
  <c r="D56" i="3"/>
  <c r="I25" i="2"/>
  <c r="D27" i="2"/>
  <c r="K13" i="3"/>
  <c r="E44" i="3"/>
  <c r="E46" i="3"/>
  <c r="E48" i="3"/>
  <c r="E50" i="3"/>
  <c r="E52" i="3"/>
  <c r="E54" i="3"/>
  <c r="E56" i="3"/>
  <c r="L13" i="3"/>
  <c r="J20" i="3"/>
  <c r="L21" i="3"/>
  <c r="S43" i="3"/>
  <c r="T43" i="3" s="1"/>
  <c r="D60" i="2"/>
  <c r="F54" i="3"/>
  <c r="F56" i="3"/>
  <c r="J13" i="3"/>
  <c r="H29" i="2"/>
  <c r="M13" i="3"/>
  <c r="L28" i="2"/>
  <c r="S44" i="3"/>
  <c r="T44" i="3" s="1"/>
  <c r="E60" i="2"/>
  <c r="G44" i="3"/>
  <c r="G46" i="3"/>
  <c r="G48" i="3"/>
  <c r="G50" i="3"/>
  <c r="G52" i="3"/>
  <c r="G54" i="3"/>
  <c r="G56" i="3"/>
  <c r="S28" i="2"/>
  <c r="I13" i="3"/>
  <c r="D46" i="3"/>
  <c r="D52" i="3"/>
  <c r="K12" i="3"/>
  <c r="F16" i="3"/>
  <c r="M21" i="3"/>
  <c r="C25" i="2"/>
  <c r="E26" i="2"/>
  <c r="G27" i="2"/>
  <c r="I28" i="2"/>
  <c r="O29" i="2"/>
  <c r="L12" i="3"/>
  <c r="J19" i="3"/>
  <c r="L20" i="3"/>
  <c r="N21" i="3"/>
  <c r="S45" i="3"/>
  <c r="T45" i="3" s="1"/>
  <c r="F60" i="2"/>
  <c r="H44" i="3"/>
  <c r="H46" i="3"/>
  <c r="H48" i="3"/>
  <c r="H50" i="3"/>
  <c r="H52" i="3"/>
  <c r="H54" i="3"/>
  <c r="H56" i="3"/>
  <c r="G29" i="2"/>
  <c r="B26" i="2"/>
  <c r="I12" i="3"/>
  <c r="H27" i="2"/>
  <c r="P29" i="2"/>
  <c r="M12" i="3"/>
  <c r="I18" i="3"/>
  <c r="K19" i="3"/>
  <c r="M20" i="3"/>
  <c r="S46" i="3"/>
  <c r="T46" i="3" s="1"/>
  <c r="G60" i="2"/>
  <c r="I44" i="3"/>
  <c r="I46" i="3"/>
  <c r="I48" i="3"/>
  <c r="I50" i="3"/>
  <c r="I52" i="3"/>
  <c r="I54" i="3"/>
  <c r="I56" i="3"/>
  <c r="P49" i="3"/>
  <c r="P42" i="3"/>
  <c r="E28" i="2"/>
  <c r="O49" i="3"/>
  <c r="D12" i="3"/>
  <c r="S50" i="3"/>
  <c r="T50" i="3" s="1"/>
  <c r="E12" i="3"/>
  <c r="G13" i="3"/>
  <c r="E20" i="3"/>
  <c r="G21" i="3"/>
  <c r="B29" i="2"/>
  <c r="I15" i="3"/>
  <c r="R29" i="2"/>
  <c r="S29" i="2"/>
  <c r="B28" i="2"/>
  <c r="I14" i="3"/>
  <c r="G61" i="2"/>
  <c r="G11" i="3"/>
  <c r="J14" i="3"/>
  <c r="L15" i="3"/>
  <c r="G19" i="3"/>
  <c r="J43" i="3"/>
  <c r="J45" i="3"/>
  <c r="J47" i="3"/>
  <c r="J49" i="3"/>
  <c r="J51" i="3"/>
  <c r="J53" i="3"/>
  <c r="J55" i="3"/>
  <c r="C98" i="2"/>
  <c r="H61" i="2"/>
  <c r="S27" i="2"/>
  <c r="K14" i="3"/>
  <c r="M15" i="3"/>
  <c r="G63" i="2"/>
  <c r="S25" i="2"/>
  <c r="L14" i="3"/>
  <c r="N15" i="3"/>
  <c r="M27" i="2"/>
  <c r="B60" i="2"/>
  <c r="O50" i="3"/>
  <c r="C99" i="2"/>
  <c r="H63" i="2"/>
  <c r="M14" i="3"/>
  <c r="D16" i="3"/>
  <c r="J28" i="2"/>
  <c r="T25" i="2"/>
  <c r="C60" i="2"/>
  <c r="C27" i="2"/>
  <c r="C26" i="2"/>
  <c r="E27" i="2"/>
  <c r="G28" i="2"/>
  <c r="I29" i="2"/>
  <c r="O25" i="2"/>
  <c r="N14" i="3"/>
  <c r="C29" i="2"/>
  <c r="G17" i="3"/>
  <c r="I27" i="2"/>
  <c r="K28" i="2"/>
  <c r="K26" i="2"/>
  <c r="F44" i="3"/>
  <c r="F46" i="3"/>
  <c r="F48" i="3"/>
  <c r="F50" i="3"/>
  <c r="F52" i="3"/>
  <c r="B98" i="2"/>
  <c r="P25" i="2"/>
  <c r="D26" i="2"/>
  <c r="F27" i="2"/>
  <c r="H28" i="2"/>
  <c r="N29" i="2"/>
  <c r="D15" i="3"/>
  <c r="L26" i="2"/>
  <c r="E9" i="3"/>
  <c r="B25" i="2"/>
  <c r="E15" i="3"/>
  <c r="G16" i="3"/>
  <c r="M28" i="2"/>
  <c r="T28" i="2"/>
  <c r="L10" i="3"/>
  <c r="F43" i="3"/>
  <c r="D25" i="2"/>
  <c r="F26" i="2"/>
  <c r="F15" i="3"/>
  <c r="J25" i="2"/>
  <c r="J29" i="2"/>
  <c r="M10" i="3"/>
  <c r="G43" i="3"/>
  <c r="O51" i="3"/>
  <c r="E14" i="3"/>
  <c r="G15" i="3"/>
  <c r="N25" i="2"/>
  <c r="F45" i="3"/>
  <c r="O56" i="3"/>
  <c r="D13" i="3"/>
  <c r="F14" i="3"/>
  <c r="D21" i="3"/>
  <c r="L25" i="2"/>
  <c r="L29" i="2"/>
  <c r="P50" i="3"/>
  <c r="G45" i="3"/>
  <c r="D28" i="2"/>
  <c r="Q29" i="2"/>
  <c r="F61" i="2"/>
  <c r="F63" i="2"/>
  <c r="B97" i="2"/>
  <c r="P63" i="3" s="1"/>
  <c r="D9" i="3"/>
  <c r="K10" i="3"/>
  <c r="E43" i="3"/>
  <c r="E45" i="3"/>
  <c r="D47" i="3"/>
  <c r="D49" i="3"/>
  <c r="D53" i="3"/>
  <c r="D55" i="3"/>
  <c r="O45" i="3"/>
  <c r="D29" i="2"/>
  <c r="T29" i="2"/>
  <c r="I61" i="2"/>
  <c r="K62" i="3" s="1"/>
  <c r="I63" i="2"/>
  <c r="K64" i="3" s="1"/>
  <c r="G9" i="3"/>
  <c r="N10" i="3"/>
  <c r="J12" i="3"/>
  <c r="O46" i="3"/>
  <c r="N26" i="2"/>
  <c r="E29" i="2"/>
  <c r="B62" i="2"/>
  <c r="B64" i="2"/>
  <c r="B99" i="2"/>
  <c r="I9" i="3"/>
  <c r="O26" i="2"/>
  <c r="C62" i="2"/>
  <c r="C64" i="2"/>
  <c r="J9" i="3"/>
  <c r="O52" i="3"/>
  <c r="P26" i="2"/>
  <c r="D62" i="2"/>
  <c r="D64" i="2"/>
  <c r="D8" i="3"/>
  <c r="K9" i="3"/>
  <c r="F9" i="3"/>
  <c r="Q26" i="2"/>
  <c r="E62" i="2"/>
  <c r="E64" i="2"/>
  <c r="E8" i="3"/>
  <c r="L9" i="3"/>
  <c r="E16" i="3"/>
  <c r="D44" i="3"/>
  <c r="R26" i="2"/>
  <c r="F62" i="2"/>
  <c r="F64" i="2"/>
  <c r="F8" i="3"/>
  <c r="M9" i="3"/>
  <c r="I11" i="3"/>
  <c r="D48" i="3"/>
  <c r="D50" i="3"/>
  <c r="D54" i="3"/>
  <c r="S26" i="2"/>
  <c r="G62" i="2"/>
  <c r="G64" i="2"/>
  <c r="G8" i="3"/>
  <c r="N9" i="3"/>
  <c r="J11" i="3"/>
  <c r="T26" i="2"/>
  <c r="N28" i="2"/>
  <c r="H62" i="2"/>
  <c r="H64" i="2"/>
  <c r="D10" i="3"/>
  <c r="K11" i="3"/>
  <c r="O43" i="3"/>
  <c r="O28" i="2"/>
  <c r="I62" i="2"/>
  <c r="K63" i="3" s="1"/>
  <c r="I64" i="2"/>
  <c r="K65" i="3" s="1"/>
  <c r="E10" i="3"/>
  <c r="P43" i="3"/>
  <c r="B61" i="2"/>
  <c r="B63" i="2"/>
  <c r="B95" i="2"/>
  <c r="T27" i="2"/>
  <c r="G57" i="2"/>
  <c r="J7" i="3"/>
  <c r="M7" i="3"/>
  <c r="N7" i="3"/>
  <c r="E57" i="2"/>
  <c r="G56" i="2"/>
  <c r="D57" i="2"/>
  <c r="C92" i="2"/>
  <c r="H57" i="2"/>
  <c r="C93" i="2"/>
  <c r="S23" i="2"/>
  <c r="E22" i="2"/>
  <c r="K22" i="2"/>
  <c r="F22" i="2"/>
  <c r="L23" i="2"/>
  <c r="D58" i="2"/>
  <c r="L7" i="3"/>
  <c r="E58" i="2"/>
  <c r="K23" i="2"/>
  <c r="G58" i="2"/>
  <c r="P23" i="2"/>
  <c r="B57" i="2"/>
  <c r="C56" i="2"/>
  <c r="B93" i="2"/>
  <c r="D22" i="2"/>
  <c r="R23" i="2"/>
  <c r="F57" i="2"/>
  <c r="I57" i="2"/>
  <c r="K58" i="3" s="1"/>
  <c r="D21" i="2"/>
  <c r="H22" i="2"/>
  <c r="B23" i="2"/>
  <c r="L22" i="2"/>
  <c r="T22" i="2"/>
  <c r="F56" i="2"/>
  <c r="B58" i="2"/>
  <c r="E56" i="2"/>
  <c r="E21" i="2"/>
  <c r="I22" i="2"/>
  <c r="C23" i="2"/>
  <c r="C58" i="2"/>
  <c r="D23" i="2"/>
  <c r="J23" i="2"/>
  <c r="H56" i="2"/>
  <c r="O22" i="2"/>
  <c r="E23" i="2"/>
  <c r="I56" i="2"/>
  <c r="K57" i="3" s="1"/>
  <c r="C21" i="2"/>
  <c r="N22" i="2"/>
  <c r="H21" i="2"/>
  <c r="P22" i="2"/>
  <c r="F23" i="2"/>
  <c r="H58" i="2"/>
  <c r="O42" i="3"/>
  <c r="F21" i="2"/>
  <c r="I21" i="2"/>
  <c r="Q22" i="2"/>
  <c r="G23" i="2"/>
  <c r="M23" i="2"/>
  <c r="T23" i="2"/>
  <c r="I58" i="2"/>
  <c r="K59" i="3" s="1"/>
  <c r="G22" i="2"/>
  <c r="G21" i="2"/>
  <c r="R22" i="2"/>
  <c r="H23" i="2"/>
  <c r="J21" i="2"/>
  <c r="J22" i="2"/>
  <c r="T21" i="2"/>
  <c r="F7" i="3"/>
  <c r="D7" i="3"/>
  <c r="S42" i="3"/>
  <c r="T42" i="3" s="1"/>
  <c r="S22" i="2"/>
  <c r="I23" i="2"/>
  <c r="K21" i="2"/>
  <c r="B92" i="2"/>
  <c r="N23" i="2"/>
  <c r="L21" i="2"/>
  <c r="E7" i="3"/>
  <c r="G7" i="3"/>
  <c r="F58" i="2"/>
  <c r="C57" i="2"/>
  <c r="K7" i="3"/>
  <c r="R21" i="2"/>
  <c r="C91" i="2"/>
  <c r="B56" i="2"/>
  <c r="M22" i="2"/>
  <c r="D56" i="2"/>
  <c r="Q21" i="2"/>
  <c r="O23" i="2"/>
  <c r="S21" i="2"/>
  <c r="C22" i="2"/>
  <c r="Q23" i="2"/>
  <c r="B91" i="2"/>
  <c r="M21" i="2"/>
  <c r="N21" i="2"/>
  <c r="O21" i="2"/>
  <c r="P21" i="2"/>
  <c r="H8" i="3" l="1"/>
  <c r="H17" i="3"/>
  <c r="D61" i="3"/>
  <c r="I61" i="3"/>
  <c r="C20" i="3"/>
  <c r="C53" i="3"/>
  <c r="P65" i="3"/>
  <c r="C49" i="3"/>
  <c r="C47" i="3"/>
  <c r="C43" i="3"/>
  <c r="C48" i="3"/>
  <c r="H16" i="3"/>
  <c r="C51" i="3"/>
  <c r="H10" i="3"/>
  <c r="E58" i="3"/>
  <c r="F59" i="3"/>
  <c r="H20" i="3"/>
  <c r="H18" i="3"/>
  <c r="J28" i="3"/>
  <c r="H57" i="3"/>
  <c r="C12" i="3"/>
  <c r="H61" i="3"/>
  <c r="C19" i="3"/>
  <c r="G59" i="3"/>
  <c r="S58" i="3"/>
  <c r="T58" i="3" s="1"/>
  <c r="I58" i="3"/>
  <c r="F61" i="3"/>
  <c r="H59" i="3"/>
  <c r="P61" i="3"/>
  <c r="N27" i="3"/>
  <c r="L27" i="3"/>
  <c r="E61" i="3"/>
  <c r="C61" i="3" s="1"/>
  <c r="P62" i="3"/>
  <c r="C13" i="3"/>
  <c r="N29" i="3"/>
  <c r="G61" i="3"/>
  <c r="J61" i="3"/>
  <c r="P64" i="3"/>
  <c r="C17" i="3"/>
  <c r="L26" i="3"/>
  <c r="N30" i="3"/>
  <c r="M30" i="3"/>
  <c r="H15" i="3"/>
  <c r="D30" i="3"/>
  <c r="C44" i="3"/>
  <c r="C15" i="3"/>
  <c r="J64" i="3"/>
  <c r="C21" i="3"/>
  <c r="I30" i="3"/>
  <c r="H19" i="3"/>
  <c r="G64" i="3"/>
  <c r="H21" i="3"/>
  <c r="I63" i="3"/>
  <c r="F64" i="3"/>
  <c r="C10" i="3"/>
  <c r="I27" i="3"/>
  <c r="C45" i="3"/>
  <c r="G30" i="3"/>
  <c r="D28" i="3"/>
  <c r="C14" i="3"/>
  <c r="H13" i="3"/>
  <c r="H12" i="3"/>
  <c r="G62" i="3"/>
  <c r="F27" i="3"/>
  <c r="H62" i="3"/>
  <c r="S62" i="3"/>
  <c r="T62" i="3" s="1"/>
  <c r="J30" i="3"/>
  <c r="E27" i="3"/>
  <c r="C55" i="3"/>
  <c r="K30" i="3"/>
  <c r="C18" i="3"/>
  <c r="E26" i="3"/>
  <c r="H14" i="3"/>
  <c r="M28" i="3"/>
  <c r="K23" i="3"/>
  <c r="G63" i="3"/>
  <c r="I26" i="3"/>
  <c r="D26" i="3"/>
  <c r="L28" i="3"/>
  <c r="C52" i="3"/>
  <c r="G29" i="3"/>
  <c r="G24" i="3"/>
  <c r="I28" i="3"/>
  <c r="C46" i="3"/>
  <c r="C56" i="3"/>
  <c r="L30" i="3"/>
  <c r="E30" i="3"/>
  <c r="C50" i="3"/>
  <c r="F28" i="3"/>
  <c r="C11" i="3"/>
  <c r="C54" i="3"/>
  <c r="E28" i="3"/>
  <c r="I62" i="3"/>
  <c r="M26" i="3"/>
  <c r="D29" i="3"/>
  <c r="J29" i="3"/>
  <c r="L29" i="3"/>
  <c r="F26" i="3"/>
  <c r="S61" i="3"/>
  <c r="T61" i="3" s="1"/>
  <c r="P58" i="3"/>
  <c r="K27" i="3"/>
  <c r="H64" i="3"/>
  <c r="J26" i="3"/>
  <c r="L24" i="3"/>
  <c r="C9" i="3"/>
  <c r="I64" i="3"/>
  <c r="E29" i="3"/>
  <c r="I24" i="3"/>
  <c r="I29" i="3"/>
  <c r="I57" i="3"/>
  <c r="F29" i="3"/>
  <c r="K26" i="3"/>
  <c r="G22" i="3"/>
  <c r="K24" i="3"/>
  <c r="G58" i="3"/>
  <c r="N26" i="3"/>
  <c r="G57" i="3"/>
  <c r="I59" i="3"/>
  <c r="C16" i="3"/>
  <c r="E63" i="3"/>
  <c r="F30" i="3"/>
  <c r="O61" i="3"/>
  <c r="M29" i="3"/>
  <c r="F57" i="3"/>
  <c r="J59" i="3"/>
  <c r="S57" i="3"/>
  <c r="T57" i="3" s="1"/>
  <c r="J27" i="3"/>
  <c r="G26" i="3"/>
  <c r="K29" i="3"/>
  <c r="H11" i="3"/>
  <c r="C8" i="3"/>
  <c r="H9" i="3"/>
  <c r="I65" i="3"/>
  <c r="G65" i="3"/>
  <c r="D57" i="3"/>
  <c r="O57" i="3"/>
  <c r="O65" i="3"/>
  <c r="D65" i="3"/>
  <c r="O63" i="3"/>
  <c r="D63" i="3"/>
  <c r="E22" i="3"/>
  <c r="D24" i="3"/>
  <c r="M23" i="3"/>
  <c r="I22" i="3"/>
  <c r="F65" i="3"/>
  <c r="D62" i="3"/>
  <c r="O62" i="3"/>
  <c r="D59" i="3"/>
  <c r="O59" i="3"/>
  <c r="F22" i="3"/>
  <c r="F63" i="3"/>
  <c r="D58" i="3"/>
  <c r="O58" i="3"/>
  <c r="M22" i="3"/>
  <c r="G23" i="3"/>
  <c r="J63" i="3"/>
  <c r="H65" i="3"/>
  <c r="J23" i="3"/>
  <c r="S59" i="3"/>
  <c r="T59" i="3" s="1"/>
  <c r="J57" i="3"/>
  <c r="H58" i="3"/>
  <c r="N24" i="3"/>
  <c r="H63" i="3"/>
  <c r="G28" i="3"/>
  <c r="J22" i="3"/>
  <c r="M24" i="3"/>
  <c r="M27" i="3"/>
  <c r="D27" i="3"/>
  <c r="J62" i="3"/>
  <c r="E64" i="3"/>
  <c r="K22" i="3"/>
  <c r="J65" i="3"/>
  <c r="F24" i="3"/>
  <c r="F23" i="3"/>
  <c r="J58" i="3"/>
  <c r="S63" i="3"/>
  <c r="T63" i="3" s="1"/>
  <c r="S64" i="3"/>
  <c r="T64" i="3" s="1"/>
  <c r="N28" i="3"/>
  <c r="E62" i="3"/>
  <c r="I23" i="3"/>
  <c r="N22" i="3"/>
  <c r="J24" i="3"/>
  <c r="L23" i="3"/>
  <c r="E59" i="3"/>
  <c r="P59" i="3"/>
  <c r="F62" i="3"/>
  <c r="P57" i="3"/>
  <c r="E23" i="3"/>
  <c r="L22" i="3"/>
  <c r="N23" i="3"/>
  <c r="E24" i="3"/>
  <c r="E57" i="3"/>
  <c r="F58" i="3"/>
  <c r="O64" i="3"/>
  <c r="D64" i="3"/>
  <c r="E65" i="3"/>
  <c r="S65" i="3"/>
  <c r="T65" i="3" s="1"/>
  <c r="G27" i="3"/>
  <c r="K28" i="3"/>
  <c r="E24" i="2"/>
  <c r="G59" i="2"/>
  <c r="F24" i="2"/>
  <c r="M24" i="2"/>
  <c r="L24" i="2"/>
  <c r="H24" i="2"/>
  <c r="D24" i="2"/>
  <c r="K24" i="2"/>
  <c r="G24" i="2"/>
  <c r="S24" i="2"/>
  <c r="O24" i="2"/>
  <c r="B94" i="2"/>
  <c r="I59" i="2"/>
  <c r="K60" i="3" s="1"/>
  <c r="J24" i="2"/>
  <c r="C59" i="2"/>
  <c r="C24" i="2"/>
  <c r="N24" i="2"/>
  <c r="T24" i="2"/>
  <c r="R24" i="2"/>
  <c r="D59" i="2"/>
  <c r="Q24" i="2"/>
  <c r="I24" i="2"/>
  <c r="B59" i="2"/>
  <c r="F59" i="2"/>
  <c r="C94" i="2"/>
  <c r="H59" i="2"/>
  <c r="P24" i="2"/>
  <c r="E59" i="2"/>
  <c r="K42" i="3"/>
  <c r="O8" i="3" l="1"/>
  <c r="O17" i="3"/>
  <c r="L25" i="3"/>
  <c r="O20" i="3"/>
  <c r="O16" i="3"/>
  <c r="O18" i="3"/>
  <c r="O10" i="3"/>
  <c r="C58" i="3"/>
  <c r="M25" i="3"/>
  <c r="O12" i="3"/>
  <c r="O15" i="3"/>
  <c r="C28" i="3"/>
  <c r="O19" i="3"/>
  <c r="C30" i="3"/>
  <c r="H27" i="3"/>
  <c r="O21" i="3"/>
  <c r="O13" i="3"/>
  <c r="O14" i="3"/>
  <c r="H30" i="3"/>
  <c r="C27" i="3"/>
  <c r="O11" i="3"/>
  <c r="C26" i="3"/>
  <c r="H29" i="3"/>
  <c r="O9" i="3"/>
  <c r="H28" i="3"/>
  <c r="H26" i="3"/>
  <c r="N25" i="3"/>
  <c r="F25" i="3"/>
  <c r="C63" i="3"/>
  <c r="C29" i="3"/>
  <c r="H24" i="3"/>
  <c r="P60" i="3"/>
  <c r="R58" i="3" s="1"/>
  <c r="K25" i="3"/>
  <c r="J25" i="3"/>
  <c r="H23" i="3"/>
  <c r="C64" i="3"/>
  <c r="G60" i="3"/>
  <c r="J60" i="3"/>
  <c r="C65" i="3"/>
  <c r="O60" i="3"/>
  <c r="D60" i="3"/>
  <c r="C57" i="3"/>
  <c r="C62" i="3"/>
  <c r="H60" i="3"/>
  <c r="I25" i="3"/>
  <c r="H22" i="3"/>
  <c r="F60" i="3"/>
  <c r="I60" i="3"/>
  <c r="E25" i="3"/>
  <c r="E60" i="3"/>
  <c r="C59" i="3"/>
  <c r="S60" i="3"/>
  <c r="T60" i="3" s="1"/>
  <c r="G25" i="3"/>
  <c r="C24" i="3"/>
  <c r="G42" i="3"/>
  <c r="J42" i="3"/>
  <c r="I42" i="3"/>
  <c r="H42" i="3"/>
  <c r="F42" i="3"/>
  <c r="O27" i="3" l="1"/>
  <c r="O30" i="3"/>
  <c r="O29" i="3"/>
  <c r="O28" i="3"/>
  <c r="O26" i="3"/>
  <c r="R50" i="3"/>
  <c r="R56" i="3"/>
  <c r="O24" i="3"/>
  <c r="H25" i="3"/>
  <c r="R61" i="3"/>
  <c r="R57" i="3"/>
  <c r="R44" i="3"/>
  <c r="R52" i="3"/>
  <c r="R49" i="3"/>
  <c r="R43" i="3"/>
  <c r="R63" i="3"/>
  <c r="R45" i="3"/>
  <c r="R51" i="3"/>
  <c r="R60" i="3"/>
  <c r="R55" i="3"/>
  <c r="R59" i="3"/>
  <c r="R54" i="3"/>
  <c r="R53" i="3"/>
  <c r="R46" i="3"/>
  <c r="R64" i="3"/>
  <c r="R47" i="3"/>
  <c r="R65" i="3"/>
  <c r="R48" i="3"/>
  <c r="R62" i="3"/>
  <c r="Q60" i="3"/>
  <c r="Q55" i="3"/>
  <c r="Q56" i="3"/>
  <c r="Q50" i="3"/>
  <c r="Q51" i="3"/>
  <c r="Q54" i="3"/>
  <c r="Q44" i="3"/>
  <c r="Q43" i="3"/>
  <c r="Q45" i="3"/>
  <c r="Q47" i="3"/>
  <c r="Q49" i="3"/>
  <c r="Q48" i="3"/>
  <c r="Q53" i="3"/>
  <c r="Q52" i="3"/>
  <c r="Q61" i="3"/>
  <c r="Q46" i="3"/>
  <c r="Q63" i="3"/>
  <c r="C60" i="3"/>
  <c r="Q64" i="3"/>
  <c r="Q62" i="3"/>
  <c r="Q57" i="3"/>
  <c r="Q65" i="3"/>
  <c r="Q59" i="3"/>
  <c r="Q58" i="3"/>
  <c r="Q42" i="3"/>
  <c r="R42" i="3"/>
  <c r="D42" i="3"/>
  <c r="E42" i="3"/>
  <c r="C42" i="3" l="1"/>
  <c r="B22" i="2" l="1"/>
  <c r="D23" i="3" s="1"/>
  <c r="C23" i="3" s="1"/>
  <c r="O23" i="3" s="1"/>
  <c r="B21" i="2"/>
  <c r="D22" i="3" s="1"/>
  <c r="C22" i="3" s="1"/>
  <c r="O22" i="3" s="1"/>
  <c r="B24" i="2" l="1"/>
  <c r="D25" i="3" s="1"/>
  <c r="C25" i="3" s="1"/>
  <c r="O25" i="3" s="1"/>
  <c r="C7" i="3" l="1"/>
  <c r="H7" i="3"/>
  <c r="O7" i="3" l="1"/>
</calcChain>
</file>

<file path=xl/sharedStrings.xml><?xml version="1.0" encoding="utf-8"?>
<sst xmlns="http://schemas.openxmlformats.org/spreadsheetml/2006/main" count="381" uniqueCount="116">
  <si>
    <t>GDX index</t>
  </si>
  <si>
    <t>Type</t>
  </si>
  <si>
    <t>Name</t>
  </si>
  <si>
    <t>Location</t>
  </si>
  <si>
    <t>Row</t>
  </si>
  <si>
    <t>Column</t>
  </si>
  <si>
    <t>rdim</t>
  </si>
  <si>
    <t>cdim</t>
  </si>
  <si>
    <t>par</t>
  </si>
  <si>
    <t>inctab</t>
  </si>
  <si>
    <t>exptab</t>
  </si>
  <si>
    <t>hhd-f1</t>
  </si>
  <si>
    <t>hhd-f2</t>
  </si>
  <si>
    <t>hhd-f3</t>
  </si>
  <si>
    <t>hhd-f4</t>
  </si>
  <si>
    <t>hhd-f5</t>
  </si>
  <si>
    <t>hhd-u1</t>
  </si>
  <si>
    <t>hhd-u2</t>
  </si>
  <si>
    <t>hhd-u3</t>
  </si>
  <si>
    <t>hhd-u4</t>
  </si>
  <si>
    <t>hhd-u5</t>
  </si>
  <si>
    <t>flab-rn</t>
  </si>
  <si>
    <t>flab-rp</t>
  </si>
  <si>
    <t>flab-rs</t>
  </si>
  <si>
    <t>flab-rt</t>
  </si>
  <si>
    <t>flab-un</t>
  </si>
  <si>
    <t>flab-up</t>
  </si>
  <si>
    <t>flab-us</t>
  </si>
  <si>
    <t>flab-ut</t>
  </si>
  <si>
    <t>flnd</t>
  </si>
  <si>
    <t>fcap-c</t>
  </si>
  <si>
    <t>fcap-l</t>
  </si>
  <si>
    <t>ent</t>
  </si>
  <si>
    <t>gov</t>
  </si>
  <si>
    <t>row</t>
  </si>
  <si>
    <t>total</t>
  </si>
  <si>
    <t>amaiz</t>
  </si>
  <si>
    <t>dtax</t>
  </si>
  <si>
    <t>s-i</t>
  </si>
  <si>
    <t>INCTAB</t>
  </si>
  <si>
    <t>Household income table</t>
  </si>
  <si>
    <t>Farm</t>
  </si>
  <si>
    <t>Urban</t>
  </si>
  <si>
    <t>Total</t>
  </si>
  <si>
    <t>Q1</t>
  </si>
  <si>
    <t>Q2</t>
  </si>
  <si>
    <t>Q3</t>
  </si>
  <si>
    <t>Q4</t>
  </si>
  <si>
    <t>Q5</t>
  </si>
  <si>
    <t>Household expenditure table</t>
  </si>
  <si>
    <t>EXPTAB</t>
  </si>
  <si>
    <t>hhddata</t>
  </si>
  <si>
    <t>tcons</t>
  </si>
  <si>
    <t>pop</t>
  </si>
  <si>
    <t>HHDDATA</t>
  </si>
  <si>
    <t>Survey household consumption and population data</t>
  </si>
  <si>
    <t>Rural - farm q1</t>
  </si>
  <si>
    <t>Rural - farm q2</t>
  </si>
  <si>
    <t>Rural - farm q3</t>
  </si>
  <si>
    <t>Rural - farm q4</t>
  </si>
  <si>
    <t>Rural - farm q5</t>
  </si>
  <si>
    <t>Urban - q1</t>
  </si>
  <si>
    <t>Urban - q2</t>
  </si>
  <si>
    <t>Urban - q3</t>
  </si>
  <si>
    <t>Urban - q4</t>
  </si>
  <si>
    <t>Urban - q5</t>
  </si>
  <si>
    <t>Labor</t>
  </si>
  <si>
    <t>None</t>
  </si>
  <si>
    <t>Second.</t>
  </si>
  <si>
    <t>Tertiary</t>
  </si>
  <si>
    <t>Primary</t>
  </si>
  <si>
    <t>Land</t>
  </si>
  <si>
    <t>Livestock</t>
  </si>
  <si>
    <t>Crops</t>
  </si>
  <si>
    <t>Farm earnnings</t>
  </si>
  <si>
    <t>Non-farm earnings</t>
  </si>
  <si>
    <t>Enterprises</t>
  </si>
  <si>
    <t>Government</t>
  </si>
  <si>
    <t>Rest of world</t>
  </si>
  <si>
    <t>Household incomes</t>
  </si>
  <si>
    <t>Household expenses</t>
  </si>
  <si>
    <t>Consumption</t>
  </si>
  <si>
    <t>cmaiz</t>
  </si>
  <si>
    <t>Own</t>
  </si>
  <si>
    <t>Marketed</t>
  </si>
  <si>
    <t>Other expenditures</t>
  </si>
  <si>
    <t>Taxes</t>
  </si>
  <si>
    <t>Saving</t>
  </si>
  <si>
    <t>cfood</t>
  </si>
  <si>
    <t>Per capita consumption</t>
  </si>
  <si>
    <t>SAM</t>
  </si>
  <si>
    <t>Survey</t>
  </si>
  <si>
    <t>Foods</t>
  </si>
  <si>
    <t>Ratios</t>
  </si>
  <si>
    <t>Abs</t>
  </si>
  <si>
    <t>Inc-Exp differences</t>
  </si>
  <si>
    <t>% exp</t>
  </si>
  <si>
    <t>hhd-k1</t>
  </si>
  <si>
    <t>hhd-k2</t>
  </si>
  <si>
    <t>hhd-k3</t>
  </si>
  <si>
    <t>hhd-k4</t>
  </si>
  <si>
    <t>hhd-k5</t>
  </si>
  <si>
    <t>flab-kn</t>
  </si>
  <si>
    <t>flab-kp</t>
  </si>
  <si>
    <t>flab-ks</t>
  </si>
  <si>
    <t>flab-kt</t>
  </si>
  <si>
    <t>data!aa5</t>
  </si>
  <si>
    <t>data!aa40</t>
  </si>
  <si>
    <t>data!aa75</t>
  </si>
  <si>
    <t>Kigali</t>
  </si>
  <si>
    <t>Kigali - q1</t>
  </si>
  <si>
    <t>Kigali - q2</t>
  </si>
  <si>
    <t>Kigali - q3</t>
  </si>
  <si>
    <t>Kigali - q4</t>
  </si>
  <si>
    <t>Kigali - q5</t>
  </si>
  <si>
    <t>Household Income Sources and Expenditure Patterns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</si>
</sst>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quotePrefix="1"/>
    <xf numFmtId="0" fontId="3" fillId="0" borderId="0" xfId="0" applyFont="1"/>
    <xf numFmtId="164" fontId="0" fillId="0" borderId="0" xfId="0" applyNumberFormat="1"/>
    <xf numFmtId="3" fontId="4" fillId="0" borderId="0" xfId="0" applyNumberFormat="1" applyFont="1"/>
    <xf numFmtId="3" fontId="5" fillId="0" borderId="0" xfId="0" applyNumberFormat="1" applyFont="1"/>
    <xf numFmtId="164" fontId="0" fillId="0" borderId="0" xfId="0" quotePrefix="1" applyNumberFormat="1"/>
    <xf numFmtId="3" fontId="0" fillId="0" borderId="0" xfId="0" applyNumberFormat="1"/>
    <xf numFmtId="164" fontId="4" fillId="0" borderId="0" xfId="0" applyNumberFormat="1" applyFont="1"/>
    <xf numFmtId="164" fontId="5" fillId="0" borderId="0" xfId="0" applyNumberFormat="1" applyFont="1"/>
    <xf numFmtId="3" fontId="0" fillId="0" borderId="0" xfId="0" quotePrefix="1" applyNumberFormat="1"/>
    <xf numFmtId="0" fontId="0" fillId="2" borderId="0" xfId="0" applyFill="1"/>
    <xf numFmtId="0" fontId="3" fillId="2" borderId="0" xfId="0" applyFont="1" applyFill="1"/>
    <xf numFmtId="0" fontId="1" fillId="2" borderId="0" xfId="0" applyFont="1" applyFill="1"/>
    <xf numFmtId="0" fontId="1" fillId="2" borderId="0" xfId="0" quotePrefix="1" applyFont="1" applyFill="1"/>
    <xf numFmtId="0" fontId="0" fillId="2" borderId="0" xfId="0" quotePrefix="1" applyFill="1"/>
    <xf numFmtId="0" fontId="4" fillId="2" borderId="0" xfId="0" applyFont="1" applyFill="1"/>
    <xf numFmtId="164" fontId="7" fillId="2" borderId="0" xfId="0" applyNumberFormat="1" applyFont="1" applyFill="1"/>
    <xf numFmtId="164" fontId="6" fillId="2" borderId="0" xfId="0" applyNumberFormat="1" applyFont="1" applyFill="1"/>
    <xf numFmtId="0" fontId="4" fillId="2" borderId="1" xfId="0" applyFont="1" applyFill="1" applyBorder="1"/>
    <xf numFmtId="0" fontId="0" fillId="2" borderId="1" xfId="0" quotePrefix="1" applyFill="1" applyBorder="1"/>
    <xf numFmtId="164" fontId="7" fillId="2" borderId="1" xfId="0" applyNumberFormat="1" applyFont="1" applyFill="1" applyBorder="1"/>
    <xf numFmtId="164" fontId="6" fillId="2" borderId="1" xfId="0" applyNumberFormat="1" applyFont="1" applyFill="1" applyBorder="1"/>
    <xf numFmtId="3" fontId="4" fillId="2" borderId="0" xfId="0" applyNumberFormat="1" applyFont="1" applyFill="1"/>
    <xf numFmtId="3" fontId="4" fillId="2" borderId="1" xfId="0" applyNumberFormat="1" applyFont="1" applyFill="1" applyBorder="1"/>
    <xf numFmtId="0" fontId="0" fillId="2" borderId="1" xfId="0" applyFill="1" applyBorder="1"/>
    <xf numFmtId="3" fontId="5" fillId="2" borderId="2" xfId="0" applyNumberFormat="1" applyFont="1" applyFill="1" applyBorder="1"/>
    <xf numFmtId="0" fontId="0" fillId="2" borderId="2" xfId="0" applyFill="1" applyBorder="1"/>
    <xf numFmtId="164" fontId="7" fillId="2" borderId="2" xfId="0" applyNumberFormat="1" applyFont="1" applyFill="1" applyBorder="1"/>
    <xf numFmtId="164" fontId="6" fillId="2" borderId="2" xfId="0" applyNumberFormat="1" applyFont="1" applyFill="1" applyBorder="1"/>
    <xf numFmtId="0" fontId="0" fillId="2" borderId="0" xfId="0" applyFont="1" applyFill="1"/>
    <xf numFmtId="0" fontId="0" fillId="2" borderId="3" xfId="0" applyFill="1" applyBorder="1"/>
    <xf numFmtId="164" fontId="0" fillId="2" borderId="0" xfId="0" applyNumberFormat="1" applyFont="1" applyFill="1"/>
    <xf numFmtId="164" fontId="0" fillId="2" borderId="0" xfId="0" applyNumberFormat="1" applyFill="1"/>
    <xf numFmtId="164" fontId="4" fillId="2" borderId="0" xfId="0" applyNumberFormat="1" applyFont="1" applyFill="1"/>
    <xf numFmtId="4" fontId="0" fillId="2" borderId="3" xfId="0" applyNumberFormat="1" applyFill="1" applyBorder="1"/>
    <xf numFmtId="4" fontId="0" fillId="2" borderId="0" xfId="0" applyNumberFormat="1" applyFill="1"/>
    <xf numFmtId="3" fontId="0" fillId="2" borderId="3" xfId="0" applyNumberFormat="1" applyFill="1" applyBorder="1"/>
    <xf numFmtId="164" fontId="0" fillId="2" borderId="1" xfId="0" applyNumberFormat="1" applyFont="1" applyFill="1" applyBorder="1"/>
    <xf numFmtId="164" fontId="0" fillId="2" borderId="1" xfId="0" applyNumberFormat="1" applyFill="1" applyBorder="1"/>
    <xf numFmtId="164" fontId="4" fillId="2" borderId="1" xfId="0" applyNumberFormat="1" applyFont="1" applyFill="1" applyBorder="1"/>
    <xf numFmtId="4" fontId="0" fillId="2" borderId="4" xfId="0" applyNumberFormat="1" applyFill="1" applyBorder="1"/>
    <xf numFmtId="4" fontId="0" fillId="2" borderId="1" xfId="0" applyNumberFormat="1" applyFill="1" applyBorder="1"/>
    <xf numFmtId="3" fontId="0" fillId="2" borderId="4" xfId="0" applyNumberFormat="1" applyFill="1" applyBorder="1"/>
    <xf numFmtId="4" fontId="4" fillId="2" borderId="3" xfId="0" applyNumberFormat="1" applyFont="1" applyFill="1" applyBorder="1"/>
    <xf numFmtId="4" fontId="4" fillId="2" borderId="0" xfId="0" applyNumberFormat="1" applyFont="1" applyFill="1"/>
    <xf numFmtId="3" fontId="4" fillId="2" borderId="3" xfId="0" applyNumberFormat="1" applyFont="1" applyFill="1" applyBorder="1"/>
    <xf numFmtId="4" fontId="4" fillId="2" borderId="4" xfId="0" applyNumberFormat="1" applyFont="1" applyFill="1" applyBorder="1"/>
    <xf numFmtId="4" fontId="4" fillId="2" borderId="1" xfId="0" applyNumberFormat="1" applyFont="1" applyFill="1" applyBorder="1"/>
    <xf numFmtId="3" fontId="4" fillId="2" borderId="4" xfId="0" applyNumberFormat="1" applyFont="1" applyFill="1" applyBorder="1"/>
    <xf numFmtId="164" fontId="4" fillId="2" borderId="2" xfId="0" applyNumberFormat="1" applyFont="1" applyFill="1" applyBorder="1"/>
    <xf numFmtId="4" fontId="4" fillId="2" borderId="5" xfId="0" applyNumberFormat="1" applyFont="1" applyFill="1" applyBorder="1"/>
    <xf numFmtId="4" fontId="4" fillId="2" borderId="2" xfId="0" applyNumberFormat="1" applyFont="1" applyFill="1" applyBorder="1"/>
    <xf numFmtId="3" fontId="4" fillId="2" borderId="5" xfId="0" applyNumberFormat="1" applyFont="1" applyFill="1" applyBorder="1"/>
    <xf numFmtId="0" fontId="8" fillId="2" borderId="0" xfId="0" applyFont="1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Workings!$Q$41</c:f>
              <c:strCache>
                <c:ptCount val="1"/>
                <c:pt idx="0">
                  <c:v>SAM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Workings!$M$42:$M$65</c:f>
              <c:strCache>
                <c:ptCount val="24"/>
                <c:pt idx="0">
                  <c:v>Rural - farm q1</c:v>
                </c:pt>
                <c:pt idx="1">
                  <c:v>Rural - farm q2</c:v>
                </c:pt>
                <c:pt idx="2">
                  <c:v>Rural - farm q3</c:v>
                </c:pt>
                <c:pt idx="3">
                  <c:v>Rural - farm q4</c:v>
                </c:pt>
                <c:pt idx="4">
                  <c:v>Rural - farm q5</c:v>
                </c:pt>
                <c:pt idx="5">
                  <c:v>Urban - q1</c:v>
                </c:pt>
                <c:pt idx="6">
                  <c:v>Urban - q2</c:v>
                </c:pt>
                <c:pt idx="7">
                  <c:v>Urban - q3</c:v>
                </c:pt>
                <c:pt idx="8">
                  <c:v>Urban - q4</c:v>
                </c:pt>
                <c:pt idx="9">
                  <c:v>Urban - q5</c:v>
                </c:pt>
                <c:pt idx="10">
                  <c:v>Kigali - q1</c:v>
                </c:pt>
                <c:pt idx="11">
                  <c:v>Kigali - q2</c:v>
                </c:pt>
                <c:pt idx="12">
                  <c:v>Kigali - q3</c:v>
                </c:pt>
                <c:pt idx="13">
                  <c:v>Kigali - q4</c:v>
                </c:pt>
                <c:pt idx="14">
                  <c:v>Kigali - q5</c:v>
                </c:pt>
                <c:pt idx="15">
                  <c:v>Farm</c:v>
                </c:pt>
                <c:pt idx="16">
                  <c:v>Urban</c:v>
                </c:pt>
                <c:pt idx="17">
                  <c:v>Kigali</c:v>
                </c:pt>
                <c:pt idx="18">
                  <c:v>Total</c:v>
                </c:pt>
                <c:pt idx="19">
                  <c:v>Q1</c:v>
                </c:pt>
                <c:pt idx="20">
                  <c:v>Q2</c:v>
                </c:pt>
                <c:pt idx="21">
                  <c:v>Q3</c:v>
                </c:pt>
                <c:pt idx="22">
                  <c:v>Q4</c:v>
                </c:pt>
                <c:pt idx="23">
                  <c:v>Q5</c:v>
                </c:pt>
              </c:strCache>
            </c:strRef>
          </c:cat>
          <c:val>
            <c:numRef>
              <c:f>Workings!$Q$42:$Q$65</c:f>
              <c:numCache>
                <c:formatCode>#,##0.00</c:formatCode>
                <c:ptCount val="24"/>
                <c:pt idx="0">
                  <c:v>0.26302014900582504</c:v>
                </c:pt>
                <c:pt idx="1">
                  <c:v>0.43131462816097493</c:v>
                </c:pt>
                <c:pt idx="2">
                  <c:v>0.60884791925535942</c:v>
                </c:pt>
                <c:pt idx="3">
                  <c:v>0.89270721714514245</c:v>
                </c:pt>
                <c:pt idx="4">
                  <c:v>1.8705734767016227</c:v>
                </c:pt>
                <c:pt idx="5">
                  <c:v>0.26647022824086974</c:v>
                </c:pt>
                <c:pt idx="6">
                  <c:v>0.41321923406711586</c:v>
                </c:pt>
                <c:pt idx="7">
                  <c:v>0.59592316505702592</c:v>
                </c:pt>
                <c:pt idx="8">
                  <c:v>0.98917550655377173</c:v>
                </c:pt>
                <c:pt idx="9">
                  <c:v>3.045088903222942</c:v>
                </c:pt>
                <c:pt idx="10">
                  <c:v>0.27263321899299386</c:v>
                </c:pt>
                <c:pt idx="11">
                  <c:v>0.44452223015292952</c:v>
                </c:pt>
                <c:pt idx="12">
                  <c:v>0.61360433650751145</c:v>
                </c:pt>
                <c:pt idx="13">
                  <c:v>0.92736204100333708</c:v>
                </c:pt>
                <c:pt idx="14">
                  <c:v>3.9369049520998032</c:v>
                </c:pt>
                <c:pt idx="15">
                  <c:v>0.70731374235805688</c:v>
                </c:pt>
                <c:pt idx="16">
                  <c:v>1.5149996288138698</c:v>
                </c:pt>
                <c:pt idx="17">
                  <c:v>2.4317312394424722</c:v>
                </c:pt>
                <c:pt idx="18">
                  <c:v>1</c:v>
                </c:pt>
                <c:pt idx="19">
                  <c:v>0.26379949291270643</c:v>
                </c:pt>
                <c:pt idx="20">
                  <c:v>0.43104816449103539</c:v>
                </c:pt>
                <c:pt idx="21">
                  <c:v>0.60833011267506154</c:v>
                </c:pt>
                <c:pt idx="22">
                  <c:v>0.90383233298754861</c:v>
                </c:pt>
                <c:pt idx="23">
                  <c:v>2.7870830895250833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5-4DF1-91D2-0D72E29293C3}"/>
            </c:ext>
          </c:extLst>
        </c:ser>
        <c:ser>
          <c:idx val="1"/>
          <c:order val="1"/>
          <c:tx>
            <c:strRef>
              <c:f>Workings!$R$41</c:f>
              <c:strCache>
                <c:ptCount val="1"/>
                <c:pt idx="0">
                  <c:v>Survey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Workings!$M$42:$M$65</c:f>
              <c:strCache>
                <c:ptCount val="24"/>
                <c:pt idx="0">
                  <c:v>Rural - farm q1</c:v>
                </c:pt>
                <c:pt idx="1">
                  <c:v>Rural - farm q2</c:v>
                </c:pt>
                <c:pt idx="2">
                  <c:v>Rural - farm q3</c:v>
                </c:pt>
                <c:pt idx="3">
                  <c:v>Rural - farm q4</c:v>
                </c:pt>
                <c:pt idx="4">
                  <c:v>Rural - farm q5</c:v>
                </c:pt>
                <c:pt idx="5">
                  <c:v>Urban - q1</c:v>
                </c:pt>
                <c:pt idx="6">
                  <c:v>Urban - q2</c:v>
                </c:pt>
                <c:pt idx="7">
                  <c:v>Urban - q3</c:v>
                </c:pt>
                <c:pt idx="8">
                  <c:v>Urban - q4</c:v>
                </c:pt>
                <c:pt idx="9">
                  <c:v>Urban - q5</c:v>
                </c:pt>
                <c:pt idx="10">
                  <c:v>Kigali - q1</c:v>
                </c:pt>
                <c:pt idx="11">
                  <c:v>Kigali - q2</c:v>
                </c:pt>
                <c:pt idx="12">
                  <c:v>Kigali - q3</c:v>
                </c:pt>
                <c:pt idx="13">
                  <c:v>Kigali - q4</c:v>
                </c:pt>
                <c:pt idx="14">
                  <c:v>Kigali - q5</c:v>
                </c:pt>
                <c:pt idx="15">
                  <c:v>Farm</c:v>
                </c:pt>
                <c:pt idx="16">
                  <c:v>Urban</c:v>
                </c:pt>
                <c:pt idx="17">
                  <c:v>Kigali</c:v>
                </c:pt>
                <c:pt idx="18">
                  <c:v>Total</c:v>
                </c:pt>
                <c:pt idx="19">
                  <c:v>Q1</c:v>
                </c:pt>
                <c:pt idx="20">
                  <c:v>Q2</c:v>
                </c:pt>
                <c:pt idx="21">
                  <c:v>Q3</c:v>
                </c:pt>
                <c:pt idx="22">
                  <c:v>Q4</c:v>
                </c:pt>
                <c:pt idx="23">
                  <c:v>Q5</c:v>
                </c:pt>
              </c:strCache>
            </c:strRef>
          </c:cat>
          <c:val>
            <c:numRef>
              <c:f>Workings!$R$42:$R$65</c:f>
              <c:numCache>
                <c:formatCode>#,##0.00</c:formatCode>
                <c:ptCount val="24"/>
                <c:pt idx="0">
                  <c:v>0.32497149904355865</c:v>
                </c:pt>
                <c:pt idx="1">
                  <c:v>0.51831647415259796</c:v>
                </c:pt>
                <c:pt idx="2">
                  <c:v>0.70536094732938548</c:v>
                </c:pt>
                <c:pt idx="3">
                  <c:v>0.99152477370780623</c:v>
                </c:pt>
                <c:pt idx="4">
                  <c:v>1.827210070859324</c:v>
                </c:pt>
                <c:pt idx="5">
                  <c:v>0.32331111687050318</c:v>
                </c:pt>
                <c:pt idx="6">
                  <c:v>0.53161543564333136</c:v>
                </c:pt>
                <c:pt idx="7">
                  <c:v>0.70131141723944523</c:v>
                </c:pt>
                <c:pt idx="8">
                  <c:v>1.0525037444025465</c:v>
                </c:pt>
                <c:pt idx="9">
                  <c:v>2.4846162216928485</c:v>
                </c:pt>
                <c:pt idx="10">
                  <c:v>0.35277678620947006</c:v>
                </c:pt>
                <c:pt idx="11">
                  <c:v>0.52428686419238169</c:v>
                </c:pt>
                <c:pt idx="12">
                  <c:v>0.71431708622954682</c:v>
                </c:pt>
                <c:pt idx="13">
                  <c:v>1.0199202182018254</c:v>
                </c:pt>
                <c:pt idx="14">
                  <c:v>3.2764228791899894</c:v>
                </c:pt>
                <c:pt idx="15">
                  <c:v>0.77695176791853782</c:v>
                </c:pt>
                <c:pt idx="16">
                  <c:v>1.3559913493585476</c:v>
                </c:pt>
                <c:pt idx="17">
                  <c:v>2.1137794382051993</c:v>
                </c:pt>
                <c:pt idx="18">
                  <c:v>1</c:v>
                </c:pt>
                <c:pt idx="19">
                  <c:v>0.32649775152470673</c:v>
                </c:pt>
                <c:pt idx="20">
                  <c:v>0.51936930744712684</c:v>
                </c:pt>
                <c:pt idx="21">
                  <c:v>0.70570573428220329</c:v>
                </c:pt>
                <c:pt idx="22">
                  <c:v>0.99932975372138411</c:v>
                </c:pt>
                <c:pt idx="23">
                  <c:v>2.4444083281371913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75-4DF1-91D2-0D72E2929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097096"/>
        <c:axId val="170171120"/>
      </c:barChart>
      <c:catAx>
        <c:axId val="170097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71120"/>
        <c:crosses val="autoZero"/>
        <c:auto val="1"/>
        <c:lblAlgn val="ctr"/>
        <c:lblOffset val="100"/>
        <c:noMultiLvlLbl val="0"/>
      </c:catAx>
      <c:valAx>
        <c:axId val="17017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97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325437</xdr:colOff>
      <xdr:row>7</xdr:row>
      <xdr:rowOff>99102</xdr:rowOff>
    </xdr:from>
    <xdr:to>
      <xdr:col>36</xdr:col>
      <xdr:colOff>247198</xdr:colOff>
      <xdr:row>35</xdr:row>
      <xdr:rowOff>58962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zoomScale="85" zoomScaleNormal="85" workbookViewId="0">
      <pane ySplit="5" topLeftCell="A6" activePane="bottomLeft" state="frozen"/>
      <selection pane="bottomLeft" activeCell="F35" sqref="F35"/>
    </sheetView>
  </sheetViews>
  <sheetFormatPr defaultRowHeight="14.5" x14ac:dyDescent="0.35"/>
  <sheetData>
    <row r="1" spans="1:5" ht="18.5" x14ac:dyDescent="0.45">
      <c r="A1" s="1" t="s">
        <v>0</v>
      </c>
    </row>
    <row r="4" spans="1:5" x14ac:dyDescent="0.3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x14ac:dyDescent="0.35">
      <c r="D5" t="s">
        <v>6</v>
      </c>
      <c r="E5" t="s">
        <v>7</v>
      </c>
    </row>
    <row r="6" spans="1:5" x14ac:dyDescent="0.35">
      <c r="A6" t="s">
        <v>8</v>
      </c>
      <c r="B6" t="s">
        <v>9</v>
      </c>
      <c r="C6" t="s">
        <v>106</v>
      </c>
      <c r="D6">
        <v>1</v>
      </c>
      <c r="E6">
        <v>1</v>
      </c>
    </row>
    <row r="7" spans="1:5" x14ac:dyDescent="0.35">
      <c r="A7" t="s">
        <v>8</v>
      </c>
      <c r="B7" t="s">
        <v>10</v>
      </c>
      <c r="C7" t="s">
        <v>107</v>
      </c>
      <c r="D7">
        <v>1</v>
      </c>
      <c r="E7">
        <v>1</v>
      </c>
    </row>
    <row r="8" spans="1:5" x14ac:dyDescent="0.35">
      <c r="A8" t="s">
        <v>8</v>
      </c>
      <c r="B8" t="s">
        <v>51</v>
      </c>
      <c r="C8" t="s">
        <v>108</v>
      </c>
      <c r="D8">
        <v>1</v>
      </c>
      <c r="E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U99"/>
  <sheetViews>
    <sheetView showZeros="0" topLeftCell="A73" zoomScaleNormal="100" workbookViewId="0">
      <selection activeCell="J76" sqref="J76"/>
    </sheetView>
  </sheetViews>
  <sheetFormatPr defaultRowHeight="14.5" x14ac:dyDescent="0.35"/>
  <sheetData>
    <row r="3" spans="1:47" x14ac:dyDescent="0.35">
      <c r="A3" s="2" t="s">
        <v>40</v>
      </c>
    </row>
    <row r="4" spans="1:47" x14ac:dyDescent="0.35">
      <c r="A4" s="4" t="s">
        <v>39</v>
      </c>
    </row>
    <row r="5" spans="1:47" x14ac:dyDescent="0.35"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28</v>
      </c>
      <c r="J5" s="3" t="s">
        <v>102</v>
      </c>
      <c r="K5" s="3" t="s">
        <v>103</v>
      </c>
      <c r="L5" s="3" t="s">
        <v>104</v>
      </c>
      <c r="M5" s="3" t="s">
        <v>105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  <c r="S5" s="3" t="s">
        <v>34</v>
      </c>
      <c r="T5" t="s">
        <v>35</v>
      </c>
      <c r="AA5" s="5"/>
      <c r="AB5" s="8" t="s">
        <v>21</v>
      </c>
      <c r="AC5" s="8" t="s">
        <v>22</v>
      </c>
      <c r="AD5" s="8" t="s">
        <v>23</v>
      </c>
      <c r="AE5" s="8" t="s">
        <v>24</v>
      </c>
      <c r="AF5" s="8" t="s">
        <v>25</v>
      </c>
      <c r="AG5" s="8" t="s">
        <v>26</v>
      </c>
      <c r="AH5" s="8" t="s">
        <v>27</v>
      </c>
      <c r="AI5" s="8" t="s">
        <v>28</v>
      </c>
      <c r="AJ5" s="8" t="s">
        <v>102</v>
      </c>
      <c r="AK5" s="8" t="s">
        <v>103</v>
      </c>
      <c r="AL5" s="8" t="s">
        <v>104</v>
      </c>
      <c r="AM5" s="8" t="s">
        <v>105</v>
      </c>
      <c r="AN5" s="8" t="s">
        <v>29</v>
      </c>
      <c r="AO5" s="8" t="s">
        <v>30</v>
      </c>
      <c r="AP5" s="8" t="s">
        <v>31</v>
      </c>
      <c r="AQ5" s="8" t="s">
        <v>32</v>
      </c>
      <c r="AR5" s="8" t="s">
        <v>33</v>
      </c>
      <c r="AS5" s="8" t="s">
        <v>34</v>
      </c>
      <c r="AT5" s="8" t="s">
        <v>35</v>
      </c>
      <c r="AU5" s="5"/>
    </row>
    <row r="6" spans="1:47" x14ac:dyDescent="0.35">
      <c r="A6" s="8" t="s">
        <v>11</v>
      </c>
      <c r="B6" s="5">
        <f>IF(ISNA(INDEX($AB$6:$AT$25,MATCH($A6,$AA$6:$AA$25,0),MATCH(B$5,$AB$5:$AT$5,0))),0,INDEX($AB$6:$AT$25,MATCH($A6,$AA$6:$AA$25,0),MATCH(B$5,$AB$5:$AT$5,0)))</f>
        <v>85.680906120076116</v>
      </c>
      <c r="C6" s="5">
        <f t="shared" ref="C6:M10" si="0">IF(ISNA(INDEX($AB$6:$AT$25,MATCH($A6,$AA$6:$AA$25,0),MATCH(C$5,$AB$5:$AT$5,0))),0,INDEX($AB$6:$AT$25,MATCH($A6,$AA$6:$AA$25,0),MATCH(C$5,$AB$5:$AT$5,0)))</f>
        <v>65.073026929199216</v>
      </c>
      <c r="D6" s="5">
        <f t="shared" si="0"/>
        <v>2.2176249364829594</v>
      </c>
      <c r="E6" s="5">
        <f t="shared" si="0"/>
        <v>0.57657445956362297</v>
      </c>
      <c r="F6" s="5">
        <f t="shared" si="0"/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ref="N6:T10" si="1">IF(ISNA(INDEX($AB$6:$AT$25,MATCH($A6,$AA$6:$AA$25,0),MATCH(N$5,$AB$5:$AT$5,0))),0,INDEX($AB$6:$AT$25,MATCH($A6,$AA$6:$AA$25,0),MATCH(N$5,$AB$5:$AT$5,0)))</f>
        <v>55.83182570490564</v>
      </c>
      <c r="O6" s="5">
        <f t="shared" si="1"/>
        <v>27.700267367483523</v>
      </c>
      <c r="P6" s="5">
        <f t="shared" si="1"/>
        <v>6.5938099513668158</v>
      </c>
      <c r="Q6" s="5">
        <f t="shared" si="1"/>
        <v>2.4756584300405193</v>
      </c>
      <c r="R6" s="5">
        <f t="shared" si="1"/>
        <v>26.610627123459906</v>
      </c>
      <c r="S6" s="5">
        <f t="shared" si="1"/>
        <v>1.8106039898816013</v>
      </c>
      <c r="T6" s="5">
        <f t="shared" si="1"/>
        <v>274.5709250124599</v>
      </c>
      <c r="AA6" s="8" t="s">
        <v>11</v>
      </c>
      <c r="AB6" s="5">
        <v>85.680906120076116</v>
      </c>
      <c r="AC6" s="5">
        <v>65.073026929199216</v>
      </c>
      <c r="AD6" s="5">
        <v>2.2176249364829594</v>
      </c>
      <c r="AE6" s="5">
        <v>0.57657445956362297</v>
      </c>
      <c r="AF6" s="5"/>
      <c r="AG6" s="5"/>
      <c r="AH6" s="5"/>
      <c r="AI6" s="5"/>
      <c r="AJ6" s="5"/>
      <c r="AK6" s="5"/>
      <c r="AL6" s="5"/>
      <c r="AM6" s="5"/>
      <c r="AN6" s="5">
        <v>55.83182570490564</v>
      </c>
      <c r="AO6" s="5">
        <v>27.700267367483523</v>
      </c>
      <c r="AP6" s="5">
        <v>6.5938099513668158</v>
      </c>
      <c r="AQ6" s="5">
        <v>2.4756584300405193</v>
      </c>
      <c r="AR6" s="5">
        <v>26.610627123459906</v>
      </c>
      <c r="AS6" s="5">
        <v>1.8106039898816013</v>
      </c>
      <c r="AT6" s="5">
        <v>274.5709250124599</v>
      </c>
      <c r="AU6" s="5"/>
    </row>
    <row r="7" spans="1:47" x14ac:dyDescent="0.35">
      <c r="A7" s="8" t="s">
        <v>12</v>
      </c>
      <c r="B7" s="5">
        <f t="shared" ref="B7:B10" si="2">IF(ISNA(INDEX($AB$6:$AT$25,MATCH($A7,$AA$6:$AA$25,0),MATCH(B$5,$AB$5:$AT$5,0))),0,INDEX($AB$6:$AT$25,MATCH($A7,$AA$6:$AA$25,0),MATCH(B$5,$AB$5:$AT$5,0)))</f>
        <v>123.69760718037656</v>
      </c>
      <c r="C7" s="5">
        <f t="shared" si="0"/>
        <v>120.78088414118213</v>
      </c>
      <c r="D7" s="5">
        <f t="shared" si="0"/>
        <v>9.1531323572005547</v>
      </c>
      <c r="E7" s="5">
        <f t="shared" si="0"/>
        <v>1.638803221433113</v>
      </c>
      <c r="F7" s="5">
        <f t="shared" si="0"/>
        <v>0</v>
      </c>
      <c r="G7" s="5">
        <f t="shared" si="0"/>
        <v>0</v>
      </c>
      <c r="H7" s="5">
        <f t="shared" si="0"/>
        <v>0</v>
      </c>
      <c r="I7" s="5">
        <f t="shared" si="0"/>
        <v>0</v>
      </c>
      <c r="J7" s="5">
        <f t="shared" si="0"/>
        <v>0</v>
      </c>
      <c r="K7" s="5">
        <f t="shared" si="0"/>
        <v>0</v>
      </c>
      <c r="L7" s="5">
        <f t="shared" si="0"/>
        <v>0</v>
      </c>
      <c r="M7" s="5">
        <f t="shared" si="0"/>
        <v>0</v>
      </c>
      <c r="N7" s="5">
        <f t="shared" si="1"/>
        <v>87.763684172256603</v>
      </c>
      <c r="O7" s="5">
        <f t="shared" si="1"/>
        <v>43.621625532423096</v>
      </c>
      <c r="P7" s="5">
        <f t="shared" si="1"/>
        <v>10.368174197326514</v>
      </c>
      <c r="Q7" s="5">
        <f t="shared" si="1"/>
        <v>14.205238357641578</v>
      </c>
      <c r="R7" s="5">
        <f t="shared" si="1"/>
        <v>42.243913413247455</v>
      </c>
      <c r="S7" s="5">
        <f t="shared" si="1"/>
        <v>3.973830810770612</v>
      </c>
      <c r="T7" s="5">
        <f t="shared" si="1"/>
        <v>457.4468933838582</v>
      </c>
      <c r="AA7" s="8" t="s">
        <v>12</v>
      </c>
      <c r="AB7" s="5">
        <v>123.69760718037656</v>
      </c>
      <c r="AC7" s="5">
        <v>120.78088414118213</v>
      </c>
      <c r="AD7" s="5">
        <v>9.1531323572005547</v>
      </c>
      <c r="AE7" s="5">
        <v>1.638803221433113</v>
      </c>
      <c r="AF7" s="5"/>
      <c r="AG7" s="5"/>
      <c r="AH7" s="5"/>
      <c r="AI7" s="5"/>
      <c r="AJ7" s="5"/>
      <c r="AK7" s="5"/>
      <c r="AL7" s="5"/>
      <c r="AM7" s="5"/>
      <c r="AN7" s="5">
        <v>87.763684172256603</v>
      </c>
      <c r="AO7" s="5">
        <v>43.621625532423096</v>
      </c>
      <c r="AP7" s="5">
        <v>10.368174197326514</v>
      </c>
      <c r="AQ7" s="5">
        <v>14.205238357641578</v>
      </c>
      <c r="AR7" s="5">
        <v>42.243913413247455</v>
      </c>
      <c r="AS7" s="5">
        <v>3.973830810770612</v>
      </c>
      <c r="AT7" s="5">
        <v>457.4468933838582</v>
      </c>
      <c r="AU7" s="5"/>
    </row>
    <row r="8" spans="1:47" x14ac:dyDescent="0.35">
      <c r="A8" s="8" t="s">
        <v>13</v>
      </c>
      <c r="B8" s="5">
        <f t="shared" si="2"/>
        <v>152.48181219873746</v>
      </c>
      <c r="C8" s="5">
        <f t="shared" si="0"/>
        <v>165.88481499700214</v>
      </c>
      <c r="D8" s="5">
        <f t="shared" si="0"/>
        <v>16.158452860179597</v>
      </c>
      <c r="E8" s="5">
        <f t="shared" si="0"/>
        <v>5.9172554513955671</v>
      </c>
      <c r="F8" s="5">
        <f t="shared" si="0"/>
        <v>0</v>
      </c>
      <c r="G8" s="5">
        <f t="shared" si="0"/>
        <v>0</v>
      </c>
      <c r="H8" s="5">
        <f t="shared" si="0"/>
        <v>0</v>
      </c>
      <c r="I8" s="5">
        <f t="shared" si="0"/>
        <v>0</v>
      </c>
      <c r="J8" s="5">
        <f t="shared" si="0"/>
        <v>0</v>
      </c>
      <c r="K8" s="5">
        <f t="shared" si="0"/>
        <v>0</v>
      </c>
      <c r="L8" s="5">
        <f t="shared" si="0"/>
        <v>0</v>
      </c>
      <c r="M8" s="5">
        <f t="shared" si="0"/>
        <v>0</v>
      </c>
      <c r="N8" s="5">
        <f t="shared" si="1"/>
        <v>135.16386435767473</v>
      </c>
      <c r="O8" s="5">
        <f t="shared" si="1"/>
        <v>66.501070771809268</v>
      </c>
      <c r="P8" s="5">
        <f t="shared" si="1"/>
        <v>18.491715276135878</v>
      </c>
      <c r="Q8" s="5">
        <f t="shared" si="1"/>
        <v>26.90451298252303</v>
      </c>
      <c r="R8" s="5">
        <f t="shared" si="1"/>
        <v>29.998245480443533</v>
      </c>
      <c r="S8" s="5">
        <f t="shared" si="1"/>
        <v>7.8712848641581274</v>
      </c>
      <c r="T8" s="5">
        <f t="shared" si="1"/>
        <v>625.3730292400594</v>
      </c>
      <c r="AA8" s="8" t="s">
        <v>13</v>
      </c>
      <c r="AB8" s="5">
        <v>152.48181219873746</v>
      </c>
      <c r="AC8" s="5">
        <v>165.88481499700214</v>
      </c>
      <c r="AD8" s="5">
        <v>16.158452860179597</v>
      </c>
      <c r="AE8" s="5">
        <v>5.9172554513955671</v>
      </c>
      <c r="AF8" s="5"/>
      <c r="AG8" s="5"/>
      <c r="AH8" s="5"/>
      <c r="AI8" s="5"/>
      <c r="AJ8" s="5"/>
      <c r="AK8" s="5"/>
      <c r="AL8" s="5"/>
      <c r="AM8" s="5"/>
      <c r="AN8" s="5">
        <v>135.16386435767473</v>
      </c>
      <c r="AO8" s="5">
        <v>66.501070771809268</v>
      </c>
      <c r="AP8" s="5">
        <v>18.491715276135878</v>
      </c>
      <c r="AQ8" s="5">
        <v>26.90451298252303</v>
      </c>
      <c r="AR8" s="5">
        <v>29.998245480443533</v>
      </c>
      <c r="AS8" s="5">
        <v>7.8712848641581274</v>
      </c>
      <c r="AT8" s="5">
        <v>625.3730292400594</v>
      </c>
      <c r="AU8" s="5"/>
    </row>
    <row r="9" spans="1:47" x14ac:dyDescent="0.35">
      <c r="A9" s="8" t="s">
        <v>14</v>
      </c>
      <c r="B9" s="5">
        <f t="shared" si="2"/>
        <v>186.94650774391991</v>
      </c>
      <c r="C9" s="5">
        <f t="shared" si="0"/>
        <v>208.94022745475488</v>
      </c>
      <c r="D9" s="5">
        <f t="shared" si="0"/>
        <v>30.150464524645823</v>
      </c>
      <c r="E9" s="5">
        <f t="shared" si="0"/>
        <v>55.284146533566421</v>
      </c>
      <c r="F9" s="5">
        <f t="shared" si="0"/>
        <v>0</v>
      </c>
      <c r="G9" s="5">
        <f t="shared" si="0"/>
        <v>0</v>
      </c>
      <c r="H9" s="5">
        <f t="shared" si="0"/>
        <v>0</v>
      </c>
      <c r="I9" s="5">
        <f t="shared" si="0"/>
        <v>0</v>
      </c>
      <c r="J9" s="5">
        <f t="shared" si="0"/>
        <v>0</v>
      </c>
      <c r="K9" s="5">
        <f t="shared" si="0"/>
        <v>0</v>
      </c>
      <c r="L9" s="5">
        <f t="shared" si="0"/>
        <v>0</v>
      </c>
      <c r="M9" s="5">
        <f t="shared" si="0"/>
        <v>0</v>
      </c>
      <c r="N9" s="5">
        <f t="shared" si="1"/>
        <v>145.70940339302587</v>
      </c>
      <c r="O9" s="5">
        <f t="shared" si="1"/>
        <v>73.063339505124532</v>
      </c>
      <c r="P9" s="5">
        <f t="shared" si="1"/>
        <v>22.554107752956565</v>
      </c>
      <c r="Q9" s="5">
        <f t="shared" si="1"/>
        <v>108.86921470540338</v>
      </c>
      <c r="R9" s="5">
        <f t="shared" si="1"/>
        <v>35.751879247258785</v>
      </c>
      <c r="S9" s="5">
        <f t="shared" si="1"/>
        <v>12.168933992125682</v>
      </c>
      <c r="T9" s="5">
        <f t="shared" si="1"/>
        <v>879.43822485278179</v>
      </c>
      <c r="AA9" s="8" t="s">
        <v>14</v>
      </c>
      <c r="AB9" s="5">
        <v>186.94650774391991</v>
      </c>
      <c r="AC9" s="5">
        <v>208.94022745475488</v>
      </c>
      <c r="AD9" s="5">
        <v>30.150464524645823</v>
      </c>
      <c r="AE9" s="5">
        <v>55.284146533566421</v>
      </c>
      <c r="AF9" s="5"/>
      <c r="AG9" s="5"/>
      <c r="AH9" s="5"/>
      <c r="AI9" s="5"/>
      <c r="AJ9" s="5"/>
      <c r="AK9" s="5"/>
      <c r="AL9" s="5"/>
      <c r="AM9" s="5"/>
      <c r="AN9" s="5">
        <v>145.70940339302587</v>
      </c>
      <c r="AO9" s="5">
        <v>73.063339505124532</v>
      </c>
      <c r="AP9" s="5">
        <v>22.554107752956565</v>
      </c>
      <c r="AQ9" s="5">
        <v>108.86921470540338</v>
      </c>
      <c r="AR9" s="5">
        <v>35.751879247258785</v>
      </c>
      <c r="AS9" s="5">
        <v>12.168933992125682</v>
      </c>
      <c r="AT9" s="5">
        <v>879.43822485278179</v>
      </c>
      <c r="AU9" s="5"/>
    </row>
    <row r="10" spans="1:47" x14ac:dyDescent="0.35">
      <c r="A10" s="8" t="s">
        <v>15</v>
      </c>
      <c r="B10" s="5">
        <f t="shared" si="2"/>
        <v>141.3717150210982</v>
      </c>
      <c r="C10" s="5">
        <f t="shared" si="0"/>
        <v>188.83727931924201</v>
      </c>
      <c r="D10" s="5">
        <f t="shared" si="0"/>
        <v>94.278976993065285</v>
      </c>
      <c r="E10" s="5">
        <f t="shared" si="0"/>
        <v>137.71377368815476</v>
      </c>
      <c r="F10" s="5">
        <f t="shared" si="0"/>
        <v>0</v>
      </c>
      <c r="G10" s="5">
        <f t="shared" si="0"/>
        <v>0</v>
      </c>
      <c r="H10" s="5">
        <f t="shared" si="0"/>
        <v>0</v>
      </c>
      <c r="I10" s="5">
        <f t="shared" si="0"/>
        <v>0</v>
      </c>
      <c r="J10" s="5">
        <f t="shared" si="0"/>
        <v>0</v>
      </c>
      <c r="K10" s="5">
        <f t="shared" si="0"/>
        <v>0</v>
      </c>
      <c r="L10" s="5">
        <f t="shared" si="0"/>
        <v>0</v>
      </c>
      <c r="M10" s="5">
        <f t="shared" si="0"/>
        <v>0</v>
      </c>
      <c r="N10" s="5">
        <f t="shared" si="1"/>
        <v>124.04967073764614</v>
      </c>
      <c r="O10" s="5">
        <f t="shared" si="1"/>
        <v>64.483399776017635</v>
      </c>
      <c r="P10" s="5">
        <f t="shared" si="1"/>
        <v>22.658128535912351</v>
      </c>
      <c r="Q10" s="5">
        <f t="shared" si="1"/>
        <v>351.45969753131783</v>
      </c>
      <c r="R10" s="5">
        <f t="shared" si="1"/>
        <v>35.447477945537329</v>
      </c>
      <c r="S10" s="5">
        <f t="shared" si="1"/>
        <v>26.373576849265056</v>
      </c>
      <c r="T10" s="5">
        <f t="shared" si="1"/>
        <v>1186.6736963972564</v>
      </c>
      <c r="AA10" s="8" t="s">
        <v>15</v>
      </c>
      <c r="AB10" s="5">
        <v>141.3717150210982</v>
      </c>
      <c r="AC10" s="5">
        <v>188.83727931924201</v>
      </c>
      <c r="AD10" s="5">
        <v>94.278976993065285</v>
      </c>
      <c r="AE10" s="5">
        <v>137.71377368815476</v>
      </c>
      <c r="AF10" s="5"/>
      <c r="AG10" s="5"/>
      <c r="AH10" s="5"/>
      <c r="AI10" s="5"/>
      <c r="AJ10" s="5"/>
      <c r="AK10" s="5"/>
      <c r="AL10" s="5"/>
      <c r="AM10" s="5"/>
      <c r="AN10" s="5">
        <v>124.04967073764614</v>
      </c>
      <c r="AO10" s="5">
        <v>64.483399776017635</v>
      </c>
      <c r="AP10" s="5">
        <v>22.658128535912351</v>
      </c>
      <c r="AQ10" s="5">
        <v>351.45969753131783</v>
      </c>
      <c r="AR10" s="5">
        <v>35.447477945537329</v>
      </c>
      <c r="AS10" s="5">
        <v>26.373576849265056</v>
      </c>
      <c r="AT10" s="5">
        <v>1186.6736963972564</v>
      </c>
      <c r="AU10" s="5"/>
    </row>
    <row r="11" spans="1:47" x14ac:dyDescent="0.35">
      <c r="A11" s="8" t="s">
        <v>16</v>
      </c>
      <c r="B11" s="5">
        <f t="shared" ref="B11:K20" si="3">IF(ISNA(INDEX($AB$6:$AT$25,MATCH($A11,$AA$6:$AA$25,0),MATCH(B$5,$AB$5:$AT$5,0))),0,INDEX($AB$6:$AT$25,MATCH($A11,$AA$6:$AA$25,0),MATCH(B$5,$AB$5:$AT$5,0)))</f>
        <v>0</v>
      </c>
      <c r="C11" s="5">
        <f t="shared" si="3"/>
        <v>0</v>
      </c>
      <c r="D11" s="5">
        <f t="shared" si="3"/>
        <v>0</v>
      </c>
      <c r="E11" s="5">
        <f t="shared" si="3"/>
        <v>0</v>
      </c>
      <c r="F11" s="5">
        <f t="shared" si="3"/>
        <v>7.1570132790566214</v>
      </c>
      <c r="G11" s="5">
        <f t="shared" si="3"/>
        <v>5.5120708481083565</v>
      </c>
      <c r="H11" s="5">
        <f t="shared" si="3"/>
        <v>0.60009356185422558</v>
      </c>
      <c r="I11" s="5">
        <f t="shared" si="3"/>
        <v>1.4360854774546505</v>
      </c>
      <c r="J11" s="5">
        <f t="shared" si="3"/>
        <v>0</v>
      </c>
      <c r="K11" s="5">
        <f t="shared" si="3"/>
        <v>0</v>
      </c>
      <c r="L11" s="5">
        <f t="shared" ref="L11:T20" si="4">IF(ISNA(INDEX($AB$6:$AT$25,MATCH($A11,$AA$6:$AA$25,0),MATCH(L$5,$AB$5:$AT$5,0))),0,INDEX($AB$6:$AT$25,MATCH($A11,$AA$6:$AA$25,0),MATCH(L$5,$AB$5:$AT$5,0)))</f>
        <v>0</v>
      </c>
      <c r="M11" s="5">
        <f t="shared" si="4"/>
        <v>0</v>
      </c>
      <c r="N11" s="5">
        <f t="shared" si="4"/>
        <v>1.8713725497561422</v>
      </c>
      <c r="O11" s="5">
        <f t="shared" si="4"/>
        <v>0.93124262443446737</v>
      </c>
      <c r="P11" s="5">
        <f t="shared" si="4"/>
        <v>0.20996961287143848</v>
      </c>
      <c r="Q11" s="5">
        <f t="shared" si="4"/>
        <v>0.38536694561910462</v>
      </c>
      <c r="R11" s="5">
        <f t="shared" si="4"/>
        <v>2.0402659321483538</v>
      </c>
      <c r="S11" s="5">
        <f t="shared" si="4"/>
        <v>9.220952491947261E-2</v>
      </c>
      <c r="T11" s="5">
        <f t="shared" si="4"/>
        <v>20.235690356222836</v>
      </c>
      <c r="AA11" s="8" t="s">
        <v>16</v>
      </c>
      <c r="AB11" s="5"/>
      <c r="AC11" s="5"/>
      <c r="AD11" s="5"/>
      <c r="AE11" s="5"/>
      <c r="AF11" s="5">
        <v>7.1570132790566214</v>
      </c>
      <c r="AG11" s="5">
        <v>5.5120708481083565</v>
      </c>
      <c r="AH11" s="5">
        <v>0.60009356185422558</v>
      </c>
      <c r="AI11" s="5">
        <v>1.4360854774546505</v>
      </c>
      <c r="AJ11" s="5"/>
      <c r="AK11" s="5"/>
      <c r="AL11" s="5"/>
      <c r="AM11" s="5"/>
      <c r="AN11" s="5">
        <v>1.8713725497561422</v>
      </c>
      <c r="AO11" s="5">
        <v>0.93124262443446737</v>
      </c>
      <c r="AP11" s="5">
        <v>0.20996961287143848</v>
      </c>
      <c r="AQ11" s="5">
        <v>0.38536694561910462</v>
      </c>
      <c r="AR11" s="5">
        <v>2.0402659321483538</v>
      </c>
      <c r="AS11" s="5">
        <v>9.220952491947261E-2</v>
      </c>
      <c r="AT11" s="5">
        <v>20.235690356222836</v>
      </c>
      <c r="AU11" s="5"/>
    </row>
    <row r="12" spans="1:47" x14ac:dyDescent="0.35">
      <c r="A12" s="8" t="s">
        <v>17</v>
      </c>
      <c r="B12" s="5">
        <f t="shared" si="3"/>
        <v>0</v>
      </c>
      <c r="C12" s="5">
        <f t="shared" si="3"/>
        <v>0</v>
      </c>
      <c r="D12" s="5">
        <f t="shared" si="3"/>
        <v>0</v>
      </c>
      <c r="E12" s="5">
        <f t="shared" si="3"/>
        <v>0</v>
      </c>
      <c r="F12" s="5">
        <f t="shared" si="3"/>
        <v>8.2998397956961902</v>
      </c>
      <c r="G12" s="5">
        <f t="shared" si="3"/>
        <v>7.731648585869813</v>
      </c>
      <c r="H12" s="5">
        <f t="shared" si="3"/>
        <v>1.3282851850388988</v>
      </c>
      <c r="I12" s="5">
        <f t="shared" si="3"/>
        <v>3.1617954432279953</v>
      </c>
      <c r="J12" s="5">
        <f t="shared" si="3"/>
        <v>0</v>
      </c>
      <c r="K12" s="5">
        <f t="shared" si="3"/>
        <v>0</v>
      </c>
      <c r="L12" s="5">
        <f t="shared" si="4"/>
        <v>0</v>
      </c>
      <c r="M12" s="5">
        <f t="shared" si="4"/>
        <v>0</v>
      </c>
      <c r="N12" s="5">
        <f t="shared" si="4"/>
        <v>2.0707556121273285</v>
      </c>
      <c r="O12" s="5">
        <f t="shared" si="4"/>
        <v>1.0381807363441966</v>
      </c>
      <c r="P12" s="5">
        <f t="shared" si="4"/>
        <v>0.43356741902995155</v>
      </c>
      <c r="Q12" s="5">
        <f t="shared" si="4"/>
        <v>2.07598035197518</v>
      </c>
      <c r="R12" s="5">
        <f t="shared" si="4"/>
        <v>0.74329389383624067</v>
      </c>
      <c r="S12" s="5">
        <f t="shared" si="4"/>
        <v>0.1590570179373095</v>
      </c>
      <c r="T12" s="5">
        <f t="shared" si="4"/>
        <v>27.042404041083103</v>
      </c>
      <c r="AA12" s="8" t="s">
        <v>17</v>
      </c>
      <c r="AB12" s="5"/>
      <c r="AC12" s="5"/>
      <c r="AD12" s="5"/>
      <c r="AE12" s="5"/>
      <c r="AF12" s="5">
        <v>8.2998397956961902</v>
      </c>
      <c r="AG12" s="5">
        <v>7.731648585869813</v>
      </c>
      <c r="AH12" s="5">
        <v>1.3282851850388988</v>
      </c>
      <c r="AI12" s="5">
        <v>3.1617954432279953</v>
      </c>
      <c r="AJ12" s="5"/>
      <c r="AK12" s="5"/>
      <c r="AL12" s="5"/>
      <c r="AM12" s="5"/>
      <c r="AN12" s="5">
        <v>2.0707556121273285</v>
      </c>
      <c r="AO12" s="5">
        <v>1.0381807363441966</v>
      </c>
      <c r="AP12" s="5">
        <v>0.43356741902995155</v>
      </c>
      <c r="AQ12" s="5">
        <v>2.07598035197518</v>
      </c>
      <c r="AR12" s="5">
        <v>0.74329389383624067</v>
      </c>
      <c r="AS12" s="5">
        <v>0.1590570179373095</v>
      </c>
      <c r="AT12" s="5">
        <v>27.042404041083103</v>
      </c>
      <c r="AU12" s="5"/>
    </row>
    <row r="13" spans="1:47" x14ac:dyDescent="0.35">
      <c r="A13" s="8" t="s">
        <v>18</v>
      </c>
      <c r="B13" s="5">
        <f t="shared" si="3"/>
        <v>0</v>
      </c>
      <c r="C13" s="5">
        <f t="shared" si="3"/>
        <v>0</v>
      </c>
      <c r="D13" s="5">
        <f t="shared" si="3"/>
        <v>0</v>
      </c>
      <c r="E13" s="5">
        <f t="shared" si="3"/>
        <v>0</v>
      </c>
      <c r="F13" s="5">
        <f t="shared" si="3"/>
        <v>13.303802810246594</v>
      </c>
      <c r="G13" s="5">
        <f t="shared" si="3"/>
        <v>13.238176863197555</v>
      </c>
      <c r="H13" s="5">
        <f t="shared" si="3"/>
        <v>2.2708916691645054</v>
      </c>
      <c r="I13" s="5">
        <f t="shared" si="3"/>
        <v>5.3905784723478911</v>
      </c>
      <c r="J13" s="5">
        <f t="shared" si="3"/>
        <v>0</v>
      </c>
      <c r="K13" s="5">
        <f t="shared" si="3"/>
        <v>0</v>
      </c>
      <c r="L13" s="5">
        <f t="shared" si="4"/>
        <v>0</v>
      </c>
      <c r="M13" s="5">
        <f t="shared" si="4"/>
        <v>0</v>
      </c>
      <c r="N13" s="5">
        <f t="shared" si="4"/>
        <v>2.7415737109533653</v>
      </c>
      <c r="O13" s="5">
        <f t="shared" si="4"/>
        <v>1.3769375733764395</v>
      </c>
      <c r="P13" s="5">
        <f t="shared" si="4"/>
        <v>0.63239058473756504</v>
      </c>
      <c r="Q13" s="5">
        <f t="shared" si="4"/>
        <v>5.341882067905388</v>
      </c>
      <c r="R13" s="5">
        <f t="shared" si="4"/>
        <v>1.7840664172272958</v>
      </c>
      <c r="S13" s="5">
        <f t="shared" si="4"/>
        <v>2.4287640172675085E-3</v>
      </c>
      <c r="T13" s="5">
        <f t="shared" si="4"/>
        <v>46.082728933173868</v>
      </c>
      <c r="AA13" s="8" t="s">
        <v>18</v>
      </c>
      <c r="AB13" s="5"/>
      <c r="AC13" s="5"/>
      <c r="AD13" s="5"/>
      <c r="AE13" s="5"/>
      <c r="AF13" s="5">
        <v>13.303802810246594</v>
      </c>
      <c r="AG13" s="5">
        <v>13.238176863197555</v>
      </c>
      <c r="AH13" s="5">
        <v>2.2708916691645054</v>
      </c>
      <c r="AI13" s="5">
        <v>5.3905784723478911</v>
      </c>
      <c r="AJ13" s="5"/>
      <c r="AK13" s="5"/>
      <c r="AL13" s="5"/>
      <c r="AM13" s="5"/>
      <c r="AN13" s="5">
        <v>2.7415737109533653</v>
      </c>
      <c r="AO13" s="5">
        <v>1.3769375733764395</v>
      </c>
      <c r="AP13" s="5">
        <v>0.63239058473756504</v>
      </c>
      <c r="AQ13" s="5">
        <v>5.341882067905388</v>
      </c>
      <c r="AR13" s="5">
        <v>1.7840664172272958</v>
      </c>
      <c r="AS13" s="5">
        <v>2.4287640172675085E-3</v>
      </c>
      <c r="AT13" s="5">
        <v>46.082728933173868</v>
      </c>
      <c r="AU13" s="5"/>
    </row>
    <row r="14" spans="1:47" x14ac:dyDescent="0.35">
      <c r="A14" s="8" t="s">
        <v>19</v>
      </c>
      <c r="B14" s="5">
        <f t="shared" si="3"/>
        <v>0</v>
      </c>
      <c r="C14" s="5">
        <f t="shared" si="3"/>
        <v>0</v>
      </c>
      <c r="D14" s="5">
        <f t="shared" si="3"/>
        <v>0</v>
      </c>
      <c r="E14" s="5">
        <f t="shared" si="3"/>
        <v>0</v>
      </c>
      <c r="F14" s="5">
        <f t="shared" si="3"/>
        <v>13.974833680884876</v>
      </c>
      <c r="G14" s="5">
        <f t="shared" si="3"/>
        <v>16.939787118777399</v>
      </c>
      <c r="H14" s="5">
        <f t="shared" si="3"/>
        <v>8.1024965224692913</v>
      </c>
      <c r="I14" s="5">
        <f t="shared" si="3"/>
        <v>18.056676497847818</v>
      </c>
      <c r="J14" s="5">
        <f t="shared" si="3"/>
        <v>0</v>
      </c>
      <c r="K14" s="5">
        <f t="shared" si="3"/>
        <v>0</v>
      </c>
      <c r="L14" s="5">
        <f t="shared" si="4"/>
        <v>0</v>
      </c>
      <c r="M14" s="5">
        <f t="shared" si="4"/>
        <v>0</v>
      </c>
      <c r="N14" s="5">
        <f t="shared" si="4"/>
        <v>3.2283584908381315</v>
      </c>
      <c r="O14" s="5">
        <f t="shared" si="4"/>
        <v>1.6252266772847785</v>
      </c>
      <c r="P14" s="5">
        <f t="shared" si="4"/>
        <v>0.90218476929059854</v>
      </c>
      <c r="Q14" s="5">
        <f t="shared" si="4"/>
        <v>22.853095021031795</v>
      </c>
      <c r="R14" s="5">
        <f t="shared" si="4"/>
        <v>2.8102920604607475</v>
      </c>
      <c r="S14" s="5">
        <f t="shared" si="4"/>
        <v>1.1859424707357622</v>
      </c>
      <c r="T14" s="5">
        <f t="shared" si="4"/>
        <v>89.678893309621216</v>
      </c>
      <c r="AA14" s="8" t="s">
        <v>19</v>
      </c>
      <c r="AB14" s="5"/>
      <c r="AC14" s="5"/>
      <c r="AD14" s="5"/>
      <c r="AE14" s="5"/>
      <c r="AF14" s="5">
        <v>13.974833680884876</v>
      </c>
      <c r="AG14" s="5">
        <v>16.939787118777399</v>
      </c>
      <c r="AH14" s="5">
        <v>8.1024965224692913</v>
      </c>
      <c r="AI14" s="5">
        <v>18.056676497847818</v>
      </c>
      <c r="AJ14" s="5"/>
      <c r="AK14" s="5"/>
      <c r="AL14" s="5"/>
      <c r="AM14" s="5"/>
      <c r="AN14" s="5">
        <v>3.2283584908381315</v>
      </c>
      <c r="AO14" s="5">
        <v>1.6252266772847785</v>
      </c>
      <c r="AP14" s="5">
        <v>0.90218476929059854</v>
      </c>
      <c r="AQ14" s="5">
        <v>22.853095021031795</v>
      </c>
      <c r="AR14" s="5">
        <v>2.8102920604607475</v>
      </c>
      <c r="AS14" s="5">
        <v>1.1859424707357622</v>
      </c>
      <c r="AT14" s="5">
        <v>89.678893309621216</v>
      </c>
      <c r="AU14" s="5"/>
    </row>
    <row r="15" spans="1:47" x14ac:dyDescent="0.35">
      <c r="A15" s="8" t="s">
        <v>20</v>
      </c>
      <c r="B15" s="5">
        <f t="shared" si="3"/>
        <v>0</v>
      </c>
      <c r="C15" s="5">
        <f t="shared" si="3"/>
        <v>0</v>
      </c>
      <c r="D15" s="5">
        <f t="shared" si="3"/>
        <v>0</v>
      </c>
      <c r="E15" s="5">
        <f t="shared" si="3"/>
        <v>0</v>
      </c>
      <c r="F15" s="5">
        <f t="shared" si="3"/>
        <v>20.61450032863441</v>
      </c>
      <c r="G15" s="5">
        <f t="shared" si="3"/>
        <v>52.166184582691116</v>
      </c>
      <c r="H15" s="5">
        <f t="shared" si="3"/>
        <v>56.480985179828096</v>
      </c>
      <c r="I15" s="5">
        <f t="shared" si="3"/>
        <v>267.81932749503693</v>
      </c>
      <c r="J15" s="5">
        <f t="shared" si="3"/>
        <v>0</v>
      </c>
      <c r="K15" s="5">
        <f t="shared" si="3"/>
        <v>0</v>
      </c>
      <c r="L15" s="5">
        <f t="shared" si="4"/>
        <v>0</v>
      </c>
      <c r="M15" s="5">
        <f t="shared" si="4"/>
        <v>0</v>
      </c>
      <c r="N15" s="5">
        <f t="shared" si="4"/>
        <v>4.8344567741542894</v>
      </c>
      <c r="O15" s="5">
        <f t="shared" si="4"/>
        <v>2.4328742527220677</v>
      </c>
      <c r="P15" s="5">
        <f t="shared" si="4"/>
        <v>1.8727022754835796</v>
      </c>
      <c r="Q15" s="5">
        <f t="shared" si="4"/>
        <v>279.90781083270861</v>
      </c>
      <c r="R15" s="5">
        <f t="shared" si="4"/>
        <v>15.976443038696843</v>
      </c>
      <c r="S15" s="5">
        <f t="shared" si="4"/>
        <v>9.1331294034594546</v>
      </c>
      <c r="T15" s="5">
        <f t="shared" si="4"/>
        <v>711.23841416341531</v>
      </c>
      <c r="AA15" s="8" t="s">
        <v>20</v>
      </c>
      <c r="AB15" s="5"/>
      <c r="AC15" s="5"/>
      <c r="AD15" s="5"/>
      <c r="AE15" s="5"/>
      <c r="AF15" s="5">
        <v>20.61450032863441</v>
      </c>
      <c r="AG15" s="5">
        <v>52.166184582691116</v>
      </c>
      <c r="AH15" s="5">
        <v>56.480985179828096</v>
      </c>
      <c r="AI15" s="5">
        <v>267.81932749503693</v>
      </c>
      <c r="AJ15" s="5"/>
      <c r="AK15" s="5"/>
      <c r="AL15" s="5"/>
      <c r="AM15" s="5"/>
      <c r="AN15" s="5">
        <v>4.8344567741542894</v>
      </c>
      <c r="AO15" s="5">
        <v>2.4328742527220677</v>
      </c>
      <c r="AP15" s="5">
        <v>1.8727022754835796</v>
      </c>
      <c r="AQ15" s="5">
        <v>279.90781083270861</v>
      </c>
      <c r="AR15" s="5">
        <v>15.976443038696843</v>
      </c>
      <c r="AS15" s="5">
        <v>9.1331294034594546</v>
      </c>
      <c r="AT15" s="5">
        <v>711.23841416341531</v>
      </c>
      <c r="AU15" s="5"/>
    </row>
    <row r="16" spans="1:47" x14ac:dyDescent="0.35">
      <c r="A16" s="3" t="s">
        <v>97</v>
      </c>
      <c r="B16" s="5">
        <f t="shared" si="3"/>
        <v>0</v>
      </c>
      <c r="C16" s="5">
        <f t="shared" si="3"/>
        <v>0</v>
      </c>
      <c r="D16" s="5">
        <f t="shared" si="3"/>
        <v>0</v>
      </c>
      <c r="E16" s="5">
        <f t="shared" si="3"/>
        <v>0</v>
      </c>
      <c r="F16" s="5">
        <f t="shared" si="3"/>
        <v>0</v>
      </c>
      <c r="G16" s="5">
        <f t="shared" si="3"/>
        <v>0</v>
      </c>
      <c r="H16" s="5">
        <f t="shared" si="3"/>
        <v>0</v>
      </c>
      <c r="I16" s="5">
        <f t="shared" si="3"/>
        <v>0</v>
      </c>
      <c r="J16" s="5">
        <f t="shared" si="3"/>
        <v>7.695880192020816</v>
      </c>
      <c r="K16" s="5">
        <f t="shared" si="3"/>
        <v>3.2209142103385315</v>
      </c>
      <c r="L16" s="5">
        <f t="shared" si="4"/>
        <v>1.4263030969114037</v>
      </c>
      <c r="M16" s="5">
        <f t="shared" si="4"/>
        <v>3.8743733174692894</v>
      </c>
      <c r="N16" s="5">
        <f t="shared" si="4"/>
        <v>0.78125224666185178</v>
      </c>
      <c r="O16" s="5">
        <f t="shared" si="4"/>
        <v>0.39189192120316196</v>
      </c>
      <c r="P16" s="5">
        <f t="shared" si="4"/>
        <v>8.4939295007391585E-2</v>
      </c>
      <c r="Q16" s="5">
        <f t="shared" si="4"/>
        <v>0.40943371399425832</v>
      </c>
      <c r="R16" s="5">
        <f t="shared" si="4"/>
        <v>1.8313002190750816</v>
      </c>
      <c r="S16" s="5">
        <f t="shared" si="4"/>
        <v>5.1419716361871273E-2</v>
      </c>
      <c r="T16" s="5">
        <f t="shared" si="4"/>
        <v>19.767707929043652</v>
      </c>
      <c r="AA16" s="8" t="s">
        <v>97</v>
      </c>
      <c r="AB16" s="5"/>
      <c r="AC16" s="5"/>
      <c r="AD16" s="5"/>
      <c r="AE16" s="5"/>
      <c r="AF16" s="5"/>
      <c r="AG16" s="5"/>
      <c r="AH16" s="5"/>
      <c r="AI16" s="5"/>
      <c r="AJ16" s="5">
        <v>7.695880192020816</v>
      </c>
      <c r="AK16" s="5">
        <v>3.2209142103385315</v>
      </c>
      <c r="AL16" s="5">
        <v>1.4263030969114037</v>
      </c>
      <c r="AM16" s="5">
        <v>3.8743733174692894</v>
      </c>
      <c r="AN16" s="5">
        <v>0.78125224666185178</v>
      </c>
      <c r="AO16" s="5">
        <v>0.39189192120316196</v>
      </c>
      <c r="AP16" s="5">
        <v>8.4939295007391585E-2</v>
      </c>
      <c r="AQ16" s="5">
        <v>0.40943371399425832</v>
      </c>
      <c r="AR16" s="5">
        <v>1.8313002190750816</v>
      </c>
      <c r="AS16" s="5">
        <v>5.1419716361871273E-2</v>
      </c>
      <c r="AT16" s="5">
        <v>19.767707929043652</v>
      </c>
      <c r="AU16" s="5"/>
    </row>
    <row r="17" spans="1:47" x14ac:dyDescent="0.35">
      <c r="A17" s="3" t="s">
        <v>98</v>
      </c>
      <c r="B17" s="5">
        <f t="shared" si="3"/>
        <v>0</v>
      </c>
      <c r="C17" s="5">
        <f t="shared" si="3"/>
        <v>0</v>
      </c>
      <c r="D17" s="5">
        <f t="shared" si="3"/>
        <v>0</v>
      </c>
      <c r="E17" s="5">
        <f t="shared" si="3"/>
        <v>0</v>
      </c>
      <c r="F17" s="5">
        <f t="shared" si="3"/>
        <v>0</v>
      </c>
      <c r="G17" s="5">
        <f t="shared" si="3"/>
        <v>0</v>
      </c>
      <c r="H17" s="5">
        <f t="shared" si="3"/>
        <v>0</v>
      </c>
      <c r="I17" s="5">
        <f t="shared" si="3"/>
        <v>0</v>
      </c>
      <c r="J17" s="5">
        <f t="shared" si="3"/>
        <v>9.0948706610617904</v>
      </c>
      <c r="K17" s="5">
        <f t="shared" si="3"/>
        <v>4.8758438518311893</v>
      </c>
      <c r="L17" s="5">
        <f t="shared" si="4"/>
        <v>2.2765609595947103</v>
      </c>
      <c r="M17" s="5">
        <f t="shared" si="4"/>
        <v>6.3817392674711186</v>
      </c>
      <c r="N17" s="5">
        <f t="shared" si="4"/>
        <v>2.0706142185105452</v>
      </c>
      <c r="O17" s="5">
        <f t="shared" si="4"/>
        <v>1.0270824842334676</v>
      </c>
      <c r="P17" s="5">
        <f t="shared" si="4"/>
        <v>0.55181831927983693</v>
      </c>
      <c r="Q17" s="5">
        <f t="shared" si="4"/>
        <v>0.75321348043898229</v>
      </c>
      <c r="R17" s="5">
        <f t="shared" si="4"/>
        <v>1.73653637342325</v>
      </c>
      <c r="S17" s="5">
        <f t="shared" si="4"/>
        <v>0.26007082989025015</v>
      </c>
      <c r="T17" s="5">
        <f t="shared" si="4"/>
        <v>29.028350445735139</v>
      </c>
      <c r="AA17" s="8" t="s">
        <v>98</v>
      </c>
      <c r="AB17" s="5"/>
      <c r="AC17" s="5"/>
      <c r="AD17" s="5"/>
      <c r="AE17" s="5"/>
      <c r="AF17" s="5"/>
      <c r="AG17" s="5"/>
      <c r="AH17" s="5"/>
      <c r="AI17" s="5"/>
      <c r="AJ17" s="5">
        <v>9.0948706610617904</v>
      </c>
      <c r="AK17" s="5">
        <v>4.8758438518311893</v>
      </c>
      <c r="AL17" s="5">
        <v>2.2765609595947103</v>
      </c>
      <c r="AM17" s="5">
        <v>6.3817392674711186</v>
      </c>
      <c r="AN17" s="5">
        <v>2.0706142185105452</v>
      </c>
      <c r="AO17" s="5">
        <v>1.0270824842334676</v>
      </c>
      <c r="AP17" s="5">
        <v>0.55181831927983693</v>
      </c>
      <c r="AQ17" s="5">
        <v>0.75321348043898229</v>
      </c>
      <c r="AR17" s="5">
        <v>1.73653637342325</v>
      </c>
      <c r="AS17" s="5">
        <v>0.26007082989025015</v>
      </c>
      <c r="AT17" s="5">
        <v>29.028350445735139</v>
      </c>
      <c r="AU17" s="5"/>
    </row>
    <row r="18" spans="1:47" x14ac:dyDescent="0.35">
      <c r="A18" s="3" t="s">
        <v>99</v>
      </c>
      <c r="B18" s="5">
        <f t="shared" si="3"/>
        <v>0</v>
      </c>
      <c r="C18" s="5">
        <f t="shared" si="3"/>
        <v>0</v>
      </c>
      <c r="D18" s="5">
        <f t="shared" si="3"/>
        <v>0</v>
      </c>
      <c r="E18" s="5">
        <f t="shared" si="3"/>
        <v>0</v>
      </c>
      <c r="F18" s="5">
        <f t="shared" si="3"/>
        <v>0</v>
      </c>
      <c r="G18" s="5">
        <f t="shared" si="3"/>
        <v>0</v>
      </c>
      <c r="H18" s="5">
        <f t="shared" si="3"/>
        <v>0</v>
      </c>
      <c r="I18" s="5">
        <f t="shared" si="3"/>
        <v>0</v>
      </c>
      <c r="J18" s="5">
        <f t="shared" si="3"/>
        <v>11.459826309175854</v>
      </c>
      <c r="K18" s="5">
        <f t="shared" si="3"/>
        <v>7.1550368173741745</v>
      </c>
      <c r="L18" s="5">
        <f t="shared" si="4"/>
        <v>6.2221545056581871</v>
      </c>
      <c r="M18" s="5">
        <f t="shared" si="4"/>
        <v>16.6998807431854</v>
      </c>
      <c r="N18" s="5">
        <f t="shared" si="4"/>
        <v>2.3342032966141266</v>
      </c>
      <c r="O18" s="5">
        <f t="shared" si="4"/>
        <v>1.1735061594814837</v>
      </c>
      <c r="P18" s="5">
        <f t="shared" si="4"/>
        <v>0.25109410377840063</v>
      </c>
      <c r="Q18" s="5">
        <f t="shared" si="4"/>
        <v>6.0820936263644585</v>
      </c>
      <c r="R18" s="5">
        <f t="shared" si="4"/>
        <v>1.9055711369501143</v>
      </c>
      <c r="S18" s="5">
        <f t="shared" si="4"/>
        <v>0.18946941318171817</v>
      </c>
      <c r="T18" s="5">
        <f t="shared" si="4"/>
        <v>53.472836111763925</v>
      </c>
      <c r="AA18" s="8" t="s">
        <v>99</v>
      </c>
      <c r="AB18" s="5"/>
      <c r="AC18" s="5"/>
      <c r="AD18" s="5"/>
      <c r="AE18" s="5"/>
      <c r="AF18" s="5"/>
      <c r="AG18" s="5"/>
      <c r="AH18" s="5"/>
      <c r="AI18" s="5"/>
      <c r="AJ18" s="5">
        <v>11.459826309175854</v>
      </c>
      <c r="AK18" s="5">
        <v>7.1550368173741745</v>
      </c>
      <c r="AL18" s="5">
        <v>6.2221545056581871</v>
      </c>
      <c r="AM18" s="5">
        <v>16.6998807431854</v>
      </c>
      <c r="AN18" s="5">
        <v>2.3342032966141266</v>
      </c>
      <c r="AO18" s="5">
        <v>1.1735061594814837</v>
      </c>
      <c r="AP18" s="5">
        <v>0.25109410377840063</v>
      </c>
      <c r="AQ18" s="5">
        <v>6.0820936263644585</v>
      </c>
      <c r="AR18" s="5">
        <v>1.9055711369501143</v>
      </c>
      <c r="AS18" s="5">
        <v>0.18946941318171817</v>
      </c>
      <c r="AT18" s="5">
        <v>53.472836111763925</v>
      </c>
      <c r="AU18" s="5"/>
    </row>
    <row r="19" spans="1:47" x14ac:dyDescent="0.35">
      <c r="A19" s="3" t="s">
        <v>100</v>
      </c>
      <c r="B19" s="5">
        <f t="shared" si="3"/>
        <v>0</v>
      </c>
      <c r="C19" s="5">
        <f t="shared" si="3"/>
        <v>0</v>
      </c>
      <c r="D19" s="5">
        <f t="shared" si="3"/>
        <v>0</v>
      </c>
      <c r="E19" s="5">
        <f t="shared" si="3"/>
        <v>0</v>
      </c>
      <c r="F19" s="5">
        <f t="shared" si="3"/>
        <v>0</v>
      </c>
      <c r="G19" s="5">
        <f t="shared" si="3"/>
        <v>0</v>
      </c>
      <c r="H19" s="5">
        <f t="shared" si="3"/>
        <v>0</v>
      </c>
      <c r="I19" s="5">
        <f t="shared" si="3"/>
        <v>0</v>
      </c>
      <c r="J19" s="5">
        <f t="shared" si="3"/>
        <v>22.435790250535355</v>
      </c>
      <c r="K19" s="5">
        <f t="shared" si="3"/>
        <v>21.328832734919295</v>
      </c>
      <c r="L19" s="5">
        <f t="shared" si="4"/>
        <v>12.474638041373133</v>
      </c>
      <c r="M19" s="5">
        <f t="shared" si="4"/>
        <v>51.069710086362768</v>
      </c>
      <c r="N19" s="5">
        <f t="shared" si="4"/>
        <v>3.4760106594402922</v>
      </c>
      <c r="O19" s="5">
        <f t="shared" si="4"/>
        <v>1.7462386181629967</v>
      </c>
      <c r="P19" s="5">
        <f t="shared" si="4"/>
        <v>2.3826606896693536</v>
      </c>
      <c r="Q19" s="5">
        <f t="shared" si="4"/>
        <v>25.771247017232863</v>
      </c>
      <c r="R19" s="5">
        <f t="shared" si="4"/>
        <v>4.5300739691925456</v>
      </c>
      <c r="S19" s="5">
        <f t="shared" si="4"/>
        <v>0.57109687558829314</v>
      </c>
      <c r="T19" s="5">
        <f t="shared" si="4"/>
        <v>145.78629894247689</v>
      </c>
      <c r="AA19" s="8" t="s">
        <v>100</v>
      </c>
      <c r="AB19" s="5"/>
      <c r="AC19" s="5"/>
      <c r="AD19" s="5"/>
      <c r="AE19" s="5"/>
      <c r="AF19" s="5"/>
      <c r="AG19" s="5"/>
      <c r="AH19" s="5"/>
      <c r="AI19" s="5"/>
      <c r="AJ19" s="5">
        <v>22.435790250535355</v>
      </c>
      <c r="AK19" s="5">
        <v>21.328832734919295</v>
      </c>
      <c r="AL19" s="5">
        <v>12.474638041373133</v>
      </c>
      <c r="AM19" s="5">
        <v>51.069710086362768</v>
      </c>
      <c r="AN19" s="5">
        <v>3.4760106594402922</v>
      </c>
      <c r="AO19" s="5">
        <v>1.7462386181629967</v>
      </c>
      <c r="AP19" s="5">
        <v>2.3826606896693536</v>
      </c>
      <c r="AQ19" s="5">
        <v>25.771247017232863</v>
      </c>
      <c r="AR19" s="5">
        <v>4.5300739691925456</v>
      </c>
      <c r="AS19" s="5">
        <v>0.57109687558829314</v>
      </c>
      <c r="AT19" s="5">
        <v>145.78629894247689</v>
      </c>
      <c r="AU19" s="5"/>
    </row>
    <row r="20" spans="1:47" x14ac:dyDescent="0.35">
      <c r="A20" s="3" t="s">
        <v>101</v>
      </c>
      <c r="B20" s="5">
        <f t="shared" si="3"/>
        <v>0</v>
      </c>
      <c r="C20" s="5">
        <f t="shared" si="3"/>
        <v>0</v>
      </c>
      <c r="D20" s="5">
        <f t="shared" si="3"/>
        <v>0</v>
      </c>
      <c r="E20" s="5">
        <f t="shared" si="3"/>
        <v>0</v>
      </c>
      <c r="F20" s="5">
        <f t="shared" si="3"/>
        <v>0</v>
      </c>
      <c r="G20" s="5">
        <f t="shared" si="3"/>
        <v>0</v>
      </c>
      <c r="H20" s="5">
        <f t="shared" si="3"/>
        <v>0</v>
      </c>
      <c r="I20" s="5">
        <f t="shared" si="3"/>
        <v>0</v>
      </c>
      <c r="J20" s="5">
        <f t="shared" si="3"/>
        <v>47.211738520547534</v>
      </c>
      <c r="K20" s="5">
        <f t="shared" si="3"/>
        <v>89.057922986491135</v>
      </c>
      <c r="L20" s="5">
        <f t="shared" si="4"/>
        <v>156.98240462249294</v>
      </c>
      <c r="M20" s="5">
        <f t="shared" si="4"/>
        <v>1069.4357586338067</v>
      </c>
      <c r="N20" s="5">
        <f t="shared" si="4"/>
        <v>3.963292911142648</v>
      </c>
      <c r="O20" s="5">
        <f t="shared" si="4"/>
        <v>1.9923666325104916</v>
      </c>
      <c r="P20" s="5">
        <f t="shared" si="4"/>
        <v>2.3610266837596479</v>
      </c>
      <c r="Q20" s="5">
        <f t="shared" si="4"/>
        <v>805.0721913491758</v>
      </c>
      <c r="R20" s="5">
        <f t="shared" si="4"/>
        <v>50.679430734355293</v>
      </c>
      <c r="S20" s="5">
        <f t="shared" si="4"/>
        <v>110.48531926232216</v>
      </c>
      <c r="T20" s="5">
        <f t="shared" si="4"/>
        <v>2337.2414523366047</v>
      </c>
      <c r="AA20" s="8" t="s">
        <v>101</v>
      </c>
      <c r="AB20" s="5"/>
      <c r="AC20" s="5"/>
      <c r="AD20" s="5"/>
      <c r="AE20" s="5"/>
      <c r="AF20" s="5"/>
      <c r="AG20" s="5"/>
      <c r="AH20" s="5"/>
      <c r="AI20" s="5"/>
      <c r="AJ20" s="5">
        <v>47.211738520547534</v>
      </c>
      <c r="AK20" s="5">
        <v>89.057922986491135</v>
      </c>
      <c r="AL20" s="5">
        <v>156.98240462249294</v>
      </c>
      <c r="AM20" s="5">
        <v>1069.4357586338067</v>
      </c>
      <c r="AN20" s="5">
        <v>3.963292911142648</v>
      </c>
      <c r="AO20" s="5">
        <v>1.9923666325104916</v>
      </c>
      <c r="AP20" s="5">
        <v>2.3610266837596479</v>
      </c>
      <c r="AQ20" s="5">
        <v>805.0721913491758</v>
      </c>
      <c r="AR20" s="5">
        <v>50.679430734355293</v>
      </c>
      <c r="AS20" s="5">
        <v>110.48531926232216</v>
      </c>
      <c r="AT20" s="5">
        <v>2337.2414523366047</v>
      </c>
      <c r="AU20" s="5"/>
    </row>
    <row r="21" spans="1:47" x14ac:dyDescent="0.35">
      <c r="A21" s="6" t="s">
        <v>41</v>
      </c>
      <c r="B21" s="10">
        <f t="shared" ref="B21:T21" si="5">SUM(B6:B10)</f>
        <v>690.1785482642083</v>
      </c>
      <c r="C21" s="10">
        <f t="shared" si="5"/>
        <v>749.51623284138043</v>
      </c>
      <c r="D21" s="10">
        <f t="shared" si="5"/>
        <v>151.95865167157422</v>
      </c>
      <c r="E21" s="10">
        <f t="shared" si="5"/>
        <v>201.13055335411349</v>
      </c>
      <c r="F21" s="10">
        <f t="shared" si="5"/>
        <v>0</v>
      </c>
      <c r="G21" s="10">
        <f t="shared" si="5"/>
        <v>0</v>
      </c>
      <c r="H21" s="10">
        <f t="shared" si="5"/>
        <v>0</v>
      </c>
      <c r="I21" s="10">
        <f t="shared" si="5"/>
        <v>0</v>
      </c>
      <c r="J21" s="10">
        <f t="shared" si="5"/>
        <v>0</v>
      </c>
      <c r="K21" s="10">
        <f t="shared" si="5"/>
        <v>0</v>
      </c>
      <c r="L21" s="10">
        <f t="shared" si="5"/>
        <v>0</v>
      </c>
      <c r="M21" s="10">
        <f t="shared" si="5"/>
        <v>0</v>
      </c>
      <c r="N21" s="10">
        <f t="shared" si="5"/>
        <v>548.51844836550902</v>
      </c>
      <c r="O21" s="10">
        <f t="shared" si="5"/>
        <v>275.36970295285806</v>
      </c>
      <c r="P21" s="10">
        <f t="shared" si="5"/>
        <v>80.665935713698133</v>
      </c>
      <c r="Q21" s="10">
        <f t="shared" si="5"/>
        <v>503.91432200692634</v>
      </c>
      <c r="R21" s="10">
        <f t="shared" si="5"/>
        <v>170.05214320994702</v>
      </c>
      <c r="S21" s="10">
        <f t="shared" si="5"/>
        <v>52.198230506201078</v>
      </c>
      <c r="T21" s="10">
        <f t="shared" si="5"/>
        <v>3423.5027688864157</v>
      </c>
      <c r="AA21" s="8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</row>
    <row r="22" spans="1:47" x14ac:dyDescent="0.35">
      <c r="A22" s="6" t="s">
        <v>42</v>
      </c>
      <c r="B22" s="10">
        <f t="shared" ref="B22:T22" si="6">SUM(B11:B15)</f>
        <v>0</v>
      </c>
      <c r="C22" s="10">
        <f t="shared" si="6"/>
        <v>0</v>
      </c>
      <c r="D22" s="10">
        <f t="shared" si="6"/>
        <v>0</v>
      </c>
      <c r="E22" s="10">
        <f t="shared" si="6"/>
        <v>0</v>
      </c>
      <c r="F22" s="10">
        <f t="shared" si="6"/>
        <v>63.349989894518686</v>
      </c>
      <c r="G22" s="10">
        <f t="shared" si="6"/>
        <v>95.587867998644242</v>
      </c>
      <c r="H22" s="10">
        <f t="shared" si="6"/>
        <v>68.78275211835502</v>
      </c>
      <c r="I22" s="10">
        <f t="shared" si="6"/>
        <v>295.86446338591531</v>
      </c>
      <c r="J22" s="10">
        <f t="shared" si="6"/>
        <v>0</v>
      </c>
      <c r="K22" s="10">
        <f t="shared" si="6"/>
        <v>0</v>
      </c>
      <c r="L22" s="10">
        <f t="shared" si="6"/>
        <v>0</v>
      </c>
      <c r="M22" s="10">
        <f t="shared" si="6"/>
        <v>0</v>
      </c>
      <c r="N22" s="10">
        <f t="shared" si="6"/>
        <v>14.746517137829258</v>
      </c>
      <c r="O22" s="10">
        <f t="shared" si="6"/>
        <v>7.4044618641619486</v>
      </c>
      <c r="P22" s="10">
        <f t="shared" si="6"/>
        <v>4.0508146614131331</v>
      </c>
      <c r="Q22" s="10">
        <f t="shared" si="6"/>
        <v>310.56413521924009</v>
      </c>
      <c r="R22" s="10">
        <f t="shared" si="6"/>
        <v>23.354361342369479</v>
      </c>
      <c r="S22" s="10">
        <f t="shared" si="6"/>
        <v>10.572767181069267</v>
      </c>
      <c r="T22" s="10">
        <f t="shared" si="6"/>
        <v>894.27813080351632</v>
      </c>
      <c r="AA22" s="8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</row>
    <row r="23" spans="1:47" x14ac:dyDescent="0.35">
      <c r="A23" s="6" t="s">
        <v>109</v>
      </c>
      <c r="B23" s="10">
        <f t="shared" ref="B23:T23" si="7">SUM(B16:B20)</f>
        <v>0</v>
      </c>
      <c r="C23" s="10">
        <f t="shared" si="7"/>
        <v>0</v>
      </c>
      <c r="D23" s="10">
        <f t="shared" si="7"/>
        <v>0</v>
      </c>
      <c r="E23" s="10">
        <f t="shared" si="7"/>
        <v>0</v>
      </c>
      <c r="F23" s="10">
        <f t="shared" si="7"/>
        <v>0</v>
      </c>
      <c r="G23" s="10">
        <f t="shared" si="7"/>
        <v>0</v>
      </c>
      <c r="H23" s="10">
        <f t="shared" si="7"/>
        <v>0</v>
      </c>
      <c r="I23" s="10">
        <f t="shared" si="7"/>
        <v>0</v>
      </c>
      <c r="J23" s="10">
        <f t="shared" si="7"/>
        <v>97.898105933341355</v>
      </c>
      <c r="K23" s="10">
        <f t="shared" si="7"/>
        <v>125.63855060095432</v>
      </c>
      <c r="L23" s="10">
        <f t="shared" si="7"/>
        <v>179.38206122603037</v>
      </c>
      <c r="M23" s="10">
        <f t="shared" si="7"/>
        <v>1147.4614620482953</v>
      </c>
      <c r="N23" s="10">
        <f t="shared" si="7"/>
        <v>12.625373332369463</v>
      </c>
      <c r="O23" s="10">
        <f t="shared" si="7"/>
        <v>6.3310858155916021</v>
      </c>
      <c r="P23" s="10">
        <f t="shared" si="7"/>
        <v>5.6315390914946306</v>
      </c>
      <c r="Q23" s="10">
        <f t="shared" si="7"/>
        <v>838.08817918720638</v>
      </c>
      <c r="R23" s="10">
        <f t="shared" si="7"/>
        <v>60.682912432996282</v>
      </c>
      <c r="S23" s="10">
        <f t="shared" si="7"/>
        <v>111.5573760973443</v>
      </c>
      <c r="T23" s="10">
        <f t="shared" si="7"/>
        <v>2585.2966457656244</v>
      </c>
      <c r="AA23" s="8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</row>
    <row r="24" spans="1:47" x14ac:dyDescent="0.35">
      <c r="A24" s="7" t="s">
        <v>43</v>
      </c>
      <c r="B24" s="11">
        <f t="shared" ref="B24:T24" si="8">SUM(B21:B23)</f>
        <v>690.1785482642083</v>
      </c>
      <c r="C24" s="11">
        <f t="shared" si="8"/>
        <v>749.51623284138043</v>
      </c>
      <c r="D24" s="11">
        <f t="shared" si="8"/>
        <v>151.95865167157422</v>
      </c>
      <c r="E24" s="11">
        <f t="shared" si="8"/>
        <v>201.13055335411349</v>
      </c>
      <c r="F24" s="11">
        <f t="shared" si="8"/>
        <v>63.349989894518686</v>
      </c>
      <c r="G24" s="11">
        <f t="shared" si="8"/>
        <v>95.587867998644242</v>
      </c>
      <c r="H24" s="11">
        <f t="shared" si="8"/>
        <v>68.78275211835502</v>
      </c>
      <c r="I24" s="11">
        <f t="shared" si="8"/>
        <v>295.86446338591531</v>
      </c>
      <c r="J24" s="11">
        <f t="shared" si="8"/>
        <v>97.898105933341355</v>
      </c>
      <c r="K24" s="11">
        <f t="shared" si="8"/>
        <v>125.63855060095432</v>
      </c>
      <c r="L24" s="11">
        <f t="shared" si="8"/>
        <v>179.38206122603037</v>
      </c>
      <c r="M24" s="11">
        <f t="shared" si="8"/>
        <v>1147.4614620482953</v>
      </c>
      <c r="N24" s="11">
        <f t="shared" si="8"/>
        <v>575.89033883570778</v>
      </c>
      <c r="O24" s="11">
        <f t="shared" si="8"/>
        <v>289.10525063261161</v>
      </c>
      <c r="P24" s="11">
        <f t="shared" si="8"/>
        <v>90.348289466605891</v>
      </c>
      <c r="Q24" s="11">
        <f t="shared" si="8"/>
        <v>1652.5666364133729</v>
      </c>
      <c r="R24" s="11">
        <f t="shared" si="8"/>
        <v>254.08941698531279</v>
      </c>
      <c r="S24" s="11">
        <f t="shared" si="8"/>
        <v>174.32837378461466</v>
      </c>
      <c r="T24" s="11">
        <f t="shared" si="8"/>
        <v>6903.0775454555569</v>
      </c>
      <c r="AA24" s="8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</row>
    <row r="25" spans="1:47" x14ac:dyDescent="0.35">
      <c r="A25" s="6" t="s">
        <v>44</v>
      </c>
      <c r="B25" s="10">
        <f>B6+B11+B16</f>
        <v>85.680906120076116</v>
      </c>
      <c r="C25" s="10">
        <f t="shared" ref="C25:T25" si="9">C6+C11+C16</f>
        <v>65.073026929199216</v>
      </c>
      <c r="D25" s="10">
        <f t="shared" si="9"/>
        <v>2.2176249364829594</v>
      </c>
      <c r="E25" s="10">
        <f t="shared" si="9"/>
        <v>0.57657445956362297</v>
      </c>
      <c r="F25" s="10">
        <f t="shared" si="9"/>
        <v>7.1570132790566214</v>
      </c>
      <c r="G25" s="10">
        <f t="shared" si="9"/>
        <v>5.5120708481083565</v>
      </c>
      <c r="H25" s="10">
        <f t="shared" si="9"/>
        <v>0.60009356185422558</v>
      </c>
      <c r="I25" s="10">
        <f t="shared" si="9"/>
        <v>1.4360854774546505</v>
      </c>
      <c r="J25" s="10">
        <f t="shared" si="9"/>
        <v>7.695880192020816</v>
      </c>
      <c r="K25" s="10">
        <f t="shared" si="9"/>
        <v>3.2209142103385315</v>
      </c>
      <c r="L25" s="10">
        <f t="shared" si="9"/>
        <v>1.4263030969114037</v>
      </c>
      <c r="M25" s="10">
        <f t="shared" si="9"/>
        <v>3.8743733174692894</v>
      </c>
      <c r="N25" s="10">
        <f t="shared" si="9"/>
        <v>58.484450501323636</v>
      </c>
      <c r="O25" s="10">
        <f t="shared" si="9"/>
        <v>29.023401913121152</v>
      </c>
      <c r="P25" s="10">
        <f t="shared" si="9"/>
        <v>6.8887188592456452</v>
      </c>
      <c r="Q25" s="10">
        <f t="shared" si="9"/>
        <v>3.2704590896538823</v>
      </c>
      <c r="R25" s="10">
        <f t="shared" si="9"/>
        <v>30.482193274683343</v>
      </c>
      <c r="S25" s="10">
        <f t="shared" si="9"/>
        <v>1.9542332311629451</v>
      </c>
      <c r="T25" s="10">
        <f t="shared" si="9"/>
        <v>314.57432329772638</v>
      </c>
      <c r="AA25" s="8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</row>
    <row r="26" spans="1:47" x14ac:dyDescent="0.35">
      <c r="A26" s="6" t="s">
        <v>45</v>
      </c>
      <c r="B26" s="10">
        <f t="shared" ref="B26:T26" si="10">B7+B12+B17</f>
        <v>123.69760718037656</v>
      </c>
      <c r="C26" s="10">
        <f t="shared" si="10"/>
        <v>120.78088414118213</v>
      </c>
      <c r="D26" s="10">
        <f t="shared" si="10"/>
        <v>9.1531323572005547</v>
      </c>
      <c r="E26" s="10">
        <f t="shared" si="10"/>
        <v>1.638803221433113</v>
      </c>
      <c r="F26" s="10">
        <f t="shared" si="10"/>
        <v>8.2998397956961902</v>
      </c>
      <c r="G26" s="10">
        <f t="shared" si="10"/>
        <v>7.731648585869813</v>
      </c>
      <c r="H26" s="10">
        <f t="shared" si="10"/>
        <v>1.3282851850388988</v>
      </c>
      <c r="I26" s="10">
        <f t="shared" si="10"/>
        <v>3.1617954432279953</v>
      </c>
      <c r="J26" s="10">
        <f t="shared" si="10"/>
        <v>9.0948706610617904</v>
      </c>
      <c r="K26" s="10">
        <f t="shared" si="10"/>
        <v>4.8758438518311893</v>
      </c>
      <c r="L26" s="10">
        <f t="shared" si="10"/>
        <v>2.2765609595947103</v>
      </c>
      <c r="M26" s="10">
        <f t="shared" si="10"/>
        <v>6.3817392674711186</v>
      </c>
      <c r="N26" s="10">
        <f t="shared" si="10"/>
        <v>91.905054002894474</v>
      </c>
      <c r="O26" s="10">
        <f t="shared" si="10"/>
        <v>45.686888753000758</v>
      </c>
      <c r="P26" s="10">
        <f t="shared" si="10"/>
        <v>11.353559935636303</v>
      </c>
      <c r="Q26" s="10">
        <f t="shared" si="10"/>
        <v>17.034432190055742</v>
      </c>
      <c r="R26" s="10">
        <f t="shared" si="10"/>
        <v>44.723743680506942</v>
      </c>
      <c r="S26" s="10">
        <f t="shared" si="10"/>
        <v>4.3929586585981717</v>
      </c>
      <c r="T26" s="10">
        <f t="shared" si="10"/>
        <v>513.51764787067646</v>
      </c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</row>
    <row r="27" spans="1:47" x14ac:dyDescent="0.35">
      <c r="A27" s="6" t="s">
        <v>46</v>
      </c>
      <c r="B27" s="10">
        <f t="shared" ref="B27:T27" si="11">B8+B13+B18</f>
        <v>152.48181219873746</v>
      </c>
      <c r="C27" s="10">
        <f t="shared" si="11"/>
        <v>165.88481499700214</v>
      </c>
      <c r="D27" s="10">
        <f t="shared" si="11"/>
        <v>16.158452860179597</v>
      </c>
      <c r="E27" s="10">
        <f t="shared" si="11"/>
        <v>5.9172554513955671</v>
      </c>
      <c r="F27" s="10">
        <f t="shared" si="11"/>
        <v>13.303802810246594</v>
      </c>
      <c r="G27" s="10">
        <f t="shared" si="11"/>
        <v>13.238176863197555</v>
      </c>
      <c r="H27" s="10">
        <f t="shared" si="11"/>
        <v>2.2708916691645054</v>
      </c>
      <c r="I27" s="10">
        <f t="shared" si="11"/>
        <v>5.3905784723478911</v>
      </c>
      <c r="J27" s="10">
        <f t="shared" si="11"/>
        <v>11.459826309175854</v>
      </c>
      <c r="K27" s="10">
        <f t="shared" si="11"/>
        <v>7.1550368173741745</v>
      </c>
      <c r="L27" s="10">
        <f t="shared" si="11"/>
        <v>6.2221545056581871</v>
      </c>
      <c r="M27" s="10">
        <f t="shared" si="11"/>
        <v>16.6998807431854</v>
      </c>
      <c r="N27" s="10">
        <f t="shared" si="11"/>
        <v>140.23964136524222</v>
      </c>
      <c r="O27" s="10">
        <f t="shared" si="11"/>
        <v>69.051514504667182</v>
      </c>
      <c r="P27" s="10">
        <f t="shared" si="11"/>
        <v>19.375199964651841</v>
      </c>
      <c r="Q27" s="10">
        <f t="shared" si="11"/>
        <v>38.32848867679288</v>
      </c>
      <c r="R27" s="10">
        <f t="shared" si="11"/>
        <v>33.687883034620945</v>
      </c>
      <c r="S27" s="10">
        <f t="shared" si="11"/>
        <v>8.0631830413571137</v>
      </c>
      <c r="T27" s="10">
        <f t="shared" si="11"/>
        <v>724.92859428499719</v>
      </c>
    </row>
    <row r="28" spans="1:47" x14ac:dyDescent="0.35">
      <c r="A28" s="6" t="s">
        <v>47</v>
      </c>
      <c r="B28" s="10">
        <f t="shared" ref="B28:T28" si="12">B9+B14+B19</f>
        <v>186.94650774391991</v>
      </c>
      <c r="C28" s="10">
        <f t="shared" si="12"/>
        <v>208.94022745475488</v>
      </c>
      <c r="D28" s="10">
        <f t="shared" si="12"/>
        <v>30.150464524645823</v>
      </c>
      <c r="E28" s="10">
        <f t="shared" si="12"/>
        <v>55.284146533566421</v>
      </c>
      <c r="F28" s="10">
        <f t="shared" si="12"/>
        <v>13.974833680884876</v>
      </c>
      <c r="G28" s="10">
        <f t="shared" si="12"/>
        <v>16.939787118777399</v>
      </c>
      <c r="H28" s="10">
        <f t="shared" si="12"/>
        <v>8.1024965224692913</v>
      </c>
      <c r="I28" s="10">
        <f t="shared" si="12"/>
        <v>18.056676497847818</v>
      </c>
      <c r="J28" s="10">
        <f t="shared" si="12"/>
        <v>22.435790250535355</v>
      </c>
      <c r="K28" s="10">
        <f t="shared" si="12"/>
        <v>21.328832734919295</v>
      </c>
      <c r="L28" s="10">
        <f t="shared" si="12"/>
        <v>12.474638041373133</v>
      </c>
      <c r="M28" s="10">
        <f t="shared" si="12"/>
        <v>51.069710086362768</v>
      </c>
      <c r="N28" s="10">
        <f t="shared" si="12"/>
        <v>152.4137725433043</v>
      </c>
      <c r="O28" s="10">
        <f t="shared" si="12"/>
        <v>76.434804800572294</v>
      </c>
      <c r="P28" s="10">
        <f t="shared" si="12"/>
        <v>25.838953211916518</v>
      </c>
      <c r="Q28" s="10">
        <f t="shared" si="12"/>
        <v>157.49355674366805</v>
      </c>
      <c r="R28" s="10">
        <f t="shared" si="12"/>
        <v>43.092245276912074</v>
      </c>
      <c r="S28" s="10">
        <f t="shared" si="12"/>
        <v>13.925973338449737</v>
      </c>
      <c r="T28" s="10">
        <f t="shared" si="12"/>
        <v>1114.90341710488</v>
      </c>
    </row>
    <row r="29" spans="1:47" x14ac:dyDescent="0.35">
      <c r="A29" s="6" t="s">
        <v>48</v>
      </c>
      <c r="B29" s="10">
        <f t="shared" ref="B29:T29" si="13">B10+B15+B20</f>
        <v>141.3717150210982</v>
      </c>
      <c r="C29" s="10">
        <f t="shared" si="13"/>
        <v>188.83727931924201</v>
      </c>
      <c r="D29" s="10">
        <f t="shared" si="13"/>
        <v>94.278976993065285</v>
      </c>
      <c r="E29" s="10">
        <f t="shared" si="13"/>
        <v>137.71377368815476</v>
      </c>
      <c r="F29" s="10">
        <f t="shared" si="13"/>
        <v>20.61450032863441</v>
      </c>
      <c r="G29" s="10">
        <f t="shared" si="13"/>
        <v>52.166184582691116</v>
      </c>
      <c r="H29" s="10">
        <f t="shared" si="13"/>
        <v>56.480985179828096</v>
      </c>
      <c r="I29" s="10">
        <f t="shared" si="13"/>
        <v>267.81932749503693</v>
      </c>
      <c r="J29" s="10">
        <f t="shared" si="13"/>
        <v>47.211738520547534</v>
      </c>
      <c r="K29" s="10">
        <f t="shared" si="13"/>
        <v>89.057922986491135</v>
      </c>
      <c r="L29" s="10">
        <f t="shared" si="13"/>
        <v>156.98240462249294</v>
      </c>
      <c r="M29" s="10">
        <f t="shared" si="13"/>
        <v>1069.4357586338067</v>
      </c>
      <c r="N29" s="10">
        <f t="shared" si="13"/>
        <v>132.84742042294306</v>
      </c>
      <c r="O29" s="10">
        <f t="shared" si="13"/>
        <v>68.908640661250203</v>
      </c>
      <c r="P29" s="10">
        <f t="shared" si="13"/>
        <v>26.891857495155577</v>
      </c>
      <c r="Q29" s="10">
        <f t="shared" si="13"/>
        <v>1436.4396997132021</v>
      </c>
      <c r="R29" s="10">
        <f t="shared" si="13"/>
        <v>102.10335171858947</v>
      </c>
      <c r="S29" s="10">
        <f t="shared" si="13"/>
        <v>145.99202551504669</v>
      </c>
      <c r="T29" s="10">
        <f t="shared" si="13"/>
        <v>4235.1535628972761</v>
      </c>
    </row>
    <row r="38" spans="1:41" x14ac:dyDescent="0.35">
      <c r="A38" s="2" t="s">
        <v>49</v>
      </c>
    </row>
    <row r="39" spans="1:41" x14ac:dyDescent="0.35">
      <c r="A39" s="4" t="s">
        <v>50</v>
      </c>
    </row>
    <row r="40" spans="1:41" x14ac:dyDescent="0.35">
      <c r="B40" s="3" t="s">
        <v>36</v>
      </c>
      <c r="C40" s="3" t="s">
        <v>82</v>
      </c>
      <c r="D40" t="s">
        <v>88</v>
      </c>
      <c r="E40" s="3" t="s">
        <v>33</v>
      </c>
      <c r="F40" s="3" t="s">
        <v>37</v>
      </c>
      <c r="G40" s="3" t="s">
        <v>38</v>
      </c>
      <c r="H40" s="3" t="s">
        <v>34</v>
      </c>
      <c r="I40" s="3" t="s">
        <v>35</v>
      </c>
      <c r="J40" s="3"/>
      <c r="K40" s="3"/>
      <c r="L40" s="3"/>
      <c r="M40" s="3"/>
      <c r="N40" s="3"/>
      <c r="O40" s="3"/>
      <c r="P40" s="3"/>
      <c r="AA40" s="5"/>
      <c r="AB40" s="8" t="s">
        <v>36</v>
      </c>
      <c r="AC40" s="8" t="s">
        <v>82</v>
      </c>
      <c r="AD40" s="8" t="s">
        <v>88</v>
      </c>
      <c r="AE40" s="8" t="s">
        <v>33</v>
      </c>
      <c r="AF40" s="8" t="s">
        <v>37</v>
      </c>
      <c r="AG40" s="8" t="s">
        <v>38</v>
      </c>
      <c r="AH40" s="8" t="s">
        <v>34</v>
      </c>
      <c r="AI40" s="8" t="s">
        <v>35</v>
      </c>
      <c r="AJ40" s="5"/>
      <c r="AK40" s="5"/>
      <c r="AL40" s="5"/>
      <c r="AM40" s="5"/>
      <c r="AN40" s="5"/>
      <c r="AO40" s="5"/>
    </row>
    <row r="41" spans="1:41" x14ac:dyDescent="0.35">
      <c r="A41" s="8" t="s">
        <v>11</v>
      </c>
      <c r="B41" s="5">
        <f>IF(ISNA(INDEX($AB$41:$AI$60,MATCH($A41,$AA$41:$AA$60,0),MATCH(B$40,$AB$40:$AI$40,0))),0,INDEX($AB$41:$AI$60,MATCH($A41,$AA$41:$AA$60,0),MATCH(B$40,$AB$40:$AI$40,0)))</f>
        <v>81.711770375087013</v>
      </c>
      <c r="C41" s="5">
        <f t="shared" ref="C41:I45" si="14">IF(ISNA(INDEX($AB$41:$AI$60,MATCH($A41,$AA$41:$AA$60,0),MATCH(C$40,$AB$40:$AI$40,0))),0,INDEX($AB$41:$AI$60,MATCH($A41,$AA$41:$AA$60,0),MATCH(C$40,$AB$40:$AI$40,0)))</f>
        <v>181.24929276583063</v>
      </c>
      <c r="D41" s="5">
        <f t="shared" si="14"/>
        <v>50.195460447265219</v>
      </c>
      <c r="E41" s="5">
        <f t="shared" si="14"/>
        <v>0.36381197716337815</v>
      </c>
      <c r="F41" s="5">
        <f t="shared" si="14"/>
        <v>0.6025265146253157</v>
      </c>
      <c r="G41" s="5">
        <f t="shared" si="14"/>
        <v>9.5037454400468881</v>
      </c>
      <c r="H41" s="5">
        <f t="shared" si="14"/>
        <v>1.1397779397067391</v>
      </c>
      <c r="I41" s="5">
        <f t="shared" si="14"/>
        <v>274.57092501245984</v>
      </c>
      <c r="J41" s="5"/>
      <c r="K41" s="5"/>
      <c r="L41" s="5"/>
      <c r="M41" s="5"/>
      <c r="N41" s="5"/>
      <c r="O41" s="5"/>
      <c r="P41" s="5"/>
      <c r="AA41" s="8" t="s">
        <v>11</v>
      </c>
      <c r="AB41" s="5">
        <v>81.711770375087013</v>
      </c>
      <c r="AC41" s="5">
        <v>181.24929276583063</v>
      </c>
      <c r="AD41" s="5">
        <v>50.195460447265219</v>
      </c>
      <c r="AE41" s="5">
        <v>0.36381197716337815</v>
      </c>
      <c r="AF41" s="5">
        <v>0.6025265146253157</v>
      </c>
      <c r="AG41" s="5">
        <v>9.5037454400468881</v>
      </c>
      <c r="AH41" s="5">
        <v>1.1397779397067391</v>
      </c>
      <c r="AI41" s="5">
        <v>274.57092501245984</v>
      </c>
      <c r="AJ41" s="5"/>
      <c r="AK41" s="5"/>
      <c r="AL41" s="5"/>
      <c r="AM41" s="5"/>
      <c r="AN41" s="5"/>
      <c r="AO41" s="5"/>
    </row>
    <row r="42" spans="1:41" x14ac:dyDescent="0.35">
      <c r="A42" s="8" t="s">
        <v>12</v>
      </c>
      <c r="B42" s="5">
        <f t="shared" ref="B42:B45" si="15">IF(ISNA(INDEX($AB$41:$AI$60,MATCH($A42,$AA$41:$AA$60,0),MATCH(B$40,$AB$40:$AI$40,0))),0,INDEX($AB$41:$AI$60,MATCH($A42,$AA$41:$AA$60,0),MATCH(B$40,$AB$40:$AI$40,0)))</f>
        <v>145.34120882609355</v>
      </c>
      <c r="C42" s="5">
        <f t="shared" si="14"/>
        <v>291.06653898764392</v>
      </c>
      <c r="D42" s="5">
        <f t="shared" si="14"/>
        <v>100.02646782847907</v>
      </c>
      <c r="E42" s="5">
        <f t="shared" si="14"/>
        <v>1.1546596083558729</v>
      </c>
      <c r="F42" s="5">
        <f t="shared" si="14"/>
        <v>2.7057400411008823</v>
      </c>
      <c r="G42" s="5">
        <f t="shared" si="14"/>
        <v>15.822488132416197</v>
      </c>
      <c r="H42" s="5">
        <f t="shared" si="14"/>
        <v>1.3562577882477966</v>
      </c>
      <c r="I42" s="5">
        <f t="shared" si="14"/>
        <v>457.44689338385808</v>
      </c>
      <c r="J42" s="5"/>
      <c r="K42" s="5"/>
      <c r="L42" s="5"/>
      <c r="M42" s="5"/>
      <c r="N42" s="5"/>
      <c r="O42" s="5"/>
      <c r="P42" s="5"/>
      <c r="AA42" s="8" t="s">
        <v>12</v>
      </c>
      <c r="AB42" s="5">
        <v>145.34120882609355</v>
      </c>
      <c r="AC42" s="5">
        <v>291.06653898764392</v>
      </c>
      <c r="AD42" s="5">
        <v>100.02646782847907</v>
      </c>
      <c r="AE42" s="5">
        <v>1.1546596083558729</v>
      </c>
      <c r="AF42" s="5">
        <v>2.7057400411008823</v>
      </c>
      <c r="AG42" s="5">
        <v>15.822488132416197</v>
      </c>
      <c r="AH42" s="5">
        <v>1.3562577882477966</v>
      </c>
      <c r="AI42" s="5">
        <v>457.44689338385808</v>
      </c>
      <c r="AJ42" s="5"/>
      <c r="AK42" s="5"/>
      <c r="AL42" s="5"/>
      <c r="AM42" s="5"/>
      <c r="AN42" s="5"/>
      <c r="AO42" s="5"/>
    </row>
    <row r="43" spans="1:41" x14ac:dyDescent="0.35">
      <c r="A43" s="8" t="s">
        <v>13</v>
      </c>
      <c r="B43" s="5">
        <f t="shared" si="15"/>
        <v>205.05900833266227</v>
      </c>
      <c r="C43" s="5">
        <f t="shared" si="14"/>
        <v>393.93166727688754</v>
      </c>
      <c r="D43" s="5">
        <f t="shared" si="14"/>
        <v>144.01990862709152</v>
      </c>
      <c r="E43" s="5">
        <f t="shared" si="14"/>
        <v>2.2254218690362961</v>
      </c>
      <c r="F43" s="5">
        <f t="shared" si="14"/>
        <v>4.8688983428201391</v>
      </c>
      <c r="G43" s="5">
        <f t="shared" si="14"/>
        <v>16.814254314895983</v>
      </c>
      <c r="H43" s="5">
        <f t="shared" si="14"/>
        <v>2.4737791037570482</v>
      </c>
      <c r="I43" s="5">
        <f t="shared" si="14"/>
        <v>625.37302924005928</v>
      </c>
      <c r="J43" s="5"/>
      <c r="K43" s="5"/>
      <c r="L43" s="5"/>
      <c r="M43" s="5"/>
      <c r="N43" s="5"/>
      <c r="O43" s="5"/>
      <c r="P43" s="5"/>
      <c r="AA43" s="8" t="s">
        <v>13</v>
      </c>
      <c r="AB43" s="5">
        <v>205.05900833266227</v>
      </c>
      <c r="AC43" s="5">
        <v>393.93166727688754</v>
      </c>
      <c r="AD43" s="5">
        <v>144.01990862709152</v>
      </c>
      <c r="AE43" s="5">
        <v>2.2254218690362961</v>
      </c>
      <c r="AF43" s="5">
        <v>4.8688983428201391</v>
      </c>
      <c r="AG43" s="5">
        <v>16.814254314895983</v>
      </c>
      <c r="AH43" s="5">
        <v>2.4737791037570482</v>
      </c>
      <c r="AI43" s="5">
        <v>625.37302924005928</v>
      </c>
      <c r="AJ43" s="5"/>
      <c r="AK43" s="5"/>
      <c r="AL43" s="5"/>
      <c r="AM43" s="5"/>
      <c r="AN43" s="5"/>
      <c r="AO43" s="5"/>
    </row>
    <row r="44" spans="1:41" x14ac:dyDescent="0.35">
      <c r="A44" s="8" t="s">
        <v>14</v>
      </c>
      <c r="B44" s="5">
        <f t="shared" si="15"/>
        <v>256.00753428924492</v>
      </c>
      <c r="C44" s="5">
        <f t="shared" si="14"/>
        <v>564.34105908099184</v>
      </c>
      <c r="D44" s="5">
        <f t="shared" si="14"/>
        <v>187.150498790282</v>
      </c>
      <c r="E44" s="5">
        <f t="shared" si="14"/>
        <v>4.5436075417931292</v>
      </c>
      <c r="F44" s="5">
        <f t="shared" si="14"/>
        <v>17.91876236322744</v>
      </c>
      <c r="G44" s="5">
        <f t="shared" si="14"/>
        <v>34.248302060078096</v>
      </c>
      <c r="H44" s="5">
        <f t="shared" si="14"/>
        <v>2.3789595174463445</v>
      </c>
      <c r="I44" s="5">
        <f t="shared" si="14"/>
        <v>879.43822485278156</v>
      </c>
      <c r="J44" s="5"/>
      <c r="K44" s="5"/>
      <c r="L44" s="5"/>
      <c r="M44" s="5"/>
      <c r="N44" s="5"/>
      <c r="O44" s="5"/>
      <c r="P44" s="5"/>
      <c r="AA44" s="8" t="s">
        <v>14</v>
      </c>
      <c r="AB44" s="5">
        <v>256.00753428924492</v>
      </c>
      <c r="AC44" s="5">
        <v>564.34105908099184</v>
      </c>
      <c r="AD44" s="5">
        <v>187.150498790282</v>
      </c>
      <c r="AE44" s="5">
        <v>4.5436075417931292</v>
      </c>
      <c r="AF44" s="5">
        <v>17.91876236322744</v>
      </c>
      <c r="AG44" s="5">
        <v>34.248302060078096</v>
      </c>
      <c r="AH44" s="5">
        <v>2.3789595174463445</v>
      </c>
      <c r="AI44" s="5">
        <v>879.43822485278156</v>
      </c>
      <c r="AJ44" s="5"/>
      <c r="AK44" s="5"/>
      <c r="AL44" s="5"/>
      <c r="AM44" s="5"/>
      <c r="AN44" s="5"/>
      <c r="AO44" s="5"/>
    </row>
    <row r="45" spans="1:41" x14ac:dyDescent="0.35">
      <c r="A45" s="8" t="s">
        <v>15</v>
      </c>
      <c r="B45" s="5">
        <f t="shared" si="15"/>
        <v>227.10593824943601</v>
      </c>
      <c r="C45" s="5">
        <f t="shared" si="14"/>
        <v>818.05436050553544</v>
      </c>
      <c r="D45" s="5">
        <f t="shared" si="14"/>
        <v>143.44192554493748</v>
      </c>
      <c r="E45" s="5">
        <f t="shared" si="14"/>
        <v>25.240905293048552</v>
      </c>
      <c r="F45" s="5">
        <f t="shared" si="14"/>
        <v>51.733554821813371</v>
      </c>
      <c r="G45" s="5">
        <f t="shared" si="14"/>
        <v>56.121297668528669</v>
      </c>
      <c r="H45" s="5">
        <f t="shared" si="14"/>
        <v>8.4176398588945194</v>
      </c>
      <c r="I45" s="5">
        <f t="shared" si="14"/>
        <v>1186.6736963972571</v>
      </c>
      <c r="J45" s="5"/>
      <c r="K45" s="5"/>
      <c r="L45" s="5"/>
      <c r="M45" s="5"/>
      <c r="N45" s="5"/>
      <c r="O45" s="5"/>
      <c r="P45" s="5"/>
      <c r="AA45" s="8" t="s">
        <v>15</v>
      </c>
      <c r="AB45" s="5">
        <v>227.10593824943601</v>
      </c>
      <c r="AC45" s="5">
        <v>818.05436050553544</v>
      </c>
      <c r="AD45" s="5">
        <v>143.44192554493748</v>
      </c>
      <c r="AE45" s="5">
        <v>25.240905293048552</v>
      </c>
      <c r="AF45" s="5">
        <v>51.733554821813371</v>
      </c>
      <c r="AG45" s="5">
        <v>56.121297668528669</v>
      </c>
      <c r="AH45" s="5">
        <v>8.4176398588945194</v>
      </c>
      <c r="AI45" s="5">
        <v>1186.6736963972571</v>
      </c>
      <c r="AJ45" s="5"/>
      <c r="AK45" s="5"/>
      <c r="AL45" s="5"/>
      <c r="AM45" s="5"/>
      <c r="AN45" s="5"/>
      <c r="AO45" s="5"/>
    </row>
    <row r="46" spans="1:41" x14ac:dyDescent="0.35">
      <c r="A46" s="8" t="s">
        <v>16</v>
      </c>
      <c r="B46" s="5">
        <f t="shared" ref="B46:I55" si="16">IF(ISNA(INDEX($AB$41:$AI$60,MATCH($A46,$AA$41:$AA$60,0),MATCH(B$40,$AB$40:$AI$40,0))),0,INDEX($AB$41:$AI$60,MATCH($A46,$AA$41:$AA$60,0),MATCH(B$40,$AB$40:$AI$40,0)))</f>
        <v>3.7205821284423455</v>
      </c>
      <c r="C46" s="5">
        <f t="shared" si="16"/>
        <v>15.238391336609272</v>
      </c>
      <c r="D46" s="5">
        <f t="shared" si="16"/>
        <v>1.0813440441459421</v>
      </c>
      <c r="E46" s="5">
        <f t="shared" si="16"/>
        <v>9.5765291854977702E-2</v>
      </c>
      <c r="F46" s="5">
        <f t="shared" si="16"/>
        <v>0.16369876175298825</v>
      </c>
      <c r="G46" s="5">
        <f t="shared" si="16"/>
        <v>0.97168367003987566</v>
      </c>
      <c r="H46" s="5">
        <f t="shared" si="16"/>
        <v>4.5569167523370112E-2</v>
      </c>
      <c r="I46" s="5">
        <f t="shared" si="16"/>
        <v>20.235690356222833</v>
      </c>
      <c r="J46" s="5"/>
      <c r="K46" s="5"/>
      <c r="L46" s="5"/>
      <c r="M46" s="5"/>
      <c r="N46" s="5"/>
      <c r="O46" s="5"/>
      <c r="P46" s="5"/>
      <c r="AA46" s="8" t="s">
        <v>16</v>
      </c>
      <c r="AB46" s="5">
        <v>3.7205821284423455</v>
      </c>
      <c r="AC46" s="5">
        <v>15.238391336609272</v>
      </c>
      <c r="AD46" s="5">
        <v>1.0813440441459421</v>
      </c>
      <c r="AE46" s="5">
        <v>9.5765291854977702E-2</v>
      </c>
      <c r="AF46" s="5">
        <v>0.16369876175298825</v>
      </c>
      <c r="AG46" s="5">
        <v>0.97168367003987566</v>
      </c>
      <c r="AH46" s="5">
        <v>4.5569167523370112E-2</v>
      </c>
      <c r="AI46" s="5">
        <v>20.235690356222833</v>
      </c>
      <c r="AJ46" s="5"/>
      <c r="AK46" s="5"/>
      <c r="AL46" s="5"/>
      <c r="AM46" s="5"/>
      <c r="AN46" s="5"/>
      <c r="AO46" s="5"/>
    </row>
    <row r="47" spans="1:41" x14ac:dyDescent="0.35">
      <c r="A47" s="8" t="s">
        <v>17</v>
      </c>
      <c r="B47" s="5">
        <f t="shared" si="16"/>
        <v>3.4255276725843133</v>
      </c>
      <c r="C47" s="5">
        <f t="shared" si="16"/>
        <v>22.215531153915247</v>
      </c>
      <c r="D47" s="5">
        <f t="shared" si="16"/>
        <v>1.8660016131363866</v>
      </c>
      <c r="E47" s="5">
        <f t="shared" si="16"/>
        <v>7.7157306554417826E-2</v>
      </c>
      <c r="F47" s="5">
        <f t="shared" si="16"/>
        <v>0.42982629330842859</v>
      </c>
      <c r="G47" s="5">
        <f t="shared" si="16"/>
        <v>0.84428417364307751</v>
      </c>
      <c r="H47" s="5">
        <f t="shared" si="16"/>
        <v>5.0077441077613111E-2</v>
      </c>
      <c r="I47" s="5">
        <f t="shared" si="16"/>
        <v>27.04240404108311</v>
      </c>
      <c r="J47" s="5"/>
      <c r="K47" s="5"/>
      <c r="L47" s="5"/>
      <c r="M47" s="5"/>
      <c r="N47" s="5"/>
      <c r="O47" s="5"/>
      <c r="P47" s="5"/>
      <c r="AA47" s="8" t="s">
        <v>17</v>
      </c>
      <c r="AB47" s="5">
        <v>3.4255276725843133</v>
      </c>
      <c r="AC47" s="5">
        <v>22.215531153915247</v>
      </c>
      <c r="AD47" s="5">
        <v>1.8660016131363866</v>
      </c>
      <c r="AE47" s="5">
        <v>7.7157306554417826E-2</v>
      </c>
      <c r="AF47" s="5">
        <v>0.42982629330842859</v>
      </c>
      <c r="AG47" s="5">
        <v>0.84428417364307751</v>
      </c>
      <c r="AH47" s="5">
        <v>5.0077441077613111E-2</v>
      </c>
      <c r="AI47" s="5">
        <v>27.04240404108311</v>
      </c>
      <c r="AJ47" s="5"/>
      <c r="AK47" s="5"/>
      <c r="AL47" s="5"/>
      <c r="AM47" s="5"/>
      <c r="AN47" s="5"/>
      <c r="AO47" s="5"/>
    </row>
    <row r="48" spans="1:41" x14ac:dyDescent="0.35">
      <c r="A48" s="8" t="s">
        <v>18</v>
      </c>
      <c r="B48" s="5">
        <f t="shared" si="16"/>
        <v>6.929540334861775</v>
      </c>
      <c r="C48" s="5">
        <f t="shared" si="16"/>
        <v>37.060015810290963</v>
      </c>
      <c r="D48" s="5">
        <f t="shared" si="16"/>
        <v>3.1159913271620909</v>
      </c>
      <c r="E48" s="5">
        <f t="shared" si="16"/>
        <v>0.32637818691905907</v>
      </c>
      <c r="F48" s="5">
        <f t="shared" si="16"/>
        <v>0.84307322877304458</v>
      </c>
      <c r="G48" s="5">
        <f t="shared" si="16"/>
        <v>0.92291271071191117</v>
      </c>
      <c r="H48" s="5">
        <f t="shared" si="16"/>
        <v>8.0866161710451811E-4</v>
      </c>
      <c r="I48" s="5">
        <f t="shared" si="16"/>
        <v>46.082728933173854</v>
      </c>
      <c r="J48" s="5"/>
      <c r="K48" s="5"/>
      <c r="L48" s="5"/>
      <c r="M48" s="5"/>
      <c r="N48" s="5"/>
      <c r="O48" s="5"/>
      <c r="P48" s="5"/>
      <c r="AA48" s="8" t="s">
        <v>18</v>
      </c>
      <c r="AB48" s="5">
        <v>6.929540334861775</v>
      </c>
      <c r="AC48" s="5">
        <v>37.060015810290963</v>
      </c>
      <c r="AD48" s="5">
        <v>3.1159913271620909</v>
      </c>
      <c r="AE48" s="5">
        <v>0.32637818691905907</v>
      </c>
      <c r="AF48" s="5">
        <v>0.84307322877304458</v>
      </c>
      <c r="AG48" s="5">
        <v>0.92291271071191117</v>
      </c>
      <c r="AH48" s="5">
        <v>8.0866161710451811E-4</v>
      </c>
      <c r="AI48" s="5">
        <v>46.082728933173854</v>
      </c>
      <c r="AJ48" s="5"/>
      <c r="AK48" s="5"/>
      <c r="AL48" s="5"/>
      <c r="AM48" s="5"/>
      <c r="AN48" s="5"/>
      <c r="AO48" s="5"/>
    </row>
    <row r="49" spans="1:41" x14ac:dyDescent="0.35">
      <c r="A49" s="8" t="s">
        <v>19</v>
      </c>
      <c r="B49" s="5">
        <f t="shared" si="16"/>
        <v>9.355251164528557</v>
      </c>
      <c r="C49" s="5">
        <f t="shared" si="16"/>
        <v>72.229231758480651</v>
      </c>
      <c r="D49" s="5">
        <f t="shared" si="16"/>
        <v>4.7545828358976596</v>
      </c>
      <c r="E49" s="5">
        <f t="shared" si="16"/>
        <v>1.5172971372488659</v>
      </c>
      <c r="F49" s="5">
        <f t="shared" si="16"/>
        <v>4.065068653859865</v>
      </c>
      <c r="G49" s="5">
        <f t="shared" si="16"/>
        <v>2.2768869522654365</v>
      </c>
      <c r="H49" s="5">
        <f t="shared" si="16"/>
        <v>0.23515764323781424</v>
      </c>
      <c r="I49" s="5">
        <f t="shared" si="16"/>
        <v>89.678893309621188</v>
      </c>
      <c r="J49" s="5"/>
      <c r="K49" s="5"/>
      <c r="L49" s="5"/>
      <c r="M49" s="5"/>
      <c r="N49" s="5"/>
      <c r="O49" s="5"/>
      <c r="P49" s="5"/>
      <c r="AA49" s="8" t="s">
        <v>19</v>
      </c>
      <c r="AB49" s="5">
        <v>9.355251164528557</v>
      </c>
      <c r="AC49" s="5">
        <v>72.229231758480651</v>
      </c>
      <c r="AD49" s="5">
        <v>4.7545828358976596</v>
      </c>
      <c r="AE49" s="5">
        <v>1.5172971372488659</v>
      </c>
      <c r="AF49" s="5">
        <v>4.065068653859865</v>
      </c>
      <c r="AG49" s="5">
        <v>2.2768869522654365</v>
      </c>
      <c r="AH49" s="5">
        <v>0.23515764323781424</v>
      </c>
      <c r="AI49" s="5">
        <v>89.678893309621188</v>
      </c>
      <c r="AJ49" s="5"/>
      <c r="AK49" s="5"/>
      <c r="AL49" s="5"/>
      <c r="AM49" s="5"/>
      <c r="AN49" s="5"/>
      <c r="AO49" s="5"/>
    </row>
    <row r="50" spans="1:41" x14ac:dyDescent="0.35">
      <c r="A50" s="8" t="s">
        <v>20</v>
      </c>
      <c r="B50" s="5">
        <f t="shared" si="16"/>
        <v>55.427971909153001</v>
      </c>
      <c r="C50" s="5">
        <f t="shared" si="16"/>
        <v>478.74726803841611</v>
      </c>
      <c r="D50" s="5">
        <f t="shared" si="16"/>
        <v>9.4261195968525833</v>
      </c>
      <c r="E50" s="5">
        <f t="shared" si="16"/>
        <v>34.185390046996531</v>
      </c>
      <c r="F50" s="5">
        <f t="shared" si="16"/>
        <v>44.444269820070097</v>
      </c>
      <c r="G50" s="5">
        <f t="shared" si="16"/>
        <v>95.496001587445591</v>
      </c>
      <c r="H50" s="5">
        <f t="shared" si="16"/>
        <v>2.9375127613338576</v>
      </c>
      <c r="I50" s="5">
        <f t="shared" si="16"/>
        <v>711.23841416341509</v>
      </c>
      <c r="J50" s="5"/>
      <c r="K50" s="5"/>
      <c r="L50" s="5"/>
      <c r="M50" s="5"/>
      <c r="N50" s="5"/>
      <c r="O50" s="5"/>
      <c r="P50" s="5"/>
      <c r="AA50" s="8" t="s">
        <v>20</v>
      </c>
      <c r="AB50" s="5">
        <v>55.427971909153001</v>
      </c>
      <c r="AC50" s="5">
        <v>478.74726803841611</v>
      </c>
      <c r="AD50" s="5">
        <v>9.4261195968525833</v>
      </c>
      <c r="AE50" s="5">
        <v>34.185390046996531</v>
      </c>
      <c r="AF50" s="5">
        <v>44.444269820070097</v>
      </c>
      <c r="AG50" s="5">
        <v>95.496001587445591</v>
      </c>
      <c r="AH50" s="5">
        <v>2.9375127613338576</v>
      </c>
      <c r="AI50" s="5">
        <v>711.23841416341509</v>
      </c>
      <c r="AJ50" s="5"/>
      <c r="AK50" s="5"/>
      <c r="AL50" s="5"/>
      <c r="AM50" s="5"/>
      <c r="AN50" s="5"/>
      <c r="AO50" s="5"/>
    </row>
    <row r="51" spans="1:41" x14ac:dyDescent="0.35">
      <c r="A51" s="3" t="s">
        <v>97</v>
      </c>
      <c r="B51" s="5">
        <f t="shared" si="16"/>
        <v>2.0472440388962596</v>
      </c>
      <c r="C51" s="5">
        <f t="shared" si="16"/>
        <v>16.135549942086833</v>
      </c>
      <c r="D51" s="5">
        <f t="shared" si="16"/>
        <v>0.87399536534797728</v>
      </c>
      <c r="E51" s="5">
        <f t="shared" si="16"/>
        <v>0.24394623344612174</v>
      </c>
      <c r="F51" s="5">
        <f t="shared" si="16"/>
        <v>0.31071119569716854</v>
      </c>
      <c r="G51" s="5">
        <f t="shared" si="16"/>
        <v>0.99750628193146429</v>
      </c>
      <c r="H51" s="5">
        <f t="shared" si="16"/>
        <v>3.275023698581131E-2</v>
      </c>
      <c r="I51" s="5">
        <f t="shared" si="16"/>
        <v>19.767707929043659</v>
      </c>
      <c r="J51" s="5"/>
      <c r="K51" s="5"/>
      <c r="L51" s="5"/>
      <c r="M51" s="5"/>
      <c r="N51" s="5"/>
      <c r="O51" s="5"/>
      <c r="P51" s="5"/>
      <c r="AA51" s="8" t="s">
        <v>97</v>
      </c>
      <c r="AB51" s="5">
        <v>2.0472440388962596</v>
      </c>
      <c r="AC51" s="5">
        <v>16.135549942086833</v>
      </c>
      <c r="AD51" s="5">
        <v>0.87399536534797728</v>
      </c>
      <c r="AE51" s="5">
        <v>0.24394623344612174</v>
      </c>
      <c r="AF51" s="5">
        <v>0.31071119569716854</v>
      </c>
      <c r="AG51" s="5">
        <v>0.99750628193146429</v>
      </c>
      <c r="AH51" s="5">
        <v>3.275023698581131E-2</v>
      </c>
      <c r="AI51" s="5">
        <v>19.767707929043659</v>
      </c>
      <c r="AJ51" s="5"/>
      <c r="AK51" s="5"/>
      <c r="AL51" s="5"/>
      <c r="AM51" s="5"/>
      <c r="AN51" s="5"/>
      <c r="AO51" s="5"/>
    </row>
    <row r="52" spans="1:41" x14ac:dyDescent="0.35">
      <c r="A52" s="3" t="s">
        <v>98</v>
      </c>
      <c r="B52" s="5">
        <f t="shared" si="16"/>
        <v>2.5552917274901823</v>
      </c>
      <c r="C52" s="5">
        <f t="shared" si="16"/>
        <v>25.048556744163733</v>
      </c>
      <c r="D52" s="5">
        <f t="shared" si="16"/>
        <v>1.3943461865411764</v>
      </c>
      <c r="E52" s="5">
        <f t="shared" si="16"/>
        <v>0.27859616659144792</v>
      </c>
      <c r="F52" s="5">
        <f t="shared" si="16"/>
        <v>0.38425687644785711</v>
      </c>
      <c r="G52" s="5">
        <f t="shared" si="16"/>
        <v>0.7001425601578406</v>
      </c>
      <c r="H52" s="5">
        <f t="shared" si="16"/>
        <v>6.1506370884081514E-2</v>
      </c>
      <c r="I52" s="5">
        <f t="shared" si="16"/>
        <v>29.028350445735143</v>
      </c>
      <c r="J52" s="5"/>
      <c r="K52" s="5"/>
      <c r="L52" s="5"/>
      <c r="M52" s="5"/>
      <c r="N52" s="5"/>
      <c r="O52" s="5"/>
      <c r="P52" s="5"/>
      <c r="AA52" s="8" t="s">
        <v>98</v>
      </c>
      <c r="AB52" s="5">
        <v>2.5552917274901823</v>
      </c>
      <c r="AC52" s="5">
        <v>25.048556744163733</v>
      </c>
      <c r="AD52" s="5">
        <v>1.3943461865411764</v>
      </c>
      <c r="AE52" s="5">
        <v>0.27859616659144792</v>
      </c>
      <c r="AF52" s="5">
        <v>0.38425687644785711</v>
      </c>
      <c r="AG52" s="5">
        <v>0.7001425601578406</v>
      </c>
      <c r="AH52" s="5">
        <v>6.1506370884081514E-2</v>
      </c>
      <c r="AI52" s="5">
        <v>29.028350445735143</v>
      </c>
      <c r="AJ52" s="5"/>
      <c r="AK52" s="5"/>
      <c r="AL52" s="5"/>
      <c r="AM52" s="5"/>
      <c r="AN52" s="5"/>
      <c r="AO52" s="5"/>
    </row>
    <row r="53" spans="1:41" x14ac:dyDescent="0.35">
      <c r="A53" s="3" t="s">
        <v>99</v>
      </c>
      <c r="B53" s="5">
        <f t="shared" si="16"/>
        <v>3.6937768770378829</v>
      </c>
      <c r="C53" s="5">
        <f t="shared" si="16"/>
        <v>43.589971631026529</v>
      </c>
      <c r="D53" s="5">
        <f t="shared" si="16"/>
        <v>2.7793679787103582</v>
      </c>
      <c r="E53" s="5">
        <f t="shared" si="16"/>
        <v>0.90571198682066201</v>
      </c>
      <c r="F53" s="5">
        <f t="shared" si="16"/>
        <v>1.8975678363151429</v>
      </c>
      <c r="G53" s="5">
        <f t="shared" si="16"/>
        <v>3.3131219172289996</v>
      </c>
      <c r="H53" s="5">
        <f t="shared" si="16"/>
        <v>7.2685863334678358E-2</v>
      </c>
      <c r="I53" s="5">
        <f t="shared" si="16"/>
        <v>53.472836111763897</v>
      </c>
      <c r="J53" s="5"/>
      <c r="K53" s="5"/>
      <c r="L53" s="5"/>
      <c r="M53" s="5"/>
      <c r="N53" s="5"/>
      <c r="O53" s="5"/>
      <c r="P53" s="5"/>
      <c r="AA53" s="8" t="s">
        <v>99</v>
      </c>
      <c r="AB53" s="5">
        <v>3.6937768770378829</v>
      </c>
      <c r="AC53" s="5">
        <v>43.589971631026529</v>
      </c>
      <c r="AD53" s="5">
        <v>2.7793679787103582</v>
      </c>
      <c r="AE53" s="5">
        <v>0.90571198682066201</v>
      </c>
      <c r="AF53" s="5">
        <v>1.8975678363151429</v>
      </c>
      <c r="AG53" s="5">
        <v>3.3131219172289996</v>
      </c>
      <c r="AH53" s="5">
        <v>7.2685863334678358E-2</v>
      </c>
      <c r="AI53" s="5">
        <v>53.472836111763897</v>
      </c>
      <c r="AJ53" s="5"/>
      <c r="AK53" s="5"/>
      <c r="AL53" s="5"/>
      <c r="AM53" s="5"/>
      <c r="AN53" s="5"/>
      <c r="AO53" s="5"/>
    </row>
    <row r="54" spans="1:41" x14ac:dyDescent="0.35">
      <c r="A54" s="3" t="s">
        <v>100</v>
      </c>
      <c r="B54" s="5">
        <f t="shared" si="16"/>
        <v>7.5989714509697031</v>
      </c>
      <c r="C54" s="5">
        <f t="shared" si="16"/>
        <v>117.90961607489736</v>
      </c>
      <c r="D54" s="5">
        <f t="shared" si="16"/>
        <v>4.910278769420537</v>
      </c>
      <c r="E54" s="5">
        <f t="shared" si="16"/>
        <v>1.6852234326406068</v>
      </c>
      <c r="F54" s="5">
        <f t="shared" si="16"/>
        <v>5.9180571422853623</v>
      </c>
      <c r="G54" s="5">
        <f t="shared" si="16"/>
        <v>12.584854112073367</v>
      </c>
      <c r="H54" s="5">
        <f t="shared" si="16"/>
        <v>8.957672961047515E-2</v>
      </c>
      <c r="I54" s="5">
        <f t="shared" si="16"/>
        <v>145.78629894247686</v>
      </c>
      <c r="J54" s="5"/>
      <c r="K54" s="5"/>
      <c r="L54" s="5"/>
      <c r="M54" s="5"/>
      <c r="N54" s="5"/>
      <c r="O54" s="5"/>
      <c r="P54" s="5"/>
      <c r="AA54" s="8" t="s">
        <v>100</v>
      </c>
      <c r="AB54" s="5">
        <v>7.5989714509697031</v>
      </c>
      <c r="AC54" s="5">
        <v>117.90961607489736</v>
      </c>
      <c r="AD54" s="5">
        <v>4.910278769420537</v>
      </c>
      <c r="AE54" s="5">
        <v>1.6852234326406068</v>
      </c>
      <c r="AF54" s="5">
        <v>5.9180571422853623</v>
      </c>
      <c r="AG54" s="5">
        <v>12.584854112073367</v>
      </c>
      <c r="AH54" s="5">
        <v>8.957672961047515E-2</v>
      </c>
      <c r="AI54" s="5">
        <v>145.78629894247686</v>
      </c>
      <c r="AJ54" s="5"/>
      <c r="AK54" s="5"/>
      <c r="AL54" s="5"/>
      <c r="AM54" s="5"/>
      <c r="AN54" s="5"/>
      <c r="AO54" s="5"/>
    </row>
    <row r="55" spans="1:41" x14ac:dyDescent="0.35">
      <c r="A55" s="3" t="s">
        <v>101</v>
      </c>
      <c r="B55" s="5">
        <f t="shared" si="16"/>
        <v>10.344770407703251</v>
      </c>
      <c r="C55" s="5">
        <f t="shared" si="16"/>
        <v>1588.0424574645006</v>
      </c>
      <c r="D55" s="5">
        <f t="shared" si="16"/>
        <v>8.1701892917344878</v>
      </c>
      <c r="E55" s="5">
        <f t="shared" si="16"/>
        <v>122.99400138673299</v>
      </c>
      <c r="F55" s="5">
        <f t="shared" si="16"/>
        <v>178.99666343353331</v>
      </c>
      <c r="G55" s="5">
        <f t="shared" si="16"/>
        <v>407.99736639455375</v>
      </c>
      <c r="H55" s="5">
        <f t="shared" si="16"/>
        <v>28.86619324958415</v>
      </c>
      <c r="I55" s="5">
        <f t="shared" si="16"/>
        <v>2337.2414523366083</v>
      </c>
      <c r="J55" s="5"/>
      <c r="K55" s="5"/>
      <c r="L55" s="5"/>
      <c r="M55" s="5"/>
      <c r="N55" s="5"/>
      <c r="O55" s="5"/>
      <c r="P55" s="5"/>
      <c r="AA55" s="8" t="s">
        <v>101</v>
      </c>
      <c r="AB55" s="5">
        <v>10.344770407703251</v>
      </c>
      <c r="AC55" s="5">
        <v>1588.0424574645006</v>
      </c>
      <c r="AD55" s="5">
        <v>8.1701892917344878</v>
      </c>
      <c r="AE55" s="5">
        <v>122.99400138673299</v>
      </c>
      <c r="AF55" s="5">
        <v>178.99666343353331</v>
      </c>
      <c r="AG55" s="5">
        <v>407.99736639455375</v>
      </c>
      <c r="AH55" s="5">
        <v>28.86619324958415</v>
      </c>
      <c r="AI55" s="5">
        <v>2337.2414523366083</v>
      </c>
      <c r="AJ55" s="5"/>
      <c r="AK55" s="5"/>
      <c r="AL55" s="5"/>
      <c r="AM55" s="5"/>
      <c r="AN55" s="5"/>
      <c r="AO55" s="5"/>
    </row>
    <row r="56" spans="1:41" x14ac:dyDescent="0.35">
      <c r="A56" s="6" t="s">
        <v>41</v>
      </c>
      <c r="B56" s="10">
        <f t="shared" ref="B56:I56" si="17">SUM(B41:B45)</f>
        <v>915.22546007252379</v>
      </c>
      <c r="C56" s="10">
        <f t="shared" si="17"/>
        <v>2248.6429186168893</v>
      </c>
      <c r="D56" s="10">
        <f t="shared" si="17"/>
        <v>624.83426123805532</v>
      </c>
      <c r="E56" s="10">
        <f t="shared" si="17"/>
        <v>33.528406289397225</v>
      </c>
      <c r="F56" s="10">
        <f t="shared" si="17"/>
        <v>77.829482083587152</v>
      </c>
      <c r="G56" s="10">
        <f t="shared" si="17"/>
        <v>132.51008761596586</v>
      </c>
      <c r="H56" s="10">
        <f t="shared" si="17"/>
        <v>15.766414208052449</v>
      </c>
      <c r="I56" s="10">
        <f t="shared" si="17"/>
        <v>3423.5027688864157</v>
      </c>
      <c r="J56" s="6"/>
      <c r="K56" s="6"/>
      <c r="L56" s="6"/>
      <c r="M56" s="6"/>
      <c r="N56" s="6"/>
      <c r="O56" s="6"/>
      <c r="P56" s="6"/>
      <c r="AA56" s="8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35">
      <c r="A57" s="6" t="s">
        <v>42</v>
      </c>
      <c r="B57" s="10">
        <f t="shared" ref="B57:I57" si="18">SUM(B46:B50)</f>
        <v>78.858873209569992</v>
      </c>
      <c r="C57" s="10">
        <f t="shared" si="18"/>
        <v>625.49043809771229</v>
      </c>
      <c r="D57" s="10">
        <f t="shared" si="18"/>
        <v>20.244039417194664</v>
      </c>
      <c r="E57" s="10">
        <f t="shared" si="18"/>
        <v>36.20198796957385</v>
      </c>
      <c r="F57" s="10">
        <f t="shared" si="18"/>
        <v>49.945936757764422</v>
      </c>
      <c r="G57" s="10">
        <f t="shared" si="18"/>
        <v>100.51176909410589</v>
      </c>
      <c r="H57" s="10">
        <f t="shared" si="18"/>
        <v>3.2691256747897595</v>
      </c>
      <c r="I57" s="10">
        <f t="shared" si="18"/>
        <v>894.27813080351609</v>
      </c>
      <c r="J57" s="6"/>
      <c r="K57" s="6"/>
      <c r="L57" s="6"/>
      <c r="M57" s="6"/>
      <c r="AA57" s="8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35">
      <c r="A58" s="6" t="s">
        <v>109</v>
      </c>
      <c r="B58" s="10">
        <f t="shared" ref="B58:I58" si="19">SUM(B51:B55)</f>
        <v>26.24005450209728</v>
      </c>
      <c r="C58" s="10">
        <f t="shared" si="19"/>
        <v>1790.726151856675</v>
      </c>
      <c r="D58" s="10">
        <f t="shared" si="19"/>
        <v>18.128177591754536</v>
      </c>
      <c r="E58" s="10">
        <f t="shared" si="19"/>
        <v>126.10747920623183</v>
      </c>
      <c r="F58" s="10">
        <f t="shared" si="19"/>
        <v>187.50725648427886</v>
      </c>
      <c r="G58" s="10">
        <f t="shared" si="19"/>
        <v>425.59299126594544</v>
      </c>
      <c r="H58" s="10">
        <f t="shared" si="19"/>
        <v>29.122712450399195</v>
      </c>
      <c r="I58" s="10">
        <f t="shared" si="19"/>
        <v>2585.296645765628</v>
      </c>
      <c r="J58" s="6"/>
      <c r="K58" s="6"/>
      <c r="L58" s="6"/>
      <c r="M58" s="6"/>
      <c r="AA58" s="8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35">
      <c r="A59" s="7" t="s">
        <v>43</v>
      </c>
      <c r="B59" s="11">
        <f t="shared" ref="B59:I59" si="20">SUM(B56:B58)</f>
        <v>1020.324387784191</v>
      </c>
      <c r="C59" s="11">
        <f t="shared" si="20"/>
        <v>4664.8595085712768</v>
      </c>
      <c r="D59" s="11">
        <f t="shared" si="20"/>
        <v>663.2064782470045</v>
      </c>
      <c r="E59" s="11">
        <f t="shared" si="20"/>
        <v>195.8378734652029</v>
      </c>
      <c r="F59" s="11">
        <f t="shared" si="20"/>
        <v>315.28267532563041</v>
      </c>
      <c r="G59" s="11">
        <f t="shared" si="20"/>
        <v>658.61484797601724</v>
      </c>
      <c r="H59" s="11">
        <f t="shared" si="20"/>
        <v>48.158252333241407</v>
      </c>
      <c r="I59" s="11">
        <f t="shared" si="20"/>
        <v>6903.0775454555605</v>
      </c>
      <c r="J59" s="7"/>
      <c r="K59" s="7"/>
      <c r="L59" s="7"/>
      <c r="M59" s="7"/>
      <c r="AA59" s="8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35">
      <c r="A60" s="6" t="s">
        <v>44</v>
      </c>
      <c r="B60" s="10">
        <f>B41+B46+B51</f>
        <v>87.479596542425611</v>
      </c>
      <c r="C60" s="10">
        <f t="shared" ref="C60:I60" si="21">C41+C46+C51</f>
        <v>212.62323404452675</v>
      </c>
      <c r="D60" s="10">
        <f t="shared" si="21"/>
        <v>52.150799856759143</v>
      </c>
      <c r="E60" s="10">
        <f t="shared" si="21"/>
        <v>0.70352350246447759</v>
      </c>
      <c r="F60" s="10">
        <f t="shared" si="21"/>
        <v>1.0769364720754724</v>
      </c>
      <c r="G60" s="10">
        <f t="shared" si="21"/>
        <v>11.472935392018229</v>
      </c>
      <c r="H60" s="10">
        <f t="shared" si="21"/>
        <v>1.2180973442159204</v>
      </c>
      <c r="I60" s="10">
        <f t="shared" si="21"/>
        <v>314.57432329772632</v>
      </c>
      <c r="J60" s="6"/>
      <c r="K60" s="6"/>
      <c r="L60" s="6"/>
      <c r="M60" s="6"/>
      <c r="AA60" s="8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35">
      <c r="A61" s="6" t="s">
        <v>45</v>
      </c>
      <c r="B61" s="10">
        <f t="shared" ref="B61:I61" si="22">B42+B47+B52</f>
        <v>151.32202822616804</v>
      </c>
      <c r="C61" s="10">
        <f t="shared" si="22"/>
        <v>338.33062688572295</v>
      </c>
      <c r="D61" s="10">
        <f t="shared" si="22"/>
        <v>103.28681562815663</v>
      </c>
      <c r="E61" s="10">
        <f t="shared" si="22"/>
        <v>1.5104130815017385</v>
      </c>
      <c r="F61" s="10">
        <f t="shared" si="22"/>
        <v>3.5198232108571679</v>
      </c>
      <c r="G61" s="10">
        <f t="shared" si="22"/>
        <v>17.366914866217115</v>
      </c>
      <c r="H61" s="10">
        <f t="shared" si="22"/>
        <v>1.4678416002094912</v>
      </c>
      <c r="I61" s="10">
        <f t="shared" si="22"/>
        <v>513.51764787067634</v>
      </c>
      <c r="J61" s="6"/>
      <c r="K61" s="6"/>
      <c r="L61" s="6"/>
      <c r="M61" s="6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35">
      <c r="A62" s="6" t="s">
        <v>46</v>
      </c>
      <c r="B62" s="10">
        <f t="shared" ref="B62:I62" si="23">B43+B48+B53</f>
        <v>215.68232554456193</v>
      </c>
      <c r="C62" s="10">
        <f t="shared" si="23"/>
        <v>474.58165471820502</v>
      </c>
      <c r="D62" s="10">
        <f t="shared" si="23"/>
        <v>149.91526793296396</v>
      </c>
      <c r="E62" s="10">
        <f t="shared" si="23"/>
        <v>3.4575120427760169</v>
      </c>
      <c r="F62" s="10">
        <f t="shared" si="23"/>
        <v>7.6095394079083265</v>
      </c>
      <c r="G62" s="10">
        <f t="shared" si="23"/>
        <v>21.050288942836897</v>
      </c>
      <c r="H62" s="10">
        <f t="shared" si="23"/>
        <v>2.5472736287088309</v>
      </c>
      <c r="I62" s="10">
        <f t="shared" si="23"/>
        <v>724.92859428499696</v>
      </c>
      <c r="J62" s="6"/>
      <c r="K62" s="6"/>
      <c r="L62" s="6"/>
      <c r="M62" s="6"/>
    </row>
    <row r="63" spans="1:41" x14ac:dyDescent="0.35">
      <c r="A63" s="6" t="s">
        <v>47</v>
      </c>
      <c r="B63" s="10">
        <f t="shared" ref="B63:I63" si="24">B44+B49+B54</f>
        <v>272.9617569047432</v>
      </c>
      <c r="C63" s="10">
        <f t="shared" si="24"/>
        <v>754.47990691436985</v>
      </c>
      <c r="D63" s="10">
        <f t="shared" si="24"/>
        <v>196.81536039560018</v>
      </c>
      <c r="E63" s="10">
        <f t="shared" si="24"/>
        <v>7.7461281116826015</v>
      </c>
      <c r="F63" s="10">
        <f t="shared" si="24"/>
        <v>27.901888159372668</v>
      </c>
      <c r="G63" s="10">
        <f t="shared" si="24"/>
        <v>49.110043124416897</v>
      </c>
      <c r="H63" s="10">
        <f t="shared" si="24"/>
        <v>2.7036938902946339</v>
      </c>
      <c r="I63" s="10">
        <f t="shared" si="24"/>
        <v>1114.9034171048797</v>
      </c>
      <c r="J63" s="6"/>
      <c r="K63" s="6"/>
      <c r="L63" s="6"/>
      <c r="M63" s="6"/>
    </row>
    <row r="64" spans="1:41" x14ac:dyDescent="0.35">
      <c r="A64" s="6" t="s">
        <v>48</v>
      </c>
      <c r="B64" s="10">
        <f t="shared" ref="B64:I64" si="25">B45+B50+B55</f>
        <v>292.8786805662923</v>
      </c>
      <c r="C64" s="10">
        <f t="shared" si="25"/>
        <v>2884.844086008452</v>
      </c>
      <c r="D64" s="10">
        <f t="shared" si="25"/>
        <v>161.03823443352454</v>
      </c>
      <c r="E64" s="10">
        <f t="shared" si="25"/>
        <v>182.42029672677808</v>
      </c>
      <c r="F64" s="10">
        <f t="shared" si="25"/>
        <v>275.17448807541678</v>
      </c>
      <c r="G64" s="10">
        <f t="shared" si="25"/>
        <v>559.61466565052797</v>
      </c>
      <c r="H64" s="10">
        <f t="shared" si="25"/>
        <v>40.221345869812524</v>
      </c>
      <c r="I64" s="10">
        <f t="shared" si="25"/>
        <v>4235.1535628972806</v>
      </c>
      <c r="J64" s="6"/>
      <c r="K64" s="6"/>
      <c r="L64" s="6"/>
      <c r="M64" s="6"/>
    </row>
    <row r="73" spans="1:34" x14ac:dyDescent="0.35">
      <c r="A73" s="2" t="s">
        <v>55</v>
      </c>
    </row>
    <row r="74" spans="1:34" x14ac:dyDescent="0.35">
      <c r="A74" s="4" t="s">
        <v>54</v>
      </c>
    </row>
    <row r="75" spans="1:34" x14ac:dyDescent="0.35">
      <c r="B75" s="3" t="s">
        <v>52</v>
      </c>
      <c r="C75" s="3" t="s">
        <v>53</v>
      </c>
      <c r="AA75" s="9"/>
      <c r="AB75" s="12" t="s">
        <v>52</v>
      </c>
      <c r="AC75" s="12" t="s">
        <v>53</v>
      </c>
      <c r="AD75" s="9"/>
      <c r="AE75" s="9"/>
      <c r="AF75" s="9"/>
      <c r="AG75" s="9"/>
      <c r="AH75" s="9"/>
    </row>
    <row r="76" spans="1:34" x14ac:dyDescent="0.35">
      <c r="A76" s="8" t="s">
        <v>11</v>
      </c>
      <c r="B76" s="5">
        <f>INDEX($AB$76:$AC$95,MATCH($A76,$AA$76:$AA$95,0),MATCH(B$75,$AB$75:$AC$75,0))</f>
        <v>255188.34222030005</v>
      </c>
      <c r="C76" s="5">
        <f t="shared" ref="C76:C80" si="26">INDEX($AB$76:$AC$95,MATCH($A76,$AA$76:$AA$95,0),MATCH(C$75,$AB$75:$AC$75,0))</f>
        <v>2067.5140000000001</v>
      </c>
      <c r="AA76" s="12" t="s">
        <v>11</v>
      </c>
      <c r="AB76" s="9">
        <v>255188.34222030005</v>
      </c>
      <c r="AC76" s="9">
        <v>2067.5140000000001</v>
      </c>
      <c r="AD76" s="9"/>
      <c r="AE76" s="9"/>
      <c r="AF76" s="9"/>
      <c r="AG76" s="9"/>
      <c r="AH76" s="9"/>
    </row>
    <row r="77" spans="1:34" x14ac:dyDescent="0.35">
      <c r="A77" s="8" t="s">
        <v>12</v>
      </c>
      <c r="B77" s="5">
        <f t="shared" ref="B77:B80" si="27">INDEX($AB$76:$AC$95,MATCH($A77,$AA$76:$AA$95,0),MATCH(B$75,$AB$75:$AC$75,0))</f>
        <v>411913.86140139983</v>
      </c>
      <c r="C77" s="5">
        <f t="shared" si="26"/>
        <v>2092.3980000000001</v>
      </c>
      <c r="AA77" s="12" t="s">
        <v>12</v>
      </c>
      <c r="AB77" s="9">
        <v>411913.86140139983</v>
      </c>
      <c r="AC77" s="9">
        <v>2092.3980000000001</v>
      </c>
      <c r="AD77" s="9"/>
      <c r="AE77" s="9"/>
      <c r="AF77" s="9"/>
      <c r="AG77" s="9"/>
      <c r="AH77" s="9"/>
    </row>
    <row r="78" spans="1:34" x14ac:dyDescent="0.35">
      <c r="A78" s="8" t="s">
        <v>13</v>
      </c>
      <c r="B78" s="5">
        <f t="shared" si="27"/>
        <v>545049.28737300006</v>
      </c>
      <c r="C78" s="5">
        <f t="shared" si="26"/>
        <v>2034.498</v>
      </c>
      <c r="AA78" s="12" t="s">
        <v>13</v>
      </c>
      <c r="AB78" s="9">
        <v>545049.28737300006</v>
      </c>
      <c r="AC78" s="9">
        <v>2034.498</v>
      </c>
      <c r="AD78" s="9"/>
      <c r="AE78" s="9"/>
      <c r="AF78" s="9"/>
      <c r="AG78" s="9"/>
      <c r="AH78" s="9"/>
    </row>
    <row r="79" spans="1:34" x14ac:dyDescent="0.35">
      <c r="A79" s="8" t="s">
        <v>14</v>
      </c>
      <c r="B79" s="5">
        <f t="shared" si="27"/>
        <v>715658.92382879974</v>
      </c>
      <c r="C79" s="5">
        <f t="shared" si="26"/>
        <v>1900.3579999999999</v>
      </c>
      <c r="AA79" s="12" t="s">
        <v>14</v>
      </c>
      <c r="AB79" s="9">
        <v>715658.92382879974</v>
      </c>
      <c r="AC79" s="9">
        <v>1900.3579999999999</v>
      </c>
      <c r="AD79" s="9"/>
      <c r="AE79" s="9"/>
      <c r="AF79" s="9"/>
      <c r="AG79" s="9"/>
      <c r="AH79" s="9"/>
    </row>
    <row r="80" spans="1:34" x14ac:dyDescent="0.35">
      <c r="A80" s="8" t="s">
        <v>15</v>
      </c>
      <c r="B80" s="5">
        <f t="shared" si="27"/>
        <v>801880.66507809993</v>
      </c>
      <c r="C80" s="5">
        <f t="shared" si="26"/>
        <v>1155.4580000000001</v>
      </c>
      <c r="AA80" s="12" t="s">
        <v>15</v>
      </c>
      <c r="AB80" s="9">
        <v>801880.66507809993</v>
      </c>
      <c r="AC80" s="9">
        <v>1155.4580000000001</v>
      </c>
      <c r="AD80" s="9"/>
      <c r="AE80" s="9"/>
      <c r="AF80" s="9"/>
      <c r="AG80" s="9"/>
      <c r="AH80" s="9"/>
    </row>
    <row r="81" spans="1:34" x14ac:dyDescent="0.35">
      <c r="A81" s="8" t="s">
        <v>16</v>
      </c>
      <c r="B81" s="5">
        <f t="shared" ref="B81:C90" si="28">INDEX($AB$76:$AC$95,MATCH($A81,$AA$76:$AA$95,0),MATCH(B$75,$AB$75:$AC$75,0))</f>
        <v>18067.576077100002</v>
      </c>
      <c r="C81" s="5">
        <f t="shared" si="28"/>
        <v>147.1337</v>
      </c>
      <c r="AA81" s="12" t="s">
        <v>16</v>
      </c>
      <c r="AB81" s="9">
        <v>18067.576077100002</v>
      </c>
      <c r="AC81" s="9">
        <v>147.1337</v>
      </c>
      <c r="AD81" s="9"/>
      <c r="AE81" s="9"/>
      <c r="AF81" s="9"/>
      <c r="AG81" s="9"/>
      <c r="AH81" s="9"/>
    </row>
    <row r="82" spans="1:34" x14ac:dyDescent="0.35">
      <c r="A82" s="8" t="s">
        <v>17</v>
      </c>
      <c r="B82" s="5">
        <f t="shared" si="28"/>
        <v>25909.923961100001</v>
      </c>
      <c r="C82" s="5">
        <f t="shared" si="28"/>
        <v>128.32210000000001</v>
      </c>
      <c r="AA82" s="12" t="s">
        <v>17</v>
      </c>
      <c r="AB82" s="9">
        <v>25909.923961100001</v>
      </c>
      <c r="AC82" s="9">
        <v>128.32210000000001</v>
      </c>
      <c r="AD82" s="9"/>
      <c r="AE82" s="9"/>
      <c r="AF82" s="9"/>
      <c r="AG82" s="9"/>
      <c r="AH82" s="9"/>
    </row>
    <row r="83" spans="1:34" x14ac:dyDescent="0.35">
      <c r="A83" s="8" t="s">
        <v>18</v>
      </c>
      <c r="B83" s="5">
        <f t="shared" si="28"/>
        <v>40661.495787200009</v>
      </c>
      <c r="C83" s="5">
        <f t="shared" si="28"/>
        <v>152.65299999999999</v>
      </c>
      <c r="AA83" s="12" t="s">
        <v>18</v>
      </c>
      <c r="AB83" s="9">
        <v>40661.495787200009</v>
      </c>
      <c r="AC83" s="9">
        <v>152.65299999999999</v>
      </c>
      <c r="AD83" s="9"/>
      <c r="AE83" s="9"/>
      <c r="AF83" s="9"/>
      <c r="AG83" s="9"/>
      <c r="AH83" s="9"/>
    </row>
    <row r="84" spans="1:34" x14ac:dyDescent="0.35">
      <c r="A84" s="8" t="s">
        <v>19</v>
      </c>
      <c r="B84" s="5">
        <f t="shared" si="28"/>
        <v>68182.196861000004</v>
      </c>
      <c r="C84" s="5">
        <f t="shared" si="28"/>
        <v>170.56120000000001</v>
      </c>
      <c r="AA84" s="12" t="s">
        <v>19</v>
      </c>
      <c r="AB84" s="9">
        <v>68182.196861000004</v>
      </c>
      <c r="AC84" s="9">
        <v>170.56120000000001</v>
      </c>
      <c r="AD84" s="9"/>
      <c r="AE84" s="9"/>
      <c r="AF84" s="9"/>
      <c r="AG84" s="9"/>
      <c r="AH84" s="9"/>
    </row>
    <row r="85" spans="1:34" x14ac:dyDescent="0.35">
      <c r="A85" s="8" t="s">
        <v>20</v>
      </c>
      <c r="B85" s="5">
        <f t="shared" si="28"/>
        <v>342338.87794029998</v>
      </c>
      <c r="C85" s="5">
        <f t="shared" si="28"/>
        <v>362.76870000000002</v>
      </c>
      <c r="AA85" s="12" t="s">
        <v>20</v>
      </c>
      <c r="AB85" s="9">
        <v>342338.87794029998</v>
      </c>
      <c r="AC85" s="9">
        <v>362.76870000000002</v>
      </c>
      <c r="AD85" s="9"/>
      <c r="AE85" s="9"/>
      <c r="AF85" s="9"/>
      <c r="AG85" s="9"/>
      <c r="AH85" s="9"/>
    </row>
    <row r="86" spans="1:34" x14ac:dyDescent="0.35">
      <c r="A86" s="3" t="s">
        <v>97</v>
      </c>
      <c r="B86" s="5">
        <f t="shared" si="28"/>
        <v>18479.702510599996</v>
      </c>
      <c r="C86" s="5">
        <f t="shared" si="28"/>
        <v>137.92019999999999</v>
      </c>
      <c r="AA86" s="12" t="s">
        <v>97</v>
      </c>
      <c r="AB86" s="9">
        <v>18479.702510599996</v>
      </c>
      <c r="AC86" s="9">
        <v>137.92019999999999</v>
      </c>
      <c r="AD86" s="9"/>
      <c r="AE86" s="9"/>
      <c r="AF86" s="9"/>
      <c r="AG86" s="9"/>
      <c r="AH86" s="9"/>
    </row>
    <row r="87" spans="1:34" x14ac:dyDescent="0.35">
      <c r="A87" s="3" t="s">
        <v>98</v>
      </c>
      <c r="B87" s="5">
        <f t="shared" si="28"/>
        <v>25571.620841700002</v>
      </c>
      <c r="C87" s="5">
        <f t="shared" si="28"/>
        <v>128.4169</v>
      </c>
      <c r="AA87" s="12" t="s">
        <v>98</v>
      </c>
      <c r="AB87" s="9">
        <v>25571.620841700002</v>
      </c>
      <c r="AC87" s="9">
        <v>128.4169</v>
      </c>
      <c r="AD87" s="9"/>
      <c r="AE87" s="9"/>
      <c r="AF87" s="9"/>
      <c r="AG87" s="9"/>
      <c r="AH87" s="9"/>
    </row>
    <row r="88" spans="1:34" x14ac:dyDescent="0.35">
      <c r="A88" s="3" t="s">
        <v>99</v>
      </c>
      <c r="B88" s="5">
        <f t="shared" si="28"/>
        <v>43234.221812700001</v>
      </c>
      <c r="C88" s="5">
        <f t="shared" si="28"/>
        <v>159.35640000000001</v>
      </c>
      <c r="AA88" s="12" t="s">
        <v>99</v>
      </c>
      <c r="AB88" s="9">
        <v>43234.221812700001</v>
      </c>
      <c r="AC88" s="9">
        <v>159.35640000000001</v>
      </c>
      <c r="AD88" s="9"/>
      <c r="AE88" s="9"/>
      <c r="AF88" s="9"/>
      <c r="AG88" s="9"/>
      <c r="AH88" s="9"/>
    </row>
    <row r="89" spans="1:34" x14ac:dyDescent="0.35">
      <c r="A89" s="3" t="s">
        <v>100</v>
      </c>
      <c r="B89" s="5">
        <f t="shared" si="28"/>
        <v>108418.51568099999</v>
      </c>
      <c r="C89" s="5">
        <f t="shared" si="28"/>
        <v>279.87889999999999</v>
      </c>
      <c r="AA89" s="12" t="s">
        <v>100</v>
      </c>
      <c r="AB89" s="9">
        <v>108418.51568099999</v>
      </c>
      <c r="AC89" s="9">
        <v>279.87889999999999</v>
      </c>
      <c r="AD89" s="9"/>
      <c r="AE89" s="9"/>
      <c r="AF89" s="9"/>
      <c r="AG89" s="9"/>
      <c r="AH89" s="9"/>
    </row>
    <row r="90" spans="1:34" x14ac:dyDescent="0.35">
      <c r="A90" s="3" t="s">
        <v>101</v>
      </c>
      <c r="B90" s="5">
        <f t="shared" si="28"/>
        <v>1044816.8071267001</v>
      </c>
      <c r="C90" s="5">
        <f t="shared" si="28"/>
        <v>839.60130000000004</v>
      </c>
      <c r="AA90" s="12" t="s">
        <v>101</v>
      </c>
      <c r="AB90" s="9">
        <v>1044816.8071267001</v>
      </c>
      <c r="AC90" s="9">
        <v>839.60130000000004</v>
      </c>
      <c r="AD90" s="9"/>
      <c r="AE90" s="9"/>
      <c r="AF90" s="9"/>
      <c r="AG90" s="9"/>
      <c r="AH90" s="9"/>
    </row>
    <row r="91" spans="1:34" x14ac:dyDescent="0.35">
      <c r="A91" s="6" t="s">
        <v>41</v>
      </c>
      <c r="B91" s="10">
        <f>SUM(B76:B80)</f>
        <v>2729691.0799015998</v>
      </c>
      <c r="C91" s="10">
        <f>SUM(C76:C80)</f>
        <v>9250.2260000000006</v>
      </c>
      <c r="AA91" s="12"/>
      <c r="AB91" s="9"/>
      <c r="AC91" s="9"/>
      <c r="AD91" s="9"/>
      <c r="AE91" s="9"/>
      <c r="AF91" s="9"/>
      <c r="AG91" s="9"/>
      <c r="AH91" s="9"/>
    </row>
    <row r="92" spans="1:34" x14ac:dyDescent="0.35">
      <c r="A92" s="6" t="s">
        <v>42</v>
      </c>
      <c r="B92" s="10">
        <f>SUM(B81:B85)</f>
        <v>495160.07062670001</v>
      </c>
      <c r="C92" s="10">
        <f>SUM(C81:C85)</f>
        <v>961.43869999999993</v>
      </c>
      <c r="AA92" s="12"/>
      <c r="AB92" s="9"/>
      <c r="AC92" s="9"/>
      <c r="AD92" s="9"/>
      <c r="AE92" s="9"/>
      <c r="AF92" s="9"/>
      <c r="AG92" s="9"/>
      <c r="AH92" s="9"/>
    </row>
    <row r="93" spans="1:34" x14ac:dyDescent="0.35">
      <c r="A93" s="6" t="s">
        <v>109</v>
      </c>
      <c r="B93" s="10">
        <f>SUM(B86:B90)</f>
        <v>1240520.8679726999</v>
      </c>
      <c r="C93" s="10">
        <f>SUM(C86:C90)</f>
        <v>1545.1737000000001</v>
      </c>
      <c r="AA93" s="12"/>
      <c r="AB93" s="9"/>
      <c r="AC93" s="9"/>
      <c r="AD93" s="9"/>
      <c r="AE93" s="9"/>
      <c r="AF93" s="9"/>
      <c r="AG93" s="9"/>
      <c r="AH93" s="9"/>
    </row>
    <row r="94" spans="1:34" x14ac:dyDescent="0.35">
      <c r="A94" s="7" t="s">
        <v>43</v>
      </c>
      <c r="B94" s="11">
        <f>SUM(B91:B93)</f>
        <v>4465372.0185009995</v>
      </c>
      <c r="C94" s="11">
        <f>SUM(C91:C93)</f>
        <v>11756.838400000001</v>
      </c>
      <c r="AA94" s="12"/>
      <c r="AB94" s="9"/>
      <c r="AC94" s="9"/>
      <c r="AD94" s="9"/>
      <c r="AE94" s="9"/>
      <c r="AF94" s="9"/>
      <c r="AG94" s="9"/>
      <c r="AH94" s="9"/>
    </row>
    <row r="95" spans="1:34" x14ac:dyDescent="0.35">
      <c r="A95" s="6" t="s">
        <v>44</v>
      </c>
      <c r="B95" s="10">
        <f>B76+B81+B86</f>
        <v>291735.62080800004</v>
      </c>
      <c r="C95" s="10">
        <f t="shared" ref="C95:C99" si="29">C76+C81+C86</f>
        <v>2352.5679</v>
      </c>
      <c r="AA95" s="12"/>
      <c r="AB95" s="9"/>
      <c r="AC95" s="9"/>
      <c r="AD95" s="9"/>
      <c r="AE95" s="9"/>
      <c r="AF95" s="9"/>
      <c r="AG95" s="9"/>
      <c r="AH95" s="9"/>
    </row>
    <row r="96" spans="1:34" x14ac:dyDescent="0.35">
      <c r="A96" s="6" t="s">
        <v>45</v>
      </c>
      <c r="B96" s="10">
        <f t="shared" ref="B96" si="30">B77+B82+B87</f>
        <v>463395.40620419983</v>
      </c>
      <c r="C96" s="10">
        <f t="shared" si="29"/>
        <v>2349.1370000000002</v>
      </c>
      <c r="AA96" s="9"/>
      <c r="AB96" s="9"/>
      <c r="AC96" s="9"/>
      <c r="AD96" s="9"/>
      <c r="AE96" s="9"/>
      <c r="AF96" s="9"/>
      <c r="AG96" s="9"/>
      <c r="AH96" s="9"/>
    </row>
    <row r="97" spans="1:34" x14ac:dyDescent="0.35">
      <c r="A97" s="6" t="s">
        <v>46</v>
      </c>
      <c r="B97" s="10">
        <f t="shared" ref="B97" si="31">B78+B83+B88</f>
        <v>628945.00497290015</v>
      </c>
      <c r="C97" s="10">
        <f t="shared" si="29"/>
        <v>2346.5074</v>
      </c>
      <c r="AA97" s="9"/>
      <c r="AB97" s="9"/>
      <c r="AC97" s="9"/>
      <c r="AD97" s="9"/>
      <c r="AE97" s="9"/>
      <c r="AF97" s="9"/>
      <c r="AG97" s="9"/>
      <c r="AH97" s="9"/>
    </row>
    <row r="98" spans="1:34" x14ac:dyDescent="0.35">
      <c r="A98" s="6" t="s">
        <v>47</v>
      </c>
      <c r="B98" s="10">
        <f t="shared" ref="B98" si="32">B79+B84+B89</f>
        <v>892259.63637079974</v>
      </c>
      <c r="C98" s="10">
        <f t="shared" si="29"/>
        <v>2350.7981</v>
      </c>
      <c r="AA98" s="9"/>
      <c r="AB98" s="9"/>
      <c r="AC98" s="9"/>
      <c r="AD98" s="9"/>
      <c r="AE98" s="9"/>
      <c r="AF98" s="9"/>
      <c r="AG98" s="9"/>
      <c r="AH98" s="9"/>
    </row>
    <row r="99" spans="1:34" x14ac:dyDescent="0.35">
      <c r="A99" s="6" t="s">
        <v>48</v>
      </c>
      <c r="B99" s="10">
        <f t="shared" ref="B99" si="33">B80+B85+B90</f>
        <v>2189036.3501451002</v>
      </c>
      <c r="C99" s="10">
        <f t="shared" si="29"/>
        <v>2357.8280000000004</v>
      </c>
      <c r="AA99" s="9"/>
      <c r="AB99" s="9"/>
      <c r="AC99" s="9"/>
      <c r="AD99" s="9"/>
      <c r="AE99" s="9"/>
      <c r="AF99" s="9"/>
      <c r="AG99" s="9"/>
      <c r="AH99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73"/>
  <sheetViews>
    <sheetView showZeros="0" tabSelected="1"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P44" sqref="P44"/>
    </sheetView>
  </sheetViews>
  <sheetFormatPr defaultColWidth="0" defaultRowHeight="14.5" zeroHeight="1" x14ac:dyDescent="0.35"/>
  <cols>
    <col min="1" max="1" width="18.54296875" customWidth="1"/>
    <col min="2" max="37" width="8.7265625" customWidth="1"/>
    <col min="38" max="16384" width="8.7265625" hidden="1"/>
  </cols>
  <sheetData>
    <row r="1" spans="1:37" ht="18.5" x14ac:dyDescent="0.45">
      <c r="A1" s="56" t="s">
        <v>115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</row>
    <row r="2" spans="1:37" x14ac:dyDescent="0.3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</row>
    <row r="3" spans="1:37" x14ac:dyDescent="0.35">
      <c r="A3" s="14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</row>
    <row r="4" spans="1:37" x14ac:dyDescent="0.3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</row>
    <row r="5" spans="1:37" x14ac:dyDescent="0.35">
      <c r="A5" s="15" t="s">
        <v>79</v>
      </c>
      <c r="B5" s="13"/>
      <c r="C5" s="15" t="s">
        <v>66</v>
      </c>
      <c r="D5" s="13"/>
      <c r="E5" s="13"/>
      <c r="F5" s="13"/>
      <c r="G5" s="13"/>
      <c r="H5" s="15" t="s">
        <v>74</v>
      </c>
      <c r="I5" s="13"/>
      <c r="J5" s="13"/>
      <c r="K5" s="13"/>
      <c r="L5" s="15" t="s">
        <v>75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</row>
    <row r="6" spans="1:37" x14ac:dyDescent="0.35">
      <c r="A6" s="13"/>
      <c r="B6" s="13"/>
      <c r="C6" s="15" t="s">
        <v>43</v>
      </c>
      <c r="D6" s="13" t="s">
        <v>67</v>
      </c>
      <c r="E6" s="13" t="s">
        <v>70</v>
      </c>
      <c r="F6" s="13" t="s">
        <v>68</v>
      </c>
      <c r="G6" s="13" t="s">
        <v>69</v>
      </c>
      <c r="H6" s="16" t="s">
        <v>43</v>
      </c>
      <c r="I6" s="17" t="s">
        <v>71</v>
      </c>
      <c r="J6" s="17" t="s">
        <v>73</v>
      </c>
      <c r="K6" s="17" t="s">
        <v>72</v>
      </c>
      <c r="L6" s="16" t="s">
        <v>76</v>
      </c>
      <c r="M6" s="16" t="s">
        <v>77</v>
      </c>
      <c r="N6" s="16" t="s">
        <v>78</v>
      </c>
      <c r="O6" s="17" t="s">
        <v>43</v>
      </c>
      <c r="P6" s="17"/>
      <c r="Q6" s="17"/>
      <c r="R6" s="17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</row>
    <row r="7" spans="1:37" x14ac:dyDescent="0.35">
      <c r="A7" s="18" t="s">
        <v>56</v>
      </c>
      <c r="B7" s="17" t="s">
        <v>11</v>
      </c>
      <c r="C7" s="19">
        <f t="shared" ref="C7:C30" si="0">SUM(D7:G7)</f>
        <v>55.922939560462915</v>
      </c>
      <c r="D7" s="20">
        <f>SUM(Data!B6,Data!F6,Data!J6)/Data!$T6*100</f>
        <v>31.205382039699924</v>
      </c>
      <c r="E7" s="20">
        <f>SUM(Data!C6,Data!G6,Data!K6)/Data!$T6*100</f>
        <v>23.699897185489043</v>
      </c>
      <c r="F7" s="20">
        <f>SUM(Data!D6,Data!H6,Data!L6)/Data!$T6*100</f>
        <v>0.8076692520820713</v>
      </c>
      <c r="G7" s="20">
        <f>SUM(Data!E6,Data!I6,Data!M6)/Data!$T6*100</f>
        <v>0.20999108319187779</v>
      </c>
      <c r="H7" s="19">
        <f t="shared" ref="H7:H30" si="1">SUM(I7:K7)</f>
        <v>32.824270457502415</v>
      </c>
      <c r="I7" s="20">
        <f>Data!N6/Data!$T6*100</f>
        <v>20.334208985300254</v>
      </c>
      <c r="J7" s="20">
        <f>Data!O6/Data!$T6*100</f>
        <v>10.088565410276598</v>
      </c>
      <c r="K7" s="20">
        <f>Data!P6/Data!$T6*100</f>
        <v>2.4014960619255632</v>
      </c>
      <c r="L7" s="19">
        <f>Data!Q6/Data!$T6*100</f>
        <v>0.9016462431075597</v>
      </c>
      <c r="M7" s="19">
        <f>Data!R6/Data!$T6*100</f>
        <v>9.6917133969127747</v>
      </c>
      <c r="N7" s="19">
        <f>Data!S6/Data!$T6*100</f>
        <v>0.65943034201434003</v>
      </c>
      <c r="O7" s="20">
        <f t="shared" ref="O7:O30" si="2">C7+H7+L7+M7+N7</f>
        <v>100.00000000000001</v>
      </c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</row>
    <row r="8" spans="1:37" x14ac:dyDescent="0.35">
      <c r="A8" s="18" t="s">
        <v>57</v>
      </c>
      <c r="B8" s="17" t="s">
        <v>12</v>
      </c>
      <c r="C8" s="19">
        <f t="shared" si="0"/>
        <v>55.803292271128591</v>
      </c>
      <c r="D8" s="20">
        <f>SUM(Data!B7,Data!F7,Data!J7)/Data!$T7*100</f>
        <v>27.040867250261986</v>
      </c>
      <c r="E8" s="20">
        <f>SUM(Data!C7,Data!G7,Data!K7)/Data!$T7*100</f>
        <v>26.403258146040365</v>
      </c>
      <c r="F8" s="20">
        <f>SUM(Data!D7,Data!H7,Data!L7)/Data!$T7*100</f>
        <v>2.0009169347489415</v>
      </c>
      <c r="G8" s="20">
        <f>SUM(Data!E7,Data!I7,Data!M7)/Data!$T7*100</f>
        <v>0.35824994007729355</v>
      </c>
      <c r="H8" s="19">
        <f t="shared" si="1"/>
        <v>30.987965150100244</v>
      </c>
      <c r="I8" s="20">
        <f>Data!N7/Data!$T7*100</f>
        <v>19.185546003612558</v>
      </c>
      <c r="J8" s="20">
        <f>Data!O7/Data!$T7*100</f>
        <v>9.5358884634109433</v>
      </c>
      <c r="K8" s="20">
        <f>Data!P7/Data!$T7*100</f>
        <v>2.2665306830767458</v>
      </c>
      <c r="L8" s="19">
        <f>Data!Q7/Data!$T7*100</f>
        <v>3.1053305997034091</v>
      </c>
      <c r="M8" s="19">
        <f>Data!R7/Data!$T7*100</f>
        <v>9.2347142420747073</v>
      </c>
      <c r="N8" s="19">
        <f>Data!S7/Data!$T7*100</f>
        <v>0.86869773699305575</v>
      </c>
      <c r="O8" s="20">
        <f t="shared" si="2"/>
        <v>100</v>
      </c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</row>
    <row r="9" spans="1:37" x14ac:dyDescent="0.35">
      <c r="A9" s="18" t="s">
        <v>58</v>
      </c>
      <c r="B9" s="17" t="s">
        <v>13</v>
      </c>
      <c r="C9" s="19">
        <f t="shared" si="0"/>
        <v>54.438282367407716</v>
      </c>
      <c r="D9" s="20">
        <f>SUM(Data!B8,Data!F8,Data!J8)/Data!$T8*100</f>
        <v>24.382537312814762</v>
      </c>
      <c r="E9" s="20">
        <f>SUM(Data!C8,Data!G8,Data!K8)/Data!$T8*100</f>
        <v>26.525738597742532</v>
      </c>
      <c r="F9" s="20">
        <f>SUM(Data!D8,Data!H8,Data!L8)/Data!$T8*100</f>
        <v>2.5838103187492787</v>
      </c>
      <c r="G9" s="20">
        <f>SUM(Data!E8,Data!I8,Data!M8)/Data!$T8*100</f>
        <v>0.946196138101142</v>
      </c>
      <c r="H9" s="19">
        <f t="shared" si="1"/>
        <v>35.204052639294304</v>
      </c>
      <c r="I9" s="20">
        <f>Data!N8/Data!$T8*100</f>
        <v>21.613318457612905</v>
      </c>
      <c r="J9" s="20">
        <f>Data!O8/Data!$T8*100</f>
        <v>10.633824559498516</v>
      </c>
      <c r="K9" s="20">
        <f>Data!P8/Data!$T8*100</f>
        <v>2.9569096221828808</v>
      </c>
      <c r="L9" s="19">
        <f>Data!Q8/Data!$T8*100</f>
        <v>4.302154350215079</v>
      </c>
      <c r="M9" s="19">
        <f>Data!R8/Data!$T8*100</f>
        <v>4.7968562886213357</v>
      </c>
      <c r="N9" s="19">
        <f>Data!S8/Data!$T8*100</f>
        <v>1.2586543544615529</v>
      </c>
      <c r="O9" s="20">
        <f t="shared" si="2"/>
        <v>99.999999999999986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</row>
    <row r="10" spans="1:37" x14ac:dyDescent="0.35">
      <c r="A10" s="18" t="s">
        <v>59</v>
      </c>
      <c r="B10" s="17" t="s">
        <v>14</v>
      </c>
      <c r="C10" s="19">
        <f t="shared" si="0"/>
        <v>54.730546461914408</v>
      </c>
      <c r="D10" s="20">
        <f>SUM(Data!B9,Data!F9,Data!J9)/Data!$T9*100</f>
        <v>21.257491710144258</v>
      </c>
      <c r="E10" s="20">
        <f>SUM(Data!C9,Data!G9,Data!K9)/Data!$T9*100</f>
        <v>23.758374556636031</v>
      </c>
      <c r="F10" s="20">
        <f>SUM(Data!D9,Data!H9,Data!L9)/Data!$T9*100</f>
        <v>3.4283777612342261</v>
      </c>
      <c r="G10" s="20">
        <f>SUM(Data!E9,Data!I9,Data!M9)/Data!$T9*100</f>
        <v>6.2863024338998912</v>
      </c>
      <c r="H10" s="19">
        <f t="shared" si="1"/>
        <v>27.441023579740936</v>
      </c>
      <c r="I10" s="20">
        <f>Data!N9/Data!$T9*100</f>
        <v>16.568463739157764</v>
      </c>
      <c r="J10" s="20">
        <f>Data!O9/Data!$T9*100</f>
        <v>8.3079558564054174</v>
      </c>
      <c r="K10" s="20">
        <f>Data!P9/Data!$T9*100</f>
        <v>2.5646039841777548</v>
      </c>
      <c r="L10" s="19">
        <f>Data!Q9/Data!$T9*100</f>
        <v>12.379404445790165</v>
      </c>
      <c r="M10" s="19">
        <f>Data!R9/Data!$T9*100</f>
        <v>4.065308766086857</v>
      </c>
      <c r="N10" s="19">
        <f>Data!S9/Data!$T9*100</f>
        <v>1.3837167464676403</v>
      </c>
      <c r="O10" s="20">
        <f t="shared" si="2"/>
        <v>100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</row>
    <row r="11" spans="1:37" x14ac:dyDescent="0.35">
      <c r="A11" s="21" t="s">
        <v>60</v>
      </c>
      <c r="B11" s="22" t="s">
        <v>15</v>
      </c>
      <c r="C11" s="23">
        <f t="shared" si="0"/>
        <v>47.376270893035368</v>
      </c>
      <c r="D11" s="24">
        <f>SUM(Data!B10,Data!F10,Data!J10)/Data!$T10*100</f>
        <v>11.913276198023349</v>
      </c>
      <c r="E11" s="24">
        <f>SUM(Data!C10,Data!G10,Data!K10)/Data!$T10*100</f>
        <v>15.913159606769101</v>
      </c>
      <c r="F11" s="24">
        <f>SUM(Data!D10,Data!H10,Data!L10)/Data!$T10*100</f>
        <v>7.944810547271457</v>
      </c>
      <c r="G11" s="24">
        <f>SUM(Data!E10,Data!I10,Data!M10)/Data!$T10*100</f>
        <v>11.60502454097146</v>
      </c>
      <c r="H11" s="23">
        <f t="shared" si="1"/>
        <v>17.79690572823456</v>
      </c>
      <c r="I11" s="24">
        <f>Data!N10/Data!$T10*100</f>
        <v>10.453562012393228</v>
      </c>
      <c r="J11" s="24">
        <f>Data!O10/Data!$T10*100</f>
        <v>5.4339621727345397</v>
      </c>
      <c r="K11" s="24">
        <f>Data!P10/Data!$T10*100</f>
        <v>1.9093815431067929</v>
      </c>
      <c r="L11" s="23">
        <f>Data!Q10/Data!$T10*100</f>
        <v>29.61721479108791</v>
      </c>
      <c r="M11" s="23">
        <f>Data!R10/Data!$T10*100</f>
        <v>2.9871293223365396</v>
      </c>
      <c r="N11" s="23">
        <f>Data!S10/Data!$T10*100</f>
        <v>2.2224792653056427</v>
      </c>
      <c r="O11" s="24">
        <f t="shared" si="2"/>
        <v>100.00000000000003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</row>
    <row r="12" spans="1:37" x14ac:dyDescent="0.35">
      <c r="A12" s="18" t="s">
        <v>61</v>
      </c>
      <c r="B12" s="17" t="s">
        <v>16</v>
      </c>
      <c r="C12" s="19">
        <f t="shared" si="0"/>
        <v>72.669935681001974</v>
      </c>
      <c r="D12" s="20">
        <f>SUM(Data!B11,Data!F11,Data!J11)/Data!$T11*100</f>
        <v>35.368268406299826</v>
      </c>
      <c r="E12" s="20">
        <f>SUM(Data!C11,Data!G11,Data!K11)/Data!$T11*100</f>
        <v>27.239351616256059</v>
      </c>
      <c r="F12" s="20">
        <f>SUM(Data!D11,Data!H11,Data!L11)/Data!$T11*100</f>
        <v>2.9655205791863981</v>
      </c>
      <c r="G12" s="20">
        <f>SUM(Data!E11,Data!I11,Data!M11)/Data!$T11*100</f>
        <v>7.0967950792596932</v>
      </c>
      <c r="H12" s="19">
        <f t="shared" si="1"/>
        <v>14.887482136904829</v>
      </c>
      <c r="I12" s="20">
        <f>Data!N11/Data!$T11*100</f>
        <v>9.2478809312312968</v>
      </c>
      <c r="J12" s="20">
        <f>Data!O11/Data!$T11*100</f>
        <v>4.6019809951682404</v>
      </c>
      <c r="K12" s="20">
        <f>Data!P11/Data!$T11*100</f>
        <v>1.0376202105052921</v>
      </c>
      <c r="L12" s="19">
        <f>Data!Q11/Data!$T11*100</f>
        <v>1.904392382148689</v>
      </c>
      <c r="M12" s="19">
        <f>Data!R11/Data!$T11*100</f>
        <v>10.082512117116556</v>
      </c>
      <c r="N12" s="19">
        <f>Data!S11/Data!$T11*100</f>
        <v>0.45567768282793741</v>
      </c>
      <c r="O12" s="20">
        <f t="shared" si="2"/>
        <v>99.999999999999986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</row>
    <row r="13" spans="1:37" x14ac:dyDescent="0.35">
      <c r="A13" s="18" t="s">
        <v>62</v>
      </c>
      <c r="B13" s="17" t="s">
        <v>17</v>
      </c>
      <c r="C13" s="19">
        <f t="shared" si="0"/>
        <v>75.886629674848137</v>
      </c>
      <c r="D13" s="20">
        <f>SUM(Data!B12,Data!F12,Data!J12)/Data!$T12*100</f>
        <v>30.691945076654381</v>
      </c>
      <c r="E13" s="20">
        <f>SUM(Data!C12,Data!G12,Data!K12)/Data!$T12*100</f>
        <v>28.590833026989067</v>
      </c>
      <c r="F13" s="20">
        <f>SUM(Data!D12,Data!H12,Data!L12)/Data!$T12*100</f>
        <v>4.9118605839220288</v>
      </c>
      <c r="G13" s="20">
        <f>SUM(Data!E12,Data!I12,Data!M12)/Data!$T12*100</f>
        <v>11.691990987282649</v>
      </c>
      <c r="H13" s="19">
        <f t="shared" si="1"/>
        <v>13.099810808682793</v>
      </c>
      <c r="I13" s="20">
        <f>Data!N12/Data!$T12*100</f>
        <v>7.6574390685880402</v>
      </c>
      <c r="J13" s="20">
        <f>Data!O12/Data!$T12*100</f>
        <v>3.839084479201559</v>
      </c>
      <c r="K13" s="20">
        <f>Data!P12/Data!$T12*100</f>
        <v>1.6032872608931936</v>
      </c>
      <c r="L13" s="19">
        <f>Data!Q12/Data!$T12*100</f>
        <v>7.6767596136102734</v>
      </c>
      <c r="M13" s="19">
        <f>Data!R12/Data!$T12*100</f>
        <v>2.7486235791278792</v>
      </c>
      <c r="N13" s="19">
        <f>Data!S12/Data!$T12*100</f>
        <v>0.58817632373093909</v>
      </c>
      <c r="O13" s="20">
        <f t="shared" si="2"/>
        <v>100.00000000000001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</row>
    <row r="14" spans="1:37" x14ac:dyDescent="0.35">
      <c r="A14" s="18" t="s">
        <v>63</v>
      </c>
      <c r="B14" s="17" t="s">
        <v>18</v>
      </c>
      <c r="C14" s="19">
        <f t="shared" si="0"/>
        <v>74.221841038442264</v>
      </c>
      <c r="D14" s="20">
        <f>SUM(Data!B13,Data!F13,Data!J13)/Data!$T13*100</f>
        <v>28.869390155992914</v>
      </c>
      <c r="E14" s="20">
        <f>SUM(Data!C13,Data!G13,Data!K13)/Data!$T13*100</f>
        <v>28.726981169875348</v>
      </c>
      <c r="F14" s="20">
        <f>SUM(Data!D13,Data!H13,Data!L13)/Data!$T13*100</f>
        <v>4.9278584878460707</v>
      </c>
      <c r="G14" s="20">
        <f>SUM(Data!E13,Data!I13,Data!M13)/Data!$T13*100</f>
        <v>11.697611224727929</v>
      </c>
      <c r="H14" s="19">
        <f t="shared" si="1"/>
        <v>10.309506357483331</v>
      </c>
      <c r="I14" s="20">
        <f>Data!N13/Data!$T13*100</f>
        <v>5.9492434029438979</v>
      </c>
      <c r="J14" s="20">
        <f>Data!O13/Data!$T13*100</f>
        <v>2.9879688231423609</v>
      </c>
      <c r="K14" s="20">
        <f>Data!P13/Data!$T13*100</f>
        <v>1.3722941313970709</v>
      </c>
      <c r="L14" s="19">
        <f>Data!Q13/Data!$T13*100</f>
        <v>11.591939521749749</v>
      </c>
      <c r="M14" s="19">
        <f>Data!R13/Data!$T13*100</f>
        <v>3.8714426392031411</v>
      </c>
      <c r="N14" s="19">
        <f>Data!S13/Data!$T13*100</f>
        <v>5.2704431215207367E-3</v>
      </c>
      <c r="O14" s="20">
        <f t="shared" si="2"/>
        <v>100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</row>
    <row r="15" spans="1:37" x14ac:dyDescent="0.35">
      <c r="A15" s="18" t="s">
        <v>64</v>
      </c>
      <c r="B15" s="17" t="s">
        <v>19</v>
      </c>
      <c r="C15" s="19">
        <f t="shared" si="0"/>
        <v>63.642393113537914</v>
      </c>
      <c r="D15" s="20">
        <f>SUM(Data!B14,Data!F14,Data!J14)/Data!$T14*100</f>
        <v>15.583191501523116</v>
      </c>
      <c r="E15" s="20">
        <f>SUM(Data!C14,Data!G14,Data!K14)/Data!$T14*100</f>
        <v>18.889380202643526</v>
      </c>
      <c r="F15" s="20">
        <f>SUM(Data!D14,Data!H14,Data!L14)/Data!$T14*100</f>
        <v>9.0350094915812402</v>
      </c>
      <c r="G15" s="20">
        <f>SUM(Data!E14,Data!I14,Data!M14)/Data!$T14*100</f>
        <v>20.134811917790032</v>
      </c>
      <c r="H15" s="19">
        <f t="shared" si="1"/>
        <v>6.4181991157511309</v>
      </c>
      <c r="I15" s="20">
        <f>Data!N14/Data!$T14*100</f>
        <v>3.5999089325199964</v>
      </c>
      <c r="J15" s="20">
        <f>Data!O14/Data!$T14*100</f>
        <v>1.8122733424838282</v>
      </c>
      <c r="K15" s="20">
        <f>Data!P14/Data!$T14*100</f>
        <v>1.006016840747306</v>
      </c>
      <c r="L15" s="19">
        <f>Data!Q14/Data!$T14*100</f>
        <v>25.483248262364537</v>
      </c>
      <c r="M15" s="19">
        <f>Data!R14/Data!$T14*100</f>
        <v>3.1337274098132126</v>
      </c>
      <c r="N15" s="19">
        <f>Data!S14/Data!$T14*100</f>
        <v>1.3224320985331877</v>
      </c>
      <c r="O15" s="20">
        <f t="shared" si="2"/>
        <v>99.999999999999986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</row>
    <row r="16" spans="1:37" x14ac:dyDescent="0.35">
      <c r="A16" s="21" t="s">
        <v>65</v>
      </c>
      <c r="B16" s="22" t="s">
        <v>20</v>
      </c>
      <c r="C16" s="23">
        <f t="shared" si="0"/>
        <v>55.829520689381177</v>
      </c>
      <c r="D16" s="24">
        <f>SUM(Data!B15,Data!F15,Data!J15)/Data!$T15*100</f>
        <v>2.8983952382383538</v>
      </c>
      <c r="E16" s="24">
        <f>SUM(Data!C15,Data!G15,Data!K15)/Data!$T15*100</f>
        <v>7.3345566752114895</v>
      </c>
      <c r="F16" s="24">
        <f>SUM(Data!D15,Data!H15,Data!L15)/Data!$T15*100</f>
        <v>7.9412169049197239</v>
      </c>
      <c r="G16" s="24">
        <f>SUM(Data!E15,Data!I15,Data!M15)/Data!$T15*100</f>
        <v>37.655351871011611</v>
      </c>
      <c r="H16" s="23">
        <f t="shared" si="1"/>
        <v>1.2850871269531721</v>
      </c>
      <c r="I16" s="24">
        <f>Data!N15/Data!$T15*100</f>
        <v>0.67972379976702391</v>
      </c>
      <c r="J16" s="24">
        <f>Data!O15/Data!$T15*100</f>
        <v>0.3420617059307326</v>
      </c>
      <c r="K16" s="24">
        <f>Data!P15/Data!$T15*100</f>
        <v>0.26330162125541556</v>
      </c>
      <c r="L16" s="23">
        <f>Data!Q15/Data!$T15*100</f>
        <v>39.35499057119214</v>
      </c>
      <c r="M16" s="23">
        <f>Data!R15/Data!$T15*100</f>
        <v>2.2462851725309188</v>
      </c>
      <c r="N16" s="23">
        <f>Data!S15/Data!$T15*100</f>
        <v>1.2841164399426002</v>
      </c>
      <c r="O16" s="24">
        <f t="shared" si="2"/>
        <v>100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</row>
    <row r="17" spans="1:37" x14ac:dyDescent="0.35">
      <c r="A17" s="18" t="s">
        <v>110</v>
      </c>
      <c r="B17" s="17" t="s">
        <v>97</v>
      </c>
      <c r="C17" s="19">
        <f t="shared" si="0"/>
        <v>82.040218698863754</v>
      </c>
      <c r="D17" s="20">
        <f>SUM(Data!B16,Data!F16,Data!J16)/Data!$T16*100</f>
        <v>38.931575778260388</v>
      </c>
      <c r="E17" s="20">
        <f>SUM(Data!C16,Data!G16,Data!K16)/Data!$T16*100</f>
        <v>16.293817279676677</v>
      </c>
      <c r="F17" s="20">
        <f>SUM(Data!D16,Data!H16,Data!L16)/Data!$T16*100</f>
        <v>7.2153185489745715</v>
      </c>
      <c r="G17" s="20">
        <f>SUM(Data!E16,Data!I16,Data!M16)/Data!$T16*100</f>
        <v>19.599507091952105</v>
      </c>
      <c r="H17" s="19">
        <f t="shared" si="1"/>
        <v>6.3643365603554338</v>
      </c>
      <c r="I17" s="20">
        <f>Data!N16/Data!$T16*100</f>
        <v>3.9521640519283419</v>
      </c>
      <c r="J17" s="20">
        <f>Data!O16/Data!$T16*100</f>
        <v>1.9824853878348525</v>
      </c>
      <c r="K17" s="20">
        <f>Data!P16/Data!$T16*100</f>
        <v>0.42968712059223996</v>
      </c>
      <c r="L17" s="19">
        <f>Data!Q16/Data!$T16*100</f>
        <v>2.0712250275243034</v>
      </c>
      <c r="M17" s="19">
        <f>Data!R16/Data!$T16*100</f>
        <v>9.2640999434458884</v>
      </c>
      <c r="N17" s="19">
        <f>Data!S16/Data!$T16*100</f>
        <v>0.26011976981065665</v>
      </c>
      <c r="O17" s="20">
        <f t="shared" si="2"/>
        <v>100.00000000000004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</row>
    <row r="18" spans="1:37" x14ac:dyDescent="0.35">
      <c r="A18" s="18" t="s">
        <v>111</v>
      </c>
      <c r="B18" s="17" t="s">
        <v>98</v>
      </c>
      <c r="C18" s="19">
        <f t="shared" si="0"/>
        <v>77.954876499995805</v>
      </c>
      <c r="D18" s="20">
        <f>SUM(Data!B17,Data!F17,Data!J17)/Data!$T17*100</f>
        <v>31.330993740286793</v>
      </c>
      <c r="E18" s="20">
        <f>SUM(Data!C17,Data!G17,Data!K17)/Data!$T17*100</f>
        <v>16.796834050029705</v>
      </c>
      <c r="F18" s="20">
        <f>SUM(Data!D17,Data!H17,Data!L17)/Data!$T17*100</f>
        <v>7.8425433227783836</v>
      </c>
      <c r="G18" s="20">
        <f>SUM(Data!E17,Data!I17,Data!M17)/Data!$T17*100</f>
        <v>21.984505386900917</v>
      </c>
      <c r="H18" s="19">
        <f t="shared" si="1"/>
        <v>12.572243913226004</v>
      </c>
      <c r="I18" s="20">
        <f>Data!N17/Data!$T17*100</f>
        <v>7.1330757232702515</v>
      </c>
      <c r="J18" s="20">
        <f>Data!O17/Data!$T17*100</f>
        <v>3.5382047841590913</v>
      </c>
      <c r="K18" s="20">
        <f>Data!P17/Data!$T17*100</f>
        <v>1.9009634057966611</v>
      </c>
      <c r="L18" s="19">
        <f>Data!Q17/Data!$T17*100</f>
        <v>2.5947512306874634</v>
      </c>
      <c r="M18" s="19">
        <f>Data!R17/Data!$T17*100</f>
        <v>5.9822082438665847</v>
      </c>
      <c r="N18" s="19">
        <f>Data!S17/Data!$T17*100</f>
        <v>0.89592011222415124</v>
      </c>
      <c r="O18" s="20">
        <f t="shared" si="2"/>
        <v>100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</row>
    <row r="19" spans="1:37" x14ac:dyDescent="0.35">
      <c r="A19" s="18" t="s">
        <v>112</v>
      </c>
      <c r="B19" s="17" t="s">
        <v>99</v>
      </c>
      <c r="C19" s="19">
        <f t="shared" si="0"/>
        <v>77.678502573862119</v>
      </c>
      <c r="D19" s="20">
        <f>SUM(Data!B18,Data!F18,Data!J18)/Data!$T18*100</f>
        <v>21.431117446666935</v>
      </c>
      <c r="E19" s="20">
        <f>SUM(Data!C18,Data!G18,Data!K18)/Data!$T18*100</f>
        <v>13.380694456563674</v>
      </c>
      <c r="F19" s="20">
        <f>SUM(Data!D18,Data!H18,Data!L18)/Data!$T18*100</f>
        <v>11.63610340894061</v>
      </c>
      <c r="G19" s="20">
        <f>SUM(Data!E18,Data!I18,Data!M18)/Data!$T18*100</f>
        <v>31.230587261690907</v>
      </c>
      <c r="H19" s="19">
        <f t="shared" si="1"/>
        <v>7.0293701123645498</v>
      </c>
      <c r="I19" s="20">
        <f>Data!N18/Data!$T18*100</f>
        <v>4.3652131929853004</v>
      </c>
      <c r="J19" s="20">
        <f>Data!O18/Data!$T18*100</f>
        <v>2.1945837266396921</v>
      </c>
      <c r="K19" s="20">
        <f>Data!P18/Data!$T18*100</f>
        <v>0.469573192739557</v>
      </c>
      <c r="L19" s="19">
        <f>Data!Q18/Data!$T18*100</f>
        <v>11.374174382021247</v>
      </c>
      <c r="M19" s="19">
        <f>Data!R18/Data!$T18*100</f>
        <v>3.5636245905627062</v>
      </c>
      <c r="N19" s="19">
        <f>Data!S18/Data!$T18*100</f>
        <v>0.35432834118935996</v>
      </c>
      <c r="O19" s="20">
        <f t="shared" si="2"/>
        <v>99.999999999999986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</row>
    <row r="20" spans="1:37" x14ac:dyDescent="0.35">
      <c r="A20" s="18" t="s">
        <v>113</v>
      </c>
      <c r="B20" s="17" t="s">
        <v>100</v>
      </c>
      <c r="C20" s="19">
        <f t="shared" si="0"/>
        <v>73.607034331485153</v>
      </c>
      <c r="D20" s="20">
        <f>SUM(Data!B19,Data!F19,Data!J19)/Data!$T19*100</f>
        <v>15.389505332999692</v>
      </c>
      <c r="E20" s="20">
        <f>SUM(Data!C19,Data!G19,Data!K19)/Data!$T19*100</f>
        <v>14.630203859784549</v>
      </c>
      <c r="F20" s="20">
        <f>SUM(Data!D19,Data!H19,Data!L19)/Data!$T19*100</f>
        <v>8.556797265492877</v>
      </c>
      <c r="G20" s="20">
        <f>SUM(Data!E19,Data!I19,Data!M19)/Data!$T19*100</f>
        <v>35.030527873208044</v>
      </c>
      <c r="H20" s="19">
        <f t="shared" si="1"/>
        <v>5.2164778325796739</v>
      </c>
      <c r="I20" s="20">
        <f>Data!N19/Data!$T19*100</f>
        <v>2.3843191607544867</v>
      </c>
      <c r="J20" s="20">
        <f>Data!O19/Data!$T19*100</f>
        <v>1.1978070853228895</v>
      </c>
      <c r="K20" s="20">
        <f>Data!P19/Data!$T19*100</f>
        <v>1.6343515865022977</v>
      </c>
      <c r="L20" s="19">
        <f>Data!Q19/Data!$T19*100</f>
        <v>17.677413586993836</v>
      </c>
      <c r="M20" s="19">
        <f>Data!R19/Data!$T19*100</f>
        <v>3.1073386196462693</v>
      </c>
      <c r="N20" s="19">
        <f>Data!S19/Data!$T19*100</f>
        <v>0.39173562929506267</v>
      </c>
      <c r="O20" s="20">
        <f t="shared" si="2"/>
        <v>99.999999999999986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</row>
    <row r="21" spans="1:37" x14ac:dyDescent="0.35">
      <c r="A21" s="21" t="s">
        <v>114</v>
      </c>
      <c r="B21" s="22" t="s">
        <v>101</v>
      </c>
      <c r="C21" s="23">
        <f t="shared" si="0"/>
        <v>58.303254180308237</v>
      </c>
      <c r="D21" s="24">
        <f>SUM(Data!B20,Data!F20,Data!J20)/Data!$T20*100</f>
        <v>2.0199769464703214</v>
      </c>
      <c r="E21" s="24">
        <f>SUM(Data!C20,Data!G20,Data!K20)/Data!$T20*100</f>
        <v>3.8103860813121155</v>
      </c>
      <c r="F21" s="24">
        <f>SUM(Data!D20,Data!H20,Data!L20)/Data!$T20*100</f>
        <v>6.7165677070100447</v>
      </c>
      <c r="G21" s="24">
        <f>SUM(Data!E20,Data!I20,Data!M20)/Data!$T20*100</f>
        <v>45.756323445515754</v>
      </c>
      <c r="H21" s="23">
        <f t="shared" si="1"/>
        <v>0.35583342145067504</v>
      </c>
      <c r="I21" s="24">
        <f>Data!N20/Data!$T20*100</f>
        <v>0.16957139396875043</v>
      </c>
      <c r="J21" s="24">
        <f>Data!O20/Data!$T20*100</f>
        <v>8.5244364912263032E-2</v>
      </c>
      <c r="K21" s="24">
        <f>Data!P20/Data!$T20*100</f>
        <v>0.10101766256966153</v>
      </c>
      <c r="L21" s="23">
        <f>Data!Q20/Data!$T20*100</f>
        <v>34.445401032243502</v>
      </c>
      <c r="M21" s="23">
        <f>Data!R20/Data!$T20*100</f>
        <v>2.1683438261669399</v>
      </c>
      <c r="N21" s="23">
        <f>Data!S20/Data!$T20*100</f>
        <v>4.7271675398306385</v>
      </c>
      <c r="O21" s="24">
        <f t="shared" si="2"/>
        <v>100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 spans="1:37" x14ac:dyDescent="0.35">
      <c r="A22" s="25" t="s">
        <v>41</v>
      </c>
      <c r="B22" s="13" t="s">
        <v>41</v>
      </c>
      <c r="C22" s="19">
        <f t="shared" si="0"/>
        <v>52.366950084705977</v>
      </c>
      <c r="D22" s="20">
        <f>SUM(Data!B21,Data!F21,Data!J21)/Data!$T21*100</f>
        <v>20.16001139349763</v>
      </c>
      <c r="E22" s="20">
        <f>SUM(Data!C21,Data!G21,Data!K21)/Data!$T21*100</f>
        <v>21.893256218547773</v>
      </c>
      <c r="F22" s="20">
        <f>SUM(Data!D21,Data!H21,Data!L21)/Data!$T21*100</f>
        <v>4.4386893170529778</v>
      </c>
      <c r="G22" s="20">
        <f>SUM(Data!E21,Data!I21,Data!M21)/Data!$T21*100</f>
        <v>5.8749931556075969</v>
      </c>
      <c r="H22" s="19">
        <f t="shared" si="1"/>
        <v>26.421888577186554</v>
      </c>
      <c r="I22" s="20">
        <f>Data!N21/Data!$T21*100</f>
        <v>16.022141221867013</v>
      </c>
      <c r="J22" s="20">
        <f>Data!O21/Data!$T21*100</f>
        <v>8.0435075284729312</v>
      </c>
      <c r="K22" s="20">
        <f>Data!P21/Data!$T21*100</f>
        <v>2.3562398268466089</v>
      </c>
      <c r="L22" s="19">
        <f>Data!Q21/Data!$T21*100</f>
        <v>14.71926141221839</v>
      </c>
      <c r="M22" s="19">
        <f>Data!R21/Data!$T21*100</f>
        <v>4.9671974784253194</v>
      </c>
      <c r="N22" s="19">
        <f>Data!S21/Data!$T21*100</f>
        <v>1.5247024474637689</v>
      </c>
      <c r="O22" s="20">
        <f t="shared" si="2"/>
        <v>100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</row>
    <row r="23" spans="1:37" x14ac:dyDescent="0.35">
      <c r="A23" s="25" t="s">
        <v>42</v>
      </c>
      <c r="B23" s="13" t="s">
        <v>42</v>
      </c>
      <c r="C23" s="19">
        <f t="shared" si="0"/>
        <v>58.548348143880887</v>
      </c>
      <c r="D23" s="20">
        <f>SUM(Data!B22,Data!F22,Data!J22)/Data!$T22*100</f>
        <v>7.0839247558920171</v>
      </c>
      <c r="E23" s="20">
        <f>SUM(Data!C22,Data!G22,Data!K22)/Data!$T22*100</f>
        <v>10.688829873627542</v>
      </c>
      <c r="F23" s="20">
        <f>SUM(Data!D22,Data!H22,Data!L22)/Data!$T22*100</f>
        <v>7.6914272807446542</v>
      </c>
      <c r="G23" s="20">
        <f>SUM(Data!E22,Data!I22,Data!M22)/Data!$T22*100</f>
        <v>33.084166233616671</v>
      </c>
      <c r="H23" s="19">
        <f t="shared" si="1"/>
        <v>2.9299378751286032</v>
      </c>
      <c r="I23" s="20">
        <f>Data!N22/Data!$T22*100</f>
        <v>1.6489855482185827</v>
      </c>
      <c r="J23" s="20">
        <f>Data!O22/Data!$T22*100</f>
        <v>0.82798199006711459</v>
      </c>
      <c r="K23" s="20">
        <f>Data!P22/Data!$T22*100</f>
        <v>0.45297033684290622</v>
      </c>
      <c r="L23" s="19">
        <f>Data!Q22/Data!$T22*100</f>
        <v>34.727913444578547</v>
      </c>
      <c r="M23" s="19">
        <f>Data!R22/Data!$T22*100</f>
        <v>2.6115321998744836</v>
      </c>
      <c r="N23" s="19">
        <f>Data!S22/Data!$T22*100</f>
        <v>1.1822683365374873</v>
      </c>
      <c r="O23" s="20">
        <f t="shared" si="2"/>
        <v>100.00000000000001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</row>
    <row r="24" spans="1:37" x14ac:dyDescent="0.35">
      <c r="A24" s="26" t="s">
        <v>109</v>
      </c>
      <c r="B24" s="27" t="s">
        <v>109</v>
      </c>
      <c r="C24" s="23">
        <f t="shared" si="0"/>
        <v>59.969140576109126</v>
      </c>
      <c r="D24" s="24">
        <f>SUM(Data!B23,Data!F23,Data!J23)/Data!$T23*100</f>
        <v>3.7867262193561255</v>
      </c>
      <c r="E24" s="24">
        <f>SUM(Data!C23,Data!G23,Data!K23)/Data!$T23*100</f>
        <v>4.8597344063681716</v>
      </c>
      <c r="F24" s="24">
        <f>SUM(Data!D23,Data!H23,Data!L23)/Data!$T23*100</f>
        <v>6.9385484841685221</v>
      </c>
      <c r="G24" s="24">
        <f>SUM(Data!E23,Data!I23,Data!M23)/Data!$T23*100</f>
        <v>44.38413146621631</v>
      </c>
      <c r="H24" s="23">
        <f t="shared" si="1"/>
        <v>0.95107067421944036</v>
      </c>
      <c r="I24" s="24">
        <f>Data!N23/Data!$T23*100</f>
        <v>0.48835298467772215</v>
      </c>
      <c r="J24" s="24">
        <f>Data!O23/Data!$T23*100</f>
        <v>0.2448881766029089</v>
      </c>
      <c r="K24" s="24">
        <f>Data!P23/Data!$T23*100</f>
        <v>0.2178295129388092</v>
      </c>
      <c r="L24" s="23">
        <f>Data!Q23/Data!$T23*100</f>
        <v>32.41748603820318</v>
      </c>
      <c r="M24" s="23">
        <f>Data!R23/Data!$T23*100</f>
        <v>2.3472320877523631</v>
      </c>
      <c r="N24" s="23">
        <f>Data!S23/Data!$T23*100</f>
        <v>4.315070623715874</v>
      </c>
      <c r="O24" s="24">
        <f t="shared" si="2"/>
        <v>99.999999999999972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</row>
    <row r="25" spans="1:37" x14ac:dyDescent="0.35">
      <c r="A25" s="28" t="s">
        <v>43</v>
      </c>
      <c r="B25" s="29" t="s">
        <v>43</v>
      </c>
      <c r="C25" s="30">
        <f t="shared" si="0"/>
        <v>56.014860239878004</v>
      </c>
      <c r="D25" s="31">
        <f>SUM(Data!B24,Data!F24,Data!J24)/Data!$T24*100</f>
        <v>12.334015350190882</v>
      </c>
      <c r="E25" s="31">
        <f>SUM(Data!C24,Data!G24,Data!K24)/Data!$T24*100</f>
        <v>14.062461924392542</v>
      </c>
      <c r="F25" s="31">
        <f>SUM(Data!D24,Data!H24,Data!L24)/Data!$T24*100</f>
        <v>5.7963055228804352</v>
      </c>
      <c r="G25" s="31">
        <f>SUM(Data!E24,Data!I24,Data!M24)/Data!$T24*100</f>
        <v>23.822077442414145</v>
      </c>
      <c r="H25" s="30">
        <f t="shared" si="1"/>
        <v>13.83939080278547</v>
      </c>
      <c r="I25" s="30">
        <f>Data!N24/Data!$T24*100</f>
        <v>8.3425158567837432</v>
      </c>
      <c r="J25" s="30">
        <f>Data!O24/Data!$T24*100</f>
        <v>4.1880632041130088</v>
      </c>
      <c r="K25" s="30">
        <f>Data!P24/Data!$T24*100</f>
        <v>1.3088117418887188</v>
      </c>
      <c r="L25" s="30">
        <f>Data!Q24/Data!$T24*100</f>
        <v>23.939563557435232</v>
      </c>
      <c r="M25" s="30">
        <f>Data!R24/Data!$T24*100</f>
        <v>3.6808135981694896</v>
      </c>
      <c r="N25" s="30">
        <f>Data!S24/Data!$T24*100</f>
        <v>2.5253718017318052</v>
      </c>
      <c r="O25" s="30">
        <f t="shared" si="2"/>
        <v>100.00000000000001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</row>
    <row r="26" spans="1:37" x14ac:dyDescent="0.35">
      <c r="A26" s="25" t="s">
        <v>44</v>
      </c>
      <c r="B26" s="13" t="s">
        <v>44</v>
      </c>
      <c r="C26" s="19">
        <f t="shared" si="0"/>
        <v>58.641425178858235</v>
      </c>
      <c r="D26" s="20">
        <f>SUM(Data!B25,Data!F25,Data!J25)/Data!$T25*100</f>
        <v>31.958679442506227</v>
      </c>
      <c r="E26" s="20">
        <f>SUM(Data!C25,Data!G25,Data!K25)/Data!$T25*100</f>
        <v>23.462185728932806</v>
      </c>
      <c r="F26" s="20">
        <f>SUM(Data!D25,Data!H25,Data!L25)/Data!$T25*100</f>
        <v>1.349131598141234</v>
      </c>
      <c r="G26" s="20">
        <f>SUM(Data!E25,Data!I25,Data!M25)/Data!$T25*100</f>
        <v>1.8714284092779647</v>
      </c>
      <c r="H26" s="19">
        <f t="shared" si="1"/>
        <v>30.007716549818195</v>
      </c>
      <c r="I26" s="20">
        <f>Data!N25/Data!$T25*100</f>
        <v>18.591616088758613</v>
      </c>
      <c r="J26" s="20">
        <f>Data!O25/Data!$T25*100</f>
        <v>9.2262463156130465</v>
      </c>
      <c r="K26" s="20">
        <f>Data!P25/Data!$T25*100</f>
        <v>2.1898541454465348</v>
      </c>
      <c r="L26" s="19">
        <f>Data!Q25/Data!$T25*100</f>
        <v>1.0396459111376939</v>
      </c>
      <c r="M26" s="19">
        <f>Data!R25/Data!$T25*100</f>
        <v>9.6899813548462159</v>
      </c>
      <c r="N26" s="19">
        <f>Data!S25/Data!$T25*100</f>
        <v>0.62123100533967501</v>
      </c>
      <c r="O26" s="20">
        <f t="shared" si="2"/>
        <v>100.00000000000001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</row>
    <row r="27" spans="1:37" x14ac:dyDescent="0.35">
      <c r="A27" s="25" t="s">
        <v>45</v>
      </c>
      <c r="B27" s="13" t="s">
        <v>45</v>
      </c>
      <c r="C27" s="19">
        <f t="shared" si="0"/>
        <v>58.113097356517329</v>
      </c>
      <c r="D27" s="20">
        <f>SUM(Data!B26,Data!F26,Data!J26)/Data!$T26*100</f>
        <v>27.475651172297592</v>
      </c>
      <c r="E27" s="20">
        <f>SUM(Data!C26,Data!G26,Data!K26)/Data!$T26*100</f>
        <v>25.975422097367812</v>
      </c>
      <c r="F27" s="20">
        <f>SUM(Data!D26,Data!H26,Data!L26)/Data!$T26*100</f>
        <v>2.4844284426709935</v>
      </c>
      <c r="G27" s="20">
        <f>SUM(Data!E26,Data!I26,Data!M26)/Data!$T26*100</f>
        <v>2.1775956441809319</v>
      </c>
      <c r="H27" s="19">
        <f t="shared" si="1"/>
        <v>29.004943317749767</v>
      </c>
      <c r="I27" s="20">
        <f>Data!N26/Data!$T26*100</f>
        <v>17.897155897948753</v>
      </c>
      <c r="J27" s="20">
        <f>Data!O26/Data!$T26*100</f>
        <v>8.8968488118068496</v>
      </c>
      <c r="K27" s="20">
        <f>Data!P26/Data!$T26*100</f>
        <v>2.2109386079941635</v>
      </c>
      <c r="L27" s="19">
        <f>Data!Q26/Data!$T26*100</f>
        <v>3.3172048245449339</v>
      </c>
      <c r="M27" s="19">
        <f>Data!R26/Data!$T26*100</f>
        <v>8.7092904919540572</v>
      </c>
      <c r="N27" s="19">
        <f>Data!S26/Data!$T26*100</f>
        <v>0.85546400923391208</v>
      </c>
      <c r="O27" s="20">
        <f t="shared" si="2"/>
        <v>100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</row>
    <row r="28" spans="1:37" x14ac:dyDescent="0.35">
      <c r="A28" s="25" t="s">
        <v>46</v>
      </c>
      <c r="B28" s="13" t="s">
        <v>46</v>
      </c>
      <c r="C28" s="19">
        <f t="shared" si="0"/>
        <v>57.41016245995224</v>
      </c>
      <c r="D28" s="20">
        <f>SUM(Data!B27,Data!F27,Data!J27)/Data!$T27*100</f>
        <v>24.450055179983416</v>
      </c>
      <c r="E28" s="20">
        <f>SUM(Data!C27,Data!G27,Data!K27)/Data!$T27*100</f>
        <v>25.696052017550961</v>
      </c>
      <c r="F28" s="20">
        <f>SUM(Data!D27,Data!H27,Data!L27)/Data!$T27*100</f>
        <v>3.4005416849801953</v>
      </c>
      <c r="G28" s="20">
        <f>SUM(Data!E27,Data!I27,Data!M27)/Data!$T27*100</f>
        <v>3.8635135774376632</v>
      </c>
      <c r="H28" s="19">
        <f t="shared" si="1"/>
        <v>31.543293730894515</v>
      </c>
      <c r="I28" s="20">
        <f>Data!N27/Data!$T27*100</f>
        <v>19.345304140411468</v>
      </c>
      <c r="J28" s="20">
        <f>Data!O27/Data!$T27*100</f>
        <v>9.525284979656961</v>
      </c>
      <c r="K28" s="20">
        <f>Data!P27/Data!$T27*100</f>
        <v>2.6727046108260848</v>
      </c>
      <c r="L28" s="19">
        <f>Data!Q27/Data!$T27*100</f>
        <v>5.2872088339399239</v>
      </c>
      <c r="M28" s="19">
        <f>Data!R27/Data!$T27*100</f>
        <v>4.6470622486408573</v>
      </c>
      <c r="N28" s="19">
        <f>Data!S27/Data!$T27*100</f>
        <v>1.1122727265724557</v>
      </c>
      <c r="O28" s="20">
        <f t="shared" si="2"/>
        <v>100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 spans="1:37" x14ac:dyDescent="0.35">
      <c r="A29" s="25" t="s">
        <v>47</v>
      </c>
      <c r="B29" s="13" t="s">
        <v>47</v>
      </c>
      <c r="C29" s="19">
        <f t="shared" si="0"/>
        <v>57.915699358675027</v>
      </c>
      <c r="D29" s="20">
        <f>SUM(Data!B28,Data!F28,Data!J28)/Data!$T28*100</f>
        <v>20.033765100060567</v>
      </c>
      <c r="E29" s="20">
        <f>SUM(Data!C28,Data!G28,Data!K28)/Data!$T28*100</f>
        <v>22.173117735201668</v>
      </c>
      <c r="F29" s="20">
        <f>SUM(Data!D28,Data!H28,Data!L28)/Data!$T28*100</f>
        <v>4.5499545799415424</v>
      </c>
      <c r="G29" s="20">
        <f>SUM(Data!E28,Data!I28,Data!M28)/Data!$T28*100</f>
        <v>11.158861943471249</v>
      </c>
      <c r="H29" s="19">
        <f t="shared" si="1"/>
        <v>22.843909763695205</v>
      </c>
      <c r="I29" s="20">
        <f>Data!N28/Data!$T28*100</f>
        <v>13.67058080592165</v>
      </c>
      <c r="J29" s="20">
        <f>Data!O28/Data!$T28*100</f>
        <v>6.8557332974235567</v>
      </c>
      <c r="K29" s="20">
        <f>Data!P28/Data!$T28*100</f>
        <v>2.3175956603499968</v>
      </c>
      <c r="L29" s="19">
        <f>Data!Q28/Data!$T28*100</f>
        <v>14.126206299792198</v>
      </c>
      <c r="M29" s="19">
        <f>Data!R28/Data!$T28*100</f>
        <v>3.8651101625297417</v>
      </c>
      <c r="N29" s="19">
        <f>Data!S28/Data!$T28*100</f>
        <v>1.2490744153078246</v>
      </c>
      <c r="O29" s="20">
        <f t="shared" si="2"/>
        <v>100.00000000000001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</row>
    <row r="30" spans="1:37" x14ac:dyDescent="0.35">
      <c r="A30" s="25" t="s">
        <v>48</v>
      </c>
      <c r="B30" s="13" t="s">
        <v>48</v>
      </c>
      <c r="C30" s="19">
        <f t="shared" si="0"/>
        <v>54.826124552202188</v>
      </c>
      <c r="D30" s="20">
        <f>SUM(Data!B29,Data!F29,Data!J29)/Data!$T29*100</f>
        <v>4.9395600599466212</v>
      </c>
      <c r="E30" s="20">
        <f>SUM(Data!C29,Data!G29,Data!K29)/Data!$T29*100</f>
        <v>7.7933747144372418</v>
      </c>
      <c r="F30" s="20">
        <f>SUM(Data!D29,Data!H29,Data!L29)/Data!$T29*100</f>
        <v>7.2663803620112235</v>
      </c>
      <c r="G30" s="20">
        <f>SUM(Data!E29,Data!I29,Data!M29)/Data!$T29*100</f>
        <v>34.826809415807098</v>
      </c>
      <c r="H30" s="19">
        <f t="shared" si="1"/>
        <v>5.3988105787344915</v>
      </c>
      <c r="I30" s="20">
        <f>Data!N29/Data!$T29*100</f>
        <v>3.1367793032765947</v>
      </c>
      <c r="J30" s="20">
        <f>Data!O29/Data!$T29*100</f>
        <v>1.6270635677755612</v>
      </c>
      <c r="K30" s="20">
        <f>Data!P29/Data!$T29*100</f>
        <v>0.63496770768233513</v>
      </c>
      <c r="L30" s="19">
        <f>Data!Q29/Data!$T29*100</f>
        <v>33.917062944242602</v>
      </c>
      <c r="M30" s="19">
        <f>Data!R29/Data!$T29*100</f>
        <v>2.4108535901290997</v>
      </c>
      <c r="N30" s="19">
        <f>Data!S29/Data!$T29*100</f>
        <v>3.4471483346916298</v>
      </c>
      <c r="O30" s="20">
        <f t="shared" si="2"/>
        <v>100.00000000000001</v>
      </c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</row>
    <row r="31" spans="1:37" x14ac:dyDescent="0.3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</row>
    <row r="32" spans="1:37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</row>
    <row r="33" spans="1:37" x14ac:dyDescent="0.3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</row>
    <row r="34" spans="1:37" x14ac:dyDescent="0.3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</row>
    <row r="35" spans="1:37" x14ac:dyDescent="0.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</row>
    <row r="36" spans="1:37" x14ac:dyDescent="0.3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</row>
    <row r="37" spans="1:37" x14ac:dyDescent="0.3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</row>
    <row r="38" spans="1:37" x14ac:dyDescent="0.3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</row>
    <row r="39" spans="1:37" x14ac:dyDescent="0.3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</row>
    <row r="40" spans="1:37" x14ac:dyDescent="0.35">
      <c r="A40" s="15" t="s">
        <v>80</v>
      </c>
      <c r="B40" s="13"/>
      <c r="C40" s="15" t="s">
        <v>81</v>
      </c>
      <c r="D40" s="13"/>
      <c r="E40" s="13"/>
      <c r="F40" s="13"/>
      <c r="G40" s="15" t="s">
        <v>85</v>
      </c>
      <c r="H40" s="13"/>
      <c r="I40" s="13"/>
      <c r="J40" s="13"/>
      <c r="K40" s="13"/>
      <c r="L40" s="13"/>
      <c r="M40" s="15" t="s">
        <v>89</v>
      </c>
      <c r="N40" s="13"/>
      <c r="O40" s="13"/>
      <c r="P40" s="13"/>
      <c r="Q40" s="14" t="s">
        <v>93</v>
      </c>
      <c r="R40" s="13"/>
      <c r="S40" s="14" t="s">
        <v>95</v>
      </c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</row>
    <row r="41" spans="1:37" x14ac:dyDescent="0.35">
      <c r="A41" s="13"/>
      <c r="B41" s="13"/>
      <c r="C41" s="32" t="s">
        <v>43</v>
      </c>
      <c r="D41" s="32" t="s">
        <v>83</v>
      </c>
      <c r="E41" s="13" t="s">
        <v>84</v>
      </c>
      <c r="F41" s="18" t="s">
        <v>92</v>
      </c>
      <c r="G41" s="13" t="s">
        <v>77</v>
      </c>
      <c r="H41" s="13" t="s">
        <v>86</v>
      </c>
      <c r="I41" s="13" t="s">
        <v>87</v>
      </c>
      <c r="J41" s="13" t="s">
        <v>78</v>
      </c>
      <c r="K41" s="13" t="s">
        <v>43</v>
      </c>
      <c r="L41" s="13"/>
      <c r="M41" s="13"/>
      <c r="N41" s="13"/>
      <c r="O41" s="13" t="s">
        <v>90</v>
      </c>
      <c r="P41" s="13" t="s">
        <v>91</v>
      </c>
      <c r="Q41" s="33" t="s">
        <v>90</v>
      </c>
      <c r="R41" s="13" t="s">
        <v>91</v>
      </c>
      <c r="S41" s="33" t="s">
        <v>94</v>
      </c>
      <c r="T41" s="13" t="s">
        <v>96</v>
      </c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</row>
    <row r="42" spans="1:37" x14ac:dyDescent="0.35">
      <c r="A42" s="18" t="s">
        <v>56</v>
      </c>
      <c r="B42" s="17" t="s">
        <v>11</v>
      </c>
      <c r="C42" s="34">
        <f t="shared" ref="C42:C65" si="3">SUM(D42:E42)</f>
        <v>95.77163464375721</v>
      </c>
      <c r="D42" s="34">
        <f>Data!B41/Data!$I41*100</f>
        <v>29.759804455398541</v>
      </c>
      <c r="E42" s="35">
        <f>Data!C41/Data!$I41*100</f>
        <v>66.011830188358672</v>
      </c>
      <c r="F42" s="36">
        <f>Data!D41/Data!$I41*100</f>
        <v>18.281418706291419</v>
      </c>
      <c r="G42" s="35">
        <f>Data!E41/Data!$I41*100</f>
        <v>0.13250200367969353</v>
      </c>
      <c r="H42" s="35">
        <f>Data!F41/Data!$I41*100</f>
        <v>0.21944294159987024</v>
      </c>
      <c r="I42" s="35">
        <f>Data!G41/Data!$I41*100</f>
        <v>3.4613080170872479</v>
      </c>
      <c r="J42" s="35">
        <f>Data!H41/Data!$I41*100</f>
        <v>0.41511239387601467</v>
      </c>
      <c r="K42" s="35">
        <f>Data!I41/Data!$I41*100</f>
        <v>100</v>
      </c>
      <c r="L42" s="13"/>
      <c r="M42" s="18" t="s">
        <v>56</v>
      </c>
      <c r="N42" s="17" t="s">
        <v>11</v>
      </c>
      <c r="O42" s="35">
        <f>SUM(Data!B41:C41)/Data!C76*1000</f>
        <v>127.18707739871054</v>
      </c>
      <c r="P42" s="35">
        <f>Data!B76/Data!C76</f>
        <v>123.42762478043682</v>
      </c>
      <c r="Q42" s="37">
        <f>O42/O$60</f>
        <v>0.26302014900582504</v>
      </c>
      <c r="R42" s="38">
        <f>P42/P$60</f>
        <v>0.32497149904355865</v>
      </c>
      <c r="S42" s="39">
        <f>Data!T6-Data!I41</f>
        <v>0</v>
      </c>
      <c r="T42" s="35">
        <f>S42/Data!I41*100</f>
        <v>0</v>
      </c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</row>
    <row r="43" spans="1:37" x14ac:dyDescent="0.35">
      <c r="A43" s="18" t="s">
        <v>57</v>
      </c>
      <c r="B43" s="17" t="s">
        <v>12</v>
      </c>
      <c r="C43" s="34">
        <f t="shared" si="3"/>
        <v>95.400745775211547</v>
      </c>
      <c r="D43" s="34">
        <f>Data!B42/Data!$I42*100</f>
        <v>31.772258360083161</v>
      </c>
      <c r="E43" s="35">
        <f>Data!C42/Data!$I42*100</f>
        <v>63.62848741512839</v>
      </c>
      <c r="F43" s="36">
        <f>Data!D42/Data!$I42*100</f>
        <v>21.866247049697137</v>
      </c>
      <c r="G43" s="35">
        <f>Data!E42/Data!$I42*100</f>
        <v>0.25241391406432867</v>
      </c>
      <c r="H43" s="35">
        <f>Data!F42/Data!$I42*100</f>
        <v>0.59148724807939856</v>
      </c>
      <c r="I43" s="35">
        <f>Data!G42/Data!$I42*100</f>
        <v>3.4588688569667583</v>
      </c>
      <c r="J43" s="35">
        <f>Data!H42/Data!$I42*100</f>
        <v>0.29648420567799505</v>
      </c>
      <c r="K43" s="35">
        <f>Data!I42/Data!$I42*100</f>
        <v>100</v>
      </c>
      <c r="L43" s="13"/>
      <c r="M43" s="18" t="s">
        <v>57</v>
      </c>
      <c r="N43" s="17" t="s">
        <v>12</v>
      </c>
      <c r="O43" s="35">
        <f>SUM(Data!B42:C42)/Data!C77*1000</f>
        <v>208.56823023809881</v>
      </c>
      <c r="P43" s="35">
        <f>Data!B77/Data!C77</f>
        <v>196.86209860714825</v>
      </c>
      <c r="Q43" s="37">
        <f t="shared" ref="Q43:Q65" si="4">O43/O$60</f>
        <v>0.43131462816097493</v>
      </c>
      <c r="R43" s="38">
        <f t="shared" ref="R43:R65" si="5">P43/P$60</f>
        <v>0.51831647415259796</v>
      </c>
      <c r="S43" s="39">
        <f>Data!T7-Data!I42</f>
        <v>0</v>
      </c>
      <c r="T43" s="35">
        <f>S43/Data!I42*100</f>
        <v>0</v>
      </c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</row>
    <row r="44" spans="1:37" x14ac:dyDescent="0.35">
      <c r="A44" s="18" t="s">
        <v>58</v>
      </c>
      <c r="B44" s="17" t="s">
        <v>13</v>
      </c>
      <c r="C44" s="34">
        <f t="shared" si="3"/>
        <v>95.781341311989621</v>
      </c>
      <c r="D44" s="34">
        <f>Data!B43/Data!$I43*100</f>
        <v>32.789870804285542</v>
      </c>
      <c r="E44" s="35">
        <f>Data!C43/Data!$I43*100</f>
        <v>62.991470507704072</v>
      </c>
      <c r="F44" s="36">
        <f>Data!D43/Data!$I43*100</f>
        <v>23.029440332932431</v>
      </c>
      <c r="G44" s="35">
        <f>Data!E43/Data!$I43*100</f>
        <v>0.35585510806895271</v>
      </c>
      <c r="H44" s="35">
        <f>Data!F43/Data!$I43*100</f>
        <v>0.77855905438338557</v>
      </c>
      <c r="I44" s="35">
        <f>Data!G43/Data!$I43*100</f>
        <v>2.688675962781498</v>
      </c>
      <c r="J44" s="35">
        <f>Data!H43/Data!$I43*100</f>
        <v>0.39556856277654556</v>
      </c>
      <c r="K44" s="35">
        <f>Data!I43/Data!$I43*100</f>
        <v>100</v>
      </c>
      <c r="L44" s="13"/>
      <c r="M44" s="18" t="s">
        <v>58</v>
      </c>
      <c r="N44" s="17" t="s">
        <v>13</v>
      </c>
      <c r="O44" s="35">
        <f>SUM(Data!B43:C43)/Data!C78*1000</f>
        <v>294.41694000660107</v>
      </c>
      <c r="P44" s="35">
        <f>Data!B78/Data!C78</f>
        <v>267.90357492265906</v>
      </c>
      <c r="Q44" s="37">
        <f t="shared" si="4"/>
        <v>0.60884791925535942</v>
      </c>
      <c r="R44" s="38">
        <f t="shared" si="5"/>
        <v>0.70536094732938548</v>
      </c>
      <c r="S44" s="39">
        <f>Data!T8-Data!I43</f>
        <v>0</v>
      </c>
      <c r="T44" s="35">
        <f>S44/Data!I43*100</f>
        <v>0</v>
      </c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</row>
    <row r="45" spans="1:37" x14ac:dyDescent="0.35">
      <c r="A45" s="18" t="s">
        <v>59</v>
      </c>
      <c r="B45" s="17" t="s">
        <v>14</v>
      </c>
      <c r="C45" s="34">
        <f t="shared" si="3"/>
        <v>93.280979855926034</v>
      </c>
      <c r="D45" s="34">
        <f>Data!B44/Data!$I44*100</f>
        <v>29.110348749293983</v>
      </c>
      <c r="E45" s="35">
        <f>Data!C44/Data!$I44*100</f>
        <v>64.170631106632058</v>
      </c>
      <c r="F45" s="36">
        <f>Data!D44/Data!$I44*100</f>
        <v>21.280687318499385</v>
      </c>
      <c r="G45" s="35">
        <f>Data!E44/Data!$I44*100</f>
        <v>0.51664885757652068</v>
      </c>
      <c r="H45" s="35">
        <f>Data!F44/Data!$I44*100</f>
        <v>2.0375237119386131</v>
      </c>
      <c r="I45" s="35">
        <f>Data!G44/Data!$I44*100</f>
        <v>3.8943385779952058</v>
      </c>
      <c r="J45" s="35">
        <f>Data!H44/Data!$I44*100</f>
        <v>0.27050899656363969</v>
      </c>
      <c r="K45" s="35">
        <f>Data!I44/Data!$I44*100</f>
        <v>100</v>
      </c>
      <c r="L45" s="13"/>
      <c r="M45" s="18" t="s">
        <v>59</v>
      </c>
      <c r="N45" s="17" t="s">
        <v>14</v>
      </c>
      <c r="O45" s="35">
        <f>SUM(Data!B44:C44)/Data!C79*1000</f>
        <v>431.68107975983304</v>
      </c>
      <c r="P45" s="35">
        <f>Data!B79/Data!C79</f>
        <v>376.59163369680857</v>
      </c>
      <c r="Q45" s="37">
        <f t="shared" si="4"/>
        <v>0.89270721714514245</v>
      </c>
      <c r="R45" s="38">
        <f t="shared" si="5"/>
        <v>0.99152477370780623</v>
      </c>
      <c r="S45" s="39">
        <f>Data!T9-Data!I44</f>
        <v>0</v>
      </c>
      <c r="T45" s="35">
        <f>S45/Data!I44*100</f>
        <v>0</v>
      </c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</row>
    <row r="46" spans="1:37" x14ac:dyDescent="0.35">
      <c r="A46" s="21" t="s">
        <v>60</v>
      </c>
      <c r="B46" s="22" t="s">
        <v>15</v>
      </c>
      <c r="C46" s="40">
        <f t="shared" si="3"/>
        <v>88.074784325975997</v>
      </c>
      <c r="D46" s="40">
        <f>Data!B45/Data!$I45*100</f>
        <v>19.1380274913761</v>
      </c>
      <c r="E46" s="41">
        <f>Data!C45/Data!$I45*100</f>
        <v>68.936756834599905</v>
      </c>
      <c r="F46" s="42">
        <f>Data!D45/Data!$I45*100</f>
        <v>12.087731107584784</v>
      </c>
      <c r="G46" s="41">
        <f>Data!E45/Data!$I45*100</f>
        <v>2.1270299804975852</v>
      </c>
      <c r="H46" s="41">
        <f>Data!F45/Data!$I45*100</f>
        <v>4.359543400926178</v>
      </c>
      <c r="I46" s="41">
        <f>Data!G45/Data!$I45*100</f>
        <v>4.7292948212228012</v>
      </c>
      <c r="J46" s="41">
        <f>Data!H45/Data!$I45*100</f>
        <v>0.70934747137738752</v>
      </c>
      <c r="K46" s="41">
        <f>Data!I45/Data!$I45*100</f>
        <v>100</v>
      </c>
      <c r="L46" s="13"/>
      <c r="M46" s="21" t="s">
        <v>60</v>
      </c>
      <c r="N46" s="22" t="s">
        <v>15</v>
      </c>
      <c r="O46" s="41">
        <f>SUM(Data!B45:C45)/Data!C80*1000</f>
        <v>904.54200737280905</v>
      </c>
      <c r="P46" s="41">
        <f>Data!B80/Data!C80</f>
        <v>693.99378002324613</v>
      </c>
      <c r="Q46" s="43">
        <f t="shared" si="4"/>
        <v>1.8705734767016227</v>
      </c>
      <c r="R46" s="44">
        <f t="shared" si="5"/>
        <v>1.827210070859324</v>
      </c>
      <c r="S46" s="45">
        <f>Data!T10-Data!I45</f>
        <v>0</v>
      </c>
      <c r="T46" s="41">
        <f>S46/Data!I45*100</f>
        <v>0</v>
      </c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</row>
    <row r="47" spans="1:37" x14ac:dyDescent="0.35">
      <c r="A47" s="18" t="s">
        <v>61</v>
      </c>
      <c r="B47" s="17" t="s">
        <v>16</v>
      </c>
      <c r="C47" s="34">
        <f t="shared" si="3"/>
        <v>93.690766814987342</v>
      </c>
      <c r="D47" s="34">
        <f>Data!B46/Data!$I46*100</f>
        <v>18.386237696596304</v>
      </c>
      <c r="E47" s="35">
        <f>Data!C46/Data!$I46*100</f>
        <v>75.304529118391045</v>
      </c>
      <c r="F47" s="36">
        <f>Data!D46/Data!$I46*100</f>
        <v>5.3437467420695617</v>
      </c>
      <c r="G47" s="35">
        <f>Data!E46/Data!$I46*100</f>
        <v>0.47324944278724929</v>
      </c>
      <c r="H47" s="35">
        <f>Data!F46/Data!$I46*100</f>
        <v>0.80896059818709365</v>
      </c>
      <c r="I47" s="35">
        <f>Data!G46/Data!$I46*100</f>
        <v>4.8018310862375184</v>
      </c>
      <c r="J47" s="35">
        <f>Data!H46/Data!$I46*100</f>
        <v>0.22519205780076973</v>
      </c>
      <c r="K47" s="35">
        <f>Data!I46/Data!$I46*100</f>
        <v>100</v>
      </c>
      <c r="L47" s="13"/>
      <c r="M47" s="18" t="s">
        <v>61</v>
      </c>
      <c r="N47" s="17" t="s">
        <v>16</v>
      </c>
      <c r="O47" s="35">
        <f>SUM(Data!B46:C46)/Data!C81*1000</f>
        <v>128.85541154101077</v>
      </c>
      <c r="P47" s="35">
        <f>Data!B81/Data!C81</f>
        <v>122.7969940068115</v>
      </c>
      <c r="Q47" s="37">
        <f t="shared" si="4"/>
        <v>0.26647022824086974</v>
      </c>
      <c r="R47" s="38">
        <f t="shared" si="5"/>
        <v>0.32331111687050318</v>
      </c>
      <c r="S47" s="39">
        <f>Data!T11-Data!I46</f>
        <v>0</v>
      </c>
      <c r="T47" s="35">
        <f>S47/Data!I46*100</f>
        <v>0</v>
      </c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</row>
    <row r="48" spans="1:37" x14ac:dyDescent="0.35">
      <c r="A48" s="18" t="s">
        <v>62</v>
      </c>
      <c r="B48" s="17" t="s">
        <v>17</v>
      </c>
      <c r="C48" s="34">
        <f t="shared" si="3"/>
        <v>94.817971018942643</v>
      </c>
      <c r="D48" s="34">
        <f>Data!B47/Data!$I47*100</f>
        <v>12.667245365390647</v>
      </c>
      <c r="E48" s="35">
        <f>Data!C47/Data!$I47*100</f>
        <v>82.150725653552001</v>
      </c>
      <c r="F48" s="36">
        <f>Data!D47/Data!$I47*100</f>
        <v>6.9002800575774872</v>
      </c>
      <c r="G48" s="35">
        <f>Data!E47/Data!$I47*100</f>
        <v>0.28531970174397076</v>
      </c>
      <c r="H48" s="35">
        <f>Data!F47/Data!$I47*100</f>
        <v>1.5894529667385779</v>
      </c>
      <c r="I48" s="35">
        <f>Data!G47/Data!$I47*100</f>
        <v>3.1220751393272286</v>
      </c>
      <c r="J48" s="35">
        <f>Data!H47/Data!$I47*100</f>
        <v>0.1851811732475224</v>
      </c>
      <c r="K48" s="35">
        <f>Data!I47/Data!$I47*100</f>
        <v>100</v>
      </c>
      <c r="L48" s="13"/>
      <c r="M48" s="18" t="s">
        <v>62</v>
      </c>
      <c r="N48" s="17" t="s">
        <v>17</v>
      </c>
      <c r="O48" s="35">
        <f>SUM(Data!B47:C47)/Data!C82*1000</f>
        <v>199.81794894643681</v>
      </c>
      <c r="P48" s="35">
        <f>Data!B82/Data!C82</f>
        <v>201.91318534453535</v>
      </c>
      <c r="Q48" s="37">
        <f t="shared" si="4"/>
        <v>0.41321923406711586</v>
      </c>
      <c r="R48" s="38">
        <f t="shared" si="5"/>
        <v>0.53161543564333136</v>
      </c>
      <c r="S48" s="39">
        <f>Data!T12-Data!I47</f>
        <v>0</v>
      </c>
      <c r="T48" s="35">
        <f>S48/Data!I47*100</f>
        <v>0</v>
      </c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</row>
    <row r="49" spans="1:37" x14ac:dyDescent="0.35">
      <c r="A49" s="18" t="s">
        <v>63</v>
      </c>
      <c r="B49" s="17" t="s">
        <v>18</v>
      </c>
      <c r="C49" s="34">
        <f t="shared" si="3"/>
        <v>95.457793328479966</v>
      </c>
      <c r="D49" s="34">
        <f>Data!B48/Data!$I48*100</f>
        <v>15.037174436675699</v>
      </c>
      <c r="E49" s="35">
        <f>Data!C48/Data!$I48*100</f>
        <v>80.420618891804267</v>
      </c>
      <c r="F49" s="36">
        <f>Data!D48/Data!$I48*100</f>
        <v>6.7617335155665304</v>
      </c>
      <c r="G49" s="35">
        <f>Data!E48/Data!$I48*100</f>
        <v>0.70824405254374423</v>
      </c>
      <c r="H49" s="35">
        <f>Data!F48/Data!$I48*100</f>
        <v>1.8294776552743091</v>
      </c>
      <c r="I49" s="35">
        <f>Data!G48/Data!$I48*100</f>
        <v>2.0027301596011347</v>
      </c>
      <c r="J49" s="35">
        <f>Data!H48/Data!$I48*100</f>
        <v>1.7548041008534586E-3</v>
      </c>
      <c r="K49" s="35">
        <f>Data!I48/Data!$I48*100</f>
        <v>100</v>
      </c>
      <c r="L49" s="13"/>
      <c r="M49" s="18" t="s">
        <v>63</v>
      </c>
      <c r="N49" s="17" t="s">
        <v>18</v>
      </c>
      <c r="O49" s="35">
        <f>SUM(Data!B48:C48)/Data!C83*1000</f>
        <v>288.16699406597144</v>
      </c>
      <c r="P49" s="35">
        <f>Data!B83/Data!C83</f>
        <v>266.36552041034247</v>
      </c>
      <c r="Q49" s="37">
        <f t="shared" si="4"/>
        <v>0.59592316505702592</v>
      </c>
      <c r="R49" s="38">
        <f t="shared" si="5"/>
        <v>0.70131141723944523</v>
      </c>
      <c r="S49" s="39">
        <f>Data!T13-Data!I48</f>
        <v>0</v>
      </c>
      <c r="T49" s="35">
        <f>S49/Data!I48*100</f>
        <v>0</v>
      </c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</row>
    <row r="50" spans="1:37" x14ac:dyDescent="0.35">
      <c r="A50" s="18" t="s">
        <v>64</v>
      </c>
      <c r="B50" s="17" t="s">
        <v>19</v>
      </c>
      <c r="C50" s="34">
        <f t="shared" si="3"/>
        <v>90.974007274303005</v>
      </c>
      <c r="D50" s="34">
        <f>Data!B49/Data!$I49*100</f>
        <v>10.431943146565214</v>
      </c>
      <c r="E50" s="35">
        <f>Data!C49/Data!$I49*100</f>
        <v>80.542064127737788</v>
      </c>
      <c r="F50" s="36">
        <f>Data!D49/Data!$I49*100</f>
        <v>5.3017858053647107</v>
      </c>
      <c r="G50" s="35">
        <f>Data!E49/Data!$I49*100</f>
        <v>1.6919222363843367</v>
      </c>
      <c r="H50" s="35">
        <f>Data!F49/Data!$I49*100</f>
        <v>4.5329157216793448</v>
      </c>
      <c r="I50" s="35">
        <f>Data!G49/Data!$I49*100</f>
        <v>2.5389329286260951</v>
      </c>
      <c r="J50" s="35">
        <f>Data!H49/Data!$I49*100</f>
        <v>0.26222183900722312</v>
      </c>
      <c r="K50" s="35">
        <f>Data!I49/Data!$I49*100</f>
        <v>100</v>
      </c>
      <c r="L50" s="13"/>
      <c r="M50" s="18" t="s">
        <v>64</v>
      </c>
      <c r="N50" s="17" t="s">
        <v>19</v>
      </c>
      <c r="O50" s="35">
        <f>SUM(Data!B49:C49)/Data!C84*1000</f>
        <v>478.32967241675834</v>
      </c>
      <c r="P50" s="35">
        <f>Data!B84/Data!C84</f>
        <v>399.75209403428209</v>
      </c>
      <c r="Q50" s="37">
        <f t="shared" si="4"/>
        <v>0.98917550655377173</v>
      </c>
      <c r="R50" s="38">
        <f t="shared" si="5"/>
        <v>1.0525037444025465</v>
      </c>
      <c r="S50" s="39">
        <f>Data!T14-Data!I49</f>
        <v>0</v>
      </c>
      <c r="T50" s="35">
        <f>S50/Data!I49*100</f>
        <v>0</v>
      </c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</row>
    <row r="51" spans="1:37" x14ac:dyDescent="0.35">
      <c r="A51" s="21" t="s">
        <v>65</v>
      </c>
      <c r="B51" s="22" t="s">
        <v>20</v>
      </c>
      <c r="C51" s="40">
        <f t="shared" si="3"/>
        <v>75.104947836076292</v>
      </c>
      <c r="D51" s="40">
        <f>Data!B50/Data!$I50*100</f>
        <v>7.7931634182539806</v>
      </c>
      <c r="E51" s="41">
        <f>Data!C50/Data!$I50*100</f>
        <v>67.311784417822309</v>
      </c>
      <c r="F51" s="42">
        <f>Data!D50/Data!$I50*100</f>
        <v>1.3253108112755601</v>
      </c>
      <c r="G51" s="41">
        <f>Data!E50/Data!$I50*100</f>
        <v>4.8064600232830008</v>
      </c>
      <c r="H51" s="41">
        <f>Data!F50/Data!$I50*100</f>
        <v>6.2488567736245084</v>
      </c>
      <c r="I51" s="41">
        <f>Data!G50/Data!$I50*100</f>
        <v>13.426721572648958</v>
      </c>
      <c r="J51" s="41">
        <f>Data!H50/Data!$I50*100</f>
        <v>0.41301379436726132</v>
      </c>
      <c r="K51" s="41">
        <f>Data!I50/Data!$I50*100</f>
        <v>100</v>
      </c>
      <c r="L51" s="13"/>
      <c r="M51" s="21" t="s">
        <v>65</v>
      </c>
      <c r="N51" s="22" t="s">
        <v>20</v>
      </c>
      <c r="O51" s="41">
        <f>SUM(Data!B50:C50)/Data!C85*1000</f>
        <v>1472.4953943037783</v>
      </c>
      <c r="P51" s="41">
        <f>Data!B85/Data!C85</f>
        <v>943.6836142156144</v>
      </c>
      <c r="Q51" s="43">
        <f t="shared" si="4"/>
        <v>3.045088903222942</v>
      </c>
      <c r="R51" s="44">
        <f t="shared" si="5"/>
        <v>2.4846162216928485</v>
      </c>
      <c r="S51" s="45">
        <f>Data!T15-Data!I50</f>
        <v>0</v>
      </c>
      <c r="T51" s="41">
        <f>S51/Data!I50*100</f>
        <v>0</v>
      </c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</row>
    <row r="52" spans="1:37" x14ac:dyDescent="0.35">
      <c r="A52" s="18" t="s">
        <v>110</v>
      </c>
      <c r="B52" s="17" t="s">
        <v>97</v>
      </c>
      <c r="C52" s="34">
        <f t="shared" si="3"/>
        <v>91.982307945111145</v>
      </c>
      <c r="D52" s="34">
        <f>Data!B51/Data!$I51*100</f>
        <v>10.35650691645616</v>
      </c>
      <c r="E52" s="35">
        <f>Data!C51/Data!$I51*100</f>
        <v>81.62580102865499</v>
      </c>
      <c r="F52" s="36">
        <f>Data!D51/Data!$I51*100</f>
        <v>4.4213288079993411</v>
      </c>
      <c r="G52" s="35">
        <f>Data!E51/Data!$I51*100</f>
        <v>1.2340643352368854</v>
      </c>
      <c r="H52" s="35">
        <f>Data!F51/Data!$I51*100</f>
        <v>1.5718119511501725</v>
      </c>
      <c r="I52" s="35">
        <f>Data!G51/Data!$I51*100</f>
        <v>5.0461403290256053</v>
      </c>
      <c r="J52" s="35">
        <f>Data!H51/Data!$I51*100</f>
        <v>0.16567543947618277</v>
      </c>
      <c r="K52" s="35">
        <f>Data!I51/Data!$I51*100</f>
        <v>100</v>
      </c>
      <c r="L52" s="13"/>
      <c r="M52" s="18" t="s">
        <v>110</v>
      </c>
      <c r="N52" s="17" t="s">
        <v>97</v>
      </c>
      <c r="O52" s="35">
        <f>SUM(Data!B51:C51)/Data!C86*1000</f>
        <v>131.83561204945391</v>
      </c>
      <c r="P52" s="35">
        <f>Data!B86/Data!C86</f>
        <v>133.98836798815546</v>
      </c>
      <c r="Q52" s="37">
        <f t="shared" si="4"/>
        <v>0.27263321899299386</v>
      </c>
      <c r="R52" s="38">
        <f t="shared" si="5"/>
        <v>0.35277678620947006</v>
      </c>
      <c r="S52" s="39">
        <f>Data!T16-Data!I51</f>
        <v>0</v>
      </c>
      <c r="T52" s="35">
        <f>S52/Data!I51*100</f>
        <v>0</v>
      </c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</row>
    <row r="53" spans="1:37" x14ac:dyDescent="0.35">
      <c r="A53" s="18" t="s">
        <v>111</v>
      </c>
      <c r="B53" s="17" t="s">
        <v>98</v>
      </c>
      <c r="C53" s="34">
        <f t="shared" si="3"/>
        <v>95.092721590418464</v>
      </c>
      <c r="D53" s="34">
        <f>Data!B52/Data!$I52*100</f>
        <v>8.802745206852105</v>
      </c>
      <c r="E53" s="35">
        <f>Data!C52/Data!$I52*100</f>
        <v>86.289976383566355</v>
      </c>
      <c r="F53" s="36">
        <f>Data!D52/Data!$I52*100</f>
        <v>4.8033944923867846</v>
      </c>
      <c r="G53" s="35">
        <f>Data!E52/Data!$I52*100</f>
        <v>0.95973819494927382</v>
      </c>
      <c r="H53" s="35">
        <f>Data!F52/Data!$I52*100</f>
        <v>1.3237296317135798</v>
      </c>
      <c r="I53" s="35">
        <f>Data!G52/Data!$I52*100</f>
        <v>2.4119267867689183</v>
      </c>
      <c r="J53" s="35">
        <f>Data!H52/Data!$I52*100</f>
        <v>0.2118837961497673</v>
      </c>
      <c r="K53" s="35">
        <f>Data!I52/Data!$I52*100</f>
        <v>100</v>
      </c>
      <c r="L53" s="13"/>
      <c r="M53" s="18" t="s">
        <v>111</v>
      </c>
      <c r="N53" s="17" t="s">
        <v>98</v>
      </c>
      <c r="O53" s="35">
        <f>SUM(Data!B52:C52)/Data!C87*1000</f>
        <v>214.95495119142353</v>
      </c>
      <c r="P53" s="35">
        <f>Data!B87/Data!C87</f>
        <v>199.12971611758266</v>
      </c>
      <c r="Q53" s="37">
        <f t="shared" si="4"/>
        <v>0.44452223015292952</v>
      </c>
      <c r="R53" s="38">
        <f t="shared" si="5"/>
        <v>0.52428686419238169</v>
      </c>
      <c r="S53" s="39">
        <f>Data!T17-Data!I52</f>
        <v>0</v>
      </c>
      <c r="T53" s="35">
        <f>S53/Data!I52*100</f>
        <v>0</v>
      </c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</row>
    <row r="54" spans="1:37" x14ac:dyDescent="0.35">
      <c r="A54" s="18" t="s">
        <v>112</v>
      </c>
      <c r="B54" s="17" t="s">
        <v>99</v>
      </c>
      <c r="C54" s="34">
        <f t="shared" si="3"/>
        <v>88.425735282183965</v>
      </c>
      <c r="D54" s="34">
        <f>Data!B53/Data!$I53*100</f>
        <v>6.9077631665496435</v>
      </c>
      <c r="E54" s="35">
        <f>Data!C53/Data!$I53*100</f>
        <v>81.517972115634322</v>
      </c>
      <c r="F54" s="36">
        <f>Data!D53/Data!$I53*100</f>
        <v>5.1977194044863912</v>
      </c>
      <c r="G54" s="35">
        <f>Data!E53/Data!$I53*100</f>
        <v>1.6937795947976799</v>
      </c>
      <c r="H54" s="35">
        <f>Data!F53/Data!$I53*100</f>
        <v>3.548657550815193</v>
      </c>
      <c r="I54" s="35">
        <f>Data!G53/Data!$I53*100</f>
        <v>6.1958971285985722</v>
      </c>
      <c r="J54" s="35">
        <f>Data!H53/Data!$I53*100</f>
        <v>0.1359304436045943</v>
      </c>
      <c r="K54" s="35">
        <f>Data!I53/Data!$I53*100</f>
        <v>100</v>
      </c>
      <c r="L54" s="13"/>
      <c r="M54" s="18" t="s">
        <v>112</v>
      </c>
      <c r="N54" s="17" t="s">
        <v>99</v>
      </c>
      <c r="O54" s="35">
        <f>SUM(Data!B53:C53)/Data!C88*1000</f>
        <v>296.71697219606125</v>
      </c>
      <c r="P54" s="35">
        <f>Data!B88/Data!C88</f>
        <v>271.30521154280592</v>
      </c>
      <c r="Q54" s="37">
        <f t="shared" si="4"/>
        <v>0.61360433650751145</v>
      </c>
      <c r="R54" s="38">
        <f t="shared" si="5"/>
        <v>0.71431708622954682</v>
      </c>
      <c r="S54" s="39">
        <f>Data!T18-Data!I53</f>
        <v>0</v>
      </c>
      <c r="T54" s="35">
        <f>S54/Data!I53*100</f>
        <v>0</v>
      </c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</row>
    <row r="55" spans="1:37" x14ac:dyDescent="0.35">
      <c r="A55" s="18" t="s">
        <v>113</v>
      </c>
      <c r="B55" s="17" t="s">
        <v>100</v>
      </c>
      <c r="C55" s="34">
        <f t="shared" si="3"/>
        <v>86.09079758269273</v>
      </c>
      <c r="D55" s="34">
        <f>Data!B54/Data!$I54*100</f>
        <v>5.2124043933429176</v>
      </c>
      <c r="E55" s="35">
        <f>Data!C54/Data!$I54*100</f>
        <v>80.878393189349808</v>
      </c>
      <c r="F55" s="36">
        <f>Data!D54/Data!$I54*100</f>
        <v>3.3681345949786361</v>
      </c>
      <c r="G55" s="35">
        <f>Data!E54/Data!$I54*100</f>
        <v>1.1559546026376237</v>
      </c>
      <c r="H55" s="35">
        <f>Data!F54/Data!$I54*100</f>
        <v>4.0594055718641018</v>
      </c>
      <c r="I55" s="35">
        <f>Data!G54/Data!$I54*100</f>
        <v>8.6323983826758592</v>
      </c>
      <c r="J55" s="35">
        <f>Data!H54/Data!$I54*100</f>
        <v>6.1443860129695445E-2</v>
      </c>
      <c r="K55" s="35">
        <f>Data!I54/Data!$I54*100</f>
        <v>100</v>
      </c>
      <c r="L55" s="13"/>
      <c r="M55" s="18" t="s">
        <v>113</v>
      </c>
      <c r="N55" s="17" t="s">
        <v>100</v>
      </c>
      <c r="O55" s="35">
        <f>SUM(Data!B54:C54)/Data!C89*1000</f>
        <v>448.43890527605714</v>
      </c>
      <c r="P55" s="35">
        <f>Data!B89/Data!C89</f>
        <v>387.37652492202875</v>
      </c>
      <c r="Q55" s="37">
        <f t="shared" si="4"/>
        <v>0.92736204100333708</v>
      </c>
      <c r="R55" s="38">
        <f t="shared" si="5"/>
        <v>1.0199202182018254</v>
      </c>
      <c r="S55" s="39">
        <f>Data!T19-Data!I54</f>
        <v>0</v>
      </c>
      <c r="T55" s="35">
        <f>S55/Data!I54*100</f>
        <v>0</v>
      </c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</row>
    <row r="56" spans="1:37" x14ac:dyDescent="0.35">
      <c r="A56" s="21" t="s">
        <v>114</v>
      </c>
      <c r="B56" s="22" t="s">
        <v>101</v>
      </c>
      <c r="C56" s="40">
        <f t="shared" si="3"/>
        <v>68.387766538807938</v>
      </c>
      <c r="D56" s="40">
        <f>Data!B55/Data!$I55*100</f>
        <v>0.44260597882864366</v>
      </c>
      <c r="E56" s="41">
        <f>Data!C55/Data!$I55*100</f>
        <v>67.9451605599793</v>
      </c>
      <c r="F56" s="42">
        <f>Data!D55/Data!$I55*100</f>
        <v>0.34956547957706774</v>
      </c>
      <c r="G56" s="41">
        <f>Data!E55/Data!$I55*100</f>
        <v>5.2623575225303449</v>
      </c>
      <c r="H56" s="41">
        <f>Data!F55/Data!$I55*100</f>
        <v>7.6584583614407977</v>
      </c>
      <c r="I56" s="41">
        <f>Data!G55/Data!$I55*100</f>
        <v>17.456363611327657</v>
      </c>
      <c r="J56" s="41">
        <f>Data!H55/Data!$I55*100</f>
        <v>1.2350539658932447</v>
      </c>
      <c r="K56" s="41">
        <f>Data!I55/Data!$I55*100</f>
        <v>100</v>
      </c>
      <c r="L56" s="13"/>
      <c r="M56" s="21" t="s">
        <v>114</v>
      </c>
      <c r="N56" s="22" t="s">
        <v>101</v>
      </c>
      <c r="O56" s="41">
        <f>SUM(Data!B55:C55)/Data!C90*1000</f>
        <v>1903.745537164132</v>
      </c>
      <c r="P56" s="41">
        <f>Data!B90/Data!C90</f>
        <v>1244.4201874469466</v>
      </c>
      <c r="Q56" s="43">
        <f t="shared" si="4"/>
        <v>3.9369049520998032</v>
      </c>
      <c r="R56" s="44">
        <f t="shared" si="5"/>
        <v>3.2764228791899894</v>
      </c>
      <c r="S56" s="45">
        <f>Data!T20-Data!I55</f>
        <v>-3.637978807091713E-12</v>
      </c>
      <c r="T56" s="41">
        <f>S56/Data!I55*100</f>
        <v>-1.556526735162394E-13</v>
      </c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</row>
    <row r="57" spans="1:37" x14ac:dyDescent="0.35">
      <c r="A57" s="25" t="s">
        <v>41</v>
      </c>
      <c r="B57" s="13" t="s">
        <v>41</v>
      </c>
      <c r="C57" s="36">
        <f t="shared" si="3"/>
        <v>92.416118586010214</v>
      </c>
      <c r="D57" s="36">
        <f>Data!B56/Data!$I56*100</f>
        <v>26.733597775655515</v>
      </c>
      <c r="E57" s="36">
        <f>Data!C56/Data!$I56*100</f>
        <v>65.682520810354703</v>
      </c>
      <c r="F57" s="36">
        <f>Data!D56/Data!$I56*100</f>
        <v>18.251314616032836</v>
      </c>
      <c r="G57" s="36">
        <f>Data!E56/Data!$I56*100</f>
        <v>0.97935969540060341</v>
      </c>
      <c r="H57" s="36">
        <f>Data!F56/Data!$I56*100</f>
        <v>2.2733874437292552</v>
      </c>
      <c r="I57" s="36">
        <f>Data!G56/Data!$I56*100</f>
        <v>3.8705996916447138</v>
      </c>
      <c r="J57" s="36">
        <f>Data!H56/Data!$I56*100</f>
        <v>0.46053458321521645</v>
      </c>
      <c r="K57" s="36">
        <f>Data!I56/Data!$I56*100</f>
        <v>100</v>
      </c>
      <c r="L57" s="13"/>
      <c r="M57" s="25" t="s">
        <v>41</v>
      </c>
      <c r="N57" s="13" t="s">
        <v>41</v>
      </c>
      <c r="O57" s="36">
        <f>SUM(Data!B56:C56)/Data!C91*1000</f>
        <v>342.03146806244655</v>
      </c>
      <c r="P57" s="36">
        <f>Data!B91/Data!C91</f>
        <v>295.09452849061199</v>
      </c>
      <c r="Q57" s="46">
        <f t="shared" si="4"/>
        <v>0.70731374235805688</v>
      </c>
      <c r="R57" s="47">
        <f t="shared" si="5"/>
        <v>0.77695176791853782</v>
      </c>
      <c r="S57" s="48">
        <f>Data!T21-Data!I56</f>
        <v>0</v>
      </c>
      <c r="T57" s="36">
        <f>S57/Data!I56*100</f>
        <v>0</v>
      </c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</row>
    <row r="58" spans="1:37" x14ac:dyDescent="0.35">
      <c r="A58" s="25" t="s">
        <v>42</v>
      </c>
      <c r="B58" s="13" t="s">
        <v>42</v>
      </c>
      <c r="C58" s="36">
        <f t="shared" si="3"/>
        <v>78.761772992751006</v>
      </c>
      <c r="D58" s="36">
        <f>Data!B57/Data!$I57*100</f>
        <v>8.8181596410855594</v>
      </c>
      <c r="E58" s="36">
        <f>Data!C57/Data!$I57*100</f>
        <v>69.943613351665448</v>
      </c>
      <c r="F58" s="36">
        <f>Data!D57/Data!$I57*100</f>
        <v>2.2637296742351545</v>
      </c>
      <c r="G58" s="36">
        <f>Data!E57/Data!$I57*100</f>
        <v>4.0481799478922813</v>
      </c>
      <c r="H58" s="36">
        <f>Data!F57/Data!$I57*100</f>
        <v>5.5850562635236978</v>
      </c>
      <c r="I58" s="36">
        <f>Data!G57/Data!$I57*100</f>
        <v>11.239430511824688</v>
      </c>
      <c r="J58" s="36">
        <f>Data!H57/Data!$I57*100</f>
        <v>0.36556028400833462</v>
      </c>
      <c r="K58" s="36">
        <f>Data!I57/Data!$I57*100</f>
        <v>100</v>
      </c>
      <c r="L58" s="13"/>
      <c r="M58" s="25" t="s">
        <v>42</v>
      </c>
      <c r="N58" s="13" t="s">
        <v>42</v>
      </c>
      <c r="O58" s="36">
        <f>SUM(Data!B57:C57)/Data!C92*1000</f>
        <v>732.59929240135887</v>
      </c>
      <c r="P58" s="36">
        <f>Data!B92/Data!C92</f>
        <v>515.01990779724179</v>
      </c>
      <c r="Q58" s="46">
        <f t="shared" si="4"/>
        <v>1.5149996288138698</v>
      </c>
      <c r="R58" s="47">
        <f t="shared" si="5"/>
        <v>1.3559913493585476</v>
      </c>
      <c r="S58" s="48">
        <f>Data!T22-Data!I57</f>
        <v>0</v>
      </c>
      <c r="T58" s="36">
        <f>S58/Data!I57*100</f>
        <v>0</v>
      </c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</row>
    <row r="59" spans="1:37" x14ac:dyDescent="0.35">
      <c r="A59" s="26" t="s">
        <v>109</v>
      </c>
      <c r="B59" s="27" t="s">
        <v>109</v>
      </c>
      <c r="C59" s="42">
        <f t="shared" si="3"/>
        <v>70.280762918820997</v>
      </c>
      <c r="D59" s="42">
        <f>Data!B58/Data!$I58*100</f>
        <v>1.0149726742219312</v>
      </c>
      <c r="E59" s="42">
        <f>Data!C58/Data!$I58*100</f>
        <v>69.26579024459906</v>
      </c>
      <c r="F59" s="42">
        <f>Data!D58/Data!$I58*100</f>
        <v>0.70120299817222442</v>
      </c>
      <c r="G59" s="42">
        <f>Data!E58/Data!$I58*100</f>
        <v>4.877872696457449</v>
      </c>
      <c r="H59" s="42">
        <f>Data!F58/Data!$I58*100</f>
        <v>7.2528333176539252</v>
      </c>
      <c r="I59" s="42">
        <f>Data!G58/Data!$I58*100</f>
        <v>16.462056374188631</v>
      </c>
      <c r="J59" s="42">
        <f>Data!H58/Data!$I58*100</f>
        <v>1.1264746928789904</v>
      </c>
      <c r="K59" s="42">
        <f>Data!I58/Data!$I58*100</f>
        <v>100</v>
      </c>
      <c r="L59" s="13"/>
      <c r="M59" s="26" t="s">
        <v>109</v>
      </c>
      <c r="N59" s="27" t="s">
        <v>109</v>
      </c>
      <c r="O59" s="42">
        <f>SUM(Data!B58:C58)/Data!C93*1000</f>
        <v>1175.8977041602327</v>
      </c>
      <c r="P59" s="42">
        <f>Data!B93/Data!C93</f>
        <v>802.83586756149157</v>
      </c>
      <c r="Q59" s="49">
        <f t="shared" si="4"/>
        <v>2.4317312394424722</v>
      </c>
      <c r="R59" s="50">
        <f t="shared" si="5"/>
        <v>2.1137794382051993</v>
      </c>
      <c r="S59" s="51">
        <f>Data!T23-Data!I58</f>
        <v>-3.637978807091713E-12</v>
      </c>
      <c r="T59" s="42">
        <f>S59/Data!I58*100</f>
        <v>-1.4071804150793443E-13</v>
      </c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</row>
    <row r="60" spans="1:37" x14ac:dyDescent="0.35">
      <c r="A60" s="28" t="s">
        <v>43</v>
      </c>
      <c r="B60" s="29" t="s">
        <v>43</v>
      </c>
      <c r="C60" s="52">
        <f t="shared" si="3"/>
        <v>82.357236448808877</v>
      </c>
      <c r="D60" s="52">
        <f>Data!B59/Data!$I59*100</f>
        <v>14.780717456316159</v>
      </c>
      <c r="E60" s="52">
        <f>Data!C59/Data!$I59*100</f>
        <v>67.576518992492723</v>
      </c>
      <c r="F60" s="52">
        <f>Data!D59/Data!$I59*100</f>
        <v>9.6074029862754049</v>
      </c>
      <c r="G60" s="52">
        <f>Data!E59/Data!$I59*100</f>
        <v>2.8369647041575976</v>
      </c>
      <c r="H60" s="52">
        <f>Data!F59/Data!$I59*100</f>
        <v>4.5672770333166479</v>
      </c>
      <c r="I60" s="52">
        <f>Data!G59/Data!$I59*100</f>
        <v>9.5408872874330815</v>
      </c>
      <c r="J60" s="52">
        <f>Data!H59/Data!$I59*100</f>
        <v>0.69763452628378753</v>
      </c>
      <c r="K60" s="52">
        <f>Data!I59/Data!$I59*100</f>
        <v>100</v>
      </c>
      <c r="L60" s="13"/>
      <c r="M60" s="28" t="s">
        <v>43</v>
      </c>
      <c r="N60" s="29" t="s">
        <v>43</v>
      </c>
      <c r="O60" s="52">
        <f>SUM(Data!B59:C59)/Data!C94*1000</f>
        <v>483.56400785056871</v>
      </c>
      <c r="P60" s="52">
        <f>Data!B94/Data!C94</f>
        <v>379.81061460375258</v>
      </c>
      <c r="Q60" s="53">
        <f t="shared" si="4"/>
        <v>1</v>
      </c>
      <c r="R60" s="54">
        <f t="shared" si="5"/>
        <v>1</v>
      </c>
      <c r="S60" s="55">
        <f>Data!T24-Data!I59</f>
        <v>0</v>
      </c>
      <c r="T60" s="52">
        <f>S60/Data!I59*100</f>
        <v>0</v>
      </c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</row>
    <row r="61" spans="1:37" x14ac:dyDescent="0.35">
      <c r="A61" s="25" t="s">
        <v>44</v>
      </c>
      <c r="B61" s="13" t="s">
        <v>44</v>
      </c>
      <c r="C61" s="36">
        <f t="shared" si="3"/>
        <v>95.399658637403306</v>
      </c>
      <c r="D61" s="36">
        <f>Data!B60/Data!$I60*100</f>
        <v>27.808880148056858</v>
      </c>
      <c r="E61" s="36">
        <f>Data!C60/Data!$I60*100</f>
        <v>67.590778489346448</v>
      </c>
      <c r="F61" s="36">
        <f>Data!D60/Data!$I60*100</f>
        <v>16.578212522260259</v>
      </c>
      <c r="G61" s="36">
        <f>Data!E60/Data!$I60*100</f>
        <v>0.22364301545318224</v>
      </c>
      <c r="H61" s="36">
        <f>Data!F60/Data!$I60*100</f>
        <v>0.34234722681298263</v>
      </c>
      <c r="I61" s="36">
        <f>Data!G60/Data!$I60*100</f>
        <v>3.6471302780677881</v>
      </c>
      <c r="J61" s="36">
        <f>Data!H60/Data!$I60*100</f>
        <v>0.38722084226278763</v>
      </c>
      <c r="K61" s="36">
        <f>Data!I60/Data!$I60*100</f>
        <v>100</v>
      </c>
      <c r="L61" s="13"/>
      <c r="M61" s="25" t="s">
        <v>44</v>
      </c>
      <c r="N61" s="13" t="s">
        <v>44</v>
      </c>
      <c r="O61" s="36">
        <f>SUM(Data!B60:C60)/Data!C95*1000</f>
        <v>127.56394006181601</v>
      </c>
      <c r="P61" s="36">
        <f>Data!B95/Data!C95</f>
        <v>124.00731167334216</v>
      </c>
      <c r="Q61" s="46">
        <f t="shared" si="4"/>
        <v>0.26379949291270643</v>
      </c>
      <c r="R61" s="47">
        <f t="shared" si="5"/>
        <v>0.32649775152470673</v>
      </c>
      <c r="S61" s="48">
        <f>Data!T25-Data!I60</f>
        <v>0</v>
      </c>
      <c r="T61" s="36">
        <f>S61/Data!I60*100</f>
        <v>0</v>
      </c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</row>
    <row r="62" spans="1:37" x14ac:dyDescent="0.35">
      <c r="A62" s="25" t="s">
        <v>45</v>
      </c>
      <c r="B62" s="13" t="s">
        <v>45</v>
      </c>
      <c r="C62" s="36">
        <f t="shared" si="3"/>
        <v>95.352644089693399</v>
      </c>
      <c r="D62" s="36">
        <f>Data!B61/Data!$I61*100</f>
        <v>29.46773666954418</v>
      </c>
      <c r="E62" s="36">
        <f>Data!C61/Data!$I61*100</f>
        <v>65.884907420149219</v>
      </c>
      <c r="F62" s="36">
        <f>Data!D61/Data!$I61*100</f>
        <v>20.113586369707058</v>
      </c>
      <c r="G62" s="36">
        <f>Data!E61/Data!$I61*100</f>
        <v>0.29413070568552674</v>
      </c>
      <c r="H62" s="36">
        <f>Data!F61/Data!$I61*100</f>
        <v>0.6854337383441973</v>
      </c>
      <c r="I62" s="36">
        <f>Data!G61/Data!$I61*100</f>
        <v>3.3819509296768664</v>
      </c>
      <c r="J62" s="36">
        <f>Data!H61/Data!$I61*100</f>
        <v>0.28584053660004893</v>
      </c>
      <c r="K62" s="36">
        <f>Data!I61/Data!$I61*100</f>
        <v>100</v>
      </c>
      <c r="L62" s="13"/>
      <c r="M62" s="25" t="s">
        <v>45</v>
      </c>
      <c r="N62" s="13" t="s">
        <v>45</v>
      </c>
      <c r="O62" s="36">
        <f>SUM(Data!B61:C61)/Data!C96*1000</f>
        <v>208.43937799791627</v>
      </c>
      <c r="P62" s="36">
        <f>Data!B96/Data!C96</f>
        <v>197.26197586781859</v>
      </c>
      <c r="Q62" s="46">
        <f t="shared" si="4"/>
        <v>0.43104816449103539</v>
      </c>
      <c r="R62" s="47">
        <f t="shared" si="5"/>
        <v>0.51936930744712684</v>
      </c>
      <c r="S62" s="48">
        <f>Data!T26-Data!I61</f>
        <v>0</v>
      </c>
      <c r="T62" s="36">
        <f>S62/Data!I61*100</f>
        <v>0</v>
      </c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</row>
    <row r="63" spans="1:37" x14ac:dyDescent="0.35">
      <c r="A63" s="25" t="s">
        <v>46</v>
      </c>
      <c r="B63" s="13" t="s">
        <v>46</v>
      </c>
      <c r="C63" s="36">
        <f t="shared" si="3"/>
        <v>95.218202965711399</v>
      </c>
      <c r="D63" s="36">
        <f>Data!B62/Data!$I62*100</f>
        <v>29.752216596903754</v>
      </c>
      <c r="E63" s="36">
        <f>Data!C62/Data!$I62*100</f>
        <v>65.465986368807648</v>
      </c>
      <c r="F63" s="36">
        <f>Data!D62/Data!$I62*100</f>
        <v>20.680004777688019</v>
      </c>
      <c r="G63" s="36">
        <f>Data!E62/Data!$I62*100</f>
        <v>0.47694518743410719</v>
      </c>
      <c r="H63" s="36">
        <f>Data!F62/Data!$I62*100</f>
        <v>1.0496950276066401</v>
      </c>
      <c r="I63" s="36">
        <f>Data!G62/Data!$I62*100</f>
        <v>2.9037741246224353</v>
      </c>
      <c r="J63" s="36">
        <f>Data!H62/Data!$I62*100</f>
        <v>0.35138269462542415</v>
      </c>
      <c r="K63" s="36">
        <f>Data!I62/Data!$I62*100</f>
        <v>100</v>
      </c>
      <c r="L63" s="13"/>
      <c r="M63" s="25" t="s">
        <v>46</v>
      </c>
      <c r="N63" s="13" t="s">
        <v>46</v>
      </c>
      <c r="O63" s="36">
        <f>SUM(Data!B62:C62)/Data!C97*1000</f>
        <v>294.16654738134082</v>
      </c>
      <c r="P63" s="36">
        <f>Data!B97/Data!C97</f>
        <v>268.03452866711615</v>
      </c>
      <c r="Q63" s="46">
        <f t="shared" si="4"/>
        <v>0.60833011267506154</v>
      </c>
      <c r="R63" s="47">
        <f t="shared" si="5"/>
        <v>0.70570573428220329</v>
      </c>
      <c r="S63" s="48">
        <f>Data!T27-Data!I62</f>
        <v>0</v>
      </c>
      <c r="T63" s="36">
        <f>S63/Data!I62*100</f>
        <v>0</v>
      </c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</row>
    <row r="64" spans="1:37" x14ac:dyDescent="0.35">
      <c r="A64" s="25" t="s">
        <v>47</v>
      </c>
      <c r="B64" s="13" t="s">
        <v>47</v>
      </c>
      <c r="C64" s="36">
        <f t="shared" si="3"/>
        <v>92.155217039976208</v>
      </c>
      <c r="D64" s="36">
        <f>Data!B63/Data!$I63*100</f>
        <v>24.482995810843899</v>
      </c>
      <c r="E64" s="36">
        <f>Data!C63/Data!$I63*100</f>
        <v>67.672221229132305</v>
      </c>
      <c r="F64" s="36">
        <f>Data!D63/Data!$I63*100</f>
        <v>17.653130968660903</v>
      </c>
      <c r="G64" s="36">
        <f>Data!E63/Data!$I63*100</f>
        <v>0.69478019287063664</v>
      </c>
      <c r="H64" s="36">
        <f>Data!F63/Data!$I63*100</f>
        <v>2.5026282753556148</v>
      </c>
      <c r="I64" s="36">
        <f>Data!G63/Data!$I63*100</f>
        <v>4.4048697287109562</v>
      </c>
      <c r="J64" s="36">
        <f>Data!H63/Data!$I63*100</f>
        <v>0.24250476308660335</v>
      </c>
      <c r="K64" s="36">
        <f>Data!I63/Data!$I63*100</f>
        <v>100</v>
      </c>
      <c r="L64" s="13"/>
      <c r="M64" s="25" t="s">
        <v>47</v>
      </c>
      <c r="N64" s="13" t="s">
        <v>47</v>
      </c>
      <c r="O64" s="36">
        <f>SUM(Data!B63:C63)/Data!C98*1000</f>
        <v>437.06078536438878</v>
      </c>
      <c r="P64" s="36">
        <f>Data!B98/Data!C98</f>
        <v>379.55604795273558</v>
      </c>
      <c r="Q64" s="46">
        <f t="shared" si="4"/>
        <v>0.90383233298754861</v>
      </c>
      <c r="R64" s="47">
        <f t="shared" si="5"/>
        <v>0.99932975372138411</v>
      </c>
      <c r="S64" s="48">
        <f>Data!T28-Data!I63</f>
        <v>0</v>
      </c>
      <c r="T64" s="36">
        <f>S64/Data!I63*100</f>
        <v>0</v>
      </c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</row>
    <row r="65" spans="1:37" x14ac:dyDescent="0.35">
      <c r="A65" s="25" t="s">
        <v>48</v>
      </c>
      <c r="B65" s="13" t="s">
        <v>48</v>
      </c>
      <c r="C65" s="36">
        <f t="shared" si="3"/>
        <v>75.032055376071298</v>
      </c>
      <c r="D65" s="36">
        <f>Data!B64/Data!$I64*100</f>
        <v>6.9154205677947873</v>
      </c>
      <c r="E65" s="36">
        <f>Data!C64/Data!$I64*100</f>
        <v>68.116634808276515</v>
      </c>
      <c r="F65" s="36">
        <f>Data!D64/Data!$I64*100</f>
        <v>3.8024178354316347</v>
      </c>
      <c r="G65" s="36">
        <f>Data!E64/Data!$I64*100</f>
        <v>4.3072888389431583</v>
      </c>
      <c r="H65" s="36">
        <f>Data!F64/Data!$I64*100</f>
        <v>6.4973910388073177</v>
      </c>
      <c r="I65" s="36">
        <f>Data!G64/Data!$I64*100</f>
        <v>13.213562562479883</v>
      </c>
      <c r="J65" s="36">
        <f>Data!H64/Data!$I64*100</f>
        <v>0.94970218369831649</v>
      </c>
      <c r="K65" s="36">
        <f>Data!I64/Data!$I64*100</f>
        <v>100</v>
      </c>
      <c r="L65" s="13"/>
      <c r="M65" s="25" t="s">
        <v>48</v>
      </c>
      <c r="N65" s="13" t="s">
        <v>48</v>
      </c>
      <c r="O65" s="36">
        <f>SUM(Data!B64:C64)/Data!C99*1000</f>
        <v>1347.7330689832947</v>
      </c>
      <c r="P65" s="36">
        <f>Data!B99/Data!C99</f>
        <v>928.41222945231789</v>
      </c>
      <c r="Q65" s="46">
        <f t="shared" si="4"/>
        <v>2.7870830895250833</v>
      </c>
      <c r="R65" s="47">
        <f t="shared" si="5"/>
        <v>2.4444083281371913</v>
      </c>
      <c r="S65" s="48">
        <f>Data!T29-Data!I64</f>
        <v>0</v>
      </c>
      <c r="T65" s="36">
        <f>S65/Data!I64*100</f>
        <v>0</v>
      </c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</row>
    <row r="66" spans="1:37" x14ac:dyDescent="0.3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</row>
    <row r="67" spans="1:37" x14ac:dyDescent="0.3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</row>
    <row r="68" spans="1:37" x14ac:dyDescent="0.3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</row>
    <row r="69" spans="1:37" x14ac:dyDescent="0.3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</row>
    <row r="70" spans="1:37" x14ac:dyDescent="0.3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</row>
    <row r="71" spans="1:37" x14ac:dyDescent="0.3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</row>
    <row r="72" spans="1:37" x14ac:dyDescent="0.3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</row>
    <row r="73" spans="1:37" x14ac:dyDescent="0.3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</row>
  </sheetData>
  <conditionalFormatting sqref="C7:O16 C42:K51 O42:R51 C57:K65 O57:R65 C22:O30">
    <cfRule type="cellIs" dxfId="7" priority="19" operator="lessThan">
      <formula>0</formula>
    </cfRule>
  </conditionalFormatting>
  <conditionalFormatting sqref="D52:E56 G52:J56">
    <cfRule type="cellIs" dxfId="6" priority="10" operator="lessThan">
      <formula>0</formula>
    </cfRule>
  </conditionalFormatting>
  <conditionalFormatting sqref="C52:C56">
    <cfRule type="cellIs" dxfId="5" priority="9" operator="lessThan">
      <formula>0</formula>
    </cfRule>
  </conditionalFormatting>
  <conditionalFormatting sqref="C17:O21">
    <cfRule type="cellIs" dxfId="4" priority="11" operator="lessThan">
      <formula>0</formula>
    </cfRule>
  </conditionalFormatting>
  <conditionalFormatting sqref="K52:K56">
    <cfRule type="cellIs" dxfId="3" priority="8" operator="lessThan">
      <formula>0</formula>
    </cfRule>
  </conditionalFormatting>
  <conditionalFormatting sqref="F52:F56">
    <cfRule type="cellIs" dxfId="2" priority="7" operator="lessThan">
      <formula>0</formula>
    </cfRule>
  </conditionalFormatting>
  <conditionalFormatting sqref="O52:P56">
    <cfRule type="cellIs" dxfId="1" priority="2" operator="lessThan">
      <formula>0</formula>
    </cfRule>
  </conditionalFormatting>
  <conditionalFormatting sqref="Q52:R56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Data</vt:lpstr>
      <vt:lpstr>Workings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2021-04-23T05:43:08Z</dcterms:modified>
</cp:coreProperties>
</file>