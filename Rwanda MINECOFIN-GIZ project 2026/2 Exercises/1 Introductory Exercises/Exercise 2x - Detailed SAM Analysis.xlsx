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j_thurlow_cgiar_org/Documents/Desktop/Modeling Training (Dehli Apr 2024)/2 Exercises/"/>
    </mc:Choice>
  </mc:AlternateContent>
  <xr:revisionPtr revIDLastSave="0" documentId="13_ncr:1_{2C45806C-EA57-40EB-9FA8-B4545A938B7D}" xr6:coauthVersionLast="47" xr6:coauthVersionMax="47" xr10:uidLastSave="{00000000-0000-0000-0000-000000000000}"/>
  <bookViews>
    <workbookView xWindow="-120" yWindow="-120" windowWidth="29040" windowHeight="17520" tabRatio="839" xr2:uid="{502844D1-78D3-4924-9A7E-B7FDDBA3C4C3}"/>
  </bookViews>
  <sheets>
    <sheet name="Notes" sheetId="2" r:id="rId1"/>
    <sheet name="Structure" sheetId="5" r:id="rId2"/>
    <sheet name="SAM" sheetId="1" r:id="rId3"/>
    <sheet name="Ex2x_Question" sheetId="3" r:id="rId4"/>
    <sheet name="Workings" sheetId="7" r:id="rId5"/>
    <sheet name="Ex2x_Answers" sheetId="6" state="hidden" r:id="rId6"/>
    <sheet name="Answer_Workings" sheetId="4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6" l="1"/>
  <c r="C90" i="1" l="1"/>
  <c r="C89" i="1"/>
  <c r="C91" i="1" s="1"/>
  <c r="AF101" i="4" l="1"/>
  <c r="AF105" i="4" s="1"/>
  <c r="AE101" i="4"/>
  <c r="AE105" i="4" s="1"/>
  <c r="AD101" i="4"/>
  <c r="AD105" i="4" s="1"/>
  <c r="AC101" i="4"/>
  <c r="AC105" i="4" s="1"/>
  <c r="AB101" i="4"/>
  <c r="AB105" i="4" s="1"/>
  <c r="AA101" i="4"/>
  <c r="AA105" i="4" s="1"/>
  <c r="Z101" i="4"/>
  <c r="Z105" i="4" s="1"/>
  <c r="Y101" i="4"/>
  <c r="Y105" i="4" s="1"/>
  <c r="X101" i="4"/>
  <c r="X105" i="4" s="1"/>
  <c r="W101" i="4"/>
  <c r="W105" i="4" s="1"/>
  <c r="V101" i="4"/>
  <c r="U101" i="4"/>
  <c r="T101" i="4"/>
  <c r="S101" i="4"/>
  <c r="S105" i="4" s="1"/>
  <c r="R101" i="4"/>
  <c r="R105" i="4" s="1"/>
  <c r="Q101" i="4"/>
  <c r="Q105" i="4" s="1"/>
  <c r="P101" i="4"/>
  <c r="O101" i="4"/>
  <c r="N101" i="4"/>
  <c r="M101" i="4"/>
  <c r="L101" i="4"/>
  <c r="L105" i="4" s="1"/>
  <c r="K101" i="4"/>
  <c r="K105" i="4" s="1"/>
  <c r="J101" i="4"/>
  <c r="J105" i="4" s="1"/>
  <c r="I101" i="4"/>
  <c r="I105" i="4" s="1"/>
  <c r="H101" i="4"/>
  <c r="H105" i="4" s="1"/>
  <c r="G101" i="4"/>
  <c r="G105" i="4" s="1"/>
  <c r="F101" i="4"/>
  <c r="F105" i="4" s="1"/>
  <c r="E101" i="4"/>
  <c r="E105" i="4" s="1"/>
  <c r="D101" i="4"/>
  <c r="D105" i="4" s="1"/>
  <c r="C101" i="4"/>
  <c r="C105" i="4" s="1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N105" i="4" l="1"/>
  <c r="T105" i="4"/>
  <c r="U105" i="4"/>
  <c r="M105" i="4"/>
  <c r="O105" i="4"/>
  <c r="P105" i="4"/>
  <c r="V105" i="4"/>
  <c r="C47" i="6"/>
  <c r="C45" i="6"/>
  <c r="C135" i="4"/>
  <c r="C134" i="4"/>
  <c r="C136" i="4" s="1"/>
  <c r="G125" i="4"/>
  <c r="D131" i="4" s="1"/>
  <c r="G124" i="4"/>
  <c r="G123" i="4"/>
  <c r="D129" i="4" s="1"/>
  <c r="G122" i="4"/>
  <c r="G121" i="4"/>
  <c r="F125" i="4"/>
  <c r="F131" i="4" s="1"/>
  <c r="E125" i="4"/>
  <c r="D125" i="4"/>
  <c r="C125" i="4"/>
  <c r="F124" i="4"/>
  <c r="E124" i="4"/>
  <c r="D124" i="4"/>
  <c r="C124" i="4"/>
  <c r="F123" i="4"/>
  <c r="E123" i="4"/>
  <c r="D123" i="4"/>
  <c r="C123" i="4"/>
  <c r="F122" i="4"/>
  <c r="E122" i="4"/>
  <c r="D122" i="4"/>
  <c r="C122" i="4"/>
  <c r="F121" i="4"/>
  <c r="E121" i="4"/>
  <c r="C121" i="4"/>
  <c r="D121" i="4"/>
  <c r="D127" i="4" s="1"/>
  <c r="E117" i="4"/>
  <c r="G116" i="4"/>
  <c r="F116" i="4"/>
  <c r="E116" i="4"/>
  <c r="D116" i="4"/>
  <c r="D117" i="4" s="1"/>
  <c r="C116" i="4"/>
  <c r="C117" i="4" s="1"/>
  <c r="G108" i="4"/>
  <c r="G112" i="4" s="1"/>
  <c r="F108" i="4"/>
  <c r="F112" i="4" s="1"/>
  <c r="E108" i="4"/>
  <c r="E112" i="4" s="1"/>
  <c r="D108" i="4"/>
  <c r="D112" i="4" s="1"/>
  <c r="C108" i="4"/>
  <c r="C112" i="4" s="1"/>
  <c r="C36" i="6"/>
  <c r="C34" i="6"/>
  <c r="C33" i="6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O97" i="4" s="1"/>
  <c r="N96" i="4"/>
  <c r="M96" i="4"/>
  <c r="L96" i="4"/>
  <c r="K96" i="4"/>
  <c r="J96" i="4"/>
  <c r="I96" i="4"/>
  <c r="H96" i="4"/>
  <c r="G96" i="4"/>
  <c r="F96" i="4"/>
  <c r="E96" i="4"/>
  <c r="D96" i="4"/>
  <c r="C96" i="4"/>
  <c r="AF95" i="4"/>
  <c r="AE95" i="4"/>
  <c r="AD95" i="4"/>
  <c r="AC95" i="4"/>
  <c r="AB95" i="4"/>
  <c r="AB97" i="4" s="1"/>
  <c r="AA95" i="4"/>
  <c r="AA97" i="4" s="1"/>
  <c r="Z95" i="4"/>
  <c r="Z97" i="4" s="1"/>
  <c r="Y95" i="4"/>
  <c r="Y97" i="4" s="1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K97" i="4" s="1"/>
  <c r="J95" i="4"/>
  <c r="J97" i="4" s="1"/>
  <c r="I95" i="4"/>
  <c r="I97" i="4" s="1"/>
  <c r="H95" i="4"/>
  <c r="G95" i="4"/>
  <c r="F95" i="4"/>
  <c r="E95" i="4"/>
  <c r="E97" i="4" s="1"/>
  <c r="D95" i="4"/>
  <c r="D97" i="4" s="1"/>
  <c r="C95" i="4"/>
  <c r="C97" i="4" s="1"/>
  <c r="D89" i="4"/>
  <c r="C89" i="4"/>
  <c r="H86" i="4"/>
  <c r="G86" i="4"/>
  <c r="F86" i="4"/>
  <c r="E86" i="4"/>
  <c r="D86" i="4"/>
  <c r="I86" i="4" s="1"/>
  <c r="C86" i="4"/>
  <c r="C91" i="4" s="1"/>
  <c r="D81" i="4"/>
  <c r="C81" i="4"/>
  <c r="D78" i="4"/>
  <c r="C82" i="4" s="1"/>
  <c r="C78" i="4"/>
  <c r="E78" i="4" s="1"/>
  <c r="F75" i="4"/>
  <c r="D75" i="4"/>
  <c r="C75" i="4"/>
  <c r="C24" i="6"/>
  <c r="C21" i="6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F67" i="4"/>
  <c r="AF68" i="4" s="1"/>
  <c r="AE67" i="4"/>
  <c r="AE68" i="4" s="1"/>
  <c r="AD67" i="4"/>
  <c r="AD68" i="4" s="1"/>
  <c r="AC67" i="4"/>
  <c r="AC68" i="4" s="1"/>
  <c r="AB67" i="4"/>
  <c r="AB68" i="4" s="1"/>
  <c r="AA67" i="4"/>
  <c r="AA68" i="4" s="1"/>
  <c r="Z67" i="4"/>
  <c r="Z68" i="4" s="1"/>
  <c r="Y67" i="4"/>
  <c r="Y68" i="4" s="1"/>
  <c r="X67" i="4"/>
  <c r="X68" i="4" s="1"/>
  <c r="W67" i="4"/>
  <c r="W68" i="4" s="1"/>
  <c r="V67" i="4"/>
  <c r="V68" i="4" s="1"/>
  <c r="U67" i="4"/>
  <c r="U68" i="4" s="1"/>
  <c r="T67" i="4"/>
  <c r="T68" i="4" s="1"/>
  <c r="S67" i="4"/>
  <c r="S68" i="4" s="1"/>
  <c r="R67" i="4"/>
  <c r="R68" i="4" s="1"/>
  <c r="Q67" i="4"/>
  <c r="Q68" i="4" s="1"/>
  <c r="P67" i="4"/>
  <c r="P68" i="4" s="1"/>
  <c r="O67" i="4"/>
  <c r="O68" i="4" s="1"/>
  <c r="N67" i="4"/>
  <c r="N68" i="4" s="1"/>
  <c r="M67" i="4"/>
  <c r="M68" i="4" s="1"/>
  <c r="L67" i="4"/>
  <c r="L68" i="4" s="1"/>
  <c r="K67" i="4"/>
  <c r="K68" i="4" s="1"/>
  <c r="J67" i="4"/>
  <c r="J68" i="4" s="1"/>
  <c r="I67" i="4"/>
  <c r="I68" i="4" s="1"/>
  <c r="H67" i="4"/>
  <c r="H68" i="4" s="1"/>
  <c r="G67" i="4"/>
  <c r="G68" i="4" s="1"/>
  <c r="F67" i="4"/>
  <c r="F68" i="4" s="1"/>
  <c r="E67" i="4"/>
  <c r="E68" i="4" s="1"/>
  <c r="D67" i="4"/>
  <c r="D68" i="4" s="1"/>
  <c r="C67" i="4"/>
  <c r="C68" i="4" s="1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E48" i="4" s="1"/>
  <c r="E50" i="4" s="1"/>
  <c r="D46" i="4"/>
  <c r="AF45" i="4"/>
  <c r="AE45" i="4"/>
  <c r="AD45" i="4"/>
  <c r="AC45" i="4"/>
  <c r="AC48" i="4" s="1"/>
  <c r="AC50" i="4" s="1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I48" i="4" s="1"/>
  <c r="I70" i="4" s="1"/>
  <c r="H45" i="4"/>
  <c r="G45" i="4"/>
  <c r="F45" i="4"/>
  <c r="E45" i="4"/>
  <c r="D45" i="4"/>
  <c r="C47" i="4"/>
  <c r="C46" i="4"/>
  <c r="C45" i="4"/>
  <c r="C42" i="4"/>
  <c r="C41" i="4"/>
  <c r="C40" i="4"/>
  <c r="C39" i="4"/>
  <c r="L36" i="4"/>
  <c r="E127" i="4" l="1"/>
  <c r="C128" i="4"/>
  <c r="D128" i="4"/>
  <c r="Q48" i="4"/>
  <c r="Q70" i="4" s="1"/>
  <c r="D82" i="4"/>
  <c r="E130" i="4"/>
  <c r="R97" i="4"/>
  <c r="F117" i="4"/>
  <c r="F130" i="4"/>
  <c r="C127" i="4"/>
  <c r="M48" i="4"/>
  <c r="M50" i="4" s="1"/>
  <c r="E128" i="4"/>
  <c r="R48" i="4"/>
  <c r="R70" i="4" s="1"/>
  <c r="W97" i="4"/>
  <c r="F129" i="4"/>
  <c r="Q97" i="4"/>
  <c r="Y48" i="4"/>
  <c r="Y70" i="4" s="1"/>
  <c r="G117" i="4"/>
  <c r="C131" i="4"/>
  <c r="F128" i="4"/>
  <c r="D40" i="4"/>
  <c r="U48" i="4"/>
  <c r="U50" i="4" s="1"/>
  <c r="G97" i="4"/>
  <c r="Z48" i="4"/>
  <c r="Z70" i="4" s="1"/>
  <c r="T97" i="4"/>
  <c r="J48" i="4"/>
  <c r="J70" i="4" s="1"/>
  <c r="F127" i="4"/>
  <c r="E75" i="4"/>
  <c r="G75" i="4" s="1"/>
  <c r="C129" i="4"/>
  <c r="L97" i="4"/>
  <c r="E129" i="4"/>
  <c r="C130" i="4"/>
  <c r="D91" i="4"/>
  <c r="D130" i="4"/>
  <c r="S97" i="4"/>
  <c r="AE97" i="4"/>
  <c r="E131" i="4"/>
  <c r="AC61" i="4"/>
  <c r="G62" i="4"/>
  <c r="AE62" i="4"/>
  <c r="U97" i="4"/>
  <c r="T48" i="4"/>
  <c r="T70" i="4" s="1"/>
  <c r="U60" i="4"/>
  <c r="N97" i="4"/>
  <c r="AD97" i="4"/>
  <c r="D41" i="4"/>
  <c r="H50" i="4"/>
  <c r="E61" i="4"/>
  <c r="U61" i="4"/>
  <c r="O62" i="4"/>
  <c r="Q63" i="4"/>
  <c r="AC97" i="4"/>
  <c r="D48" i="4"/>
  <c r="D70" i="4" s="1"/>
  <c r="E60" i="4"/>
  <c r="Q62" i="4"/>
  <c r="F97" i="4"/>
  <c r="F48" i="4"/>
  <c r="F70" i="4" s="1"/>
  <c r="AD48" i="4"/>
  <c r="AD70" i="4" s="1"/>
  <c r="T50" i="4"/>
  <c r="I61" i="4"/>
  <c r="Q61" i="4"/>
  <c r="E63" i="4"/>
  <c r="U63" i="4"/>
  <c r="AC63" i="4"/>
  <c r="H97" i="4"/>
  <c r="P97" i="4"/>
  <c r="X97" i="4"/>
  <c r="AF97" i="4"/>
  <c r="AA60" i="4"/>
  <c r="M61" i="4"/>
  <c r="W62" i="4"/>
  <c r="I63" i="4"/>
  <c r="I50" i="4"/>
  <c r="M97" i="4"/>
  <c r="AB48" i="4"/>
  <c r="AB70" i="4" s="1"/>
  <c r="AC60" i="4"/>
  <c r="V97" i="4"/>
  <c r="N48" i="4"/>
  <c r="N70" i="4" s="1"/>
  <c r="AB50" i="4"/>
  <c r="G48" i="4"/>
  <c r="G60" i="4" s="1"/>
  <c r="O48" i="4"/>
  <c r="O60" i="4" s="1"/>
  <c r="W48" i="4"/>
  <c r="W60" i="4" s="1"/>
  <c r="AE48" i="4"/>
  <c r="AE61" i="4" s="1"/>
  <c r="H60" i="4"/>
  <c r="X60" i="4"/>
  <c r="AF60" i="4"/>
  <c r="T62" i="4"/>
  <c r="AB62" i="4"/>
  <c r="Y50" i="4"/>
  <c r="L48" i="4"/>
  <c r="L70" i="4" s="1"/>
  <c r="I62" i="4"/>
  <c r="V48" i="4"/>
  <c r="V70" i="4" s="1"/>
  <c r="D42" i="4"/>
  <c r="H48" i="4"/>
  <c r="H70" i="4" s="1"/>
  <c r="P48" i="4"/>
  <c r="P70" i="4" s="1"/>
  <c r="X48" i="4"/>
  <c r="X70" i="4" s="1"/>
  <c r="AF48" i="4"/>
  <c r="AF70" i="4" s="1"/>
  <c r="K48" i="4"/>
  <c r="K50" i="4" s="1"/>
  <c r="S48" i="4"/>
  <c r="S62" i="4" s="1"/>
  <c r="AA48" i="4"/>
  <c r="AA62" i="4" s="1"/>
  <c r="I60" i="4"/>
  <c r="Q60" i="4"/>
  <c r="E62" i="4"/>
  <c r="M62" i="4"/>
  <c r="U62" i="4"/>
  <c r="AC62" i="4"/>
  <c r="O50" i="4"/>
  <c r="O70" i="4"/>
  <c r="S50" i="4"/>
  <c r="AA50" i="4"/>
  <c r="N50" i="4"/>
  <c r="V50" i="4"/>
  <c r="AD50" i="4"/>
  <c r="S61" i="4"/>
  <c r="AA61" i="4"/>
  <c r="O63" i="4"/>
  <c r="W63" i="4"/>
  <c r="AE63" i="4"/>
  <c r="J60" i="4"/>
  <c r="R60" i="4"/>
  <c r="Z60" i="4"/>
  <c r="D61" i="4"/>
  <c r="T61" i="4"/>
  <c r="V62" i="4"/>
  <c r="V61" i="4"/>
  <c r="Z63" i="4"/>
  <c r="G61" i="4"/>
  <c r="S63" i="4"/>
  <c r="AA63" i="4"/>
  <c r="N61" i="4"/>
  <c r="H62" i="4"/>
  <c r="X62" i="4"/>
  <c r="J63" i="4"/>
  <c r="J50" i="4"/>
  <c r="Z50" i="4"/>
  <c r="O61" i="4"/>
  <c r="N60" i="4"/>
  <c r="AD60" i="4"/>
  <c r="Z62" i="4"/>
  <c r="T63" i="4"/>
  <c r="AB63" i="4"/>
  <c r="AE70" i="4"/>
  <c r="AE50" i="4"/>
  <c r="J61" i="4"/>
  <c r="R61" i="4"/>
  <c r="Z61" i="4"/>
  <c r="V63" i="4"/>
  <c r="AD63" i="4"/>
  <c r="D39" i="4"/>
  <c r="E70" i="4"/>
  <c r="U70" i="4"/>
  <c r="AC70" i="4"/>
  <c r="C48" i="4"/>
  <c r="C61" i="4" s="1"/>
  <c r="G50" i="4" l="1"/>
  <c r="G63" i="4"/>
  <c r="G70" i="4"/>
  <c r="W61" i="4"/>
  <c r="M63" i="4"/>
  <c r="D62" i="4"/>
  <c r="D60" i="4"/>
  <c r="Y61" i="4"/>
  <c r="R63" i="4"/>
  <c r="R62" i="4"/>
  <c r="D50" i="4"/>
  <c r="S70" i="4"/>
  <c r="AB60" i="4"/>
  <c r="Y62" i="4"/>
  <c r="H61" i="4"/>
  <c r="W70" i="4"/>
  <c r="Y60" i="4"/>
  <c r="L63" i="4"/>
  <c r="R50" i="4"/>
  <c r="D63" i="4"/>
  <c r="AA70" i="4"/>
  <c r="J62" i="4"/>
  <c r="M70" i="4"/>
  <c r="N62" i="4"/>
  <c r="T60" i="4"/>
  <c r="Q50" i="4"/>
  <c r="V60" i="4"/>
  <c r="AB61" i="4"/>
  <c r="W50" i="4"/>
  <c r="M60" i="4"/>
  <c r="Y63" i="4"/>
  <c r="K62" i="4"/>
  <c r="L50" i="4"/>
  <c r="F62" i="4"/>
  <c r="K70" i="4"/>
  <c r="L60" i="4"/>
  <c r="P60" i="4"/>
  <c r="K61" i="4"/>
  <c r="F60" i="4"/>
  <c r="X63" i="4"/>
  <c r="AE60" i="4"/>
  <c r="AF63" i="4"/>
  <c r="AF62" i="4"/>
  <c r="AF61" i="4"/>
  <c r="P62" i="4"/>
  <c r="P63" i="4"/>
  <c r="L61" i="4"/>
  <c r="P50" i="4"/>
  <c r="F50" i="4"/>
  <c r="F63" i="4"/>
  <c r="X61" i="4"/>
  <c r="K63" i="4"/>
  <c r="AD61" i="4"/>
  <c r="H63" i="4"/>
  <c r="L62" i="4"/>
  <c r="K60" i="4"/>
  <c r="S60" i="4"/>
  <c r="N63" i="4"/>
  <c r="P61" i="4"/>
  <c r="F61" i="4"/>
  <c r="AD62" i="4"/>
  <c r="X50" i="4"/>
  <c r="AF50" i="4"/>
  <c r="C62" i="4"/>
  <c r="C70" i="4"/>
  <c r="C50" i="4"/>
  <c r="C63" i="4"/>
  <c r="C60" i="4"/>
  <c r="K36" i="4" l="1"/>
  <c r="J36" i="4"/>
  <c r="I36" i="4"/>
  <c r="H36" i="4"/>
  <c r="G36" i="4"/>
  <c r="F36" i="4"/>
  <c r="E36" i="4"/>
  <c r="D36" i="4"/>
  <c r="C36" i="4"/>
  <c r="I28" i="4"/>
  <c r="H28" i="4"/>
  <c r="G28" i="4"/>
  <c r="F28" i="4"/>
  <c r="E28" i="4"/>
  <c r="D28" i="4"/>
  <c r="C28" i="4"/>
  <c r="J28" i="4" s="1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L13" i="4"/>
  <c r="K13" i="4"/>
  <c r="J13" i="4"/>
  <c r="I13" i="4"/>
  <c r="H13" i="4"/>
  <c r="G13" i="4"/>
  <c r="F13" i="4"/>
  <c r="E13" i="4"/>
  <c r="D13" i="4"/>
  <c r="C13" i="4"/>
  <c r="C7" i="4"/>
  <c r="C6" i="4"/>
  <c r="C5" i="4"/>
  <c r="C5" i="6"/>
  <c r="L43" i="6"/>
  <c r="A13" i="6"/>
  <c r="M36" i="4" l="1"/>
  <c r="P20" i="4"/>
  <c r="C21" i="4" s="1"/>
  <c r="M13" i="4"/>
  <c r="L14" i="4" s="1"/>
  <c r="C8" i="4"/>
  <c r="A14" i="6"/>
  <c r="A15" i="6" s="1"/>
  <c r="K43" i="3"/>
  <c r="A13" i="3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K28" i="4" l="1"/>
  <c r="C31" i="4" s="1"/>
  <c r="M21" i="4"/>
  <c r="E21" i="4"/>
  <c r="D7" i="4"/>
  <c r="D21" i="4"/>
  <c r="J21" i="4"/>
  <c r="K21" i="4"/>
  <c r="L21" i="4"/>
  <c r="H21" i="4"/>
  <c r="F21" i="4"/>
  <c r="N21" i="4"/>
  <c r="O21" i="4"/>
  <c r="I21" i="4"/>
  <c r="G21" i="4"/>
  <c r="D14" i="4"/>
  <c r="D6" i="4"/>
  <c r="G14" i="4"/>
  <c r="H14" i="4"/>
  <c r="D5" i="4"/>
  <c r="F14" i="4"/>
  <c r="K14" i="4"/>
  <c r="E14" i="4"/>
  <c r="I14" i="4"/>
  <c r="J14" i="4"/>
  <c r="C14" i="4"/>
  <c r="A16" i="6"/>
  <c r="A17" i="6" s="1"/>
  <c r="A14" i="3"/>
  <c r="A15" i="3" s="1"/>
  <c r="A16" i="3" s="1"/>
  <c r="C23" i="4" l="1"/>
  <c r="I29" i="4"/>
  <c r="C29" i="4"/>
  <c r="D29" i="4"/>
  <c r="G29" i="4"/>
  <c r="H29" i="4"/>
  <c r="E29" i="4"/>
  <c r="F29" i="4"/>
  <c r="A20" i="6"/>
  <c r="A17" i="3"/>
  <c r="A20" i="3" s="1"/>
  <c r="A21" i="6" l="1"/>
  <c r="A21" i="3"/>
  <c r="A24" i="6" l="1"/>
  <c r="A24" i="3"/>
  <c r="A25" i="6" l="1"/>
  <c r="A25" i="3"/>
  <c r="A28" i="3"/>
  <c r="A28" i="6" l="1"/>
  <c r="A29" i="6"/>
  <c r="A29" i="3"/>
  <c r="A30" i="3" s="1"/>
  <c r="A30" i="6" l="1"/>
  <c r="A31" i="3"/>
  <c r="A31" i="6" l="1"/>
  <c r="A32" i="3"/>
  <c r="A32" i="6" l="1"/>
  <c r="A33" i="3"/>
  <c r="A34" i="3" s="1"/>
  <c r="A33" i="6" l="1"/>
  <c r="A34" i="6" s="1"/>
  <c r="A35" i="3"/>
  <c r="A38" i="3" s="1"/>
  <c r="A39" i="3" s="1"/>
  <c r="A35" i="6" l="1"/>
  <c r="A40" i="3"/>
  <c r="A38" i="6" l="1"/>
  <c r="A41" i="3"/>
  <c r="A39" i="6" l="1"/>
  <c r="A40" i="6" s="1"/>
  <c r="A41" i="6" s="1"/>
  <c r="A42" i="6" s="1"/>
  <c r="A42" i="3"/>
  <c r="A45" i="6" l="1"/>
  <c r="A46" i="6"/>
  <c r="A47" i="6" s="1"/>
  <c r="A45" i="3"/>
  <c r="A46" i="3" s="1"/>
  <c r="A47" i="3" s="1"/>
</calcChain>
</file>

<file path=xl/sharedStrings.xml><?xml version="1.0" encoding="utf-8"?>
<sst xmlns="http://schemas.openxmlformats.org/spreadsheetml/2006/main" count="964" uniqueCount="306">
  <si>
    <t>acere</t>
  </si>
  <si>
    <t>apoil</t>
  </si>
  <si>
    <t>aroot</t>
  </si>
  <si>
    <t>ahort</t>
  </si>
  <si>
    <t>axcrp</t>
  </si>
  <si>
    <t>acatt</t>
  </si>
  <si>
    <t>apoul</t>
  </si>
  <si>
    <t>aoliv</t>
  </si>
  <si>
    <t>afore</t>
  </si>
  <si>
    <t>afish</t>
  </si>
  <si>
    <t>amine</t>
  </si>
  <si>
    <t>ameat</t>
  </si>
  <si>
    <t>afveg</t>
  </si>
  <si>
    <t>afoil</t>
  </si>
  <si>
    <t>agmll</t>
  </si>
  <si>
    <t>afood</t>
  </si>
  <si>
    <t>abeve</t>
  </si>
  <si>
    <t>atext</t>
  </si>
  <si>
    <t>awood</t>
  </si>
  <si>
    <t>achem</t>
  </si>
  <si>
    <t>anmet</t>
  </si>
  <si>
    <t>amach</t>
  </si>
  <si>
    <t>aoman</t>
  </si>
  <si>
    <t>autil</t>
  </si>
  <si>
    <t>acons</t>
  </si>
  <si>
    <t>atrad</t>
  </si>
  <si>
    <t>atran</t>
  </si>
  <si>
    <t>afbsv</t>
  </si>
  <si>
    <t>agsrv</t>
  </si>
  <si>
    <t>aosrv</t>
  </si>
  <si>
    <t>ccere</t>
  </si>
  <si>
    <t>cpoil</t>
  </si>
  <si>
    <t>croot</t>
  </si>
  <si>
    <t>chort</t>
  </si>
  <si>
    <t>cxcrp</t>
  </si>
  <si>
    <t>ccatt</t>
  </si>
  <si>
    <t>cpoul</t>
  </si>
  <si>
    <t>coliv</t>
  </si>
  <si>
    <t>cfore</t>
  </si>
  <si>
    <t>cfish</t>
  </si>
  <si>
    <t>cmine</t>
  </si>
  <si>
    <t>cmeat</t>
  </si>
  <si>
    <t>cfveg</t>
  </si>
  <si>
    <t>cfoil</t>
  </si>
  <si>
    <t>cgmll</t>
  </si>
  <si>
    <t>cfood</t>
  </si>
  <si>
    <t>cbeve</t>
  </si>
  <si>
    <t>ctext</t>
  </si>
  <si>
    <t>cwood</t>
  </si>
  <si>
    <t>cchem</t>
  </si>
  <si>
    <t>cnmet</t>
  </si>
  <si>
    <t>cmach</t>
  </si>
  <si>
    <t>coman</t>
  </si>
  <si>
    <t>cutil</t>
  </si>
  <si>
    <t>ccons</t>
  </si>
  <si>
    <t>ctrad</t>
  </si>
  <si>
    <t>ctran</t>
  </si>
  <si>
    <t>cfbsv</t>
  </si>
  <si>
    <t>cgsrv</t>
  </si>
  <si>
    <t>cosrv</t>
  </si>
  <si>
    <t>trc</t>
  </si>
  <si>
    <t>flab-n</t>
  </si>
  <si>
    <t>flab-p</t>
  </si>
  <si>
    <t>flab-s</t>
  </si>
  <si>
    <t>flab-t</t>
  </si>
  <si>
    <t>flnd</t>
  </si>
  <si>
    <t>fcap</t>
  </si>
  <si>
    <t>ent</t>
  </si>
  <si>
    <t>hhd-1</t>
  </si>
  <si>
    <t>hhd-2</t>
  </si>
  <si>
    <t>hhd-3</t>
  </si>
  <si>
    <t>hhd-4</t>
  </si>
  <si>
    <t>hhd-5</t>
  </si>
  <si>
    <t>gov</t>
  </si>
  <si>
    <t>dtax</t>
  </si>
  <si>
    <t>ftax</t>
  </si>
  <si>
    <t>mtax</t>
  </si>
  <si>
    <t>stax</t>
  </si>
  <si>
    <t>s-i</t>
  </si>
  <si>
    <t>dstk</t>
  </si>
  <si>
    <t>row</t>
  </si>
  <si>
    <t>total</t>
  </si>
  <si>
    <t>Factors</t>
  </si>
  <si>
    <t>Households</t>
  </si>
  <si>
    <t>Other accounts</t>
  </si>
  <si>
    <t>Activities and commodities</t>
  </si>
  <si>
    <t>atax</t>
  </si>
  <si>
    <t>etax</t>
  </si>
  <si>
    <t>Transaction costs</t>
  </si>
  <si>
    <t>Enterprises</t>
  </si>
  <si>
    <t>Government</t>
  </si>
  <si>
    <t>Taxes - activity</t>
  </si>
  <si>
    <t>Taxes - direct</t>
  </si>
  <si>
    <t>Taxes - export</t>
  </si>
  <si>
    <t>Taxes - factor</t>
  </si>
  <si>
    <t>Taxes - import</t>
  </si>
  <si>
    <t>Taxes - sales</t>
  </si>
  <si>
    <t>Savings-investment</t>
  </si>
  <si>
    <t>Change in stocks</t>
  </si>
  <si>
    <t>Rest of world</t>
  </si>
  <si>
    <t>Total</t>
  </si>
  <si>
    <t>Labor - uneducated</t>
  </si>
  <si>
    <t>Labor - primary</t>
  </si>
  <si>
    <t>Labor - secondary</t>
  </si>
  <si>
    <t>Labor - tertiary</t>
  </si>
  <si>
    <t xml:space="preserve">Capital </t>
  </si>
  <si>
    <t>Cereals</t>
  </si>
  <si>
    <t>Pulses and oilseeds</t>
  </si>
  <si>
    <t>Root crops</t>
  </si>
  <si>
    <t>Vegetables &amp; fruits</t>
  </si>
  <si>
    <t>Export-oriented crops</t>
  </si>
  <si>
    <t>Cattle and milk</t>
  </si>
  <si>
    <t>Poultry and eggs</t>
  </si>
  <si>
    <t>Other livestock</t>
  </si>
  <si>
    <t>Forestry</t>
  </si>
  <si>
    <t>Fisheries</t>
  </si>
  <si>
    <t>Mining</t>
  </si>
  <si>
    <t>Meat, fish and dairy</t>
  </si>
  <si>
    <t>Fruits and vegetables</t>
  </si>
  <si>
    <t>Fats and oils</t>
  </si>
  <si>
    <t>Grain milling</t>
  </si>
  <si>
    <t>Other food processing</t>
  </si>
  <si>
    <t>Beverages and tobacco</t>
  </si>
  <si>
    <t>Textiles, clothing and footwear</t>
  </si>
  <si>
    <t>Wood and paper products</t>
  </si>
  <si>
    <t>Chemicals</t>
  </si>
  <si>
    <t>Nonmetal minerals</t>
  </si>
  <si>
    <t>Metals and machinery</t>
  </si>
  <si>
    <t>Other manufacturing</t>
  </si>
  <si>
    <t>Electricity and water</t>
  </si>
  <si>
    <t>Construction</t>
  </si>
  <si>
    <t>Trade, hotels and food services</t>
  </si>
  <si>
    <t>Transport and communication</t>
  </si>
  <si>
    <t>Finance, business and real estate</t>
  </si>
  <si>
    <t>Government, health and education</t>
  </si>
  <si>
    <t>Other services</t>
  </si>
  <si>
    <t>Household - quintile 1</t>
  </si>
  <si>
    <t>Household - quintile 2</t>
  </si>
  <si>
    <t>Household - quintile 3</t>
  </si>
  <si>
    <t>Household - quintile 4</t>
  </si>
  <si>
    <t>Household - quintile 5</t>
  </si>
  <si>
    <t>Land - crops</t>
  </si>
  <si>
    <t>Enterprise</t>
  </si>
  <si>
    <t>Which is the most capital-intensive sector in the economy?</t>
  </si>
  <si>
    <t>What share of domestic production is exported?</t>
  </si>
  <si>
    <t>What share of domestic demand is supplied by imports?</t>
  </si>
  <si>
    <t>Which is the most skill-intensive sector of the economy?</t>
  </si>
  <si>
    <t>What is the value of total GDP measured at factor cost?</t>
  </si>
  <si>
    <t>GDP</t>
  </si>
  <si>
    <t>What are the shares of agriculture, industry and services in total GDP?</t>
  </si>
  <si>
    <t>What is the share of food and agriculture-related processing within manufacturing GDP?</t>
  </si>
  <si>
    <t>Which is the largest agricultural subsector in terms of GDP?</t>
  </si>
  <si>
    <t>Production technologies</t>
  </si>
  <si>
    <t>Which product has the highest transaction costs? (calculate transaction costs as a share of total supply)</t>
  </si>
  <si>
    <t>Trade</t>
  </si>
  <si>
    <t>What is the share of the government (incl. health and education) in total GDP?</t>
  </si>
  <si>
    <t>What share of labor value-added is generated by uneducated workers?</t>
  </si>
  <si>
    <t>Questions</t>
  </si>
  <si>
    <t>What is the average direct tax rate on household and enterprise incomes?</t>
  </si>
  <si>
    <t>What is the share of tax collections in total government revenue?</t>
  </si>
  <si>
    <t>What share of tax revenues come from indirect and direct taxes?</t>
  </si>
  <si>
    <t>Which imported product faces the highest tariff rate?</t>
  </si>
  <si>
    <t>What product has the highest sales tax rate? (as a share of intermediate and final demand for goods and services)</t>
  </si>
  <si>
    <t>Government finance</t>
  </si>
  <si>
    <t>What share of government revenues comes from foreign grants?</t>
  </si>
  <si>
    <t>What share of government spending are transfers to domestic enterprises? What could this transfer include?</t>
  </si>
  <si>
    <t>What is the value of GDP measured at market prices?</t>
  </si>
  <si>
    <t>Household incomes and expenditures</t>
  </si>
  <si>
    <t>All households</t>
  </si>
  <si>
    <t>What is the average level of per capita consumption for each household quintile? (see population data)</t>
  </si>
  <si>
    <t>What is the average marginal propensity to save for households? (average for all groups)</t>
  </si>
  <si>
    <t>What is the current account deficit as a share of total GDP at market prices?</t>
  </si>
  <si>
    <t>What share of gross fixed capital formation is demand for construction?</t>
  </si>
  <si>
    <t>What share of gross capital formation is changes in stocks?</t>
  </si>
  <si>
    <t>What share of consumption spending for each quintile is spent on agricultural and food products?</t>
  </si>
  <si>
    <t>GDP at factor is the sum of all factor incomes earned during the production process (payments from producers/activities to land, labor and capital)</t>
  </si>
  <si>
    <t>What share of incomes for each household group comes from factors, enterprises, government and rest of world?</t>
  </si>
  <si>
    <t>Agriculture = cereals to fisheries; Industry = mining to construction; Services = Trade to other services. First calculate total agricultural GDP, and then divide by national GDP.</t>
  </si>
  <si>
    <t>First calculate GDP for each (by summing across factors), and then calculate shares across totals</t>
  </si>
  <si>
    <t>Hints and suggestions</t>
  </si>
  <si>
    <t>GDP mp = C + I + G + X - M</t>
  </si>
  <si>
    <t>Use the information contained in the SAM to answer the following questions.</t>
  </si>
  <si>
    <t>Answers</t>
  </si>
  <si>
    <t>Treat capital separate from land</t>
  </si>
  <si>
    <t>Which sector has the highest of production costs associated with petroleum products (chemicals)?</t>
  </si>
  <si>
    <t>Which sector has the lowest GDP to gross output ratio?</t>
  </si>
  <si>
    <t>Divide intermediate demand spending on chemical inputs by value of gross output</t>
  </si>
  <si>
    <t>Transaction costs are in the account TRC</t>
  </si>
  <si>
    <t>Structure of the Micro SAM</t>
  </si>
  <si>
    <t>Activities</t>
  </si>
  <si>
    <t>Commodities</t>
  </si>
  <si>
    <t>Labor</t>
  </si>
  <si>
    <t>Land</t>
  </si>
  <si>
    <t>Capital</t>
  </si>
  <si>
    <t>Direct taxes</t>
  </si>
  <si>
    <t>Factor taxes</t>
  </si>
  <si>
    <t>Import tariffs</t>
  </si>
  <si>
    <t>Sales taxes</t>
  </si>
  <si>
    <t>Savings</t>
  </si>
  <si>
    <t>Stock changes</t>
  </si>
  <si>
    <t>30 x 30</t>
  </si>
  <si>
    <t>30 x 1</t>
  </si>
  <si>
    <t>1 x 30</t>
  </si>
  <si>
    <t>4 x 30</t>
  </si>
  <si>
    <t>Investment</t>
  </si>
  <si>
    <t>5 x 4</t>
  </si>
  <si>
    <t>1 x 5</t>
  </si>
  <si>
    <t>1 x 4</t>
  </si>
  <si>
    <t>5 x 1</t>
  </si>
  <si>
    <t>1 x 1</t>
  </si>
  <si>
    <t>30 x 5</t>
  </si>
  <si>
    <t>What share of total transaction costs generates demand for transport services?</t>
  </si>
  <si>
    <t>Divide total exports by total gross output</t>
  </si>
  <si>
    <t>First subtract exports from total demand</t>
  </si>
  <si>
    <t>Take tariff collection (MTAX) and divide by import value (ROW)</t>
  </si>
  <si>
    <t>First calculate total demand less exports for each product. Then take sales taxes (STAX) and divide by demand less exports</t>
  </si>
  <si>
    <t>Does the government run a recurrent deficit or surplus, and what is it as a share of total recurrent expenditures?</t>
  </si>
  <si>
    <t>What is the total value of consumption spending for each household group?</t>
  </si>
  <si>
    <t>Consumption spending only includes commodities</t>
  </si>
  <si>
    <t>For foods, include from Meat-Beverages</t>
  </si>
  <si>
    <t>First collect on income source values in a single table, and then calculate shares</t>
  </si>
  <si>
    <t>GCF includes GFCF plus stock changes</t>
  </si>
  <si>
    <t>Use your GDP mp estimate from Q6</t>
  </si>
  <si>
    <t>30-Sector Social Accounting Matrix</t>
  </si>
  <si>
    <t>Population (millions)</t>
  </si>
  <si>
    <t>Ind</t>
  </si>
  <si>
    <t>Srv</t>
  </si>
  <si>
    <t>Agr</t>
  </si>
  <si>
    <t>tot_AgGDP</t>
  </si>
  <si>
    <t>Cereal</t>
  </si>
  <si>
    <t>Tot_GDP</t>
  </si>
  <si>
    <t>No.1-2</t>
  </si>
  <si>
    <t>tot_MnfGDP</t>
  </si>
  <si>
    <t>Gov/GDP</t>
  </si>
  <si>
    <t>X</t>
  </si>
  <si>
    <t>M</t>
  </si>
  <si>
    <t>Lab</t>
  </si>
  <si>
    <t>Cap</t>
  </si>
  <si>
    <t>Cap_shr</t>
  </si>
  <si>
    <t>Gov. services</t>
  </si>
  <si>
    <t>chemical</t>
  </si>
  <si>
    <t>GDP/Out</t>
  </si>
  <si>
    <t>grain milling</t>
  </si>
  <si>
    <t>trc/out</t>
  </si>
  <si>
    <t>Horticulture</t>
  </si>
  <si>
    <t>Dom.Dem</t>
  </si>
  <si>
    <t>Tax/Grev</t>
  </si>
  <si>
    <t>30.7 and 52.7</t>
  </si>
  <si>
    <t>HH</t>
  </si>
  <si>
    <t>hh</t>
  </si>
  <si>
    <t>inc</t>
  </si>
  <si>
    <t>3.5 and 1</t>
  </si>
  <si>
    <t>Poultry</t>
  </si>
  <si>
    <t>deficit</t>
  </si>
  <si>
    <t>cons</t>
  </si>
  <si>
    <t>pop</t>
  </si>
  <si>
    <t>con/cap</t>
  </si>
  <si>
    <t>ag_food</t>
  </si>
  <si>
    <t>fac</t>
  </si>
  <si>
    <t>sav</t>
  </si>
  <si>
    <t>exp</t>
  </si>
  <si>
    <t>fats and oil</t>
  </si>
  <si>
    <t>Exercise 2x - Detailed SAM Analysis</t>
  </si>
  <si>
    <t>Share</t>
  </si>
  <si>
    <t>GDP Share (%)</t>
  </si>
  <si>
    <t>AgGDP</t>
  </si>
  <si>
    <t>MnfGDP</t>
  </si>
  <si>
    <t>Food_Shr</t>
  </si>
  <si>
    <t>Food and Ag-processing includes Meat, fish and dairy; fruit and vegetables; Fats and oils; Grain milling; Other food processing; and beverage and tobaco sectors</t>
  </si>
  <si>
    <t>Divide Government, health and education sector with total GDP</t>
  </si>
  <si>
    <t>divide uneducated labor value-added with total labor value added</t>
  </si>
  <si>
    <t>Labor VA</t>
  </si>
  <si>
    <t>Demand</t>
  </si>
  <si>
    <t>GDP at market price</t>
  </si>
  <si>
    <t>Srv_GDP</t>
  </si>
  <si>
    <t>Tot_srvGDP</t>
  </si>
  <si>
    <t>Labor Value Added (VA)</t>
  </si>
  <si>
    <t xml:space="preserve">Labor VA share </t>
  </si>
  <si>
    <t>Share of labor value added earned by high skill worker to total labor value added</t>
  </si>
  <si>
    <t>Divide GDP to value of gross output</t>
  </si>
  <si>
    <t>Divide transaction costs demand on transport services with total demand of transport services</t>
  </si>
  <si>
    <t>Export</t>
  </si>
  <si>
    <t>Total Demand</t>
  </si>
  <si>
    <t>Import</t>
  </si>
  <si>
    <t>Import/Dom. Demand</t>
  </si>
  <si>
    <t>Gov. Rev</t>
  </si>
  <si>
    <t>Tot. Rev</t>
  </si>
  <si>
    <t>Tot. tax</t>
  </si>
  <si>
    <t>Dir. Tax</t>
  </si>
  <si>
    <t>Ind. Tax</t>
  </si>
  <si>
    <t>share</t>
  </si>
  <si>
    <t>Divide total taxes revenue by total government revenue</t>
  </si>
  <si>
    <t>Divide direct and indirect taxes revenue by total government revenue</t>
  </si>
  <si>
    <t>Divide tax expenditure spent by enterprise and households by its total income</t>
  </si>
  <si>
    <t>import value</t>
  </si>
  <si>
    <t>import tariff</t>
  </si>
  <si>
    <t>Tariff rate</t>
  </si>
  <si>
    <t>Dem.-Exp</t>
  </si>
  <si>
    <t>Divide government revenue from rest of the world by total government revenue</t>
  </si>
  <si>
    <t>Divied government spending on enterprise with total government spending</t>
  </si>
  <si>
    <t>Look at value of government spending on savings-investment account</t>
  </si>
  <si>
    <t>look at answer_workings sheet</t>
  </si>
  <si>
    <t>Divide consumption spending by total household population</t>
  </si>
  <si>
    <t>Divide total household savings with total expenditure</t>
  </si>
  <si>
    <t xml:space="preserve">Divide investment demand on construction by total construction demand </t>
  </si>
  <si>
    <t>Answer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</si>
</sst>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.0"/>
    <numFmt numFmtId="166" formatCode="0.0%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3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3" fontId="0" fillId="0" borderId="0" xfId="0" applyNumberFormat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1" fontId="0" fillId="0" borderId="0" xfId="0" applyNumberFormat="1"/>
    <xf numFmtId="9" fontId="0" fillId="0" borderId="0" xfId="2" applyFont="1"/>
    <xf numFmtId="166" fontId="0" fillId="0" borderId="0" xfId="2" applyNumberFormat="1" applyFont="1"/>
    <xf numFmtId="10" fontId="0" fillId="0" borderId="0" xfId="2" applyNumberFormat="1" applyFont="1"/>
    <xf numFmtId="16" fontId="0" fillId="0" borderId="0" xfId="0" applyNumberFormat="1"/>
    <xf numFmtId="167" fontId="0" fillId="0" borderId="0" xfId="1" applyNumberFormat="1" applyFont="1"/>
    <xf numFmtId="1" fontId="1" fillId="0" borderId="0" xfId="0" applyNumberFormat="1" applyFont="1"/>
    <xf numFmtId="164" fontId="1" fillId="0" borderId="0" xfId="0" applyNumberFormat="1" applyFont="1"/>
    <xf numFmtId="1" fontId="0" fillId="0" borderId="1" xfId="0" applyNumberFormat="1" applyBorder="1"/>
    <xf numFmtId="9" fontId="1" fillId="2" borderId="0" xfId="2" applyFont="1" applyFill="1"/>
    <xf numFmtId="3" fontId="1" fillId="2" borderId="0" xfId="0" applyNumberFormat="1" applyFont="1" applyFill="1"/>
    <xf numFmtId="166" fontId="1" fillId="2" borderId="0" xfId="0" applyNumberFormat="1" applyFont="1" applyFill="1"/>
    <xf numFmtId="164" fontId="1" fillId="2" borderId="0" xfId="0" applyNumberFormat="1" applyFont="1" applyFill="1"/>
    <xf numFmtId="166" fontId="1" fillId="2" borderId="0" xfId="2" applyNumberFormat="1" applyFont="1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7" fontId="0" fillId="0" borderId="0" xfId="1" applyNumberFormat="1" applyFont="1" applyAlignment="1">
      <alignment horizontal="center"/>
    </xf>
    <xf numFmtId="1" fontId="0" fillId="0" borderId="0" xfId="2" applyNumberFormat="1" applyFont="1"/>
    <xf numFmtId="9" fontId="0" fillId="0" borderId="0" xfId="2" applyFont="1" applyAlignment="1">
      <alignment horizontal="center"/>
    </xf>
    <xf numFmtId="167" fontId="1" fillId="2" borderId="0" xfId="1" applyNumberFormat="1" applyFont="1" applyFill="1"/>
    <xf numFmtId="0" fontId="8" fillId="0" borderId="2" xfId="0" applyFont="1" applyBorder="1"/>
    <xf numFmtId="3" fontId="0" fillId="0" borderId="1" xfId="0" applyNumberFormat="1" applyBorder="1"/>
    <xf numFmtId="164" fontId="0" fillId="0" borderId="1" xfId="0" applyNumberFormat="1" applyBorder="1"/>
    <xf numFmtId="9" fontId="1" fillId="0" borderId="0" xfId="2" applyFont="1"/>
    <xf numFmtId="1" fontId="1" fillId="2" borderId="1" xfId="0" applyNumberFormat="1" applyFont="1" applyFill="1" applyBorder="1"/>
    <xf numFmtId="9" fontId="0" fillId="2" borderId="0" xfId="2" applyFont="1" applyFill="1"/>
    <xf numFmtId="166" fontId="8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AF8A-7451-41BB-8D63-4CE42BF2BD7A}">
  <sheetPr>
    <tabColor theme="1" tint="0.249977111117893"/>
  </sheetPr>
  <dimension ref="A1:N37"/>
  <sheetViews>
    <sheetView tabSelected="1" zoomScale="85" zoomScaleNormal="85" workbookViewId="0">
      <pane ySplit="7" topLeftCell="A8" activePane="bottomLeft" state="frozen"/>
      <selection pane="bottomLeft" activeCell="B4" sqref="B4"/>
    </sheetView>
  </sheetViews>
  <sheetFormatPr defaultRowHeight="15" x14ac:dyDescent="0.25"/>
  <sheetData>
    <row r="1" spans="1:14" ht="18.75" x14ac:dyDescent="0.3">
      <c r="A1" s="3" t="s">
        <v>262</v>
      </c>
    </row>
    <row r="2" spans="1:14" ht="18.75" x14ac:dyDescent="0.3">
      <c r="A2" s="3"/>
    </row>
    <row r="3" spans="1:14" x14ac:dyDescent="0.25">
      <c r="A3" s="2"/>
      <c r="B3" s="4"/>
    </row>
    <row r="4" spans="1:14" x14ac:dyDescent="0.25">
      <c r="A4" s="2"/>
      <c r="B4" s="4"/>
    </row>
    <row r="5" spans="1:14" x14ac:dyDescent="0.25">
      <c r="A5" s="2"/>
    </row>
    <row r="7" spans="1:14" x14ac:dyDescent="0.25">
      <c r="A7" s="2" t="s">
        <v>85</v>
      </c>
      <c r="F7" s="2" t="s">
        <v>82</v>
      </c>
      <c r="I7" s="2" t="s">
        <v>83</v>
      </c>
      <c r="M7" s="2" t="s">
        <v>84</v>
      </c>
    </row>
    <row r="8" spans="1:14" x14ac:dyDescent="0.25">
      <c r="A8" t="s">
        <v>0</v>
      </c>
      <c r="B8" t="s">
        <v>30</v>
      </c>
      <c r="C8" t="s">
        <v>106</v>
      </c>
      <c r="F8" t="s">
        <v>61</v>
      </c>
      <c r="G8" t="s">
        <v>101</v>
      </c>
      <c r="I8" t="s">
        <v>68</v>
      </c>
      <c r="J8" t="s">
        <v>136</v>
      </c>
      <c r="M8" t="s">
        <v>60</v>
      </c>
      <c r="N8" t="s">
        <v>88</v>
      </c>
    </row>
    <row r="9" spans="1:14" x14ac:dyDescent="0.25">
      <c r="A9" t="s">
        <v>1</v>
      </c>
      <c r="B9" t="s">
        <v>31</v>
      </c>
      <c r="C9" t="s">
        <v>107</v>
      </c>
      <c r="F9" t="s">
        <v>62</v>
      </c>
      <c r="G9" t="s">
        <v>102</v>
      </c>
      <c r="I9" t="s">
        <v>69</v>
      </c>
      <c r="J9" t="s">
        <v>137</v>
      </c>
      <c r="M9" t="s">
        <v>67</v>
      </c>
      <c r="N9" t="s">
        <v>89</v>
      </c>
    </row>
    <row r="10" spans="1:14" x14ac:dyDescent="0.25">
      <c r="A10" t="s">
        <v>2</v>
      </c>
      <c r="B10" t="s">
        <v>32</v>
      </c>
      <c r="C10" t="s">
        <v>108</v>
      </c>
      <c r="F10" t="s">
        <v>63</v>
      </c>
      <c r="G10" t="s">
        <v>103</v>
      </c>
      <c r="I10" t="s">
        <v>70</v>
      </c>
      <c r="J10" t="s">
        <v>138</v>
      </c>
      <c r="M10" t="s">
        <v>73</v>
      </c>
      <c r="N10" t="s">
        <v>90</v>
      </c>
    </row>
    <row r="11" spans="1:14" x14ac:dyDescent="0.25">
      <c r="A11" t="s">
        <v>3</v>
      </c>
      <c r="B11" t="s">
        <v>33</v>
      </c>
      <c r="C11" t="s">
        <v>109</v>
      </c>
      <c r="F11" t="s">
        <v>64</v>
      </c>
      <c r="G11" t="s">
        <v>104</v>
      </c>
      <c r="I11" t="s">
        <v>71</v>
      </c>
      <c r="J11" t="s">
        <v>139</v>
      </c>
      <c r="M11" t="s">
        <v>86</v>
      </c>
      <c r="N11" t="s">
        <v>91</v>
      </c>
    </row>
    <row r="12" spans="1:14" x14ac:dyDescent="0.25">
      <c r="A12" t="s">
        <v>4</v>
      </c>
      <c r="B12" t="s">
        <v>34</v>
      </c>
      <c r="C12" t="s">
        <v>110</v>
      </c>
      <c r="F12" t="s">
        <v>65</v>
      </c>
      <c r="G12" t="s">
        <v>141</v>
      </c>
      <c r="I12" t="s">
        <v>72</v>
      </c>
      <c r="J12" t="s">
        <v>140</v>
      </c>
      <c r="M12" t="s">
        <v>74</v>
      </c>
      <c r="N12" t="s">
        <v>92</v>
      </c>
    </row>
    <row r="13" spans="1:14" x14ac:dyDescent="0.25">
      <c r="A13" t="s">
        <v>5</v>
      </c>
      <c r="B13" t="s">
        <v>35</v>
      </c>
      <c r="C13" t="s">
        <v>111</v>
      </c>
      <c r="F13" t="s">
        <v>66</v>
      </c>
      <c r="G13" t="s">
        <v>105</v>
      </c>
      <c r="M13" t="s">
        <v>87</v>
      </c>
      <c r="N13" t="s">
        <v>93</v>
      </c>
    </row>
    <row r="14" spans="1:14" x14ac:dyDescent="0.25">
      <c r="A14" t="s">
        <v>6</v>
      </c>
      <c r="B14" t="s">
        <v>36</v>
      </c>
      <c r="C14" t="s">
        <v>112</v>
      </c>
      <c r="M14" t="s">
        <v>75</v>
      </c>
      <c r="N14" t="s">
        <v>94</v>
      </c>
    </row>
    <row r="15" spans="1:14" x14ac:dyDescent="0.25">
      <c r="A15" t="s">
        <v>7</v>
      </c>
      <c r="B15" t="s">
        <v>37</v>
      </c>
      <c r="C15" t="s">
        <v>113</v>
      </c>
      <c r="M15" t="s">
        <v>76</v>
      </c>
      <c r="N15" t="s">
        <v>95</v>
      </c>
    </row>
    <row r="16" spans="1:14" x14ac:dyDescent="0.25">
      <c r="A16" t="s">
        <v>8</v>
      </c>
      <c r="B16" t="s">
        <v>38</v>
      </c>
      <c r="C16" t="s">
        <v>114</v>
      </c>
      <c r="M16" t="s">
        <v>77</v>
      </c>
      <c r="N16" t="s">
        <v>96</v>
      </c>
    </row>
    <row r="17" spans="1:14" x14ac:dyDescent="0.25">
      <c r="A17" t="s">
        <v>9</v>
      </c>
      <c r="B17" t="s">
        <v>39</v>
      </c>
      <c r="C17" t="s">
        <v>115</v>
      </c>
      <c r="M17" t="s">
        <v>78</v>
      </c>
      <c r="N17" t="s">
        <v>97</v>
      </c>
    </row>
    <row r="18" spans="1:14" x14ac:dyDescent="0.25">
      <c r="A18" t="s">
        <v>10</v>
      </c>
      <c r="B18" t="s">
        <v>40</v>
      </c>
      <c r="C18" t="s">
        <v>116</v>
      </c>
      <c r="M18" t="s">
        <v>79</v>
      </c>
      <c r="N18" t="s">
        <v>98</v>
      </c>
    </row>
    <row r="19" spans="1:14" x14ac:dyDescent="0.25">
      <c r="A19" t="s">
        <v>11</v>
      </c>
      <c r="B19" t="s">
        <v>41</v>
      </c>
      <c r="C19" t="s">
        <v>117</v>
      </c>
      <c r="M19" t="s">
        <v>80</v>
      </c>
      <c r="N19" t="s">
        <v>99</v>
      </c>
    </row>
    <row r="20" spans="1:14" x14ac:dyDescent="0.25">
      <c r="A20" t="s">
        <v>12</v>
      </c>
      <c r="B20" t="s">
        <v>42</v>
      </c>
      <c r="C20" t="s">
        <v>118</v>
      </c>
      <c r="M20" t="s">
        <v>81</v>
      </c>
      <c r="N20" t="s">
        <v>100</v>
      </c>
    </row>
    <row r="21" spans="1:14" x14ac:dyDescent="0.25">
      <c r="A21" t="s">
        <v>13</v>
      </c>
      <c r="B21" t="s">
        <v>43</v>
      </c>
      <c r="C21" t="s">
        <v>119</v>
      </c>
    </row>
    <row r="22" spans="1:14" x14ac:dyDescent="0.25">
      <c r="A22" t="s">
        <v>14</v>
      </c>
      <c r="B22" t="s">
        <v>44</v>
      </c>
      <c r="C22" t="s">
        <v>120</v>
      </c>
    </row>
    <row r="23" spans="1:14" x14ac:dyDescent="0.25">
      <c r="A23" t="s">
        <v>15</v>
      </c>
      <c r="B23" t="s">
        <v>45</v>
      </c>
      <c r="C23" t="s">
        <v>121</v>
      </c>
    </row>
    <row r="24" spans="1:14" x14ac:dyDescent="0.25">
      <c r="A24" t="s">
        <v>16</v>
      </c>
      <c r="B24" t="s">
        <v>46</v>
      </c>
      <c r="C24" t="s">
        <v>122</v>
      </c>
    </row>
    <row r="25" spans="1:14" x14ac:dyDescent="0.25">
      <c r="A25" t="s">
        <v>17</v>
      </c>
      <c r="B25" t="s">
        <v>47</v>
      </c>
      <c r="C25" t="s">
        <v>123</v>
      </c>
    </row>
    <row r="26" spans="1:14" x14ac:dyDescent="0.25">
      <c r="A26" t="s">
        <v>18</v>
      </c>
      <c r="B26" t="s">
        <v>48</v>
      </c>
      <c r="C26" t="s">
        <v>124</v>
      </c>
    </row>
    <row r="27" spans="1:14" x14ac:dyDescent="0.25">
      <c r="A27" t="s">
        <v>19</v>
      </c>
      <c r="B27" t="s">
        <v>49</v>
      </c>
      <c r="C27" t="s">
        <v>125</v>
      </c>
    </row>
    <row r="28" spans="1:14" x14ac:dyDescent="0.25">
      <c r="A28" t="s">
        <v>20</v>
      </c>
      <c r="B28" t="s">
        <v>50</v>
      </c>
      <c r="C28" t="s">
        <v>126</v>
      </c>
    </row>
    <row r="29" spans="1:14" x14ac:dyDescent="0.25">
      <c r="A29" t="s">
        <v>21</v>
      </c>
      <c r="B29" t="s">
        <v>51</v>
      </c>
      <c r="C29" t="s">
        <v>127</v>
      </c>
    </row>
    <row r="30" spans="1:14" x14ac:dyDescent="0.25">
      <c r="A30" t="s">
        <v>22</v>
      </c>
      <c r="B30" t="s">
        <v>52</v>
      </c>
      <c r="C30" t="s">
        <v>128</v>
      </c>
    </row>
    <row r="31" spans="1:14" x14ac:dyDescent="0.25">
      <c r="A31" t="s">
        <v>23</v>
      </c>
      <c r="B31" t="s">
        <v>53</v>
      </c>
      <c r="C31" t="s">
        <v>129</v>
      </c>
    </row>
    <row r="32" spans="1:14" x14ac:dyDescent="0.25">
      <c r="A32" t="s">
        <v>24</v>
      </c>
      <c r="B32" t="s">
        <v>54</v>
      </c>
      <c r="C32" t="s">
        <v>130</v>
      </c>
    </row>
    <row r="33" spans="1:3" x14ac:dyDescent="0.25">
      <c r="A33" t="s">
        <v>25</v>
      </c>
      <c r="B33" t="s">
        <v>55</v>
      </c>
      <c r="C33" t="s">
        <v>131</v>
      </c>
    </row>
    <row r="34" spans="1:3" x14ac:dyDescent="0.25">
      <c r="A34" t="s">
        <v>26</v>
      </c>
      <c r="B34" t="s">
        <v>56</v>
      </c>
      <c r="C34" t="s">
        <v>132</v>
      </c>
    </row>
    <row r="35" spans="1:3" x14ac:dyDescent="0.25">
      <c r="A35" t="s">
        <v>27</v>
      </c>
      <c r="B35" t="s">
        <v>57</v>
      </c>
      <c r="C35" t="s">
        <v>133</v>
      </c>
    </row>
    <row r="36" spans="1:3" x14ac:dyDescent="0.25">
      <c r="A36" t="s">
        <v>28</v>
      </c>
      <c r="B36" t="s">
        <v>58</v>
      </c>
      <c r="C36" t="s">
        <v>134</v>
      </c>
    </row>
    <row r="37" spans="1:3" x14ac:dyDescent="0.25">
      <c r="A37" t="s">
        <v>29</v>
      </c>
      <c r="B37" t="s">
        <v>59</v>
      </c>
      <c r="C37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F63C-1DA6-4A23-8067-461BB762875B}">
  <sheetPr>
    <tabColor theme="1" tint="0.249977111117893"/>
  </sheetPr>
  <dimension ref="A1:R20"/>
  <sheetViews>
    <sheetView zoomScale="85" zoomScaleNormal="85" workbookViewId="0">
      <pane xSplit="1" ySplit="3" topLeftCell="B4" activePane="bottomRight" state="frozen"/>
      <selection activeCell="A2" sqref="A2"/>
      <selection pane="topRight" activeCell="A2" sqref="A2"/>
      <selection pane="bottomLeft" activeCell="A2" sqref="A2"/>
      <selection pane="bottomRight" activeCell="A18" sqref="A18"/>
    </sheetView>
  </sheetViews>
  <sheetFormatPr defaultRowHeight="15" x14ac:dyDescent="0.25"/>
  <cols>
    <col min="1" max="1" width="16" customWidth="1"/>
  </cols>
  <sheetData>
    <row r="1" spans="1:18" ht="18.75" x14ac:dyDescent="0.3">
      <c r="A1" s="3" t="s">
        <v>188</v>
      </c>
    </row>
    <row r="3" spans="1:18" x14ac:dyDescent="0.25">
      <c r="A3" s="36"/>
      <c r="B3" s="36" t="s">
        <v>189</v>
      </c>
      <c r="C3" s="36" t="s">
        <v>190</v>
      </c>
      <c r="D3" s="36" t="s">
        <v>88</v>
      </c>
      <c r="E3" s="36" t="s">
        <v>191</v>
      </c>
      <c r="F3" s="36" t="s">
        <v>192</v>
      </c>
      <c r="G3" s="36" t="s">
        <v>193</v>
      </c>
      <c r="H3" s="36" t="s">
        <v>89</v>
      </c>
      <c r="I3" s="36" t="s">
        <v>83</v>
      </c>
      <c r="J3" s="36" t="s">
        <v>90</v>
      </c>
      <c r="K3" s="36" t="s">
        <v>194</v>
      </c>
      <c r="L3" s="36" t="s">
        <v>195</v>
      </c>
      <c r="M3" s="36" t="s">
        <v>196</v>
      </c>
      <c r="N3" s="36" t="s">
        <v>197</v>
      </c>
      <c r="O3" s="36" t="s">
        <v>204</v>
      </c>
      <c r="P3" s="36" t="s">
        <v>199</v>
      </c>
      <c r="Q3" s="36" t="s">
        <v>99</v>
      </c>
      <c r="R3" s="36" t="s">
        <v>100</v>
      </c>
    </row>
    <row r="4" spans="1:18" x14ac:dyDescent="0.25">
      <c r="A4" s="36" t="s">
        <v>189</v>
      </c>
      <c r="B4" s="11"/>
      <c r="C4" s="11" t="s">
        <v>200</v>
      </c>
      <c r="D4" s="11"/>
      <c r="E4" s="11"/>
      <c r="F4" s="11"/>
      <c r="G4" s="11"/>
      <c r="H4" s="11"/>
      <c r="I4" s="12" t="s">
        <v>210</v>
      </c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5">
      <c r="A5" s="36" t="s">
        <v>190</v>
      </c>
      <c r="B5" s="11" t="s">
        <v>200</v>
      </c>
      <c r="C5" s="11"/>
      <c r="D5" s="12" t="s">
        <v>201</v>
      </c>
      <c r="E5" s="11"/>
      <c r="F5" s="11"/>
      <c r="G5" s="11"/>
      <c r="H5" s="11"/>
      <c r="I5" s="11" t="s">
        <v>210</v>
      </c>
      <c r="J5" s="11" t="s">
        <v>201</v>
      </c>
      <c r="K5" s="11"/>
      <c r="L5" s="11"/>
      <c r="M5" s="11"/>
      <c r="N5" s="11"/>
      <c r="O5" s="11" t="s">
        <v>201</v>
      </c>
      <c r="P5" s="11" t="s">
        <v>201</v>
      </c>
      <c r="Q5" s="11" t="s">
        <v>201</v>
      </c>
      <c r="R5" s="11"/>
    </row>
    <row r="6" spans="1:18" x14ac:dyDescent="0.25">
      <c r="A6" s="36" t="s">
        <v>88</v>
      </c>
      <c r="B6" s="11"/>
      <c r="C6" s="12" t="s">
        <v>202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5">
      <c r="A7" s="36" t="s">
        <v>191</v>
      </c>
      <c r="B7" s="11" t="s">
        <v>203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5">
      <c r="A8" s="36" t="s">
        <v>192</v>
      </c>
      <c r="B8" s="11" t="s">
        <v>202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36" t="s">
        <v>193</v>
      </c>
      <c r="B9" s="11" t="s">
        <v>202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5">
      <c r="A10" s="36" t="s">
        <v>89</v>
      </c>
      <c r="B10" s="11"/>
      <c r="C10" s="11"/>
      <c r="D10" s="11"/>
      <c r="E10" s="11"/>
      <c r="F10" s="11"/>
      <c r="G10" s="11" t="s">
        <v>209</v>
      </c>
      <c r="H10" s="11"/>
      <c r="I10" s="11"/>
      <c r="J10" s="11" t="s">
        <v>209</v>
      </c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36" t="s">
        <v>83</v>
      </c>
      <c r="B11" s="11"/>
      <c r="C11" s="11"/>
      <c r="D11" s="11"/>
      <c r="E11" s="11" t="s">
        <v>205</v>
      </c>
      <c r="F11" s="11" t="s">
        <v>208</v>
      </c>
      <c r="G11" s="11" t="s">
        <v>208</v>
      </c>
      <c r="H11" s="11" t="s">
        <v>208</v>
      </c>
      <c r="I11" s="11"/>
      <c r="J11" s="11" t="s">
        <v>208</v>
      </c>
      <c r="K11" s="11"/>
      <c r="L11" s="11"/>
      <c r="M11" s="11"/>
      <c r="N11" s="11"/>
      <c r="O11" s="11"/>
      <c r="P11" s="11"/>
      <c r="Q11" s="11" t="s">
        <v>208</v>
      </c>
      <c r="R11" s="11"/>
    </row>
    <row r="12" spans="1:18" x14ac:dyDescent="0.25">
      <c r="A12" s="36" t="s">
        <v>90</v>
      </c>
      <c r="B12" s="11"/>
      <c r="C12" s="11"/>
      <c r="D12" s="11"/>
      <c r="E12" s="11"/>
      <c r="F12" s="11"/>
      <c r="G12" s="11"/>
      <c r="H12" s="11" t="s">
        <v>209</v>
      </c>
      <c r="I12" s="11" t="s">
        <v>206</v>
      </c>
      <c r="J12" s="11"/>
      <c r="K12" s="11" t="s">
        <v>209</v>
      </c>
      <c r="L12" s="11" t="s">
        <v>209</v>
      </c>
      <c r="M12" s="11" t="s">
        <v>209</v>
      </c>
      <c r="N12" s="11" t="s">
        <v>209</v>
      </c>
      <c r="O12" s="11"/>
      <c r="P12" s="11"/>
      <c r="Q12" s="11"/>
      <c r="R12" s="11"/>
    </row>
    <row r="13" spans="1:18" x14ac:dyDescent="0.25">
      <c r="A13" s="36" t="s">
        <v>194</v>
      </c>
      <c r="B13" s="11"/>
      <c r="C13" s="11"/>
      <c r="D13" s="11"/>
      <c r="E13" s="11"/>
      <c r="F13" s="11"/>
      <c r="G13" s="11"/>
      <c r="H13" s="11" t="s">
        <v>209</v>
      </c>
      <c r="I13" s="11" t="s">
        <v>206</v>
      </c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5">
      <c r="A14" s="36" t="s">
        <v>195</v>
      </c>
      <c r="B14" s="11"/>
      <c r="C14" s="11"/>
      <c r="D14" s="11"/>
      <c r="E14" s="11"/>
      <c r="F14" s="11"/>
      <c r="G14" s="11" t="s">
        <v>209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25">
      <c r="A15" s="36" t="s">
        <v>196</v>
      </c>
      <c r="B15" s="11"/>
      <c r="C15" s="11" t="s">
        <v>202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5">
      <c r="A16" s="36" t="s">
        <v>197</v>
      </c>
      <c r="B16" s="11"/>
      <c r="C16" s="11" t="s">
        <v>202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5">
      <c r="A17" s="36" t="s">
        <v>198</v>
      </c>
      <c r="B17" s="11"/>
      <c r="C17" s="11"/>
      <c r="D17" s="11"/>
      <c r="E17" s="11"/>
      <c r="F17" s="11"/>
      <c r="G17" s="11"/>
      <c r="H17" s="11" t="s">
        <v>209</v>
      </c>
      <c r="I17" s="11" t="s">
        <v>206</v>
      </c>
      <c r="J17" s="11" t="s">
        <v>209</v>
      </c>
      <c r="K17" s="11"/>
      <c r="L17" s="11"/>
      <c r="M17" s="11"/>
      <c r="N17" s="11"/>
      <c r="O17" s="11"/>
      <c r="P17" s="11"/>
      <c r="Q17" s="11" t="s">
        <v>209</v>
      </c>
      <c r="R17" s="11"/>
    </row>
    <row r="18" spans="1:18" x14ac:dyDescent="0.25">
      <c r="A18" s="36" t="s">
        <v>199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209</v>
      </c>
      <c r="P18" s="11"/>
      <c r="Q18" s="11"/>
      <c r="R18" s="11"/>
    </row>
    <row r="19" spans="1:18" x14ac:dyDescent="0.25">
      <c r="A19" s="36" t="s">
        <v>99</v>
      </c>
      <c r="B19" s="11"/>
      <c r="C19" s="11" t="s">
        <v>202</v>
      </c>
      <c r="D19" s="11"/>
      <c r="E19" s="11" t="s">
        <v>207</v>
      </c>
      <c r="F19" s="11"/>
      <c r="G19" s="11" t="s">
        <v>209</v>
      </c>
      <c r="H19" s="11" t="s">
        <v>209</v>
      </c>
      <c r="I19" s="11" t="s">
        <v>206</v>
      </c>
      <c r="J19" s="11" t="s">
        <v>209</v>
      </c>
      <c r="K19" s="11"/>
      <c r="L19" s="11"/>
      <c r="M19" s="11"/>
      <c r="N19" s="11"/>
      <c r="O19" s="11"/>
      <c r="P19" s="11"/>
      <c r="Q19" s="11"/>
      <c r="R19" s="11"/>
    </row>
    <row r="20" spans="1:18" x14ac:dyDescent="0.25">
      <c r="A20" s="36" t="s">
        <v>100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BD02-8F1D-4942-B1A0-3457C79C1D01}">
  <sheetPr>
    <tabColor theme="4" tint="-0.249977111117893"/>
  </sheetPr>
  <dimension ref="A1:CG91"/>
  <sheetViews>
    <sheetView zoomScale="85" zoomScaleNormal="85" workbookViewId="0">
      <pane xSplit="2" ySplit="5" topLeftCell="C6" activePane="bottomRight" state="frozen"/>
      <selection activeCell="A2" sqref="A2"/>
      <selection pane="topRight" activeCell="A2" sqref="A2"/>
      <selection pane="bottomLeft" activeCell="A2" sqref="A2"/>
      <selection pane="bottomRight" activeCell="C39" sqref="C39"/>
    </sheetView>
  </sheetViews>
  <sheetFormatPr defaultRowHeight="15" x14ac:dyDescent="0.25"/>
  <cols>
    <col min="1" max="1" width="15.42578125" customWidth="1"/>
  </cols>
  <sheetData>
    <row r="1" spans="1:84" ht="18.75" x14ac:dyDescent="0.3">
      <c r="A1" s="3" t="s">
        <v>223</v>
      </c>
    </row>
    <row r="2" spans="1:84" x14ac:dyDescent="0.25"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</row>
    <row r="3" spans="1:84" x14ac:dyDescent="0.25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</row>
    <row r="4" spans="1:84" x14ac:dyDescent="0.25">
      <c r="C4" s="5" t="s">
        <v>106</v>
      </c>
      <c r="D4" s="5" t="s">
        <v>107</v>
      </c>
      <c r="E4" s="5" t="s">
        <v>108</v>
      </c>
      <c r="F4" s="5" t="s">
        <v>109</v>
      </c>
      <c r="G4" s="5" t="s">
        <v>110</v>
      </c>
      <c r="H4" s="5" t="s">
        <v>111</v>
      </c>
      <c r="I4" s="5" t="s">
        <v>112</v>
      </c>
      <c r="J4" s="5" t="s">
        <v>113</v>
      </c>
      <c r="K4" s="5" t="s">
        <v>114</v>
      </c>
      <c r="L4" s="5" t="s">
        <v>115</v>
      </c>
      <c r="M4" s="5" t="s">
        <v>116</v>
      </c>
      <c r="N4" s="5" t="s">
        <v>117</v>
      </c>
      <c r="O4" s="5" t="s">
        <v>118</v>
      </c>
      <c r="P4" s="5" t="s">
        <v>119</v>
      </c>
      <c r="Q4" s="5" t="s">
        <v>120</v>
      </c>
      <c r="R4" s="5" t="s">
        <v>121</v>
      </c>
      <c r="S4" s="5" t="s">
        <v>122</v>
      </c>
      <c r="T4" s="5" t="s">
        <v>123</v>
      </c>
      <c r="U4" s="5" t="s">
        <v>124</v>
      </c>
      <c r="V4" s="5" t="s">
        <v>125</v>
      </c>
      <c r="W4" s="5" t="s">
        <v>126</v>
      </c>
      <c r="X4" s="5" t="s">
        <v>127</v>
      </c>
      <c r="Y4" s="5" t="s">
        <v>128</v>
      </c>
      <c r="Z4" s="5" t="s">
        <v>129</v>
      </c>
      <c r="AA4" s="5" t="s">
        <v>130</v>
      </c>
      <c r="AB4" s="5" t="s">
        <v>131</v>
      </c>
      <c r="AC4" s="5" t="s">
        <v>132</v>
      </c>
      <c r="AD4" s="5" t="s">
        <v>133</v>
      </c>
      <c r="AE4" s="5" t="s">
        <v>134</v>
      </c>
      <c r="AF4" s="5" t="s">
        <v>135</v>
      </c>
      <c r="AG4" s="5" t="s">
        <v>106</v>
      </c>
      <c r="AH4" s="5" t="s">
        <v>107</v>
      </c>
      <c r="AI4" s="5" t="s">
        <v>108</v>
      </c>
      <c r="AJ4" s="5" t="s">
        <v>109</v>
      </c>
      <c r="AK4" s="5" t="s">
        <v>110</v>
      </c>
      <c r="AL4" s="5" t="s">
        <v>111</v>
      </c>
      <c r="AM4" s="5" t="s">
        <v>112</v>
      </c>
      <c r="AN4" s="5" t="s">
        <v>113</v>
      </c>
      <c r="AO4" s="5" t="s">
        <v>114</v>
      </c>
      <c r="AP4" s="5" t="s">
        <v>115</v>
      </c>
      <c r="AQ4" s="5" t="s">
        <v>116</v>
      </c>
      <c r="AR4" s="5" t="s">
        <v>117</v>
      </c>
      <c r="AS4" s="5" t="s">
        <v>118</v>
      </c>
      <c r="AT4" s="5" t="s">
        <v>119</v>
      </c>
      <c r="AU4" s="5" t="s">
        <v>120</v>
      </c>
      <c r="AV4" s="5" t="s">
        <v>121</v>
      </c>
      <c r="AW4" s="5" t="s">
        <v>122</v>
      </c>
      <c r="AX4" s="5" t="s">
        <v>123</v>
      </c>
      <c r="AY4" s="5" t="s">
        <v>124</v>
      </c>
      <c r="AZ4" s="5" t="s">
        <v>125</v>
      </c>
      <c r="BA4" s="5" t="s">
        <v>126</v>
      </c>
      <c r="BB4" s="5" t="s">
        <v>127</v>
      </c>
      <c r="BC4" s="5" t="s">
        <v>128</v>
      </c>
      <c r="BD4" s="5" t="s">
        <v>129</v>
      </c>
      <c r="BE4" s="5" t="s">
        <v>130</v>
      </c>
      <c r="BF4" s="5" t="s">
        <v>131</v>
      </c>
      <c r="BG4" s="5" t="s">
        <v>132</v>
      </c>
      <c r="BH4" s="5" t="s">
        <v>133</v>
      </c>
      <c r="BI4" s="5" t="s">
        <v>134</v>
      </c>
      <c r="BJ4" s="5" t="s">
        <v>135</v>
      </c>
      <c r="BK4" s="5" t="s">
        <v>88</v>
      </c>
      <c r="BL4" s="5" t="s">
        <v>101</v>
      </c>
      <c r="BM4" s="5" t="s">
        <v>102</v>
      </c>
      <c r="BN4" s="5" t="s">
        <v>103</v>
      </c>
      <c r="BO4" s="5" t="s">
        <v>104</v>
      </c>
      <c r="BP4" s="5" t="s">
        <v>141</v>
      </c>
      <c r="BQ4" s="5" t="s">
        <v>105</v>
      </c>
      <c r="BR4" s="5" t="s">
        <v>142</v>
      </c>
      <c r="BS4" s="5" t="s">
        <v>136</v>
      </c>
      <c r="BT4" s="5" t="s">
        <v>137</v>
      </c>
      <c r="BU4" s="5" t="s">
        <v>138</v>
      </c>
      <c r="BV4" s="5" t="s">
        <v>139</v>
      </c>
      <c r="BW4" s="5" t="s">
        <v>140</v>
      </c>
      <c r="BX4" s="5" t="s">
        <v>90</v>
      </c>
      <c r="BY4" s="5" t="s">
        <v>92</v>
      </c>
      <c r="BZ4" s="5" t="s">
        <v>94</v>
      </c>
      <c r="CA4" s="5" t="s">
        <v>95</v>
      </c>
      <c r="CB4" s="5" t="s">
        <v>96</v>
      </c>
      <c r="CC4" s="5" t="s">
        <v>97</v>
      </c>
      <c r="CD4" s="5" t="s">
        <v>98</v>
      </c>
      <c r="CE4" s="5" t="s">
        <v>99</v>
      </c>
      <c r="CF4" s="5" t="s">
        <v>100</v>
      </c>
    </row>
    <row r="5" spans="1:84" x14ac:dyDescent="0.25">
      <c r="B5" s="15"/>
      <c r="C5" s="15" t="s">
        <v>0</v>
      </c>
      <c r="D5" s="15" t="s">
        <v>1</v>
      </c>
      <c r="E5" s="15" t="s">
        <v>2</v>
      </c>
      <c r="F5" s="15" t="s">
        <v>3</v>
      </c>
      <c r="G5" s="15" t="s">
        <v>4</v>
      </c>
      <c r="H5" s="15" t="s">
        <v>5</v>
      </c>
      <c r="I5" s="15" t="s">
        <v>6</v>
      </c>
      <c r="J5" s="15" t="s">
        <v>7</v>
      </c>
      <c r="K5" s="15" t="s">
        <v>8</v>
      </c>
      <c r="L5" s="15" t="s">
        <v>9</v>
      </c>
      <c r="M5" s="15" t="s">
        <v>10</v>
      </c>
      <c r="N5" s="15" t="s">
        <v>11</v>
      </c>
      <c r="O5" s="15" t="s">
        <v>12</v>
      </c>
      <c r="P5" s="15" t="s">
        <v>13</v>
      </c>
      <c r="Q5" s="15" t="s">
        <v>14</v>
      </c>
      <c r="R5" s="15" t="s">
        <v>15</v>
      </c>
      <c r="S5" s="15" t="s">
        <v>16</v>
      </c>
      <c r="T5" s="15" t="s">
        <v>17</v>
      </c>
      <c r="U5" s="15" t="s">
        <v>18</v>
      </c>
      <c r="V5" s="15" t="s">
        <v>19</v>
      </c>
      <c r="W5" s="15" t="s">
        <v>20</v>
      </c>
      <c r="X5" s="15" t="s">
        <v>21</v>
      </c>
      <c r="Y5" s="15" t="s">
        <v>22</v>
      </c>
      <c r="Z5" s="15" t="s">
        <v>23</v>
      </c>
      <c r="AA5" s="15" t="s">
        <v>24</v>
      </c>
      <c r="AB5" s="15" t="s">
        <v>25</v>
      </c>
      <c r="AC5" s="15" t="s">
        <v>26</v>
      </c>
      <c r="AD5" s="15" t="s">
        <v>27</v>
      </c>
      <c r="AE5" s="15" t="s">
        <v>28</v>
      </c>
      <c r="AF5" s="15" t="s">
        <v>29</v>
      </c>
      <c r="AG5" s="15" t="s">
        <v>30</v>
      </c>
      <c r="AH5" s="15" t="s">
        <v>31</v>
      </c>
      <c r="AI5" s="15" t="s">
        <v>32</v>
      </c>
      <c r="AJ5" s="15" t="s">
        <v>33</v>
      </c>
      <c r="AK5" s="15" t="s">
        <v>34</v>
      </c>
      <c r="AL5" s="15" t="s">
        <v>35</v>
      </c>
      <c r="AM5" s="15" t="s">
        <v>36</v>
      </c>
      <c r="AN5" s="15" t="s">
        <v>37</v>
      </c>
      <c r="AO5" s="15" t="s">
        <v>38</v>
      </c>
      <c r="AP5" s="15" t="s">
        <v>39</v>
      </c>
      <c r="AQ5" s="15" t="s">
        <v>40</v>
      </c>
      <c r="AR5" s="15" t="s">
        <v>41</v>
      </c>
      <c r="AS5" s="15" t="s">
        <v>42</v>
      </c>
      <c r="AT5" s="15" t="s">
        <v>43</v>
      </c>
      <c r="AU5" s="15" t="s">
        <v>44</v>
      </c>
      <c r="AV5" s="15" t="s">
        <v>45</v>
      </c>
      <c r="AW5" s="15" t="s">
        <v>46</v>
      </c>
      <c r="AX5" s="15" t="s">
        <v>47</v>
      </c>
      <c r="AY5" s="15" t="s">
        <v>48</v>
      </c>
      <c r="AZ5" s="15" t="s">
        <v>49</v>
      </c>
      <c r="BA5" s="15" t="s">
        <v>50</v>
      </c>
      <c r="BB5" s="15" t="s">
        <v>51</v>
      </c>
      <c r="BC5" s="15" t="s">
        <v>52</v>
      </c>
      <c r="BD5" s="15" t="s">
        <v>53</v>
      </c>
      <c r="BE5" s="15" t="s">
        <v>54</v>
      </c>
      <c r="BF5" s="15" t="s">
        <v>55</v>
      </c>
      <c r="BG5" s="15" t="s">
        <v>56</v>
      </c>
      <c r="BH5" s="15" t="s">
        <v>57</v>
      </c>
      <c r="BI5" s="15" t="s">
        <v>58</v>
      </c>
      <c r="BJ5" s="15" t="s">
        <v>59</v>
      </c>
      <c r="BK5" s="15" t="s">
        <v>60</v>
      </c>
      <c r="BL5" s="15" t="s">
        <v>61</v>
      </c>
      <c r="BM5" s="15" t="s">
        <v>62</v>
      </c>
      <c r="BN5" s="15" t="s">
        <v>63</v>
      </c>
      <c r="BO5" s="15" t="s">
        <v>64</v>
      </c>
      <c r="BP5" s="15" t="s">
        <v>65</v>
      </c>
      <c r="BQ5" s="15" t="s">
        <v>66</v>
      </c>
      <c r="BR5" s="15" t="s">
        <v>67</v>
      </c>
      <c r="BS5" s="15" t="s">
        <v>68</v>
      </c>
      <c r="BT5" s="15" t="s">
        <v>69</v>
      </c>
      <c r="BU5" s="15" t="s">
        <v>70</v>
      </c>
      <c r="BV5" s="15" t="s">
        <v>71</v>
      </c>
      <c r="BW5" s="15" t="s">
        <v>72</v>
      </c>
      <c r="BX5" s="15" t="s">
        <v>73</v>
      </c>
      <c r="BY5" s="15" t="s">
        <v>74</v>
      </c>
      <c r="BZ5" s="15" t="s">
        <v>75</v>
      </c>
      <c r="CA5" s="15" t="s">
        <v>76</v>
      </c>
      <c r="CB5" s="15" t="s">
        <v>77</v>
      </c>
      <c r="CC5" s="15" t="s">
        <v>78</v>
      </c>
      <c r="CD5" s="15" t="s">
        <v>79</v>
      </c>
      <c r="CE5" s="15" t="s">
        <v>80</v>
      </c>
      <c r="CF5" s="15" t="s">
        <v>81</v>
      </c>
    </row>
    <row r="6" spans="1:84" x14ac:dyDescent="0.25">
      <c r="A6" s="5" t="str">
        <f>VLOOKUP(B6,Notes!$A$8:$C$37,3,0)</f>
        <v>Cereals</v>
      </c>
      <c r="B6" s="15" t="s">
        <v>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>
        <v>969.53394978483573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>
        <v>969.53394978483573</v>
      </c>
    </row>
    <row r="7" spans="1:84" x14ac:dyDescent="0.25">
      <c r="A7" s="5" t="str">
        <f>VLOOKUP(B7,Notes!$A$8:$C$37,3,0)</f>
        <v>Pulses and oilseeds</v>
      </c>
      <c r="B7" s="15" t="s">
        <v>1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>
        <v>74.351835250642083</v>
      </c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>
        <v>14.77499049796829</v>
      </c>
      <c r="BT7" s="15">
        <v>13.761288004881731</v>
      </c>
      <c r="BU7" s="15">
        <v>12.05219161272929</v>
      </c>
      <c r="BV7" s="15">
        <v>9.8723053354337758</v>
      </c>
      <c r="BW7" s="15">
        <v>7.6293314775795595</v>
      </c>
      <c r="BX7" s="15"/>
      <c r="BY7" s="15"/>
      <c r="BZ7" s="15"/>
      <c r="CA7" s="15"/>
      <c r="CB7" s="15"/>
      <c r="CC7" s="15"/>
      <c r="CD7" s="15"/>
      <c r="CE7" s="15"/>
      <c r="CF7" s="15">
        <v>132.44194217923473</v>
      </c>
    </row>
    <row r="8" spans="1:84" x14ac:dyDescent="0.25">
      <c r="A8" s="5" t="str">
        <f>VLOOKUP(B8,Notes!$A$8:$C$37,3,0)</f>
        <v>Root crops</v>
      </c>
      <c r="B8" s="15" t="s">
        <v>2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>
        <v>242.53103283088487</v>
      </c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>
        <v>0.21788977873478813</v>
      </c>
      <c r="BT8" s="15">
        <v>0.29512098614791554</v>
      </c>
      <c r="BU8" s="15">
        <v>0.31696874598326841</v>
      </c>
      <c r="BV8" s="15">
        <v>0.2925878308666649</v>
      </c>
      <c r="BW8" s="15">
        <v>0.28924825568735874</v>
      </c>
      <c r="BX8" s="15"/>
      <c r="BY8" s="15"/>
      <c r="BZ8" s="15"/>
      <c r="CA8" s="15"/>
      <c r="CB8" s="15"/>
      <c r="CC8" s="15"/>
      <c r="CD8" s="15"/>
      <c r="CE8" s="15"/>
      <c r="CF8" s="15">
        <v>243.94284842830487</v>
      </c>
    </row>
    <row r="9" spans="1:84" x14ac:dyDescent="0.25">
      <c r="A9" s="5" t="str">
        <f>VLOOKUP(B9,Notes!$A$8:$C$37,3,0)</f>
        <v>Vegetables &amp; fruits</v>
      </c>
      <c r="B9" s="15" t="s">
        <v>3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>
        <v>246.45956548986916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>
        <v>2.1688955493441036</v>
      </c>
      <c r="BT9" s="15">
        <v>2.8775569760984578</v>
      </c>
      <c r="BU9" s="15">
        <v>3.4852291790692185</v>
      </c>
      <c r="BV9" s="15">
        <v>4.1966037093273405</v>
      </c>
      <c r="BW9" s="15">
        <v>4.2410829602438591</v>
      </c>
      <c r="BX9" s="15"/>
      <c r="BY9" s="15"/>
      <c r="BZ9" s="15"/>
      <c r="CA9" s="15"/>
      <c r="CB9" s="15"/>
      <c r="CC9" s="15"/>
      <c r="CD9" s="15"/>
      <c r="CE9" s="15"/>
      <c r="CF9" s="15">
        <v>263.42893386395218</v>
      </c>
    </row>
    <row r="10" spans="1:84" x14ac:dyDescent="0.25">
      <c r="A10" s="5" t="str">
        <f>VLOOKUP(B10,Notes!$A$8:$C$37,3,0)</f>
        <v>Export-oriented crops</v>
      </c>
      <c r="B10" s="15" t="s">
        <v>4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>
        <v>281.47192755604345</v>
      </c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>
        <v>0.24318640416215317</v>
      </c>
      <c r="BT10" s="15">
        <v>0.40081479053808483</v>
      </c>
      <c r="BU10" s="15">
        <v>0.42775311084225448</v>
      </c>
      <c r="BV10" s="15">
        <v>0.51922647633838148</v>
      </c>
      <c r="BW10" s="15">
        <v>0.4949684000956931</v>
      </c>
      <c r="BX10" s="15"/>
      <c r="BY10" s="15"/>
      <c r="BZ10" s="15"/>
      <c r="CA10" s="15"/>
      <c r="CB10" s="15"/>
      <c r="CC10" s="15"/>
      <c r="CD10" s="15"/>
      <c r="CE10" s="15"/>
      <c r="CF10" s="15">
        <v>283.55787673802001</v>
      </c>
    </row>
    <row r="11" spans="1:84" x14ac:dyDescent="0.25">
      <c r="A11" s="5" t="str">
        <f>VLOOKUP(B11,Notes!$A$8:$C$37,3,0)</f>
        <v>Cattle and milk</v>
      </c>
      <c r="B11" s="15" t="s">
        <v>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>
        <v>296.85477301905485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>
        <v>4.0473872839754037</v>
      </c>
      <c r="BT11" s="15">
        <v>5.6346296605616137</v>
      </c>
      <c r="BU11" s="15">
        <v>6.4581881920714057</v>
      </c>
      <c r="BV11" s="15">
        <v>7.8957978935854074</v>
      </c>
      <c r="BW11" s="15">
        <v>7.7989888198899759</v>
      </c>
      <c r="BX11" s="15"/>
      <c r="BY11" s="15"/>
      <c r="BZ11" s="15"/>
      <c r="CA11" s="15"/>
      <c r="CB11" s="15"/>
      <c r="CC11" s="15"/>
      <c r="CD11" s="15"/>
      <c r="CE11" s="15"/>
      <c r="CF11" s="15">
        <v>328.68976486913863</v>
      </c>
    </row>
    <row r="12" spans="1:84" x14ac:dyDescent="0.25">
      <c r="A12" s="5" t="str">
        <f>VLOOKUP(B12,Notes!$A$8:$C$37,3,0)</f>
        <v>Poultry and eggs</v>
      </c>
      <c r="B12" s="15" t="s">
        <v>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>
        <v>291.72804458061313</v>
      </c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>
        <v>1.6348227527762647</v>
      </c>
      <c r="BT12" s="15">
        <v>2.2557149687307727</v>
      </c>
      <c r="BU12" s="15">
        <v>2.7789321088237005</v>
      </c>
      <c r="BV12" s="15">
        <v>2.7799191845646281</v>
      </c>
      <c r="BW12" s="15">
        <v>2.9881319143056224</v>
      </c>
      <c r="BX12" s="15"/>
      <c r="BY12" s="15"/>
      <c r="BZ12" s="15"/>
      <c r="CA12" s="15"/>
      <c r="CB12" s="15"/>
      <c r="CC12" s="15"/>
      <c r="CD12" s="15"/>
      <c r="CE12" s="15"/>
      <c r="CF12" s="15">
        <v>304.16556550981409</v>
      </c>
    </row>
    <row r="13" spans="1:84" x14ac:dyDescent="0.25">
      <c r="A13" s="5" t="str">
        <f>VLOOKUP(B13,Notes!$A$8:$C$37,3,0)</f>
        <v>Other livestock</v>
      </c>
      <c r="B13" s="15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>
        <v>214.76318837289318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>
        <v>0.56908462139987248</v>
      </c>
      <c r="BT13" s="15">
        <v>1.1347160462859731</v>
      </c>
      <c r="BU13" s="15">
        <v>3.7144438654096654</v>
      </c>
      <c r="BV13" s="15">
        <v>5.7918236522535951</v>
      </c>
      <c r="BW13" s="15">
        <v>12.560758150542908</v>
      </c>
      <c r="BX13" s="15"/>
      <c r="BY13" s="15"/>
      <c r="BZ13" s="15"/>
      <c r="CA13" s="15"/>
      <c r="CB13" s="15"/>
      <c r="CC13" s="15"/>
      <c r="CD13" s="15"/>
      <c r="CE13" s="15"/>
      <c r="CF13" s="15">
        <v>238.53401470878518</v>
      </c>
    </row>
    <row r="14" spans="1:84" x14ac:dyDescent="0.25">
      <c r="A14" s="5" t="str">
        <f>VLOOKUP(B14,Notes!$A$8:$C$37,3,0)</f>
        <v>Forestry</v>
      </c>
      <c r="B14" s="15" t="s">
        <v>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>
        <v>377.39081655191569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>
        <v>12.286033401927833</v>
      </c>
      <c r="BT14" s="15">
        <v>15.181252150481594</v>
      </c>
      <c r="BU14" s="15">
        <v>17.581972376505458</v>
      </c>
      <c r="BV14" s="15">
        <v>18.149080576715384</v>
      </c>
      <c r="BW14" s="15">
        <v>18.21982583647209</v>
      </c>
      <c r="BX14" s="15"/>
      <c r="BY14" s="15"/>
      <c r="BZ14" s="15"/>
      <c r="CA14" s="15"/>
      <c r="CB14" s="15"/>
      <c r="CC14" s="15"/>
      <c r="CD14" s="15"/>
      <c r="CE14" s="15"/>
      <c r="CF14" s="15">
        <v>458.80898089401808</v>
      </c>
    </row>
    <row r="15" spans="1:84" x14ac:dyDescent="0.25">
      <c r="A15" s="5" t="str">
        <f>VLOOKUP(B15,Notes!$A$8:$C$37,3,0)</f>
        <v>Fisheries</v>
      </c>
      <c r="B15" s="15" t="s">
        <v>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>
        <v>1199.0116942453169</v>
      </c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>
        <v>4.4799054943789463</v>
      </c>
      <c r="BT15" s="15">
        <v>6.4840276893755524</v>
      </c>
      <c r="BU15" s="15">
        <v>6.3349985347085171</v>
      </c>
      <c r="BV15" s="15">
        <v>6.3085900915135493</v>
      </c>
      <c r="BW15" s="15">
        <v>5.9300738880372288</v>
      </c>
      <c r="BX15" s="15"/>
      <c r="BY15" s="15"/>
      <c r="BZ15" s="15"/>
      <c r="CA15" s="15"/>
      <c r="CB15" s="15"/>
      <c r="CC15" s="15"/>
      <c r="CD15" s="15"/>
      <c r="CE15" s="15"/>
      <c r="CF15" s="15">
        <v>1228.5492899433307</v>
      </c>
    </row>
    <row r="16" spans="1:84" x14ac:dyDescent="0.25">
      <c r="A16" s="5" t="str">
        <f>VLOOKUP(B16,Notes!$A$8:$C$37,3,0)</f>
        <v>Mining</v>
      </c>
      <c r="B16" s="15" t="s">
        <v>10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>
        <v>517.75716066374912</v>
      </c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>
        <v>517.75716066374912</v>
      </c>
    </row>
    <row r="17" spans="1:84" x14ac:dyDescent="0.25">
      <c r="A17" s="5" t="str">
        <f>VLOOKUP(B17,Notes!$A$8:$C$37,3,0)</f>
        <v>Meat, fish and dairy</v>
      </c>
      <c r="B17" s="15" t="s">
        <v>11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>
        <v>135.36841336532868</v>
      </c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>
        <v>1.118248730900739E-2</v>
      </c>
      <c r="BT17" s="15">
        <v>2.545412589962346E-2</v>
      </c>
      <c r="BU17" s="15">
        <v>2.6304268903256777E-2</v>
      </c>
      <c r="BV17" s="15">
        <v>3.2435583761793063E-2</v>
      </c>
      <c r="BW17" s="15">
        <v>8.8365273858199617E-2</v>
      </c>
      <c r="BX17" s="15"/>
      <c r="BY17" s="15"/>
      <c r="BZ17" s="15"/>
      <c r="CA17" s="15"/>
      <c r="CB17" s="15"/>
      <c r="CC17" s="15"/>
      <c r="CD17" s="15"/>
      <c r="CE17" s="15"/>
      <c r="CF17" s="15">
        <v>135.55215510506054</v>
      </c>
    </row>
    <row r="18" spans="1:84" x14ac:dyDescent="0.25">
      <c r="A18" s="5" t="str">
        <f>VLOOKUP(B18,Notes!$A$8:$C$37,3,0)</f>
        <v>Fruits and vegetables</v>
      </c>
      <c r="B18" s="15" t="s">
        <v>12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>
        <v>14.57081440399905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>
        <v>14.57081440399905</v>
      </c>
    </row>
    <row r="19" spans="1:84" x14ac:dyDescent="0.25">
      <c r="A19" s="5" t="str">
        <f>VLOOKUP(B19,Notes!$A$8:$C$37,3,0)</f>
        <v>Fats and oils</v>
      </c>
      <c r="B19" s="15" t="s">
        <v>13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>
        <v>129.34792944012531</v>
      </c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>
        <v>0.13118548938928171</v>
      </c>
      <c r="BT19" s="15">
        <v>0.14309611244128778</v>
      </c>
      <c r="BU19" s="15">
        <v>0.18376863587809031</v>
      </c>
      <c r="BV19" s="15">
        <v>0.27325233910014557</v>
      </c>
      <c r="BW19" s="15">
        <v>0.18900089136485912</v>
      </c>
      <c r="BX19" s="15"/>
      <c r="BY19" s="15"/>
      <c r="BZ19" s="15"/>
      <c r="CA19" s="15"/>
      <c r="CB19" s="15"/>
      <c r="CC19" s="15"/>
      <c r="CD19" s="15"/>
      <c r="CE19" s="15"/>
      <c r="CF19" s="15">
        <v>130.26823290829898</v>
      </c>
    </row>
    <row r="20" spans="1:84" x14ac:dyDescent="0.25">
      <c r="A20" s="5" t="str">
        <f>VLOOKUP(B20,Notes!$A$8:$C$37,3,0)</f>
        <v>Grain milling</v>
      </c>
      <c r="B20" s="15" t="s">
        <v>14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>
        <v>832.39335239827165</v>
      </c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>
        <v>26.05455062285602</v>
      </c>
      <c r="BT20" s="15">
        <v>34.194054559546018</v>
      </c>
      <c r="BU20" s="15">
        <v>33.448207775330879</v>
      </c>
      <c r="BV20" s="15">
        <v>32.306775293394082</v>
      </c>
      <c r="BW20" s="15">
        <v>26.443203486833724</v>
      </c>
      <c r="BX20" s="15"/>
      <c r="BY20" s="15"/>
      <c r="BZ20" s="15"/>
      <c r="CA20" s="15"/>
      <c r="CB20" s="15"/>
      <c r="CC20" s="15"/>
      <c r="CD20" s="15"/>
      <c r="CE20" s="15"/>
      <c r="CF20" s="15">
        <v>984.84014413623231</v>
      </c>
    </row>
    <row r="21" spans="1:84" x14ac:dyDescent="0.25">
      <c r="A21" s="5" t="str">
        <f>VLOOKUP(B21,Notes!$A$8:$C$37,3,0)</f>
        <v>Other food processing</v>
      </c>
      <c r="B21" s="15" t="s">
        <v>15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>
        <v>405.26452632223618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>
        <v>0.13282443576000597</v>
      </c>
      <c r="BT21" s="15">
        <v>0.19685539002473018</v>
      </c>
      <c r="BU21" s="15">
        <v>0.29151509670567316</v>
      </c>
      <c r="BV21" s="15">
        <v>0.35458652456837636</v>
      </c>
      <c r="BW21" s="15">
        <v>0.74048509971201804</v>
      </c>
      <c r="BX21" s="15"/>
      <c r="BY21" s="15"/>
      <c r="BZ21" s="15"/>
      <c r="CA21" s="15"/>
      <c r="CB21" s="15"/>
      <c r="CC21" s="15"/>
      <c r="CD21" s="15"/>
      <c r="CE21" s="15"/>
      <c r="CF21" s="15">
        <v>406.98079286900702</v>
      </c>
    </row>
    <row r="22" spans="1:84" x14ac:dyDescent="0.25">
      <c r="A22" s="5" t="str">
        <f>VLOOKUP(B22,Notes!$A$8:$C$37,3,0)</f>
        <v>Beverages and tobacco</v>
      </c>
      <c r="B22" s="15" t="s">
        <v>16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>
        <v>289.16366990775293</v>
      </c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>
        <v>289.16366990775293</v>
      </c>
    </row>
    <row r="23" spans="1:84" x14ac:dyDescent="0.25">
      <c r="A23" s="5" t="str">
        <f>VLOOKUP(B23,Notes!$A$8:$C$37,3,0)</f>
        <v>Textiles, clothing and footwear</v>
      </c>
      <c r="B23" s="15" t="s">
        <v>17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>
        <v>3548.1146286746748</v>
      </c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>
        <v>3548.1146286746748</v>
      </c>
    </row>
    <row r="24" spans="1:84" x14ac:dyDescent="0.25">
      <c r="A24" s="5" t="str">
        <f>VLOOKUP(B24,Notes!$A$8:$C$37,3,0)</f>
        <v>Wood and paper products</v>
      </c>
      <c r="B24" s="15" t="s">
        <v>18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>
        <v>451.88793041524428</v>
      </c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>
        <v>451.88793041524428</v>
      </c>
    </row>
    <row r="25" spans="1:84" x14ac:dyDescent="0.25">
      <c r="A25" s="5" t="str">
        <f>VLOOKUP(B25,Notes!$A$8:$C$37,3,0)</f>
        <v>Chemicals</v>
      </c>
      <c r="B25" s="15" t="s">
        <v>19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>
        <v>401.13925314507298</v>
      </c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>
        <v>401.13925314507298</v>
      </c>
    </row>
    <row r="26" spans="1:84" x14ac:dyDescent="0.25">
      <c r="A26" s="5" t="str">
        <f>VLOOKUP(B26,Notes!$A$8:$C$37,3,0)</f>
        <v>Nonmetal minerals</v>
      </c>
      <c r="B26" s="15" t="s">
        <v>20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>
        <v>793.09756259927474</v>
      </c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>
        <v>793.09756259927474</v>
      </c>
    </row>
    <row r="27" spans="1:84" x14ac:dyDescent="0.25">
      <c r="A27" s="5" t="str">
        <f>VLOOKUP(B27,Notes!$A$8:$C$37,3,0)</f>
        <v>Metals and machinery</v>
      </c>
      <c r="B27" s="15" t="s">
        <v>21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>
        <v>1767.9933325894503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>
        <v>1767.9933325894503</v>
      </c>
    </row>
    <row r="28" spans="1:84" x14ac:dyDescent="0.25">
      <c r="A28" s="5" t="str">
        <f>VLOOKUP(B28,Notes!$A$8:$C$37,3,0)</f>
        <v>Other manufacturing</v>
      </c>
      <c r="B28" s="15" t="s">
        <v>22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>
        <v>546.81908880039816</v>
      </c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>
        <v>546.81908880039816</v>
      </c>
    </row>
    <row r="29" spans="1:84" x14ac:dyDescent="0.25">
      <c r="A29" s="5" t="str">
        <f>VLOOKUP(B29,Notes!$A$8:$C$37,3,0)</f>
        <v>Electricity and water</v>
      </c>
      <c r="B29" s="15" t="s">
        <v>23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>
        <v>1038.6952497602128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>
        <v>1038.6952497602128</v>
      </c>
    </row>
    <row r="30" spans="1:84" x14ac:dyDescent="0.25">
      <c r="A30" s="5" t="str">
        <f>VLOOKUP(B30,Notes!$A$8:$C$37,3,0)</f>
        <v>Construction</v>
      </c>
      <c r="B30" s="15" t="s">
        <v>24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>
        <v>3926.0191175441196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>
        <v>3926.0191175441196</v>
      </c>
    </row>
    <row r="31" spans="1:84" x14ac:dyDescent="0.25">
      <c r="A31" s="5" t="str">
        <f>VLOOKUP(B31,Notes!$A$8:$C$37,3,0)</f>
        <v>Trade, hotels and food services</v>
      </c>
      <c r="B31" s="15" t="s">
        <v>25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>
        <v>3220.3839505619885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>
        <v>3220.3839505619885</v>
      </c>
    </row>
    <row r="32" spans="1:84" x14ac:dyDescent="0.25">
      <c r="A32" s="5" t="str">
        <f>VLOOKUP(B32,Notes!$A$8:$C$37,3,0)</f>
        <v>Transport and communication</v>
      </c>
      <c r="B32" s="15" t="s">
        <v>26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>
        <v>2859.1981204374006</v>
      </c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>
        <v>2859.1981204374006</v>
      </c>
    </row>
    <row r="33" spans="1:85" x14ac:dyDescent="0.25">
      <c r="A33" s="5" t="str">
        <f>VLOOKUP(B33,Notes!$A$8:$C$37,3,0)</f>
        <v>Finance, business and real estate</v>
      </c>
      <c r="B33" s="15" t="s">
        <v>27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>
        <v>2508.2331280033736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>
        <v>2508.2331280033736</v>
      </c>
    </row>
    <row r="34" spans="1:85" x14ac:dyDescent="0.25">
      <c r="A34" s="5" t="str">
        <f>VLOOKUP(B34,Notes!$A$8:$C$37,3,0)</f>
        <v>Government, health and education</v>
      </c>
      <c r="B34" s="15" t="s">
        <v>28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>
        <v>2262.4772704116963</v>
      </c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>
        <v>2262.4772704116963</v>
      </c>
    </row>
    <row r="35" spans="1:85" x14ac:dyDescent="0.25">
      <c r="A35" s="5" t="str">
        <f>VLOOKUP(B35,Notes!$A$8:$C$37,3,0)</f>
        <v>Other services</v>
      </c>
      <c r="B35" s="15" t="s">
        <v>29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>
        <v>1998.7721885229485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>
        <v>1998.7721885229485</v>
      </c>
    </row>
    <row r="36" spans="1:85" x14ac:dyDescent="0.25">
      <c r="A36" s="5" t="str">
        <f>VLOOKUP(B36,Notes!$B$8:$C$37,2,0)</f>
        <v>Cereals</v>
      </c>
      <c r="B36" s="15" t="s">
        <v>30</v>
      </c>
      <c r="C36" s="15">
        <v>76.166745820936242</v>
      </c>
      <c r="D36" s="15"/>
      <c r="E36" s="15"/>
      <c r="F36" s="15"/>
      <c r="G36" s="15"/>
      <c r="H36" s="15">
        <v>46.537069746072603</v>
      </c>
      <c r="I36" s="15">
        <v>11.912750494029726</v>
      </c>
      <c r="J36" s="15">
        <v>22.035206871274539</v>
      </c>
      <c r="K36" s="15"/>
      <c r="L36" s="15"/>
      <c r="M36" s="15"/>
      <c r="N36" s="15"/>
      <c r="O36" s="15">
        <v>2.160123131455945E-2</v>
      </c>
      <c r="P36" s="15"/>
      <c r="Q36" s="15">
        <v>842.25167448478396</v>
      </c>
      <c r="R36" s="15">
        <v>69.315270353768028</v>
      </c>
      <c r="S36" s="15"/>
      <c r="T36" s="15"/>
      <c r="U36" s="15"/>
      <c r="V36" s="15"/>
      <c r="W36" s="15"/>
      <c r="X36" s="15"/>
      <c r="Y36" s="15"/>
      <c r="Z36" s="15"/>
      <c r="AA36" s="15"/>
      <c r="AB36" s="15">
        <v>1.7216085665799936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>
        <v>3.2781518288065579E-5</v>
      </c>
      <c r="CF36" s="15">
        <v>1069.9619603502779</v>
      </c>
      <c r="CG36" s="1"/>
    </row>
    <row r="37" spans="1:85" x14ac:dyDescent="0.25">
      <c r="A37" s="5" t="str">
        <f>VLOOKUP(B37,Notes!$B$8:$C$37,2,0)</f>
        <v>Pulses and oilseeds</v>
      </c>
      <c r="B37" s="15" t="s">
        <v>31</v>
      </c>
      <c r="C37" s="15"/>
      <c r="D37" s="15">
        <v>12.285982070117585</v>
      </c>
      <c r="E37" s="15"/>
      <c r="F37" s="15"/>
      <c r="G37" s="15"/>
      <c r="H37" s="15">
        <v>4.2569760456006929</v>
      </c>
      <c r="I37" s="15">
        <v>15.425748964637728</v>
      </c>
      <c r="J37" s="15">
        <v>2.0543881366195462</v>
      </c>
      <c r="K37" s="15"/>
      <c r="L37" s="15"/>
      <c r="M37" s="15"/>
      <c r="N37" s="15"/>
      <c r="O37" s="15">
        <v>2.2248977110291824E-2</v>
      </c>
      <c r="P37" s="15">
        <v>38.560376250223797</v>
      </c>
      <c r="Q37" s="15"/>
      <c r="R37" s="15">
        <v>14.989752094490123</v>
      </c>
      <c r="S37" s="15"/>
      <c r="T37" s="15"/>
      <c r="U37" s="15"/>
      <c r="V37" s="15"/>
      <c r="W37" s="15"/>
      <c r="X37" s="15"/>
      <c r="Y37" s="15"/>
      <c r="Z37" s="15"/>
      <c r="AA37" s="15"/>
      <c r="AB37" s="15">
        <v>2.4911249722080324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>
        <v>8.7673975303797675</v>
      </c>
      <c r="BT37" s="15">
        <v>13.519074490975159</v>
      </c>
      <c r="BU37" s="15">
        <v>18.321062209171703</v>
      </c>
      <c r="BV37" s="15">
        <v>28.467057555355066</v>
      </c>
      <c r="BW37" s="15">
        <v>74.211649258796754</v>
      </c>
      <c r="BX37" s="15"/>
      <c r="BY37" s="15"/>
      <c r="BZ37" s="15"/>
      <c r="CA37" s="15"/>
      <c r="CB37" s="15"/>
      <c r="CC37" s="15"/>
      <c r="CD37" s="15"/>
      <c r="CE37" s="15">
        <v>1.4929173474307187</v>
      </c>
      <c r="CF37" s="15">
        <v>234.86575590311696</v>
      </c>
      <c r="CG37" s="1"/>
    </row>
    <row r="38" spans="1:85" x14ac:dyDescent="0.25">
      <c r="A38" s="5" t="str">
        <f>VLOOKUP(B38,Notes!$B$8:$C$37,2,0)</f>
        <v>Root crops</v>
      </c>
      <c r="B38" s="15" t="s">
        <v>32</v>
      </c>
      <c r="C38" s="15"/>
      <c r="D38" s="15"/>
      <c r="E38" s="15">
        <v>16.041845649482223</v>
      </c>
      <c r="F38" s="15"/>
      <c r="G38" s="15"/>
      <c r="H38" s="15"/>
      <c r="I38" s="15"/>
      <c r="J38" s="15"/>
      <c r="K38" s="15"/>
      <c r="L38" s="15"/>
      <c r="M38" s="15"/>
      <c r="N38" s="15"/>
      <c r="O38" s="15">
        <v>2.2080819994314518E-2</v>
      </c>
      <c r="P38" s="15"/>
      <c r="Q38" s="15"/>
      <c r="R38" s="15">
        <v>12.426865514004351</v>
      </c>
      <c r="S38" s="15"/>
      <c r="T38" s="15"/>
      <c r="U38" s="15"/>
      <c r="V38" s="15"/>
      <c r="W38" s="15"/>
      <c r="X38" s="15"/>
      <c r="Y38" s="15"/>
      <c r="Z38" s="15"/>
      <c r="AA38" s="15"/>
      <c r="AB38" s="15">
        <v>11.716583725281289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>
        <v>14.972512021814744</v>
      </c>
      <c r="BT38" s="15">
        <v>20.06785635859103</v>
      </c>
      <c r="BU38" s="15">
        <v>26.251143725922457</v>
      </c>
      <c r="BV38" s="15">
        <v>39.649145501587071</v>
      </c>
      <c r="BW38" s="15">
        <v>99.844175893427163</v>
      </c>
      <c r="BX38" s="15"/>
      <c r="BY38" s="15"/>
      <c r="BZ38" s="15"/>
      <c r="CA38" s="15"/>
      <c r="CB38" s="15"/>
      <c r="CC38" s="15"/>
      <c r="CD38" s="15"/>
      <c r="CE38" s="15">
        <v>1.5388236207802211</v>
      </c>
      <c r="CF38" s="15">
        <v>242.53103283088487</v>
      </c>
      <c r="CG38" s="1"/>
    </row>
    <row r="39" spans="1:85" x14ac:dyDescent="0.25">
      <c r="A39" s="5" t="str">
        <f>VLOOKUP(B39,Notes!$B$8:$C$37,2,0)</f>
        <v>Vegetables &amp; fruits</v>
      </c>
      <c r="B39" s="15" t="s">
        <v>33</v>
      </c>
      <c r="C39" s="15"/>
      <c r="D39" s="15"/>
      <c r="E39" s="15"/>
      <c r="F39" s="15">
        <v>12.045377105288692</v>
      </c>
      <c r="G39" s="15"/>
      <c r="H39" s="15"/>
      <c r="I39" s="15"/>
      <c r="J39" s="15"/>
      <c r="K39" s="15"/>
      <c r="L39" s="15"/>
      <c r="M39" s="15"/>
      <c r="N39" s="15">
        <v>1.1247402492177441</v>
      </c>
      <c r="O39" s="15">
        <v>7.6250979981828975</v>
      </c>
      <c r="P39" s="15">
        <v>3.9833823024722608</v>
      </c>
      <c r="Q39" s="15"/>
      <c r="R39" s="15">
        <v>2.6797186895405969</v>
      </c>
      <c r="S39" s="15"/>
      <c r="T39" s="15"/>
      <c r="U39" s="15"/>
      <c r="V39" s="15"/>
      <c r="W39" s="15"/>
      <c r="X39" s="15"/>
      <c r="Y39" s="15"/>
      <c r="Z39" s="15"/>
      <c r="AA39" s="15"/>
      <c r="AB39" s="15">
        <v>13.832117993386481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>
        <v>44.110106336138571</v>
      </c>
      <c r="BT39" s="15">
        <v>67.04144241478194</v>
      </c>
      <c r="BU39" s="15">
        <v>93.294093986893756</v>
      </c>
      <c r="BV39" s="15">
        <v>138.85002232359807</v>
      </c>
      <c r="BW39" s="15">
        <v>337.12325906164421</v>
      </c>
      <c r="BX39" s="15"/>
      <c r="BY39" s="15"/>
      <c r="BZ39" s="15"/>
      <c r="CA39" s="15"/>
      <c r="CB39" s="15"/>
      <c r="CC39" s="15"/>
      <c r="CD39" s="15"/>
      <c r="CE39" s="15">
        <v>2.7266930795093187</v>
      </c>
      <c r="CF39" s="15">
        <v>724.4360515406546</v>
      </c>
      <c r="CG39" s="1"/>
    </row>
    <row r="40" spans="1:85" x14ac:dyDescent="0.25">
      <c r="A40" s="5" t="str">
        <f>VLOOKUP(B40,Notes!$B$8:$C$37,2,0)</f>
        <v>Export-oriented crops</v>
      </c>
      <c r="B40" s="15" t="s">
        <v>34</v>
      </c>
      <c r="C40" s="15"/>
      <c r="D40" s="15"/>
      <c r="E40" s="15"/>
      <c r="F40" s="15"/>
      <c r="G40" s="15">
        <v>39.217188511044832</v>
      </c>
      <c r="H40" s="15">
        <v>4.3148954917029219</v>
      </c>
      <c r="I40" s="15"/>
      <c r="J40" s="15">
        <v>2.0807402352933839</v>
      </c>
      <c r="K40" s="15"/>
      <c r="L40" s="15"/>
      <c r="M40" s="15"/>
      <c r="N40" s="15">
        <v>0.17076597360564552</v>
      </c>
      <c r="O40" s="15">
        <v>8.6731208961607964E-2</v>
      </c>
      <c r="P40" s="15">
        <v>0.63190806412023093</v>
      </c>
      <c r="Q40" s="15"/>
      <c r="R40" s="15">
        <v>33.123757357549863</v>
      </c>
      <c r="S40" s="15">
        <v>25.208416967091253</v>
      </c>
      <c r="T40" s="15">
        <v>140.11263050991803</v>
      </c>
      <c r="U40" s="15">
        <v>2.6039801515746359</v>
      </c>
      <c r="V40" s="15">
        <v>10.616452395383069</v>
      </c>
      <c r="W40" s="15"/>
      <c r="X40" s="15"/>
      <c r="Y40" s="15">
        <v>31.66438139175574</v>
      </c>
      <c r="Z40" s="15"/>
      <c r="AA40" s="15"/>
      <c r="AB40" s="15">
        <v>18.053364426648802</v>
      </c>
      <c r="AC40" s="15"/>
      <c r="AD40" s="15"/>
      <c r="AE40" s="15">
        <v>1.7865239523204295</v>
      </c>
      <c r="AF40" s="15">
        <v>3.6082820496660259</v>
      </c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>
        <v>34.675370948250993</v>
      </c>
      <c r="BT40" s="15">
        <v>52.200431698239001</v>
      </c>
      <c r="BU40" s="15">
        <v>67.523348214917306</v>
      </c>
      <c r="BV40" s="15">
        <v>93.772653184973336</v>
      </c>
      <c r="BW40" s="15">
        <v>186.1575995137606</v>
      </c>
      <c r="BX40" s="15"/>
      <c r="BY40" s="15"/>
      <c r="BZ40" s="15"/>
      <c r="CA40" s="15"/>
      <c r="CB40" s="15"/>
      <c r="CC40" s="15"/>
      <c r="CD40" s="15"/>
      <c r="CE40" s="15">
        <v>19.558832403961922</v>
      </c>
      <c r="CF40" s="15">
        <v>767.16825465073953</v>
      </c>
      <c r="CG40" s="1"/>
    </row>
    <row r="41" spans="1:85" x14ac:dyDescent="0.25">
      <c r="A41" s="5" t="str">
        <f>VLOOKUP(B41,Notes!$B$8:$C$37,2,0)</f>
        <v>Cattle and milk</v>
      </c>
      <c r="B41" s="15" t="s">
        <v>35</v>
      </c>
      <c r="C41" s="15">
        <v>7.434391468852577</v>
      </c>
      <c r="D41" s="15">
        <v>3.4866589905309127</v>
      </c>
      <c r="E41" s="15">
        <v>3.349672575440974</v>
      </c>
      <c r="F41" s="15">
        <v>3.5428494358497673</v>
      </c>
      <c r="G41" s="15">
        <v>2.1263618012880134</v>
      </c>
      <c r="H41" s="15">
        <v>6.3608091992822251</v>
      </c>
      <c r="I41" s="15">
        <v>0.70564461077710661</v>
      </c>
      <c r="J41" s="15">
        <v>3.0727469260122335</v>
      </c>
      <c r="K41" s="15"/>
      <c r="L41" s="15"/>
      <c r="M41" s="15"/>
      <c r="N41" s="15">
        <v>17.72649964562131</v>
      </c>
      <c r="O41" s="15"/>
      <c r="P41" s="15"/>
      <c r="Q41" s="15"/>
      <c r="R41" s="15">
        <v>2.6606949840274594</v>
      </c>
      <c r="S41" s="15"/>
      <c r="T41" s="15">
        <v>23.525761247347951</v>
      </c>
      <c r="U41" s="15"/>
      <c r="V41" s="15"/>
      <c r="W41" s="15"/>
      <c r="X41" s="15"/>
      <c r="Y41" s="15">
        <v>8.7364228969826385</v>
      </c>
      <c r="Z41" s="15"/>
      <c r="AA41" s="15"/>
      <c r="AB41" s="15">
        <v>60.967343706487505</v>
      </c>
      <c r="AC41" s="15"/>
      <c r="AD41" s="15"/>
      <c r="AE41" s="15">
        <v>6.7026860250073605</v>
      </c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>
        <v>8.8757688264866381</v>
      </c>
      <c r="BT41" s="15">
        <v>17.793365770854347</v>
      </c>
      <c r="BU41" s="15">
        <v>31.016927297755196</v>
      </c>
      <c r="BV41" s="15">
        <v>53.571236897318407</v>
      </c>
      <c r="BW41" s="15">
        <v>132.48332624954631</v>
      </c>
      <c r="BX41" s="15"/>
      <c r="BY41" s="15"/>
      <c r="BZ41" s="15"/>
      <c r="CA41" s="15"/>
      <c r="CB41" s="15"/>
      <c r="CC41" s="15"/>
      <c r="CD41" s="15"/>
      <c r="CE41" s="15">
        <v>2.9315302845226709E-3</v>
      </c>
      <c r="CF41" s="15">
        <v>394.14210008575344</v>
      </c>
      <c r="CG41" s="1"/>
    </row>
    <row r="42" spans="1:85" x14ac:dyDescent="0.25">
      <c r="A42" s="5" t="str">
        <f>VLOOKUP(B42,Notes!$B$8:$C$37,2,0)</f>
        <v>Poultry and eggs</v>
      </c>
      <c r="B42" s="15" t="s">
        <v>36</v>
      </c>
      <c r="C42" s="15"/>
      <c r="D42" s="15"/>
      <c r="E42" s="15"/>
      <c r="F42" s="15"/>
      <c r="G42" s="15"/>
      <c r="H42" s="15"/>
      <c r="I42" s="15">
        <v>100.35734259762107</v>
      </c>
      <c r="J42" s="15"/>
      <c r="K42" s="15"/>
      <c r="L42" s="15"/>
      <c r="M42" s="15"/>
      <c r="N42" s="15">
        <v>2.5922073740677551</v>
      </c>
      <c r="O42" s="15"/>
      <c r="P42" s="15"/>
      <c r="Q42" s="15"/>
      <c r="R42" s="15">
        <v>4.6210309472603361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>
        <v>13.596365425492747</v>
      </c>
      <c r="BT42" s="15">
        <v>22.467029407317696</v>
      </c>
      <c r="BU42" s="15">
        <v>32.067257732566148</v>
      </c>
      <c r="BV42" s="15">
        <v>46.262969845072575</v>
      </c>
      <c r="BW42" s="15">
        <v>107.39434069493572</v>
      </c>
      <c r="BX42" s="15"/>
      <c r="BY42" s="15"/>
      <c r="BZ42" s="15"/>
      <c r="CA42" s="15"/>
      <c r="CB42" s="15"/>
      <c r="CC42" s="15"/>
      <c r="CD42" s="15"/>
      <c r="CE42" s="15">
        <v>2.8450019381733395E-2</v>
      </c>
      <c r="CF42" s="15">
        <v>329.38699404371579</v>
      </c>
      <c r="CG42" s="1"/>
    </row>
    <row r="43" spans="1:85" x14ac:dyDescent="0.25">
      <c r="A43" s="5" t="str">
        <f>VLOOKUP(B43,Notes!$B$8:$C$37,2,0)</f>
        <v>Other livestock</v>
      </c>
      <c r="B43" s="15" t="s">
        <v>37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>
        <v>33.244918018975966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>
        <v>9.2498737904855268</v>
      </c>
      <c r="BT43" s="15">
        <v>16.887152224191606</v>
      </c>
      <c r="BU43" s="15">
        <v>27.414020487176611</v>
      </c>
      <c r="BV43" s="15">
        <v>47.77336502342299</v>
      </c>
      <c r="BW43" s="15">
        <v>80.483361362454033</v>
      </c>
      <c r="BX43" s="15"/>
      <c r="BY43" s="15"/>
      <c r="BZ43" s="15"/>
      <c r="CA43" s="15"/>
      <c r="CB43" s="15"/>
      <c r="CC43" s="15"/>
      <c r="CD43" s="15"/>
      <c r="CE43" s="15">
        <v>0.2903497078952007</v>
      </c>
      <c r="CF43" s="15">
        <v>215.34304061460193</v>
      </c>
      <c r="CG43" s="1"/>
    </row>
    <row r="44" spans="1:85" x14ac:dyDescent="0.25">
      <c r="A44" s="5" t="str">
        <f>VLOOKUP(B44,Notes!$B$8:$C$37,2,0)</f>
        <v>Forestry</v>
      </c>
      <c r="B44" s="15" t="s">
        <v>38</v>
      </c>
      <c r="C44" s="15"/>
      <c r="D44" s="15"/>
      <c r="E44" s="15"/>
      <c r="F44" s="15">
        <v>3.2837618641190511</v>
      </c>
      <c r="G44" s="15">
        <v>0.55080034572683845</v>
      </c>
      <c r="H44" s="15"/>
      <c r="I44" s="15"/>
      <c r="J44" s="15"/>
      <c r="K44" s="15">
        <v>150.83673969252538</v>
      </c>
      <c r="L44" s="15">
        <v>3.9941074067524771</v>
      </c>
      <c r="M44" s="15"/>
      <c r="N44" s="15">
        <v>6.3300242323012695E-6</v>
      </c>
      <c r="O44" s="15"/>
      <c r="P44" s="15"/>
      <c r="Q44" s="15"/>
      <c r="R44" s="15">
        <v>0.53892872025973426</v>
      </c>
      <c r="S44" s="15"/>
      <c r="T44" s="15">
        <v>0.36971158516223568</v>
      </c>
      <c r="U44" s="15">
        <v>132.38414624571084</v>
      </c>
      <c r="V44" s="15"/>
      <c r="W44" s="15"/>
      <c r="X44" s="15"/>
      <c r="Y44" s="15"/>
      <c r="Z44" s="15"/>
      <c r="AA44" s="15">
        <v>218.84704685761815</v>
      </c>
      <c r="AB44" s="15">
        <v>2.0753246731520445</v>
      </c>
      <c r="AC44" s="15"/>
      <c r="AD44" s="15">
        <v>9.5719605229744662</v>
      </c>
      <c r="AE44" s="15">
        <v>4.8894587316025383E-2</v>
      </c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>
        <v>14.876139499796711</v>
      </c>
      <c r="BT44" s="15">
        <v>24.811462307576399</v>
      </c>
      <c r="BU44" s="15">
        <v>32.497828714219622</v>
      </c>
      <c r="BV44" s="15">
        <v>39.728320611125326</v>
      </c>
      <c r="BW44" s="15">
        <v>53.791191566406965</v>
      </c>
      <c r="BX44" s="15"/>
      <c r="BY44" s="15"/>
      <c r="BZ44" s="15"/>
      <c r="CA44" s="15"/>
      <c r="CB44" s="15"/>
      <c r="CC44" s="15"/>
      <c r="CD44" s="15"/>
      <c r="CE44" s="15">
        <v>2.3411785851735799E-3</v>
      </c>
      <c r="CF44" s="15">
        <v>688.20871270905184</v>
      </c>
      <c r="CG44" s="1"/>
    </row>
    <row r="45" spans="1:85" x14ac:dyDescent="0.25">
      <c r="A45" s="5" t="str">
        <f>VLOOKUP(B45,Notes!$B$8:$C$37,2,0)</f>
        <v>Fisheries</v>
      </c>
      <c r="B45" s="15" t="s">
        <v>39</v>
      </c>
      <c r="C45" s="15"/>
      <c r="D45" s="15"/>
      <c r="E45" s="15"/>
      <c r="F45" s="15"/>
      <c r="G45" s="15"/>
      <c r="H45" s="15"/>
      <c r="I45" s="15">
        <v>2.0692301097372758</v>
      </c>
      <c r="J45" s="15"/>
      <c r="K45" s="15"/>
      <c r="L45" s="15">
        <v>378.81124378986192</v>
      </c>
      <c r="M45" s="15"/>
      <c r="N45" s="15">
        <v>17.465919882232175</v>
      </c>
      <c r="O45" s="15"/>
      <c r="P45" s="15"/>
      <c r="Q45" s="15"/>
      <c r="R45" s="15">
        <v>7.3379091641503038</v>
      </c>
      <c r="S45" s="15"/>
      <c r="T45" s="15"/>
      <c r="U45" s="15"/>
      <c r="V45" s="15"/>
      <c r="W45" s="15"/>
      <c r="X45" s="15"/>
      <c r="Y45" s="15">
        <v>3.7045720152465118</v>
      </c>
      <c r="Z45" s="15"/>
      <c r="AA45" s="15"/>
      <c r="AB45" s="15">
        <v>77.045563363741849</v>
      </c>
      <c r="AC45" s="15"/>
      <c r="AD45" s="15"/>
      <c r="AE45" s="15">
        <v>5.8217642151914646</v>
      </c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>
        <v>77.099306378629279</v>
      </c>
      <c r="BT45" s="15">
        <v>130.1947090251453</v>
      </c>
      <c r="BU45" s="15">
        <v>173.86853567214186</v>
      </c>
      <c r="BV45" s="15">
        <v>230.0847181627195</v>
      </c>
      <c r="BW45" s="15">
        <v>399.77177808115755</v>
      </c>
      <c r="BX45" s="15"/>
      <c r="BY45" s="15"/>
      <c r="BZ45" s="15"/>
      <c r="CA45" s="15"/>
      <c r="CB45" s="15"/>
      <c r="CC45" s="15"/>
      <c r="CD45" s="15"/>
      <c r="CE45" s="15">
        <v>1.6948613950164826</v>
      </c>
      <c r="CF45" s="15">
        <v>1504.9701112549717</v>
      </c>
      <c r="CG45" s="1"/>
    </row>
    <row r="46" spans="1:85" x14ac:dyDescent="0.25">
      <c r="A46" s="5" t="str">
        <f>VLOOKUP(B46,Notes!$B$8:$C$37,2,0)</f>
        <v>Mining</v>
      </c>
      <c r="B46" s="15" t="s">
        <v>40</v>
      </c>
      <c r="C46" s="15"/>
      <c r="D46" s="15"/>
      <c r="E46" s="15"/>
      <c r="F46" s="15"/>
      <c r="G46" s="15"/>
      <c r="H46" s="15"/>
      <c r="I46" s="15"/>
      <c r="J46" s="15"/>
      <c r="K46" s="15"/>
      <c r="L46" s="15">
        <v>13.318281622468074</v>
      </c>
      <c r="M46" s="15">
        <v>9.9289246558260764</v>
      </c>
      <c r="N46" s="15">
        <v>0.18845164945843862</v>
      </c>
      <c r="O46" s="15">
        <v>3.1767036663522479E-2</v>
      </c>
      <c r="P46" s="15"/>
      <c r="Q46" s="15"/>
      <c r="R46" s="15">
        <v>10.014086542029194</v>
      </c>
      <c r="S46" s="15">
        <v>2.5708640222029722</v>
      </c>
      <c r="T46" s="15">
        <v>0.23835983405580313</v>
      </c>
      <c r="U46" s="15"/>
      <c r="V46" s="15">
        <v>33.176491806066736</v>
      </c>
      <c r="W46" s="15">
        <v>98.853985164797663</v>
      </c>
      <c r="X46" s="15">
        <v>41.02460318651363</v>
      </c>
      <c r="Y46" s="15">
        <v>5.1064653481900528</v>
      </c>
      <c r="Z46" s="15">
        <v>159.18451795085448</v>
      </c>
      <c r="AA46" s="15">
        <v>155.09524067159137</v>
      </c>
      <c r="AB46" s="15">
        <v>12.107815458511432</v>
      </c>
      <c r="AC46" s="15">
        <v>88.758563717962957</v>
      </c>
      <c r="AD46" s="15">
        <v>3.5118364258745189</v>
      </c>
      <c r="AE46" s="15">
        <v>0.17299332838050624</v>
      </c>
      <c r="AF46" s="15">
        <v>2.7013938464514341E-2</v>
      </c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>
        <v>1.528441489711593</v>
      </c>
      <c r="CF46" s="15">
        <v>634.83870384962347</v>
      </c>
      <c r="CG46" s="1"/>
    </row>
    <row r="47" spans="1:85" x14ac:dyDescent="0.25">
      <c r="A47" s="5" t="str">
        <f>VLOOKUP(B47,Notes!$B$8:$C$37,2,0)</f>
        <v>Meat, fish and dairy</v>
      </c>
      <c r="B47" s="15" t="s">
        <v>41</v>
      </c>
      <c r="C47" s="15"/>
      <c r="D47" s="15"/>
      <c r="E47" s="15"/>
      <c r="F47" s="15"/>
      <c r="G47" s="15"/>
      <c r="H47" s="15"/>
      <c r="I47" s="15"/>
      <c r="J47" s="15"/>
      <c r="K47" s="15"/>
      <c r="L47" s="15">
        <v>0.47954926684443655</v>
      </c>
      <c r="M47" s="15"/>
      <c r="N47" s="15">
        <v>15.686946486227313</v>
      </c>
      <c r="O47" s="15"/>
      <c r="P47" s="15"/>
      <c r="Q47" s="15"/>
      <c r="R47" s="15">
        <v>5.9614606156548673</v>
      </c>
      <c r="S47" s="15"/>
      <c r="T47" s="15"/>
      <c r="U47" s="15"/>
      <c r="V47" s="15">
        <v>15.537992175019969</v>
      </c>
      <c r="W47" s="15"/>
      <c r="X47" s="15"/>
      <c r="Y47" s="15"/>
      <c r="Z47" s="15"/>
      <c r="AA47" s="15"/>
      <c r="AB47" s="15">
        <v>30.946888355153476</v>
      </c>
      <c r="AC47" s="15"/>
      <c r="AD47" s="15"/>
      <c r="AE47" s="15"/>
      <c r="AF47" s="15">
        <v>5.3012349055149732</v>
      </c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>
        <v>3.5425505273508229</v>
      </c>
      <c r="BT47" s="15">
        <v>7.423214145062687</v>
      </c>
      <c r="BU47" s="15">
        <v>12.466932442358015</v>
      </c>
      <c r="BV47" s="15">
        <v>17.633566023048878</v>
      </c>
      <c r="BW47" s="15">
        <v>48.631431407812556</v>
      </c>
      <c r="BX47" s="15"/>
      <c r="BY47" s="15"/>
      <c r="BZ47" s="15"/>
      <c r="CA47" s="15"/>
      <c r="CB47" s="15"/>
      <c r="CC47" s="15"/>
      <c r="CD47" s="15"/>
      <c r="CE47" s="15">
        <v>15.746723969682447</v>
      </c>
      <c r="CF47" s="15">
        <v>179.35849031973046</v>
      </c>
      <c r="CG47" s="1"/>
    </row>
    <row r="48" spans="1:85" x14ac:dyDescent="0.25">
      <c r="A48" s="5" t="str">
        <f>VLOOKUP(B48,Notes!$B$8:$C$37,2,0)</f>
        <v>Fruits and vegetables</v>
      </c>
      <c r="B48" s="15" t="s">
        <v>42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>
        <v>3.4146125781209955E-3</v>
      </c>
      <c r="O48" s="15">
        <v>0.17264127477553834</v>
      </c>
      <c r="P48" s="15"/>
      <c r="Q48" s="15"/>
      <c r="R48" s="15">
        <v>0.8732443163238397</v>
      </c>
      <c r="S48" s="15"/>
      <c r="T48" s="15"/>
      <c r="U48" s="15"/>
      <c r="V48" s="15"/>
      <c r="W48" s="15"/>
      <c r="X48" s="15"/>
      <c r="Y48" s="15"/>
      <c r="Z48" s="15"/>
      <c r="AA48" s="15"/>
      <c r="AB48" s="15">
        <v>2.1621408605832086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>
        <v>0.61814294026291605</v>
      </c>
      <c r="BT48" s="15">
        <v>0.92885923743924692</v>
      </c>
      <c r="BU48" s="15">
        <v>1.2791248981291512</v>
      </c>
      <c r="BV48" s="15">
        <v>1.8873836229132408</v>
      </c>
      <c r="BW48" s="15">
        <v>4.5424490572729628</v>
      </c>
      <c r="BX48" s="15"/>
      <c r="BY48" s="15"/>
      <c r="BZ48" s="15"/>
      <c r="CA48" s="15"/>
      <c r="CB48" s="15"/>
      <c r="CC48" s="15"/>
      <c r="CD48" s="15"/>
      <c r="CE48" s="15">
        <v>3.9834505138796228</v>
      </c>
      <c r="CF48" s="15">
        <v>16.450851334157846</v>
      </c>
      <c r="CG48" s="1"/>
    </row>
    <row r="49" spans="1:85" x14ac:dyDescent="0.25">
      <c r="A49" s="5" t="str">
        <f>VLOOKUP(B49,Notes!$B$8:$C$37,2,0)</f>
        <v>Fats and oils</v>
      </c>
      <c r="B49" s="15" t="s">
        <v>43</v>
      </c>
      <c r="C49" s="15"/>
      <c r="D49" s="15"/>
      <c r="E49" s="15"/>
      <c r="F49" s="15"/>
      <c r="G49" s="15"/>
      <c r="H49" s="15">
        <v>11.633742750746162</v>
      </c>
      <c r="I49" s="15">
        <v>2.045872877322684</v>
      </c>
      <c r="J49" s="15">
        <v>5.5775346142783535</v>
      </c>
      <c r="K49" s="15"/>
      <c r="L49" s="15">
        <v>23.289206728587342</v>
      </c>
      <c r="M49" s="15"/>
      <c r="N49" s="15">
        <v>8.8896814261678087E-2</v>
      </c>
      <c r="O49" s="15">
        <v>1.2922012866587939E-2</v>
      </c>
      <c r="P49" s="15">
        <v>41.788544977634515</v>
      </c>
      <c r="Q49" s="15"/>
      <c r="R49" s="15">
        <v>11.687649920470736</v>
      </c>
      <c r="S49" s="15"/>
      <c r="T49" s="15"/>
      <c r="U49" s="15">
        <v>1.0597974394363805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>
        <v>44.957151880997841</v>
      </c>
      <c r="BT49" s="15">
        <v>66.096233455214346</v>
      </c>
      <c r="BU49" s="15">
        <v>91.226218398320398</v>
      </c>
      <c r="BV49" s="15">
        <v>138.52330243086078</v>
      </c>
      <c r="BW49" s="15">
        <v>318.59433419498089</v>
      </c>
      <c r="BX49" s="15"/>
      <c r="BY49" s="15"/>
      <c r="BZ49" s="15"/>
      <c r="CA49" s="15"/>
      <c r="CB49" s="15"/>
      <c r="CC49" s="15"/>
      <c r="CD49" s="15"/>
      <c r="CE49" s="15">
        <v>1.5043425166598123</v>
      </c>
      <c r="CF49" s="15">
        <v>758.08575101263841</v>
      </c>
      <c r="CG49" s="1"/>
    </row>
    <row r="50" spans="1:85" x14ac:dyDescent="0.25">
      <c r="A50" s="5" t="str">
        <f>VLOOKUP(B50,Notes!$B$8:$C$37,2,0)</f>
        <v>Grain milling</v>
      </c>
      <c r="B50" s="15" t="s">
        <v>44</v>
      </c>
      <c r="C50" s="15"/>
      <c r="D50" s="15"/>
      <c r="E50" s="15"/>
      <c r="F50" s="15"/>
      <c r="G50" s="15"/>
      <c r="H50" s="15">
        <v>2.5949321057111194</v>
      </c>
      <c r="I50" s="15">
        <v>4.2118521931264841</v>
      </c>
      <c r="J50" s="15"/>
      <c r="K50" s="15"/>
      <c r="L50" s="15"/>
      <c r="M50" s="15"/>
      <c r="N50" s="15">
        <v>0.98860242938364851</v>
      </c>
      <c r="O50" s="15">
        <v>1.2407823495336328E-2</v>
      </c>
      <c r="P50" s="15"/>
      <c r="Q50" s="15">
        <v>6.8304382820672305E-2</v>
      </c>
      <c r="R50" s="15">
        <v>17.402598474033489</v>
      </c>
      <c r="S50" s="15"/>
      <c r="T50" s="15">
        <v>1.9125171647714722E-2</v>
      </c>
      <c r="U50" s="15"/>
      <c r="V50" s="15"/>
      <c r="W50" s="15"/>
      <c r="X50" s="15"/>
      <c r="Y50" s="15"/>
      <c r="Z50" s="15"/>
      <c r="AA50" s="15"/>
      <c r="AB50" s="15">
        <v>6.2462094743223826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>
        <v>110.38182635325524</v>
      </c>
      <c r="BT50" s="15">
        <v>133.10619777274712</v>
      </c>
      <c r="BU50" s="15">
        <v>154.87520448417467</v>
      </c>
      <c r="BV50" s="15">
        <v>198.72790899388139</v>
      </c>
      <c r="BW50" s="15">
        <v>388.02508107840515</v>
      </c>
      <c r="BX50" s="15"/>
      <c r="BY50" s="15"/>
      <c r="BZ50" s="15"/>
      <c r="CA50" s="15"/>
      <c r="CB50" s="15"/>
      <c r="CC50" s="15"/>
      <c r="CD50" s="15"/>
      <c r="CE50" s="15">
        <v>0.44563615551616992</v>
      </c>
      <c r="CF50" s="15">
        <v>1017.1058868925206</v>
      </c>
      <c r="CG50" s="1"/>
    </row>
    <row r="51" spans="1:85" x14ac:dyDescent="0.25">
      <c r="A51" s="5" t="str">
        <f>VLOOKUP(B51,Notes!$B$8:$C$37,2,0)</f>
        <v>Other food processing</v>
      </c>
      <c r="B51" s="15" t="s">
        <v>45</v>
      </c>
      <c r="C51" s="15"/>
      <c r="D51" s="15"/>
      <c r="E51" s="15"/>
      <c r="F51" s="15"/>
      <c r="G51" s="15"/>
      <c r="H51" s="15">
        <v>90.3533705962856</v>
      </c>
      <c r="I51" s="15">
        <v>36.291526104008554</v>
      </c>
      <c r="J51" s="15">
        <v>40.468781716410909</v>
      </c>
      <c r="K51" s="15"/>
      <c r="L51" s="15">
        <v>11.328472683720999</v>
      </c>
      <c r="M51" s="15"/>
      <c r="N51" s="15">
        <v>0.28094809920576946</v>
      </c>
      <c r="O51" s="15">
        <v>6.5735067755486973E-2</v>
      </c>
      <c r="P51" s="15"/>
      <c r="Q51" s="15"/>
      <c r="R51" s="15">
        <v>15.095840800114072</v>
      </c>
      <c r="S51" s="15">
        <v>22.323916200649847</v>
      </c>
      <c r="T51" s="15">
        <v>0.39420725331890266</v>
      </c>
      <c r="U51" s="15">
        <v>0.35694512037914017</v>
      </c>
      <c r="V51" s="15">
        <v>2.1341045861751216</v>
      </c>
      <c r="W51" s="15"/>
      <c r="X51" s="15"/>
      <c r="Y51" s="15"/>
      <c r="Z51" s="15"/>
      <c r="AA51" s="15">
        <v>0.95248636789074703</v>
      </c>
      <c r="AB51" s="15">
        <v>22.911413505759057</v>
      </c>
      <c r="AC51" s="15">
        <v>6.7048568738547782</v>
      </c>
      <c r="AD51" s="15">
        <v>9.1846949583878921</v>
      </c>
      <c r="AE51" s="15">
        <v>1.792043129601862</v>
      </c>
      <c r="AF51" s="15">
        <v>16.999961295618814</v>
      </c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>
        <v>20.583247087952362</v>
      </c>
      <c r="BT51" s="15">
        <v>32.27624004442319</v>
      </c>
      <c r="BU51" s="15">
        <v>45.299488847870066</v>
      </c>
      <c r="BV51" s="15">
        <v>68.151025065959686</v>
      </c>
      <c r="BW51" s="15">
        <v>170.30823723471195</v>
      </c>
      <c r="BX51" s="15"/>
      <c r="BY51" s="15"/>
      <c r="BZ51" s="15"/>
      <c r="CA51" s="15"/>
      <c r="CB51" s="15"/>
      <c r="CC51" s="15"/>
      <c r="CD51" s="15"/>
      <c r="CE51" s="15">
        <v>8.1196434259516117</v>
      </c>
      <c r="CF51" s="15">
        <v>622.3771860660064</v>
      </c>
      <c r="CG51" s="1"/>
    </row>
    <row r="52" spans="1:85" x14ac:dyDescent="0.25">
      <c r="A52" s="5" t="str">
        <f>VLOOKUP(B52,Notes!$B$8:$C$37,2,0)</f>
        <v>Beverages and tobacco</v>
      </c>
      <c r="B52" s="15" t="s">
        <v>46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>
        <v>2.6586101262738489E-5</v>
      </c>
      <c r="O52" s="15"/>
      <c r="P52" s="15"/>
      <c r="Q52" s="15"/>
      <c r="R52" s="15"/>
      <c r="S52" s="15">
        <v>32.177355217909891</v>
      </c>
      <c r="T52" s="15"/>
      <c r="U52" s="15"/>
      <c r="V52" s="15"/>
      <c r="W52" s="15"/>
      <c r="X52" s="15"/>
      <c r="Y52" s="15"/>
      <c r="Z52" s="15"/>
      <c r="AA52" s="15"/>
      <c r="AB52" s="15">
        <v>8.2545343181933557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>
        <v>19.25101756978917</v>
      </c>
      <c r="BT52" s="15">
        <v>34.08724887259055</v>
      </c>
      <c r="BU52" s="15">
        <v>47.095033241056932</v>
      </c>
      <c r="BV52" s="15">
        <v>70.274260399720021</v>
      </c>
      <c r="BW52" s="15">
        <v>179.15912236167884</v>
      </c>
      <c r="BX52" s="15"/>
      <c r="BY52" s="15"/>
      <c r="BZ52" s="15"/>
      <c r="CA52" s="15"/>
      <c r="CB52" s="15"/>
      <c r="CC52" s="15"/>
      <c r="CD52" s="15"/>
      <c r="CE52" s="15">
        <v>2.5256184590692556</v>
      </c>
      <c r="CF52" s="15">
        <v>392.8242170261093</v>
      </c>
      <c r="CG52" s="1"/>
    </row>
    <row r="53" spans="1:85" x14ac:dyDescent="0.25">
      <c r="A53" s="5" t="str">
        <f>VLOOKUP(B53,Notes!$B$8:$C$37,2,0)</f>
        <v>Textiles, clothing and footwear</v>
      </c>
      <c r="B53" s="15" t="s">
        <v>47</v>
      </c>
      <c r="C53" s="15"/>
      <c r="D53" s="15"/>
      <c r="E53" s="15"/>
      <c r="F53" s="15"/>
      <c r="G53" s="15"/>
      <c r="H53" s="15">
        <v>5.5781057397151917E-2</v>
      </c>
      <c r="I53" s="15">
        <v>8.3072631061966613E-3</v>
      </c>
      <c r="J53" s="15">
        <v>2.6961081953189331E-2</v>
      </c>
      <c r="K53" s="15">
        <v>8.3955008129349053E-3</v>
      </c>
      <c r="L53" s="15">
        <v>1.474026656865848</v>
      </c>
      <c r="M53" s="15"/>
      <c r="N53" s="15">
        <v>1.2660048394066022E-6</v>
      </c>
      <c r="O53" s="15"/>
      <c r="P53" s="15"/>
      <c r="Q53" s="15"/>
      <c r="R53" s="15"/>
      <c r="S53" s="15">
        <v>5.4817888327188955</v>
      </c>
      <c r="T53" s="15">
        <v>1225.1316100610609</v>
      </c>
      <c r="U53" s="15">
        <v>0.51492512792741618</v>
      </c>
      <c r="V53" s="15">
        <v>28.544115134284013</v>
      </c>
      <c r="W53" s="15">
        <v>48.067484797929815</v>
      </c>
      <c r="X53" s="15">
        <v>75.843675273747621</v>
      </c>
      <c r="Y53" s="15">
        <v>69.674946053248945</v>
      </c>
      <c r="Z53" s="15">
        <v>11.434773519753307</v>
      </c>
      <c r="AA53" s="15">
        <v>40.982487618339619</v>
      </c>
      <c r="AB53" s="15">
        <v>40.649085126689599</v>
      </c>
      <c r="AC53" s="15">
        <v>62.749683558597447</v>
      </c>
      <c r="AD53" s="15">
        <v>11.387698051176949</v>
      </c>
      <c r="AE53" s="15">
        <v>13.956174270955866</v>
      </c>
      <c r="AF53" s="15">
        <v>32.793141502730165</v>
      </c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>
        <v>5.4036494198341138</v>
      </c>
      <c r="BT53" s="15">
        <v>8.8960469207024424</v>
      </c>
      <c r="BU53" s="15">
        <v>12.072810777922705</v>
      </c>
      <c r="BV53" s="15">
        <v>16.250723964923598</v>
      </c>
      <c r="BW53" s="15">
        <v>30.477151324834779</v>
      </c>
      <c r="BX53" s="15"/>
      <c r="BY53" s="15"/>
      <c r="BZ53" s="15"/>
      <c r="CA53" s="15"/>
      <c r="CB53" s="15"/>
      <c r="CC53" s="15"/>
      <c r="CD53" s="15"/>
      <c r="CE53" s="15">
        <v>2853.3011991921444</v>
      </c>
      <c r="CF53" s="15">
        <v>4595.1866433556625</v>
      </c>
      <c r="CG53" s="1"/>
    </row>
    <row r="54" spans="1:85" x14ac:dyDescent="0.25">
      <c r="A54" s="5" t="str">
        <f>VLOOKUP(B54,Notes!$B$8:$C$37,2,0)</f>
        <v>Wood and paper products</v>
      </c>
      <c r="B54" s="15" t="s">
        <v>48</v>
      </c>
      <c r="C54" s="15">
        <v>4.112041180895269</v>
      </c>
      <c r="D54" s="15"/>
      <c r="E54" s="15"/>
      <c r="F54" s="15"/>
      <c r="G54" s="15">
        <v>1.9488196644686245E-2</v>
      </c>
      <c r="H54" s="15"/>
      <c r="I54" s="15">
        <v>5.6078742781610118E-2</v>
      </c>
      <c r="J54" s="15"/>
      <c r="K54" s="15"/>
      <c r="L54" s="15">
        <v>9.3796206670109328</v>
      </c>
      <c r="M54" s="15">
        <v>1.1971235731608585</v>
      </c>
      <c r="N54" s="15">
        <v>0.83608004867350194</v>
      </c>
      <c r="O54" s="15">
        <v>0.1168901577677892</v>
      </c>
      <c r="P54" s="15">
        <v>0.15516696240348496</v>
      </c>
      <c r="Q54" s="15">
        <v>5.3021502574569634</v>
      </c>
      <c r="R54" s="15">
        <v>0.86884038541079744</v>
      </c>
      <c r="S54" s="15">
        <v>17.440603948361314</v>
      </c>
      <c r="T54" s="15">
        <v>8.663590635685873</v>
      </c>
      <c r="U54" s="15">
        <v>136.36298163165645</v>
      </c>
      <c r="V54" s="15">
        <v>11.273802936063394</v>
      </c>
      <c r="W54" s="15">
        <v>12.737179293921814</v>
      </c>
      <c r="X54" s="15">
        <v>30.331370014608417</v>
      </c>
      <c r="Y54" s="15">
        <v>27.202708220653829</v>
      </c>
      <c r="Z54" s="15">
        <v>41.923355394727309</v>
      </c>
      <c r="AA54" s="15">
        <v>35.163651418536965</v>
      </c>
      <c r="AB54" s="15">
        <v>23.138130446088063</v>
      </c>
      <c r="AC54" s="15">
        <v>48.786074244565611</v>
      </c>
      <c r="AD54" s="15">
        <v>70.608152864480815</v>
      </c>
      <c r="AE54" s="15">
        <v>27.561431657145075</v>
      </c>
      <c r="AF54" s="15">
        <v>20.485448024104294</v>
      </c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>
        <v>5.4754399856157825</v>
      </c>
      <c r="BT54" s="15">
        <v>7.4411647118058468</v>
      </c>
      <c r="BU54" s="15">
        <v>9.6192123016181945</v>
      </c>
      <c r="BV54" s="15">
        <v>13.227466198170369</v>
      </c>
      <c r="BW54" s="15">
        <v>17.512502543199822</v>
      </c>
      <c r="BX54" s="15"/>
      <c r="BY54" s="15"/>
      <c r="BZ54" s="15"/>
      <c r="CA54" s="15"/>
      <c r="CB54" s="15"/>
      <c r="CC54" s="15"/>
      <c r="CD54" s="15"/>
      <c r="CE54" s="15">
        <v>4.1227388089552308</v>
      </c>
      <c r="CF54" s="15">
        <v>591.12048545217033</v>
      </c>
      <c r="CG54" s="1"/>
    </row>
    <row r="55" spans="1:85" x14ac:dyDescent="0.25">
      <c r="A55" s="5" t="str">
        <f>VLOOKUP(B55,Notes!$B$8:$C$37,2,0)</f>
        <v>Chemicals</v>
      </c>
      <c r="B55" s="15" t="s">
        <v>49</v>
      </c>
      <c r="C55" s="15">
        <v>76.514339036409353</v>
      </c>
      <c r="D55" s="15">
        <v>9.6487068549006256</v>
      </c>
      <c r="E55" s="15">
        <v>39.743309462347113</v>
      </c>
      <c r="F55" s="15">
        <v>10.496153543037554</v>
      </c>
      <c r="G55" s="15">
        <v>24.686490860714585</v>
      </c>
      <c r="H55" s="15">
        <v>2.3637136279377637</v>
      </c>
      <c r="I55" s="15">
        <v>4.0503675643642465</v>
      </c>
      <c r="J55" s="15">
        <v>1.1399205945506261</v>
      </c>
      <c r="K55" s="15">
        <v>2.9135064904040355</v>
      </c>
      <c r="L55" s="15">
        <v>15.038784545609575</v>
      </c>
      <c r="M55" s="15">
        <v>14.902631447893567</v>
      </c>
      <c r="N55" s="15">
        <v>0.99985762122691635</v>
      </c>
      <c r="O55" s="15">
        <v>0.15489197043032651</v>
      </c>
      <c r="P55" s="15">
        <v>0.86638507898328798</v>
      </c>
      <c r="Q55" s="15">
        <v>3.5350425952381119</v>
      </c>
      <c r="R55" s="15">
        <v>11.407348036919258</v>
      </c>
      <c r="S55" s="15">
        <v>8.7221308096380223</v>
      </c>
      <c r="T55" s="15">
        <v>62.073421329372472</v>
      </c>
      <c r="U55" s="15">
        <v>5.3699244616456578</v>
      </c>
      <c r="V55" s="15">
        <v>65.242268873443734</v>
      </c>
      <c r="W55" s="15">
        <v>36.50805683007556</v>
      </c>
      <c r="X55" s="15">
        <v>95.731352702607836</v>
      </c>
      <c r="Y55" s="15">
        <v>7.8628622051355759</v>
      </c>
      <c r="Z55" s="15">
        <v>69.39730858383804</v>
      </c>
      <c r="AA55" s="15">
        <v>91.846996356338465</v>
      </c>
      <c r="AB55" s="15">
        <v>20.079674869290567</v>
      </c>
      <c r="AC55" s="15">
        <v>227.49451302865802</v>
      </c>
      <c r="AD55" s="15">
        <v>28.825219614010408</v>
      </c>
      <c r="AE55" s="15">
        <v>340.18846125537516</v>
      </c>
      <c r="AF55" s="15">
        <v>5.5325085382653683</v>
      </c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>
        <v>28.384113573406822</v>
      </c>
      <c r="BT55" s="15">
        <v>43.840748396652224</v>
      </c>
      <c r="BU55" s="15">
        <v>62.067118002408137</v>
      </c>
      <c r="BV55" s="15">
        <v>93.530782423313866</v>
      </c>
      <c r="BW55" s="15">
        <v>212.01622060007759</v>
      </c>
      <c r="BX55" s="15"/>
      <c r="BY55" s="15"/>
      <c r="BZ55" s="15"/>
      <c r="CA55" s="15"/>
      <c r="CB55" s="15"/>
      <c r="CC55" s="15"/>
      <c r="CD55" s="15"/>
      <c r="CE55" s="15">
        <v>30.439696135423951</v>
      </c>
      <c r="CF55" s="15">
        <v>1753.6148279199442</v>
      </c>
      <c r="CG55" s="1"/>
    </row>
    <row r="56" spans="1:85" x14ac:dyDescent="0.25">
      <c r="A56" s="5" t="str">
        <f>VLOOKUP(B56,Notes!$B$8:$C$37,2,0)</f>
        <v>Nonmetal minerals</v>
      </c>
      <c r="B56" s="15" t="s">
        <v>50</v>
      </c>
      <c r="C56" s="15"/>
      <c r="D56" s="15"/>
      <c r="E56" s="15"/>
      <c r="F56" s="15"/>
      <c r="G56" s="15"/>
      <c r="H56" s="15">
        <v>7.9033721121346601E-2</v>
      </c>
      <c r="I56" s="15"/>
      <c r="J56" s="15">
        <v>3.819776295390865E-2</v>
      </c>
      <c r="K56" s="15"/>
      <c r="L56" s="15"/>
      <c r="M56" s="15">
        <v>0.71381978224243947</v>
      </c>
      <c r="N56" s="15"/>
      <c r="O56" s="15"/>
      <c r="P56" s="15"/>
      <c r="Q56" s="15"/>
      <c r="R56" s="15">
        <v>0.41079404704683559</v>
      </c>
      <c r="S56" s="15">
        <v>6.3351385840302319</v>
      </c>
      <c r="T56" s="15">
        <v>6.2572172246742899E-2</v>
      </c>
      <c r="U56" s="15"/>
      <c r="V56" s="15">
        <v>16.573089451971974</v>
      </c>
      <c r="W56" s="15">
        <v>22.463233205354584</v>
      </c>
      <c r="X56" s="15">
        <v>9.6739015799674846</v>
      </c>
      <c r="Y56" s="15">
        <v>32.514298665286589</v>
      </c>
      <c r="Z56" s="15">
        <v>50.101297095715815</v>
      </c>
      <c r="AA56" s="15">
        <v>854.61960056094688</v>
      </c>
      <c r="AB56" s="15">
        <v>24.980470139119959</v>
      </c>
      <c r="AC56" s="15">
        <v>16.095782215541949</v>
      </c>
      <c r="AD56" s="15">
        <v>29.707636378890861</v>
      </c>
      <c r="AE56" s="15">
        <v>31.355297721565002</v>
      </c>
      <c r="AF56" s="15">
        <v>26.243041589439006</v>
      </c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>
        <v>0.6770328737156297</v>
      </c>
      <c r="BT56" s="15">
        <v>1.1285424056858224</v>
      </c>
      <c r="BU56" s="15">
        <v>1.568699231972208</v>
      </c>
      <c r="BV56" s="15">
        <v>2.3837132741438456</v>
      </c>
      <c r="BW56" s="15">
        <v>3.7101156726341391</v>
      </c>
      <c r="BX56" s="15"/>
      <c r="BY56" s="15"/>
      <c r="BZ56" s="15"/>
      <c r="CA56" s="15"/>
      <c r="CB56" s="15"/>
      <c r="CC56" s="15"/>
      <c r="CD56" s="15"/>
      <c r="CE56" s="15">
        <v>3.3648213899347144</v>
      </c>
      <c r="CF56" s="15">
        <v>1134.8001295215277</v>
      </c>
      <c r="CG56" s="1"/>
    </row>
    <row r="57" spans="1:85" x14ac:dyDescent="0.25">
      <c r="A57" s="5" t="str">
        <f>VLOOKUP(B57,Notes!$B$8:$C$37,2,0)</f>
        <v>Metals and machinery</v>
      </c>
      <c r="B57" s="15" t="s">
        <v>51</v>
      </c>
      <c r="C57" s="15">
        <v>18.370356041550945</v>
      </c>
      <c r="D57" s="15">
        <v>1.196254080744775</v>
      </c>
      <c r="E57" s="15">
        <v>11.663444646830579</v>
      </c>
      <c r="F57" s="15">
        <v>0.84051269101442228</v>
      </c>
      <c r="G57" s="15">
        <v>2.057938652110995</v>
      </c>
      <c r="H57" s="15">
        <v>0.70728396209175359</v>
      </c>
      <c r="I57" s="15">
        <v>0.72630627019717287</v>
      </c>
      <c r="J57" s="15">
        <v>0.34161786287153384</v>
      </c>
      <c r="K57" s="15">
        <v>11.074964913232058</v>
      </c>
      <c r="L57" s="15">
        <v>5.9825565275847463</v>
      </c>
      <c r="M57" s="15">
        <v>74.636948882294661</v>
      </c>
      <c r="N57" s="15">
        <v>0.22399456361997894</v>
      </c>
      <c r="O57" s="15">
        <v>0.19329287176559054</v>
      </c>
      <c r="P57" s="15">
        <v>0.92437493558809158</v>
      </c>
      <c r="Q57" s="15">
        <v>4.1962906513345324</v>
      </c>
      <c r="R57" s="15">
        <v>2.5103019488674958</v>
      </c>
      <c r="S57" s="15">
        <v>11.142728348592396</v>
      </c>
      <c r="T57" s="15">
        <v>64.915584848763004</v>
      </c>
      <c r="U57" s="15">
        <v>6.0596491769915541</v>
      </c>
      <c r="V57" s="15">
        <v>15.650883231402524</v>
      </c>
      <c r="W57" s="15">
        <v>9.5671430497701984</v>
      </c>
      <c r="X57" s="15">
        <v>504.60690075314477</v>
      </c>
      <c r="Y57" s="15">
        <v>41.58934979848231</v>
      </c>
      <c r="Z57" s="15">
        <v>107.86964955318953</v>
      </c>
      <c r="AA57" s="15">
        <v>451.05358443428753</v>
      </c>
      <c r="AB57" s="15">
        <v>31.382124484134788</v>
      </c>
      <c r="AC57" s="15">
        <v>116.05038305842777</v>
      </c>
      <c r="AD57" s="15">
        <v>31.39300135255932</v>
      </c>
      <c r="AE57" s="15">
        <v>30.357956636977292</v>
      </c>
      <c r="AF57" s="15">
        <v>16.26591939115378</v>
      </c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>
        <v>6.3208197124268706</v>
      </c>
      <c r="BT57" s="15">
        <v>11.058853368468062</v>
      </c>
      <c r="BU57" s="15">
        <v>18.404993579124994</v>
      </c>
      <c r="BV57" s="15">
        <v>31.198083528409338</v>
      </c>
      <c r="BW57" s="15">
        <v>66.173973513254367</v>
      </c>
      <c r="BX57" s="15"/>
      <c r="BY57" s="15"/>
      <c r="BZ57" s="15"/>
      <c r="CA57" s="15"/>
      <c r="CB57" s="15"/>
      <c r="CC57" s="15">
        <v>1563.4578939475657</v>
      </c>
      <c r="CD57" s="15"/>
      <c r="CE57" s="15">
        <v>44.689279708382223</v>
      </c>
      <c r="CF57" s="15">
        <v>3314.8551949772077</v>
      </c>
      <c r="CG57" s="1"/>
    </row>
    <row r="58" spans="1:85" x14ac:dyDescent="0.25">
      <c r="A58" s="5" t="str">
        <f>VLOOKUP(B58,Notes!$B$8:$C$37,2,0)</f>
        <v>Other manufacturing</v>
      </c>
      <c r="B58" s="15" t="s">
        <v>52</v>
      </c>
      <c r="C58" s="15"/>
      <c r="D58" s="15"/>
      <c r="E58" s="15"/>
      <c r="F58" s="15">
        <v>1.0629164708488171E-2</v>
      </c>
      <c r="G58" s="15">
        <v>3.4820438551462662E-2</v>
      </c>
      <c r="H58" s="15">
        <v>3.7190808048976433E-2</v>
      </c>
      <c r="I58" s="15">
        <v>8.3074224817490314E-3</v>
      </c>
      <c r="J58" s="15">
        <v>1.7975340147775548E-2</v>
      </c>
      <c r="K58" s="15">
        <v>0.729173676855561</v>
      </c>
      <c r="L58" s="15">
        <v>0.25753961143511078</v>
      </c>
      <c r="M58" s="15">
        <v>1.2963167094635852</v>
      </c>
      <c r="N58" s="15">
        <v>0.15526812257279973</v>
      </c>
      <c r="O58" s="15">
        <v>2.0181287918769487E-2</v>
      </c>
      <c r="P58" s="15">
        <v>7.9808530561778307E-2</v>
      </c>
      <c r="Q58" s="15">
        <v>0.20253884784902493</v>
      </c>
      <c r="R58" s="15">
        <v>1.0552220131871992</v>
      </c>
      <c r="S58" s="15"/>
      <c r="T58" s="15">
        <v>10.419848114176281</v>
      </c>
      <c r="U58" s="15">
        <v>3.2819011964210381</v>
      </c>
      <c r="V58" s="15">
        <v>2.3627186920695306E-2</v>
      </c>
      <c r="W58" s="15"/>
      <c r="X58" s="15">
        <v>9.7284654058414279</v>
      </c>
      <c r="Y58" s="15">
        <v>58.806086511922636</v>
      </c>
      <c r="Z58" s="15"/>
      <c r="AA58" s="15">
        <v>49.878701879161675</v>
      </c>
      <c r="AB58" s="15">
        <v>34.069476408844835</v>
      </c>
      <c r="AC58" s="15">
        <v>33.615636056099191</v>
      </c>
      <c r="AD58" s="15">
        <v>39.187525351322627</v>
      </c>
      <c r="AE58" s="15">
        <v>33.922879669045315</v>
      </c>
      <c r="AF58" s="15">
        <v>20.038986320094942</v>
      </c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>
        <v>13.009429412341387</v>
      </c>
      <c r="BT58" s="15">
        <v>22.941446904410274</v>
      </c>
      <c r="BU58" s="15">
        <v>41.114975049613079</v>
      </c>
      <c r="BV58" s="15">
        <v>69.462346048572428</v>
      </c>
      <c r="BW58" s="15">
        <v>169.11150751021728</v>
      </c>
      <c r="BX58" s="15"/>
      <c r="BY58" s="15"/>
      <c r="BZ58" s="15"/>
      <c r="CA58" s="15"/>
      <c r="CB58" s="15"/>
      <c r="CC58" s="15"/>
      <c r="CD58" s="15"/>
      <c r="CE58" s="15">
        <v>6.3634920944504634</v>
      </c>
      <c r="CF58" s="15">
        <v>618.88130309323776</v>
      </c>
      <c r="CG58" s="1"/>
    </row>
    <row r="59" spans="1:85" x14ac:dyDescent="0.25">
      <c r="A59" s="5" t="str">
        <f>VLOOKUP(B59,Notes!$B$8:$C$37,2,0)</f>
        <v>Electricity and water</v>
      </c>
      <c r="B59" s="15" t="s">
        <v>53</v>
      </c>
      <c r="C59" s="15">
        <v>1.7292625951223819</v>
      </c>
      <c r="D59" s="15"/>
      <c r="E59" s="15">
        <v>0.62574731134689188</v>
      </c>
      <c r="F59" s="15">
        <v>3.5178749509551348E-2</v>
      </c>
      <c r="G59" s="15">
        <v>7.8578273603352566E-2</v>
      </c>
      <c r="H59" s="15"/>
      <c r="I59" s="15">
        <v>0.12359460091307742</v>
      </c>
      <c r="J59" s="15"/>
      <c r="K59" s="15"/>
      <c r="L59" s="15">
        <v>0.16623416537690253</v>
      </c>
      <c r="M59" s="15">
        <v>4.6753347287189033</v>
      </c>
      <c r="N59" s="15">
        <v>0.40027559416779707</v>
      </c>
      <c r="O59" s="15">
        <v>4.9174160003452143E-2</v>
      </c>
      <c r="P59" s="15">
        <v>0.15208813727403891</v>
      </c>
      <c r="Q59" s="15">
        <v>0.47883111795447131</v>
      </c>
      <c r="R59" s="15">
        <v>2.2431642130175127</v>
      </c>
      <c r="S59" s="15">
        <v>10.777147487906362</v>
      </c>
      <c r="T59" s="15">
        <v>115.58695355540887</v>
      </c>
      <c r="U59" s="15">
        <v>4.0309045676348125</v>
      </c>
      <c r="V59" s="15">
        <v>20.794088376358673</v>
      </c>
      <c r="W59" s="15">
        <v>79.383644708751476</v>
      </c>
      <c r="X59" s="15">
        <v>78.56009914412958</v>
      </c>
      <c r="Y59" s="15">
        <v>6.3258120850465076</v>
      </c>
      <c r="Z59" s="15">
        <v>26.459174031778215</v>
      </c>
      <c r="AA59" s="15">
        <v>328.59294618515651</v>
      </c>
      <c r="AB59" s="15">
        <v>3.145216207047294</v>
      </c>
      <c r="AC59" s="15">
        <v>52.108062543083506</v>
      </c>
      <c r="AD59" s="15">
        <v>23.715856338292809</v>
      </c>
      <c r="AE59" s="15">
        <v>6.9057221311900108</v>
      </c>
      <c r="AF59" s="15">
        <v>2.0531584297094323</v>
      </c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>
        <v>14.311375346171639</v>
      </c>
      <c r="BT59" s="15">
        <v>24.31555217922109</v>
      </c>
      <c r="BU59" s="15">
        <v>40.871864959267143</v>
      </c>
      <c r="BV59" s="15">
        <v>62.209280201547536</v>
      </c>
      <c r="BW59" s="15">
        <v>127.79092763550295</v>
      </c>
      <c r="BX59" s="15"/>
      <c r="BY59" s="15"/>
      <c r="BZ59" s="15"/>
      <c r="CA59" s="15"/>
      <c r="CB59" s="15"/>
      <c r="CC59" s="15"/>
      <c r="CD59" s="15"/>
      <c r="CE59" s="15"/>
      <c r="CF59" s="15">
        <v>1038.6952497602128</v>
      </c>
      <c r="CG59" s="1"/>
    </row>
    <row r="60" spans="1:85" x14ac:dyDescent="0.25">
      <c r="A60" s="5" t="str">
        <f>VLOOKUP(B60,Notes!$B$8:$C$37,2,0)</f>
        <v>Construction</v>
      </c>
      <c r="B60" s="15" t="s">
        <v>54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>
        <v>9.2619753061435502E-3</v>
      </c>
      <c r="O60" s="15">
        <v>1.4389264773872923E-2</v>
      </c>
      <c r="P60" s="15">
        <v>0.10841261366120197</v>
      </c>
      <c r="Q60" s="15">
        <v>0.22999938359091945</v>
      </c>
      <c r="R60" s="15">
        <v>0.11265964823004301</v>
      </c>
      <c r="S60" s="15">
        <v>0.80016660522847927</v>
      </c>
      <c r="T60" s="15">
        <v>1.9849437309215743</v>
      </c>
      <c r="U60" s="15">
        <v>0.3220219101494769</v>
      </c>
      <c r="V60" s="15">
        <v>0.25734108218944701</v>
      </c>
      <c r="W60" s="15">
        <v>1.110259012086378</v>
      </c>
      <c r="X60" s="15">
        <v>1.3588933031100963</v>
      </c>
      <c r="Y60" s="15">
        <v>0.39300059963676942</v>
      </c>
      <c r="Z60" s="15">
        <v>0.54384427494361898</v>
      </c>
      <c r="AA60" s="15">
        <v>19.254693954561766</v>
      </c>
      <c r="AB60" s="15">
        <v>1.9162944588088293</v>
      </c>
      <c r="AC60" s="15">
        <v>6.2255950481405185</v>
      </c>
      <c r="AD60" s="15">
        <v>3.7255907919201419</v>
      </c>
      <c r="AE60" s="15">
        <v>0.42023247181694268</v>
      </c>
      <c r="AF60" s="15">
        <v>0.59051659856556249</v>
      </c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>
        <v>2.8772120329977011</v>
      </c>
      <c r="BT60" s="15">
        <v>6.7401970382369996</v>
      </c>
      <c r="BU60" s="15">
        <v>13.859798819746601</v>
      </c>
      <c r="BV60" s="15">
        <v>30.665062924887245</v>
      </c>
      <c r="BW60" s="15">
        <v>186.76684994998109</v>
      </c>
      <c r="BX60" s="15"/>
      <c r="BY60" s="15"/>
      <c r="BZ60" s="15"/>
      <c r="CA60" s="15"/>
      <c r="CB60" s="15"/>
      <c r="CC60" s="15">
        <v>3654.5440119688465</v>
      </c>
      <c r="CD60" s="15"/>
      <c r="CE60" s="15">
        <v>8.2793568529079646</v>
      </c>
      <c r="CF60" s="15">
        <v>3943.1106063152456</v>
      </c>
      <c r="CG60" s="1"/>
    </row>
    <row r="61" spans="1:85" x14ac:dyDescent="0.25">
      <c r="A61" s="5" t="str">
        <f>VLOOKUP(B61,Notes!$B$8:$C$37,2,0)</f>
        <v>Trade, hotels and food services</v>
      </c>
      <c r="B61" s="15" t="s">
        <v>55</v>
      </c>
      <c r="C61" s="15">
        <v>23.374346615473353</v>
      </c>
      <c r="D61" s="15">
        <v>4.104866670381961</v>
      </c>
      <c r="E61" s="15">
        <v>21.159533254229387</v>
      </c>
      <c r="F61" s="15">
        <v>14.543566807574345</v>
      </c>
      <c r="G61" s="15">
        <v>6.2483742230507708</v>
      </c>
      <c r="H61" s="15">
        <v>12.199795967374264</v>
      </c>
      <c r="I61" s="15">
        <v>3.5708165112781067</v>
      </c>
      <c r="J61" s="15">
        <v>5.8256252572679657</v>
      </c>
      <c r="K61" s="15">
        <v>39.423036104509578</v>
      </c>
      <c r="L61" s="15">
        <v>26.572648503285706</v>
      </c>
      <c r="M61" s="15">
        <v>3.3028481182089129</v>
      </c>
      <c r="N61" s="15">
        <v>0.37784785118997793</v>
      </c>
      <c r="O61" s="15"/>
      <c r="P61" s="15">
        <v>4.4153078773809957</v>
      </c>
      <c r="Q61" s="15">
        <v>34.870881700859165</v>
      </c>
      <c r="R61" s="15">
        <v>11.320748601672669</v>
      </c>
      <c r="S61" s="15">
        <v>5.8441177219799654</v>
      </c>
      <c r="T61" s="15">
        <v>103.21653744245339</v>
      </c>
      <c r="U61" s="15">
        <v>19.589941632008902</v>
      </c>
      <c r="V61" s="15">
        <v>6.1103457224678941</v>
      </c>
      <c r="W61" s="15">
        <v>34.886249029695705</v>
      </c>
      <c r="X61" s="15">
        <v>29.078120701308812</v>
      </c>
      <c r="Y61" s="15">
        <v>11.45245298667089</v>
      </c>
      <c r="Z61" s="15">
        <v>18.413040668009888</v>
      </c>
      <c r="AA61" s="15">
        <v>28.943038726763604</v>
      </c>
      <c r="AB61" s="15">
        <v>37.618952744445117</v>
      </c>
      <c r="AC61" s="15">
        <v>61.052896061835497</v>
      </c>
      <c r="AD61" s="15">
        <v>54.371288139951986</v>
      </c>
      <c r="AE61" s="15">
        <v>12.397975150576233</v>
      </c>
      <c r="AF61" s="15">
        <v>19.733399242888353</v>
      </c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>
        <v>2265.4604421392678</v>
      </c>
      <c r="BL61" s="15"/>
      <c r="BM61" s="15"/>
      <c r="BN61" s="15"/>
      <c r="BO61" s="15"/>
      <c r="BP61" s="15"/>
      <c r="BQ61" s="15"/>
      <c r="BR61" s="15"/>
      <c r="BS61" s="15">
        <v>14.637419212423726</v>
      </c>
      <c r="BT61" s="15">
        <v>26.42059116713309</v>
      </c>
      <c r="BU61" s="15">
        <v>39.963818435010459</v>
      </c>
      <c r="BV61" s="15">
        <v>66.288683368270398</v>
      </c>
      <c r="BW61" s="15">
        <v>173.86001461230603</v>
      </c>
      <c r="BX61" s="15"/>
      <c r="BY61" s="15"/>
      <c r="BZ61" s="15"/>
      <c r="CA61" s="15"/>
      <c r="CB61" s="15"/>
      <c r="CC61" s="15"/>
      <c r="CD61" s="15"/>
      <c r="CE61" s="15">
        <v>16.910687846027148</v>
      </c>
      <c r="CF61" s="15">
        <v>3257.5602568152317</v>
      </c>
      <c r="CG61" s="1"/>
    </row>
    <row r="62" spans="1:85" x14ac:dyDescent="0.25">
      <c r="A62" s="5" t="str">
        <f>VLOOKUP(B62,Notes!$B$8:$C$37,2,0)</f>
        <v>Transport and communication</v>
      </c>
      <c r="B62" s="15" t="s">
        <v>56</v>
      </c>
      <c r="C62" s="15">
        <v>10.424410681213756</v>
      </c>
      <c r="D62" s="15">
        <v>1.5746860441209116</v>
      </c>
      <c r="E62" s="15">
        <v>9.1116772962781383</v>
      </c>
      <c r="F62" s="15">
        <v>6.2921567278845849</v>
      </c>
      <c r="G62" s="15">
        <v>3.8012230647112104</v>
      </c>
      <c r="H62" s="15">
        <v>5.3869888742925234</v>
      </c>
      <c r="I62" s="15">
        <v>2.9331857952974869</v>
      </c>
      <c r="J62" s="15">
        <v>2.5897058820633347</v>
      </c>
      <c r="K62" s="15">
        <v>17.509501884070719</v>
      </c>
      <c r="L62" s="15">
        <v>16.281846284450644</v>
      </c>
      <c r="M62" s="15">
        <v>19.62974831849818</v>
      </c>
      <c r="N62" s="15">
        <v>0.28728181179548712</v>
      </c>
      <c r="O62" s="15">
        <v>4.8156999291349069E-2</v>
      </c>
      <c r="P62" s="15">
        <v>2.3100588684733006</v>
      </c>
      <c r="Q62" s="15">
        <v>15.71236868113353</v>
      </c>
      <c r="R62" s="15">
        <v>18.541835519317601</v>
      </c>
      <c r="S62" s="15">
        <v>45.826121322821102</v>
      </c>
      <c r="T62" s="15">
        <v>158.6635282636455</v>
      </c>
      <c r="U62" s="15">
        <v>25.610570452076278</v>
      </c>
      <c r="V62" s="15">
        <v>29.735614054394254</v>
      </c>
      <c r="W62" s="15">
        <v>31.858323506868842</v>
      </c>
      <c r="X62" s="15">
        <v>180.40801892966397</v>
      </c>
      <c r="Y62" s="15">
        <v>12.557299826739701</v>
      </c>
      <c r="Z62" s="15">
        <v>83.956012521347503</v>
      </c>
      <c r="AA62" s="15">
        <v>39.276408214390685</v>
      </c>
      <c r="AB62" s="15">
        <v>68.273983937469566</v>
      </c>
      <c r="AC62" s="15">
        <v>93.573575656196766</v>
      </c>
      <c r="AD62" s="15">
        <v>99.719478699766995</v>
      </c>
      <c r="AE62" s="15">
        <v>56.929125150018763</v>
      </c>
      <c r="AF62" s="15">
        <v>20.652445432162779</v>
      </c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>
        <v>1502.0642521644775</v>
      </c>
      <c r="BL62" s="15"/>
      <c r="BM62" s="15"/>
      <c r="BN62" s="15"/>
      <c r="BO62" s="15"/>
      <c r="BP62" s="15"/>
      <c r="BQ62" s="15"/>
      <c r="BR62" s="15"/>
      <c r="BS62" s="15">
        <v>47.513723561044522</v>
      </c>
      <c r="BT62" s="15">
        <v>75.677917018331186</v>
      </c>
      <c r="BU62" s="15">
        <v>105.85386803625495</v>
      </c>
      <c r="BV62" s="15">
        <v>146.31703958497536</v>
      </c>
      <c r="BW62" s="15">
        <v>298.96366285835774</v>
      </c>
      <c r="BX62" s="15"/>
      <c r="BY62" s="15"/>
      <c r="BZ62" s="15"/>
      <c r="CA62" s="15"/>
      <c r="CB62" s="15"/>
      <c r="CC62" s="15"/>
      <c r="CD62" s="15"/>
      <c r="CE62" s="15">
        <v>31.916775649738053</v>
      </c>
      <c r="CF62" s="15">
        <v>3287.7825775736346</v>
      </c>
      <c r="CG62" s="1"/>
    </row>
    <row r="63" spans="1:85" x14ac:dyDescent="0.25">
      <c r="A63" s="5" t="str">
        <f>VLOOKUP(B63,Notes!$B$8:$C$37,2,0)</f>
        <v>Finance, business and real estate</v>
      </c>
      <c r="B63" s="15" t="s">
        <v>57</v>
      </c>
      <c r="C63" s="15">
        <v>2.0892591995289362</v>
      </c>
      <c r="D63" s="15">
        <v>1.002772917954535</v>
      </c>
      <c r="E63" s="15">
        <v>0.36094623870663517</v>
      </c>
      <c r="F63" s="15">
        <v>2.2856943069451927</v>
      </c>
      <c r="G63" s="15">
        <v>3.3321332480189612</v>
      </c>
      <c r="H63" s="15">
        <v>5.2858272760707443</v>
      </c>
      <c r="I63" s="15">
        <v>3.9689406657285971</v>
      </c>
      <c r="J63" s="15">
        <v>2.5441092373628513</v>
      </c>
      <c r="K63" s="15">
        <v>0.41138561857331563</v>
      </c>
      <c r="L63" s="15">
        <v>10.006523810891423</v>
      </c>
      <c r="M63" s="15">
        <v>50.889339485826746</v>
      </c>
      <c r="N63" s="15">
        <v>0.76103270771025955</v>
      </c>
      <c r="O63" s="15">
        <v>0.10411118098682326</v>
      </c>
      <c r="P63" s="15">
        <v>0.26804734162705607</v>
      </c>
      <c r="Q63" s="15">
        <v>3.0293880825379982</v>
      </c>
      <c r="R63" s="15">
        <v>3.2530845707855098</v>
      </c>
      <c r="S63" s="15">
        <v>26.365550359213358</v>
      </c>
      <c r="T63" s="15">
        <v>179.57561292688581</v>
      </c>
      <c r="U63" s="15">
        <v>2.2565020341320903</v>
      </c>
      <c r="V63" s="15">
        <v>33.777040899665252</v>
      </c>
      <c r="W63" s="15">
        <v>114.88210078385639</v>
      </c>
      <c r="X63" s="15">
        <v>127.96656486671415</v>
      </c>
      <c r="Y63" s="15">
        <v>31.803916688310231</v>
      </c>
      <c r="Z63" s="15">
        <v>124.54081311328719</v>
      </c>
      <c r="AA63" s="15">
        <v>206.19646674339737</v>
      </c>
      <c r="AB63" s="15">
        <v>100.99367153763353</v>
      </c>
      <c r="AC63" s="15">
        <v>191.15145819954202</v>
      </c>
      <c r="AD63" s="15">
        <v>154.58650614791614</v>
      </c>
      <c r="AE63" s="15">
        <v>54.105131705474548</v>
      </c>
      <c r="AF63" s="15">
        <v>57.688667495868742</v>
      </c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>
        <v>58.404699523138788</v>
      </c>
      <c r="BT63" s="15">
        <v>102.21502434498996</v>
      </c>
      <c r="BU63" s="15">
        <v>159.38813665063645</v>
      </c>
      <c r="BV63" s="15">
        <v>231.98874504900149</v>
      </c>
      <c r="BW63" s="15">
        <v>476.86023210196316</v>
      </c>
      <c r="BX63" s="15"/>
      <c r="BY63" s="15"/>
      <c r="BZ63" s="15"/>
      <c r="CA63" s="15"/>
      <c r="CB63" s="15"/>
      <c r="CC63" s="15"/>
      <c r="CD63" s="15"/>
      <c r="CE63" s="15">
        <v>88.352599271744921</v>
      </c>
      <c r="CF63" s="15">
        <v>2612.6920363326271</v>
      </c>
      <c r="CG63" s="1"/>
    </row>
    <row r="64" spans="1:85" x14ac:dyDescent="0.25">
      <c r="A64" s="5" t="str">
        <f>VLOOKUP(B64,Notes!$B$8:$C$37,2,0)</f>
        <v>Government, health and education</v>
      </c>
      <c r="B64" s="15" t="s">
        <v>58</v>
      </c>
      <c r="C64" s="15">
        <v>0.10698530794211923</v>
      </c>
      <c r="D64" s="15">
        <v>1.7261610273357705E-2</v>
      </c>
      <c r="E64" s="15">
        <v>0.18204118227590987</v>
      </c>
      <c r="F64" s="15">
        <v>2.670316302077179</v>
      </c>
      <c r="G64" s="15">
        <v>1.2383449615228457</v>
      </c>
      <c r="H64" s="15">
        <v>24.94959799026276</v>
      </c>
      <c r="I64" s="15">
        <v>5.6438616871574325</v>
      </c>
      <c r="J64" s="15">
        <v>11.782668970642588</v>
      </c>
      <c r="K64" s="15">
        <v>10.201568062683055</v>
      </c>
      <c r="L64" s="15">
        <v>4.7747853820680328</v>
      </c>
      <c r="M64" s="15">
        <v>12.886467905639684</v>
      </c>
      <c r="N64" s="15">
        <v>5.1783045141863625E-2</v>
      </c>
      <c r="O64" s="15"/>
      <c r="P64" s="15">
        <v>0.13251168875411337</v>
      </c>
      <c r="Q64" s="15">
        <v>1.7614578217595334</v>
      </c>
      <c r="R64" s="15">
        <v>0.74038098973293909</v>
      </c>
      <c r="S64" s="15">
        <v>3.5454254232992932</v>
      </c>
      <c r="T64" s="15">
        <v>29.02426403948364</v>
      </c>
      <c r="U64" s="15">
        <v>0.13761486555373154</v>
      </c>
      <c r="V64" s="15">
        <v>3.5561603720631805</v>
      </c>
      <c r="W64" s="15">
        <v>5.8346763324011617</v>
      </c>
      <c r="X64" s="15">
        <v>19.000593707678423</v>
      </c>
      <c r="Y64" s="15">
        <v>2.1887417323879554</v>
      </c>
      <c r="Z64" s="15">
        <v>7.691309167580588</v>
      </c>
      <c r="AA64" s="15">
        <v>28.670561579655214</v>
      </c>
      <c r="AB64" s="15">
        <v>15.829376416009124</v>
      </c>
      <c r="AC64" s="15">
        <v>21.198722202707494</v>
      </c>
      <c r="AD64" s="15">
        <v>19.183687772481662</v>
      </c>
      <c r="AE64" s="15">
        <v>136.53843748358358</v>
      </c>
      <c r="AF64" s="15">
        <v>13.912640354251732</v>
      </c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>
        <v>42.202462196597878</v>
      </c>
      <c r="BT64" s="15">
        <v>76.839803030492035</v>
      </c>
      <c r="BU64" s="15">
        <v>118.92629777567701</v>
      </c>
      <c r="BV64" s="15">
        <v>172.02484718271452</v>
      </c>
      <c r="BW64" s="15">
        <v>342.31957714473708</v>
      </c>
      <c r="BX64" s="15">
        <v>1028.2672427692576</v>
      </c>
      <c r="BY64" s="15"/>
      <c r="BZ64" s="15"/>
      <c r="CA64" s="15"/>
      <c r="CB64" s="15"/>
      <c r="CC64" s="15"/>
      <c r="CD64" s="15"/>
      <c r="CE64" s="15">
        <v>113.87969181879257</v>
      </c>
      <c r="CF64" s="15">
        <v>2277.9121662753387</v>
      </c>
      <c r="CG64" s="1"/>
    </row>
    <row r="65" spans="1:85" x14ac:dyDescent="0.25">
      <c r="A65" s="5" t="str">
        <f>VLOOKUP(B65,Notes!$B$8:$C$37,2,0)</f>
        <v>Other services</v>
      </c>
      <c r="B65" s="15" t="s">
        <v>59</v>
      </c>
      <c r="C65" s="15">
        <v>8.2829711931852454</v>
      </c>
      <c r="D65" s="15">
        <v>1.6323547642645913</v>
      </c>
      <c r="E65" s="15">
        <v>6.8339724776802377</v>
      </c>
      <c r="F65" s="15">
        <v>6.9456279658862687</v>
      </c>
      <c r="G65" s="15">
        <v>5.5688953621406512</v>
      </c>
      <c r="H65" s="15">
        <v>0.17204632485293198</v>
      </c>
      <c r="I65" s="15">
        <v>2.5124870858456525</v>
      </c>
      <c r="J65" s="15">
        <v>8.3142241845005474E-2</v>
      </c>
      <c r="K65" s="15">
        <v>9.6068341928040901</v>
      </c>
      <c r="L65" s="15">
        <v>2.3055936826298375</v>
      </c>
      <c r="M65" s="15">
        <v>38.032220370549219</v>
      </c>
      <c r="N65" s="15">
        <v>1.5224613779900024E-2</v>
      </c>
      <c r="O65" s="15"/>
      <c r="P65" s="15">
        <v>0.1249888845311195</v>
      </c>
      <c r="Q65" s="15">
        <v>2.4753838298201871</v>
      </c>
      <c r="R65" s="15">
        <v>0.80557490064844817</v>
      </c>
      <c r="S65" s="15">
        <v>8.3789891058000894</v>
      </c>
      <c r="T65" s="15">
        <v>120.72901919691601</v>
      </c>
      <c r="U65" s="15">
        <v>13.801823099883102</v>
      </c>
      <c r="V65" s="15">
        <v>11.678092446528698</v>
      </c>
      <c r="W65" s="15">
        <v>44.728246593538529</v>
      </c>
      <c r="X65" s="15">
        <v>65.647787665871817</v>
      </c>
      <c r="Y65" s="15">
        <v>12.775069017986851</v>
      </c>
      <c r="Z65" s="15">
        <v>99.124735044507247</v>
      </c>
      <c r="AA65" s="15">
        <v>121.46864608295945</v>
      </c>
      <c r="AB65" s="15">
        <v>186.70016099879447</v>
      </c>
      <c r="AC65" s="15">
        <v>128.81516209785002</v>
      </c>
      <c r="AD65" s="15">
        <v>132.26291617087679</v>
      </c>
      <c r="AE65" s="15">
        <v>25.403391780559861</v>
      </c>
      <c r="AF65" s="15">
        <v>25.583461281595518</v>
      </c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>
        <v>30.335612977878668</v>
      </c>
      <c r="BT65" s="15">
        <v>57.938873830494671</v>
      </c>
      <c r="BU65" s="15">
        <v>93.346609988390611</v>
      </c>
      <c r="BV65" s="15">
        <v>162.85289474516372</v>
      </c>
      <c r="BW65" s="15">
        <v>572.07262572626894</v>
      </c>
      <c r="BX65" s="15"/>
      <c r="BY65" s="15"/>
      <c r="BZ65" s="15"/>
      <c r="CA65" s="15"/>
      <c r="CB65" s="15"/>
      <c r="CC65" s="15"/>
      <c r="CD65" s="15"/>
      <c r="CE65" s="15">
        <v>0.55547715719252466</v>
      </c>
      <c r="CF65" s="15">
        <v>1999.5969128995205</v>
      </c>
      <c r="CG65" s="1"/>
    </row>
    <row r="66" spans="1:85" x14ac:dyDescent="0.25">
      <c r="A66" s="5" t="s">
        <v>88</v>
      </c>
      <c r="B66" s="15" t="s">
        <v>60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>
        <v>23.515639003175906</v>
      </c>
      <c r="AH66" s="15">
        <v>86.93904443942408</v>
      </c>
      <c r="AI66" s="15"/>
      <c r="AJ66" s="15">
        <v>433.20311715256634</v>
      </c>
      <c r="AK66" s="15">
        <v>348.85596948998239</v>
      </c>
      <c r="AL66" s="15">
        <v>97.273093276909748</v>
      </c>
      <c r="AM66" s="15">
        <v>33.023589663691745</v>
      </c>
      <c r="AN66" s="15"/>
      <c r="AO66" s="15">
        <v>305.02154458431443</v>
      </c>
      <c r="AP66" s="15">
        <v>304.46295054000825</v>
      </c>
      <c r="AQ66" s="15">
        <v>13.240773014112177</v>
      </c>
      <c r="AR66" s="15">
        <v>7.9816723695097727</v>
      </c>
      <c r="AS66" s="15"/>
      <c r="AT66" s="15">
        <v>35.450014425196883</v>
      </c>
      <c r="AU66" s="15">
        <v>158.08173920020815</v>
      </c>
      <c r="AV66" s="15">
        <v>65.107060029310929</v>
      </c>
      <c r="AW66" s="15">
        <v>102.55225620458636</v>
      </c>
      <c r="AX66" s="15">
        <v>558.7157691163585</v>
      </c>
      <c r="AY66" s="15">
        <v>72.665590069113165</v>
      </c>
      <c r="AZ66" s="15">
        <v>326.32529805225522</v>
      </c>
      <c r="BA66" s="15">
        <v>254.26803387438463</v>
      </c>
      <c r="BB66" s="15">
        <v>492.72560185436646</v>
      </c>
      <c r="BC66" s="15">
        <v>48.115937944273178</v>
      </c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>
        <v>3767.5246943037491</v>
      </c>
    </row>
    <row r="67" spans="1:85" x14ac:dyDescent="0.25">
      <c r="A67" s="5" t="s">
        <v>101</v>
      </c>
      <c r="B67" s="15" t="s">
        <v>61</v>
      </c>
      <c r="C67" s="15">
        <v>253.0658456960187</v>
      </c>
      <c r="D67" s="15">
        <v>31.335264318143427</v>
      </c>
      <c r="E67" s="15">
        <v>33.111533528637651</v>
      </c>
      <c r="F67" s="15">
        <v>35.857197299166749</v>
      </c>
      <c r="G67" s="15">
        <v>58.190465746514818</v>
      </c>
      <c r="H67" s="15">
        <v>26.851769025098065</v>
      </c>
      <c r="I67" s="15">
        <v>19.983084208605757</v>
      </c>
      <c r="J67" s="15">
        <v>34.764707279905217</v>
      </c>
      <c r="K67" s="15">
        <v>18.63961420087988</v>
      </c>
      <c r="L67" s="15">
        <v>179.32328482851926</v>
      </c>
      <c r="M67" s="15">
        <v>22.692447081639987</v>
      </c>
      <c r="N67" s="15">
        <v>15.668463562993479</v>
      </c>
      <c r="O67" s="15">
        <v>2.9948565107630918</v>
      </c>
      <c r="P67" s="15">
        <v>8.7455258608701207</v>
      </c>
      <c r="Q67" s="15">
        <v>20.616147341775708</v>
      </c>
      <c r="R67" s="15">
        <v>51.715013172735539</v>
      </c>
      <c r="S67" s="15">
        <v>8.1003303961041961</v>
      </c>
      <c r="T67" s="15">
        <v>380.42853018814372</v>
      </c>
      <c r="U67" s="15">
        <v>16.939858716079623</v>
      </c>
      <c r="V67" s="15">
        <v>2.5398978538737809</v>
      </c>
      <c r="W67" s="15">
        <v>30.299532762435334</v>
      </c>
      <c r="X67" s="15">
        <v>33.729395064540235</v>
      </c>
      <c r="Y67" s="15">
        <v>25.50559589243559</v>
      </c>
      <c r="Z67" s="15">
        <v>7.6321948879507611</v>
      </c>
      <c r="AA67" s="15">
        <v>716.98741788695338</v>
      </c>
      <c r="AB67" s="15">
        <v>212.64762644303482</v>
      </c>
      <c r="AC67" s="15">
        <v>160.97303480797115</v>
      </c>
      <c r="AD67" s="15">
        <v>63.671539118086542</v>
      </c>
      <c r="AE67" s="15">
        <v>108.60942640573199</v>
      </c>
      <c r="AF67" s="15">
        <v>52.182106393036364</v>
      </c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>
        <v>2633.801706478645</v>
      </c>
    </row>
    <row r="68" spans="1:85" x14ac:dyDescent="0.25">
      <c r="A68" s="5" t="s">
        <v>102</v>
      </c>
      <c r="B68" s="15" t="s">
        <v>62</v>
      </c>
      <c r="C68" s="15">
        <v>91.093868408182658</v>
      </c>
      <c r="D68" s="15">
        <v>8.1207165692743501</v>
      </c>
      <c r="E68" s="15">
        <v>9.9106708407503294</v>
      </c>
      <c r="F68" s="15">
        <v>6.700291090731028</v>
      </c>
      <c r="G68" s="15">
        <v>12.766426800244163</v>
      </c>
      <c r="H68" s="15">
        <v>5.8375580823502338</v>
      </c>
      <c r="I68" s="15">
        <v>6.773785211543272</v>
      </c>
      <c r="J68" s="15">
        <v>7.0919599782784744</v>
      </c>
      <c r="K68" s="15">
        <v>6.3936705078908291</v>
      </c>
      <c r="L68" s="15">
        <v>53.273230572521122</v>
      </c>
      <c r="M68" s="15">
        <v>5.3204366385204063</v>
      </c>
      <c r="N68" s="15">
        <v>6.2752666766296707</v>
      </c>
      <c r="O68" s="15">
        <v>1.1994490198558125</v>
      </c>
      <c r="P68" s="15">
        <v>3.5026093518154946</v>
      </c>
      <c r="Q68" s="15">
        <v>8.256828877586246</v>
      </c>
      <c r="R68" s="15">
        <v>20.712017967786675</v>
      </c>
      <c r="S68" s="15">
        <v>1.7370062710290695</v>
      </c>
      <c r="T68" s="15">
        <v>186.76158758820435</v>
      </c>
      <c r="U68" s="15">
        <v>4.6053385677928196</v>
      </c>
      <c r="V68" s="15">
        <v>10.839039728828547</v>
      </c>
      <c r="W68" s="15">
        <v>5.5540732269819664</v>
      </c>
      <c r="X68" s="15">
        <v>31.136714330964804</v>
      </c>
      <c r="Y68" s="15">
        <v>5.7689654816882552</v>
      </c>
      <c r="Z68" s="15">
        <v>8.5805368857437205</v>
      </c>
      <c r="AA68" s="15">
        <v>138.16786062981413</v>
      </c>
      <c r="AB68" s="15">
        <v>154.23321184759692</v>
      </c>
      <c r="AC68" s="15">
        <v>50.543722604702261</v>
      </c>
      <c r="AD68" s="15">
        <v>30.613680824153384</v>
      </c>
      <c r="AE68" s="15">
        <v>92.703421591728755</v>
      </c>
      <c r="AF68" s="15">
        <v>23.993462226645654</v>
      </c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>
        <v>998.46740839983534</v>
      </c>
    </row>
    <row r="69" spans="1:85" x14ac:dyDescent="0.25">
      <c r="A69" s="5" t="s">
        <v>103</v>
      </c>
      <c r="B69" s="15" t="s">
        <v>63</v>
      </c>
      <c r="C69" s="15">
        <v>45.154499683482364</v>
      </c>
      <c r="D69" s="15">
        <v>4.1656224468397829</v>
      </c>
      <c r="E69" s="15">
        <v>7.4408616310638784</v>
      </c>
      <c r="F69" s="15">
        <v>3.1016722390482889</v>
      </c>
      <c r="G69" s="15">
        <v>9.2752247614594907</v>
      </c>
      <c r="H69" s="15">
        <v>2.5135061829229852</v>
      </c>
      <c r="I69" s="15">
        <v>3.7489480186686457</v>
      </c>
      <c r="J69" s="15">
        <v>2.5688282124990769</v>
      </c>
      <c r="K69" s="15">
        <v>4.2997016888363015</v>
      </c>
      <c r="L69" s="15">
        <v>28.9015105432177</v>
      </c>
      <c r="M69" s="15">
        <v>18.105710123316356</v>
      </c>
      <c r="N69" s="15">
        <v>3.6497666039653414</v>
      </c>
      <c r="O69" s="15">
        <v>0.69761321732065318</v>
      </c>
      <c r="P69" s="15">
        <v>2.0371575102301116</v>
      </c>
      <c r="Q69" s="15">
        <v>4.8022657593662847</v>
      </c>
      <c r="R69" s="15">
        <v>12.046345657481774</v>
      </c>
      <c r="S69" s="15">
        <v>3.3238724566768529</v>
      </c>
      <c r="T69" s="15">
        <v>153.24937710220664</v>
      </c>
      <c r="U69" s="15">
        <v>16.274186011216841</v>
      </c>
      <c r="V69" s="15">
        <v>3.381481871083218</v>
      </c>
      <c r="W69" s="15">
        <v>3.7355989655764708</v>
      </c>
      <c r="X69" s="15">
        <v>30.15596623665413</v>
      </c>
      <c r="Y69" s="15">
        <v>4.6027036997739277</v>
      </c>
      <c r="Z69" s="15">
        <v>11.515227332866083</v>
      </c>
      <c r="AA69" s="15">
        <v>143.79215430396667</v>
      </c>
      <c r="AB69" s="15">
        <v>110.96242353583543</v>
      </c>
      <c r="AC69" s="15">
        <v>24.825460219090754</v>
      </c>
      <c r="AD69" s="15">
        <v>61.666956456688339</v>
      </c>
      <c r="AE69" s="15">
        <v>346.90088637450879</v>
      </c>
      <c r="AF69" s="15">
        <v>8.3987315481879232</v>
      </c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>
        <v>1.1794082943358617</v>
      </c>
      <c r="CF69" s="15">
        <v>1076.4736686883871</v>
      </c>
    </row>
    <row r="70" spans="1:85" x14ac:dyDescent="0.25">
      <c r="A70" s="5" t="s">
        <v>104</v>
      </c>
      <c r="B70" s="15" t="s">
        <v>64</v>
      </c>
      <c r="C70" s="15">
        <v>11.968806729502177</v>
      </c>
      <c r="D70" s="15">
        <v>0.87722305150912494</v>
      </c>
      <c r="E70" s="15">
        <v>2.1948292911947944</v>
      </c>
      <c r="F70" s="15">
        <v>1.624201447110506</v>
      </c>
      <c r="G70" s="15">
        <v>1.3435815082453799</v>
      </c>
      <c r="H70" s="15">
        <v>0.71700839190073862</v>
      </c>
      <c r="I70" s="15">
        <v>0.49774475399342388</v>
      </c>
      <c r="J70" s="15">
        <v>1.0289632381570115</v>
      </c>
      <c r="K70" s="15">
        <v>3.0062425867479527</v>
      </c>
      <c r="L70" s="15">
        <v>2.0200515263159291</v>
      </c>
      <c r="M70" s="15">
        <v>7.0475093399188378</v>
      </c>
      <c r="N70" s="15">
        <v>0.43426116132459092</v>
      </c>
      <c r="O70" s="15">
        <v>8.3004301036650019E-2</v>
      </c>
      <c r="P70" s="15">
        <v>0.24238765986638444</v>
      </c>
      <c r="Q70" s="15">
        <v>0.57138927825849661</v>
      </c>
      <c r="R70" s="15">
        <v>1.4333135848335887</v>
      </c>
      <c r="S70" s="15">
        <v>1.8442998314985208</v>
      </c>
      <c r="T70" s="15">
        <v>35.518418684273662</v>
      </c>
      <c r="U70" s="15">
        <v>2.5561427062686968</v>
      </c>
      <c r="V70" s="15">
        <v>2.4461737406790203</v>
      </c>
      <c r="W70" s="15">
        <v>1.1055978159389124</v>
      </c>
      <c r="X70" s="15">
        <v>14.914617751834509</v>
      </c>
      <c r="Y70" s="15">
        <v>0.69637004883403064</v>
      </c>
      <c r="Z70" s="15">
        <v>3.625349709629293</v>
      </c>
      <c r="AA70" s="15">
        <v>24.293207999109143</v>
      </c>
      <c r="AB70" s="15">
        <v>29.914137110682873</v>
      </c>
      <c r="AC70" s="15">
        <v>8.1843540090237639</v>
      </c>
      <c r="AD70" s="15">
        <v>68.173456035736606</v>
      </c>
      <c r="AE70" s="15">
        <v>426.77231726005601</v>
      </c>
      <c r="AF70" s="15">
        <v>10.574352951989315</v>
      </c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>
        <v>0.80518761305066477</v>
      </c>
      <c r="CF70" s="15">
        <v>666.51450111852057</v>
      </c>
    </row>
    <row r="71" spans="1:85" x14ac:dyDescent="0.25">
      <c r="A71" s="5" t="s">
        <v>141</v>
      </c>
      <c r="B71" s="15" t="s">
        <v>65</v>
      </c>
      <c r="C71" s="15">
        <v>321.32353838319347</v>
      </c>
      <c r="D71" s="15">
        <v>50.448344493288381</v>
      </c>
      <c r="E71" s="15">
        <v>78.613767058233478</v>
      </c>
      <c r="F71" s="15">
        <v>145.94398325258373</v>
      </c>
      <c r="G71" s="15">
        <v>107.83477071330186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>
        <v>704.16440390060097</v>
      </c>
    </row>
    <row r="72" spans="1:85" x14ac:dyDescent="0.25">
      <c r="A72" s="5" t="s">
        <v>105</v>
      </c>
      <c r="B72" s="15" t="s">
        <v>66</v>
      </c>
      <c r="C72" s="15">
        <v>18.322281743345631</v>
      </c>
      <c r="D72" s="15">
        <v>2.5452272968903813</v>
      </c>
      <c r="E72" s="15">
        <v>3.598995983806637</v>
      </c>
      <c r="F72" s="15">
        <v>7.2097638714166976</v>
      </c>
      <c r="G72" s="15">
        <v>5.1867692691250094</v>
      </c>
      <c r="H72" s="15">
        <v>75.480867642015113</v>
      </c>
      <c r="I72" s="15">
        <v>76.539781756590955</v>
      </c>
      <c r="J72" s="15">
        <v>93.400233268397642</v>
      </c>
      <c r="K72" s="15">
        <v>183.75464577319218</v>
      </c>
      <c r="L72" s="15">
        <v>441.57019113731275</v>
      </c>
      <c r="M72" s="15">
        <v>232.49933350203068</v>
      </c>
      <c r="N72" s="15">
        <v>15.844143727997027</v>
      </c>
      <c r="O72" s="15">
        <v>0.82157001096473281</v>
      </c>
      <c r="P72" s="15">
        <v>21.239190011827574</v>
      </c>
      <c r="Q72" s="15">
        <v>36.479201042106538</v>
      </c>
      <c r="R72" s="15">
        <v>59.075339117656135</v>
      </c>
      <c r="S72" s="15">
        <v>41.217699995000913</v>
      </c>
      <c r="T72" s="15">
        <v>547.44943319337415</v>
      </c>
      <c r="U72" s="15">
        <v>57.768775300705542</v>
      </c>
      <c r="V72" s="15">
        <v>77.251149220209896</v>
      </c>
      <c r="W72" s="15">
        <v>211.52217751929422</v>
      </c>
      <c r="X72" s="15">
        <v>389.09629197054778</v>
      </c>
      <c r="Y72" s="15">
        <v>145.88706763398366</v>
      </c>
      <c r="Z72" s="15">
        <v>206.70211002449096</v>
      </c>
      <c r="AA72" s="15">
        <v>231.93591907267691</v>
      </c>
      <c r="AB72" s="15">
        <v>1853.3179004504495</v>
      </c>
      <c r="AC72" s="15">
        <v>1460.2905842335506</v>
      </c>
      <c r="AD72" s="15">
        <v>1563.1644459878221</v>
      </c>
      <c r="AE72" s="15">
        <v>501.12409645757111</v>
      </c>
      <c r="AF72" s="15">
        <v>1616.1137090129946</v>
      </c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>
        <v>5.3979776206701402</v>
      </c>
      <c r="CF72" s="15">
        <v>10181.806872848018</v>
      </c>
    </row>
    <row r="73" spans="1:85" x14ac:dyDescent="0.25">
      <c r="A73" s="5" t="s">
        <v>142</v>
      </c>
      <c r="B73" s="15" t="s">
        <v>67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>
        <v>9681.3545146988636</v>
      </c>
      <c r="BR73" s="15"/>
      <c r="BS73" s="15"/>
      <c r="BT73" s="15"/>
      <c r="BU73" s="15"/>
      <c r="BV73" s="15"/>
      <c r="BW73" s="15"/>
      <c r="BX73" s="15">
        <v>459.80080278812255</v>
      </c>
      <c r="BY73" s="15"/>
      <c r="BZ73" s="15"/>
      <c r="CA73" s="15"/>
      <c r="CB73" s="15"/>
      <c r="CC73" s="15"/>
      <c r="CD73" s="15"/>
      <c r="CE73" s="15">
        <v>48.729247824616316</v>
      </c>
      <c r="CF73" s="15">
        <v>10189.884565311602</v>
      </c>
    </row>
    <row r="74" spans="1:85" x14ac:dyDescent="0.25">
      <c r="A74" s="5" t="s">
        <v>136</v>
      </c>
      <c r="B74" s="15" t="s">
        <v>68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>
        <v>378.52434146759566</v>
      </c>
      <c r="BM74" s="15">
        <v>62.926139111716424</v>
      </c>
      <c r="BN74" s="15">
        <v>36.040267884955867</v>
      </c>
      <c r="BO74" s="15">
        <v>10.009510050562433</v>
      </c>
      <c r="BP74" s="15">
        <v>81.08833598756307</v>
      </c>
      <c r="BQ74" s="15">
        <v>37.761333115357409</v>
      </c>
      <c r="BR74" s="15">
        <v>244.59220585739627</v>
      </c>
      <c r="BS74" s="15"/>
      <c r="BT74" s="15"/>
      <c r="BU74" s="15"/>
      <c r="BV74" s="15"/>
      <c r="BW74" s="15"/>
      <c r="BX74" s="15">
        <v>32.234883997282694</v>
      </c>
      <c r="BY74" s="15"/>
      <c r="BZ74" s="15"/>
      <c r="CA74" s="15"/>
      <c r="CB74" s="15"/>
      <c r="CC74" s="15"/>
      <c r="CD74" s="15"/>
      <c r="CE74" s="15">
        <v>18.708354227811927</v>
      </c>
      <c r="CF74" s="15">
        <v>901.88537170024176</v>
      </c>
    </row>
    <row r="75" spans="1:85" x14ac:dyDescent="0.25">
      <c r="A75" s="5" t="s">
        <v>137</v>
      </c>
      <c r="B75" s="15" t="s">
        <v>69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>
        <v>514.14413526110332</v>
      </c>
      <c r="BM75" s="15">
        <v>131.51683779684492</v>
      </c>
      <c r="BN75" s="15">
        <v>85.387259261353691</v>
      </c>
      <c r="BO75" s="15">
        <v>23.424652029534649</v>
      </c>
      <c r="BP75" s="15">
        <v>148.42303038383119</v>
      </c>
      <c r="BQ75" s="15">
        <v>53.918504655105586</v>
      </c>
      <c r="BR75" s="15">
        <v>428.91725623046409</v>
      </c>
      <c r="BS75" s="15"/>
      <c r="BT75" s="15"/>
      <c r="BU75" s="15"/>
      <c r="BV75" s="15"/>
      <c r="BW75" s="15"/>
      <c r="BX75" s="15">
        <v>42.675428677054306</v>
      </c>
      <c r="BY75" s="15"/>
      <c r="BZ75" s="15"/>
      <c r="CA75" s="15"/>
      <c r="CB75" s="15"/>
      <c r="CC75" s="15"/>
      <c r="CD75" s="15"/>
      <c r="CE75" s="15">
        <v>48.045434652632153</v>
      </c>
      <c r="CF75" s="15">
        <v>1476.4525389479238</v>
      </c>
    </row>
    <row r="76" spans="1:85" x14ac:dyDescent="0.25">
      <c r="A76" s="5" t="s">
        <v>138</v>
      </c>
      <c r="B76" s="15" t="s">
        <v>70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>
        <v>562.91489835343043</v>
      </c>
      <c r="BM76" s="15">
        <v>203.08238381251311</v>
      </c>
      <c r="BN76" s="15">
        <v>192.66879069598053</v>
      </c>
      <c r="BO76" s="15">
        <v>54.832533821400375</v>
      </c>
      <c r="BP76" s="15">
        <v>160.08788199553615</v>
      </c>
      <c r="BQ76" s="15">
        <v>59.029135868330101</v>
      </c>
      <c r="BR76" s="15">
        <v>764.84250244972384</v>
      </c>
      <c r="BS76" s="15"/>
      <c r="BT76" s="15"/>
      <c r="BU76" s="15"/>
      <c r="BV76" s="15"/>
      <c r="BW76" s="15"/>
      <c r="BX76" s="15">
        <v>36.119785997594015</v>
      </c>
      <c r="BY76" s="15"/>
      <c r="BZ76" s="15"/>
      <c r="CA76" s="15"/>
      <c r="CB76" s="15"/>
      <c r="CC76" s="15"/>
      <c r="CD76" s="15"/>
      <c r="CE76" s="15">
        <v>108.46065234193104</v>
      </c>
      <c r="CF76" s="15">
        <v>2142.0385653364392</v>
      </c>
    </row>
    <row r="77" spans="1:85" x14ac:dyDescent="0.25">
      <c r="A77" s="5" t="s">
        <v>139</v>
      </c>
      <c r="B77" s="15" t="s">
        <v>71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>
        <v>587.01700696057503</v>
      </c>
      <c r="BM77" s="15">
        <v>213.10815881082408</v>
      </c>
      <c r="BN77" s="15">
        <v>257.97169950654472</v>
      </c>
      <c r="BO77" s="15">
        <v>119.32505503844496</v>
      </c>
      <c r="BP77" s="15">
        <v>168.59714030418633</v>
      </c>
      <c r="BQ77" s="15">
        <v>59.343608005378151</v>
      </c>
      <c r="BR77" s="15">
        <v>1444.7662812474523</v>
      </c>
      <c r="BS77" s="15"/>
      <c r="BT77" s="15"/>
      <c r="BU77" s="15"/>
      <c r="BV77" s="15"/>
      <c r="BW77" s="15"/>
      <c r="BX77" s="15">
        <v>31.156131336532813</v>
      </c>
      <c r="BY77" s="15"/>
      <c r="BZ77" s="15"/>
      <c r="CA77" s="15"/>
      <c r="CB77" s="15"/>
      <c r="CC77" s="15"/>
      <c r="CD77" s="15"/>
      <c r="CE77" s="15">
        <v>171.17098193880253</v>
      </c>
      <c r="CF77" s="15">
        <v>3052.4560631487411</v>
      </c>
    </row>
    <row r="78" spans="1:85" x14ac:dyDescent="0.25">
      <c r="A78" s="5" t="s">
        <v>140</v>
      </c>
      <c r="B78" s="15" t="s">
        <v>72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>
        <v>591.1116526460861</v>
      </c>
      <c r="BM78" s="15">
        <v>387.7998945245501</v>
      </c>
      <c r="BN78" s="15">
        <v>504.36900115424567</v>
      </c>
      <c r="BO78" s="15">
        <v>458.90005767741809</v>
      </c>
      <c r="BP78" s="15">
        <v>145.96801522948425</v>
      </c>
      <c r="BQ78" s="15">
        <v>72.231339187416808</v>
      </c>
      <c r="BR78" s="15">
        <v>4243.5472233759501</v>
      </c>
      <c r="BS78" s="15"/>
      <c r="BT78" s="15"/>
      <c r="BU78" s="15"/>
      <c r="BV78" s="15"/>
      <c r="BW78" s="15"/>
      <c r="BX78" s="15">
        <v>21.987027933474266</v>
      </c>
      <c r="BY78" s="15"/>
      <c r="BZ78" s="15"/>
      <c r="CA78" s="15"/>
      <c r="CB78" s="15"/>
      <c r="CC78" s="15"/>
      <c r="CD78" s="15"/>
      <c r="CE78" s="15">
        <v>393.3335708818459</v>
      </c>
      <c r="CF78" s="15">
        <v>6819.2477826104714</v>
      </c>
    </row>
    <row r="79" spans="1:85" x14ac:dyDescent="0.25">
      <c r="A79" s="5" t="s">
        <v>90</v>
      </c>
      <c r="B79" s="15" t="s">
        <v>73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>
        <v>246.79959340759163</v>
      </c>
      <c r="BS79" s="15">
        <v>9.6306856697160922E-2</v>
      </c>
      <c r="BT79" s="15">
        <v>0.15502199034054165</v>
      </c>
      <c r="BU79" s="15">
        <v>0.37281594880664559</v>
      </c>
      <c r="BV79" s="15">
        <v>0.55181441896025796</v>
      </c>
      <c r="BW79" s="15">
        <v>2.3140745681008124</v>
      </c>
      <c r="BX79" s="15"/>
      <c r="BY79" s="15">
        <v>501.63123704980973</v>
      </c>
      <c r="BZ79" s="15"/>
      <c r="CA79" s="15">
        <v>369.20102739291013</v>
      </c>
      <c r="CB79" s="15">
        <v>491.32599137952036</v>
      </c>
      <c r="CC79" s="15"/>
      <c r="CD79" s="15"/>
      <c r="CE79" s="15">
        <v>21.632157521429448</v>
      </c>
      <c r="CF79" s="15">
        <v>1634.0800405341668</v>
      </c>
    </row>
    <row r="80" spans="1:85" x14ac:dyDescent="0.25">
      <c r="A80" s="5" t="s">
        <v>92</v>
      </c>
      <c r="B80" s="15" t="s">
        <v>74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>
        <v>353.97184467522459</v>
      </c>
      <c r="BS80" s="15">
        <v>3.2696437974622508</v>
      </c>
      <c r="BT80" s="15">
        <v>5.2283594332964531</v>
      </c>
      <c r="BU80" s="15">
        <v>12.777832420548433</v>
      </c>
      <c r="BV80" s="15">
        <v>24.598108208170391</v>
      </c>
      <c r="BW80" s="15">
        <v>101.78544851510765</v>
      </c>
      <c r="BX80" s="15"/>
      <c r="BY80" s="15"/>
      <c r="BZ80" s="15"/>
      <c r="CA80" s="15"/>
      <c r="CB80" s="15"/>
      <c r="CC80" s="15"/>
      <c r="CD80" s="15"/>
      <c r="CE80" s="15"/>
      <c r="CF80" s="15">
        <v>501.63123704980978</v>
      </c>
    </row>
    <row r="81" spans="1:84" x14ac:dyDescent="0.25">
      <c r="A81" s="5" t="s">
        <v>94</v>
      </c>
      <c r="B81" s="15" t="s">
        <v>75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</row>
    <row r="82" spans="1:84" x14ac:dyDescent="0.25">
      <c r="A82" s="5" t="s">
        <v>95</v>
      </c>
      <c r="B82" s="15" t="s">
        <v>76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>
        <v>0.95298845148113032</v>
      </c>
      <c r="AI82" s="15"/>
      <c r="AJ82" s="15">
        <v>8.1368569496405083</v>
      </c>
      <c r="AK82" s="15">
        <v>4.9711060704341152</v>
      </c>
      <c r="AL82" s="15">
        <v>1.2739726903354028E-4</v>
      </c>
      <c r="AM82" s="15">
        <v>1.073199425623635</v>
      </c>
      <c r="AN82" s="15"/>
      <c r="AO82" s="15"/>
      <c r="AP82" s="15"/>
      <c r="AQ82" s="15">
        <v>10.070963073829759</v>
      </c>
      <c r="AR82" s="15">
        <v>1.4594737123610351</v>
      </c>
      <c r="AS82" s="15"/>
      <c r="AT82" s="15">
        <v>23.772009055091445</v>
      </c>
      <c r="AU82" s="15">
        <v>1.8305731731816423E-3</v>
      </c>
      <c r="AV82" s="15">
        <v>2.8960141114743458</v>
      </c>
      <c r="AW82" s="15">
        <v>1.7845238895407338E-2</v>
      </c>
      <c r="AX82" s="15">
        <v>64.455878948592925</v>
      </c>
      <c r="AY82" s="15">
        <v>11.530818460311821</v>
      </c>
      <c r="AZ82" s="15">
        <v>84.71750937166405</v>
      </c>
      <c r="BA82" s="15">
        <v>19.67956048806311</v>
      </c>
      <c r="BB82" s="15">
        <v>132.99929717649601</v>
      </c>
      <c r="BC82" s="15">
        <v>2.4655488885085073</v>
      </c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>
        <v>369.20102739291002</v>
      </c>
    </row>
    <row r="83" spans="1:84" x14ac:dyDescent="0.25">
      <c r="A83" s="5" t="s">
        <v>96</v>
      </c>
      <c r="B83" s="15" t="s">
        <v>77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>
        <v>1.6825111509545178E-5</v>
      </c>
      <c r="AI83" s="15"/>
      <c r="AJ83" s="15"/>
      <c r="AK83" s="15">
        <v>0.67532758186650432</v>
      </c>
      <c r="AL83" s="15"/>
      <c r="AM83" s="15"/>
      <c r="AN83" s="15"/>
      <c r="AO83" s="15"/>
      <c r="AP83" s="15"/>
      <c r="AQ83" s="15">
        <v>1.4165809848694862E-2</v>
      </c>
      <c r="AR83" s="15">
        <v>12.034385759123394</v>
      </c>
      <c r="AS83" s="15"/>
      <c r="AT83" s="15">
        <v>258.28412401591862</v>
      </c>
      <c r="AU83" s="15"/>
      <c r="AV83" s="15">
        <v>37.839398277638288</v>
      </c>
      <c r="AW83" s="15"/>
      <c r="AX83" s="15">
        <v>22.756607556040368</v>
      </c>
      <c r="AY83" s="15">
        <v>4.5560380978353674</v>
      </c>
      <c r="AZ83" s="15">
        <v>155.16592745613667</v>
      </c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>
        <v>491.32599137951939</v>
      </c>
    </row>
    <row r="84" spans="1:84" x14ac:dyDescent="0.25">
      <c r="A84" s="5" t="s">
        <v>97</v>
      </c>
      <c r="B84" s="15" t="s">
        <v>78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>
        <v>2456.4244485544327</v>
      </c>
      <c r="BS84" s="15">
        <v>136.36017662695343</v>
      </c>
      <c r="BT84" s="15">
        <v>283.80987208133223</v>
      </c>
      <c r="BU84" s="15">
        <v>469.7481421068785</v>
      </c>
      <c r="BV84" s="15">
        <v>626.14743208794766</v>
      </c>
      <c r="BW84" s="15">
        <v>1368.0580756954814</v>
      </c>
      <c r="BX84" s="15">
        <v>-34.256569842259047</v>
      </c>
      <c r="BY84" s="15"/>
      <c r="BZ84" s="15"/>
      <c r="CA84" s="15"/>
      <c r="CB84" s="15"/>
      <c r="CC84" s="15"/>
      <c r="CD84" s="15"/>
      <c r="CE84" s="15">
        <v>-88.289671394354244</v>
      </c>
      <c r="CF84" s="15">
        <v>5218.0019059164133</v>
      </c>
    </row>
    <row r="85" spans="1:84" x14ac:dyDescent="0.25">
      <c r="A85" s="5" t="s">
        <v>98</v>
      </c>
      <c r="B85" s="15" t="s">
        <v>79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</row>
    <row r="86" spans="1:84" x14ac:dyDescent="0.25">
      <c r="A86" s="5" t="s">
        <v>99</v>
      </c>
      <c r="B86" s="15" t="s">
        <v>80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>
        <v>76.912371562267467</v>
      </c>
      <c r="AH86" s="15">
        <v>72.621870936458137</v>
      </c>
      <c r="AI86" s="15"/>
      <c r="AJ86" s="15">
        <v>36.63651194857848</v>
      </c>
      <c r="AK86" s="15">
        <v>131.19392395241334</v>
      </c>
      <c r="AL86" s="15">
        <v>1.4106392519736659E-2</v>
      </c>
      <c r="AM86" s="15">
        <v>3.562160373787266</v>
      </c>
      <c r="AN86" s="15">
        <v>0.57985224170874727</v>
      </c>
      <c r="AO86" s="15">
        <v>5.7963515728216706</v>
      </c>
      <c r="AP86" s="15">
        <v>1.4954664696465549</v>
      </c>
      <c r="AQ86" s="15">
        <v>93.755641288083851</v>
      </c>
      <c r="AR86" s="15">
        <v>22.51454511340755</v>
      </c>
      <c r="AS86" s="15">
        <v>1.8800369301587969</v>
      </c>
      <c r="AT86" s="15">
        <v>311.23167407630626</v>
      </c>
      <c r="AU86" s="15">
        <v>26.628964720867593</v>
      </c>
      <c r="AV86" s="15">
        <v>111.27018732534648</v>
      </c>
      <c r="AW86" s="15">
        <v>1.0904456748746687</v>
      </c>
      <c r="AX86" s="15">
        <v>401.14375905999589</v>
      </c>
      <c r="AY86" s="15">
        <v>50.480108409664929</v>
      </c>
      <c r="AZ86" s="15">
        <v>786.26683989481535</v>
      </c>
      <c r="BA86" s="15">
        <v>67.754972559805097</v>
      </c>
      <c r="BB86" s="15">
        <v>921.13696335689588</v>
      </c>
      <c r="BC86" s="15">
        <v>21.480727460058084</v>
      </c>
      <c r="BD86" s="15"/>
      <c r="BE86" s="15">
        <v>17.091488771126929</v>
      </c>
      <c r="BF86" s="15">
        <v>37.176306253244093</v>
      </c>
      <c r="BG86" s="15">
        <v>428.58445713623405</v>
      </c>
      <c r="BH86" s="15">
        <v>104.45890832925365</v>
      </c>
      <c r="BI86" s="15">
        <v>15.434895863642307</v>
      </c>
      <c r="BJ86" s="15">
        <v>0.8247243765725103</v>
      </c>
      <c r="BK86" s="15"/>
      <c r="BL86" s="15">
        <v>8.9671789854966627E-2</v>
      </c>
      <c r="BM86" s="15">
        <v>3.3994343386909459E-2</v>
      </c>
      <c r="BN86" s="15">
        <v>3.6650185306504456E-2</v>
      </c>
      <c r="BO86" s="15">
        <v>2.2692501160042247E-2</v>
      </c>
      <c r="BP86" s="15"/>
      <c r="BQ86" s="15">
        <v>218.168437317567</v>
      </c>
      <c r="BR86" s="15">
        <v>6.0232095133695571</v>
      </c>
      <c r="BS86" s="15">
        <v>0.29753865446995381</v>
      </c>
      <c r="BT86" s="15">
        <v>0.31942544016795615</v>
      </c>
      <c r="BU86" s="15">
        <v>0.48487739692869625</v>
      </c>
      <c r="BV86" s="15">
        <v>0.62911980658931321</v>
      </c>
      <c r="BW86" s="15">
        <v>1.3200211668323343</v>
      </c>
      <c r="BX86" s="15">
        <v>16.095306877107852</v>
      </c>
      <c r="BY86" s="15"/>
      <c r="BZ86" s="15"/>
      <c r="CA86" s="15"/>
      <c r="CB86" s="15"/>
      <c r="CC86" s="15"/>
      <c r="CD86" s="15"/>
      <c r="CE86" s="15"/>
      <c r="CF86" s="15">
        <v>3992.5392070432963</v>
      </c>
    </row>
    <row r="87" spans="1:84" x14ac:dyDescent="0.25">
      <c r="A87" s="5" t="s">
        <v>100</v>
      </c>
      <c r="B87" s="15" t="s">
        <v>81</v>
      </c>
      <c r="C87" s="15">
        <v>969.53394978483516</v>
      </c>
      <c r="D87" s="15">
        <v>132.44194217923467</v>
      </c>
      <c r="E87" s="15">
        <v>243.94284842830487</v>
      </c>
      <c r="F87" s="15">
        <v>263.42893386395212</v>
      </c>
      <c r="G87" s="15">
        <v>283.55787673801996</v>
      </c>
      <c r="H87" s="15">
        <v>328.68976486913868</v>
      </c>
      <c r="I87" s="15">
        <v>304.16556550981403</v>
      </c>
      <c r="J87" s="15">
        <v>238.53401470878518</v>
      </c>
      <c r="K87" s="15">
        <v>458.80898089401785</v>
      </c>
      <c r="L87" s="15">
        <v>1228.5492899433307</v>
      </c>
      <c r="M87" s="15">
        <v>517.75716066374912</v>
      </c>
      <c r="N87" s="15">
        <v>135.55215510506068</v>
      </c>
      <c r="O87" s="15">
        <v>14.570814403999057</v>
      </c>
      <c r="P87" s="15">
        <v>130.26823290829896</v>
      </c>
      <c r="Q87" s="15">
        <v>984.84014413623231</v>
      </c>
      <c r="R87" s="15">
        <v>406.98079286900702</v>
      </c>
      <c r="S87" s="15">
        <v>289.16366990775305</v>
      </c>
      <c r="T87" s="15">
        <v>3548.1146286746734</v>
      </c>
      <c r="U87" s="15">
        <v>451.88793041524519</v>
      </c>
      <c r="V87" s="15">
        <v>401.1392531450731</v>
      </c>
      <c r="W87" s="15">
        <v>793.09756259927508</v>
      </c>
      <c r="X87" s="15">
        <v>1767.9933325894499</v>
      </c>
      <c r="Y87" s="15">
        <v>546.81908880039919</v>
      </c>
      <c r="Z87" s="15">
        <v>1038.6952497602135</v>
      </c>
      <c r="AA87" s="15">
        <v>3926.0191175441164</v>
      </c>
      <c r="AB87" s="15">
        <v>3220.383950561984</v>
      </c>
      <c r="AC87" s="15">
        <v>2859.1981204374019</v>
      </c>
      <c r="AD87" s="15">
        <v>2508.2331280033713</v>
      </c>
      <c r="AE87" s="15">
        <v>2262.4772704116981</v>
      </c>
      <c r="AF87" s="15">
        <v>1998.772188522948</v>
      </c>
      <c r="AG87" s="15">
        <v>1069.961960350279</v>
      </c>
      <c r="AH87" s="15">
        <v>234.86575590311696</v>
      </c>
      <c r="AI87" s="15">
        <v>242.53103283088487</v>
      </c>
      <c r="AJ87" s="15">
        <v>724.43605154065449</v>
      </c>
      <c r="AK87" s="15">
        <v>767.16825465073975</v>
      </c>
      <c r="AL87" s="15">
        <v>394.14210008575338</v>
      </c>
      <c r="AM87" s="15">
        <v>329.38699404371573</v>
      </c>
      <c r="AN87" s="15">
        <v>215.34304061460193</v>
      </c>
      <c r="AO87" s="15">
        <v>688.20871270905184</v>
      </c>
      <c r="AP87" s="15">
        <v>1504.9701112549717</v>
      </c>
      <c r="AQ87" s="15">
        <v>634.83870384962358</v>
      </c>
      <c r="AR87" s="15">
        <v>179.35849031973044</v>
      </c>
      <c r="AS87" s="15">
        <v>16.450851334157846</v>
      </c>
      <c r="AT87" s="15">
        <v>758.08575101263853</v>
      </c>
      <c r="AU87" s="15">
        <v>1017.1058868925205</v>
      </c>
      <c r="AV87" s="15">
        <v>622.37718606600617</v>
      </c>
      <c r="AW87" s="15">
        <v>392.82421702610935</v>
      </c>
      <c r="AX87" s="15">
        <v>4595.1866433556634</v>
      </c>
      <c r="AY87" s="15">
        <v>591.12048545216953</v>
      </c>
      <c r="AZ87" s="15">
        <v>1753.6148279199442</v>
      </c>
      <c r="BA87" s="15">
        <v>1134.8001295215277</v>
      </c>
      <c r="BB87" s="15">
        <v>3314.8551949772082</v>
      </c>
      <c r="BC87" s="15">
        <v>618.88130309323788</v>
      </c>
      <c r="BD87" s="15">
        <v>1038.6952497602128</v>
      </c>
      <c r="BE87" s="15">
        <v>3943.1106063152465</v>
      </c>
      <c r="BF87" s="15">
        <v>3257.5602568152326</v>
      </c>
      <c r="BG87" s="15">
        <v>3287.7825775736346</v>
      </c>
      <c r="BH87" s="15">
        <v>2612.6920363326271</v>
      </c>
      <c r="BI87" s="15">
        <v>2277.9121662753387</v>
      </c>
      <c r="BJ87" s="15">
        <v>1999.5969128995209</v>
      </c>
      <c r="BK87" s="15">
        <v>3767.5246943037455</v>
      </c>
      <c r="BL87" s="15">
        <v>2633.8017064786454</v>
      </c>
      <c r="BM87" s="15">
        <v>998.46740839983545</v>
      </c>
      <c r="BN87" s="15">
        <v>1076.4736686883871</v>
      </c>
      <c r="BO87" s="15">
        <v>666.51450111852046</v>
      </c>
      <c r="BP87" s="15">
        <v>704.16440390060097</v>
      </c>
      <c r="BQ87" s="15">
        <v>10181.806872848018</v>
      </c>
      <c r="BR87" s="15">
        <v>10189.884565311604</v>
      </c>
      <c r="BS87" s="15">
        <v>901.88537170024165</v>
      </c>
      <c r="BT87" s="15">
        <v>1476.452538947924</v>
      </c>
      <c r="BU87" s="15">
        <v>2142.0385653364392</v>
      </c>
      <c r="BV87" s="15">
        <v>3052.4560631487411</v>
      </c>
      <c r="BW87" s="15">
        <v>6819.2477826104714</v>
      </c>
      <c r="BX87" s="15">
        <v>1634.0800405341668</v>
      </c>
      <c r="BY87" s="15">
        <v>501.63123704980973</v>
      </c>
      <c r="BZ87" s="15"/>
      <c r="CA87" s="15">
        <v>369.20102739291013</v>
      </c>
      <c r="CB87" s="15">
        <v>491.32599137952036</v>
      </c>
      <c r="CC87" s="15">
        <v>5218.0019059164124</v>
      </c>
      <c r="CD87" s="15"/>
      <c r="CE87" s="15">
        <v>3992.5392070432999</v>
      </c>
      <c r="CF87" s="15"/>
    </row>
    <row r="89" spans="1:84" x14ac:dyDescent="0.25">
      <c r="C89" s="15">
        <f>SUM(AF67:AF72)</f>
        <v>1711.2623621328539</v>
      </c>
    </row>
    <row r="90" spans="1:84" x14ac:dyDescent="0.25">
      <c r="C90" s="15">
        <f>SUM(C67:AF72)</f>
        <v>16253.845987905952</v>
      </c>
    </row>
    <row r="91" spans="1:84" x14ac:dyDescent="0.25">
      <c r="C91" s="17">
        <f>C89/C90</f>
        <v>0.10528353494958412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56CA-CCC9-4CF4-B8E8-2F790E64E939}">
  <sheetPr>
    <tabColor rgb="FFC00000"/>
  </sheetPr>
  <dimension ref="A1:L49"/>
  <sheetViews>
    <sheetView zoomScale="85" zoomScaleNormal="85" workbookViewId="0">
      <selection activeCell="B22" sqref="B22"/>
    </sheetView>
  </sheetViews>
  <sheetFormatPr defaultRowHeight="15" x14ac:dyDescent="0.25"/>
  <cols>
    <col min="1" max="1" width="4.28515625" customWidth="1"/>
    <col min="2" max="2" width="81.28515625" customWidth="1"/>
    <col min="3" max="3" width="13.28515625" customWidth="1"/>
    <col min="4" max="4" width="27.42578125" customWidth="1"/>
  </cols>
  <sheetData>
    <row r="1" spans="1:4" ht="18.75" x14ac:dyDescent="0.3">
      <c r="A1" s="3" t="s">
        <v>157</v>
      </c>
      <c r="C1" s="10" t="s">
        <v>182</v>
      </c>
      <c r="D1" s="9" t="s">
        <v>179</v>
      </c>
    </row>
    <row r="2" spans="1:4" x14ac:dyDescent="0.25">
      <c r="A2" t="s">
        <v>181</v>
      </c>
    </row>
    <row r="4" spans="1:4" x14ac:dyDescent="0.25">
      <c r="A4" s="2" t="s">
        <v>148</v>
      </c>
    </row>
    <row r="5" spans="1:4" x14ac:dyDescent="0.25">
      <c r="A5">
        <v>1</v>
      </c>
      <c r="B5" t="s">
        <v>147</v>
      </c>
      <c r="D5" s="8" t="s">
        <v>175</v>
      </c>
    </row>
    <row r="6" spans="1:4" x14ac:dyDescent="0.25">
      <c r="A6">
        <v>2</v>
      </c>
      <c r="B6" t="s">
        <v>149</v>
      </c>
      <c r="D6" s="8" t="s">
        <v>177</v>
      </c>
    </row>
    <row r="7" spans="1:4" x14ac:dyDescent="0.25">
      <c r="A7">
        <v>3</v>
      </c>
      <c r="B7" t="s">
        <v>151</v>
      </c>
      <c r="D7" s="8" t="s">
        <v>178</v>
      </c>
    </row>
    <row r="8" spans="1:4" x14ac:dyDescent="0.25">
      <c r="A8">
        <v>4</v>
      </c>
      <c r="B8" t="s">
        <v>150</v>
      </c>
      <c r="D8" s="8" t="s">
        <v>268</v>
      </c>
    </row>
    <row r="9" spans="1:4" x14ac:dyDescent="0.25">
      <c r="A9">
        <v>5</v>
      </c>
      <c r="B9" t="s">
        <v>155</v>
      </c>
      <c r="D9" s="8" t="s">
        <v>269</v>
      </c>
    </row>
    <row r="10" spans="1:4" x14ac:dyDescent="0.25">
      <c r="A10">
        <v>6</v>
      </c>
      <c r="B10" t="s">
        <v>166</v>
      </c>
      <c r="D10" s="8" t="s">
        <v>180</v>
      </c>
    </row>
    <row r="11" spans="1:4" x14ac:dyDescent="0.25">
      <c r="D11" s="8"/>
    </row>
    <row r="12" spans="1:4" x14ac:dyDescent="0.25">
      <c r="A12" s="2" t="s">
        <v>152</v>
      </c>
      <c r="D12" s="8"/>
    </row>
    <row r="13" spans="1:4" x14ac:dyDescent="0.25">
      <c r="A13">
        <f>MAX(A1:A12)+1</f>
        <v>7</v>
      </c>
      <c r="B13" t="s">
        <v>156</v>
      </c>
      <c r="D13" s="8" t="s">
        <v>270</v>
      </c>
    </row>
    <row r="14" spans="1:4" x14ac:dyDescent="0.25">
      <c r="A14">
        <f>MAX(A2:A13)+1</f>
        <v>8</v>
      </c>
      <c r="B14" t="s">
        <v>143</v>
      </c>
      <c r="D14" s="8" t="s">
        <v>183</v>
      </c>
    </row>
    <row r="15" spans="1:4" x14ac:dyDescent="0.25">
      <c r="A15">
        <f>MAX(A4:A14)+1</f>
        <v>9</v>
      </c>
      <c r="B15" t="s">
        <v>146</v>
      </c>
      <c r="D15" s="8" t="s">
        <v>278</v>
      </c>
    </row>
    <row r="16" spans="1:4" x14ac:dyDescent="0.25">
      <c r="A16">
        <f>MAX(A5:A15)+1</f>
        <v>10</v>
      </c>
      <c r="B16" t="s">
        <v>184</v>
      </c>
      <c r="D16" s="8" t="s">
        <v>186</v>
      </c>
    </row>
    <row r="17" spans="1:4" x14ac:dyDescent="0.25">
      <c r="A17">
        <f>MAX(A6:A16)+1</f>
        <v>11</v>
      </c>
      <c r="B17" t="s">
        <v>185</v>
      </c>
      <c r="D17" s="8" t="s">
        <v>279</v>
      </c>
    </row>
    <row r="18" spans="1:4" x14ac:dyDescent="0.25">
      <c r="D18" s="8"/>
    </row>
    <row r="19" spans="1:4" x14ac:dyDescent="0.25">
      <c r="A19" s="2" t="s">
        <v>88</v>
      </c>
      <c r="D19" s="8"/>
    </row>
    <row r="20" spans="1:4" x14ac:dyDescent="0.25">
      <c r="A20">
        <f>MAX(A8:A19)+1</f>
        <v>12</v>
      </c>
      <c r="B20" t="s">
        <v>153</v>
      </c>
      <c r="D20" s="8" t="s">
        <v>187</v>
      </c>
    </row>
    <row r="21" spans="1:4" x14ac:dyDescent="0.25">
      <c r="A21">
        <f>MAX(A9:A20)+1</f>
        <v>13</v>
      </c>
      <c r="B21" t="s">
        <v>211</v>
      </c>
      <c r="D21" s="8" t="s">
        <v>280</v>
      </c>
    </row>
    <row r="22" spans="1:4" x14ac:dyDescent="0.25">
      <c r="D22" s="8"/>
    </row>
    <row r="23" spans="1:4" x14ac:dyDescent="0.25">
      <c r="A23" s="2" t="s">
        <v>154</v>
      </c>
      <c r="D23" s="8"/>
    </row>
    <row r="24" spans="1:4" x14ac:dyDescent="0.25">
      <c r="A24">
        <f>MAX(A12:A23)+1</f>
        <v>14</v>
      </c>
      <c r="B24" t="s">
        <v>144</v>
      </c>
      <c r="D24" s="8" t="s">
        <v>212</v>
      </c>
    </row>
    <row r="25" spans="1:4" x14ac:dyDescent="0.25">
      <c r="A25">
        <f>MAX(A13:A24)+1</f>
        <v>15</v>
      </c>
      <c r="B25" t="s">
        <v>145</v>
      </c>
      <c r="D25" s="8" t="s">
        <v>213</v>
      </c>
    </row>
    <row r="26" spans="1:4" x14ac:dyDescent="0.25">
      <c r="D26" s="8"/>
    </row>
    <row r="27" spans="1:4" x14ac:dyDescent="0.25">
      <c r="A27" s="2" t="s">
        <v>163</v>
      </c>
      <c r="D27" s="8"/>
    </row>
    <row r="28" spans="1:4" x14ac:dyDescent="0.25">
      <c r="A28">
        <f t="shared" ref="A28:A35" si="0">MAX(A16:A27)+1</f>
        <v>16</v>
      </c>
      <c r="B28" t="s">
        <v>159</v>
      </c>
      <c r="D28" s="8" t="s">
        <v>291</v>
      </c>
    </row>
    <row r="29" spans="1:4" x14ac:dyDescent="0.25">
      <c r="A29">
        <f t="shared" si="0"/>
        <v>17</v>
      </c>
      <c r="B29" t="s">
        <v>160</v>
      </c>
      <c r="D29" s="8" t="s">
        <v>292</v>
      </c>
    </row>
    <row r="30" spans="1:4" x14ac:dyDescent="0.25">
      <c r="A30">
        <f t="shared" si="0"/>
        <v>18</v>
      </c>
      <c r="B30" t="s">
        <v>158</v>
      </c>
      <c r="D30" s="8" t="s">
        <v>293</v>
      </c>
    </row>
    <row r="31" spans="1:4" x14ac:dyDescent="0.25">
      <c r="A31">
        <f t="shared" si="0"/>
        <v>19</v>
      </c>
      <c r="B31" t="s">
        <v>161</v>
      </c>
      <c r="D31" s="8" t="s">
        <v>214</v>
      </c>
    </row>
    <row r="32" spans="1:4" x14ac:dyDescent="0.25">
      <c r="A32">
        <f t="shared" si="0"/>
        <v>20</v>
      </c>
      <c r="B32" t="s">
        <v>162</v>
      </c>
      <c r="D32" s="8" t="s">
        <v>215</v>
      </c>
    </row>
    <row r="33" spans="1:12" x14ac:dyDescent="0.25">
      <c r="A33">
        <f t="shared" si="0"/>
        <v>21</v>
      </c>
      <c r="B33" t="s">
        <v>164</v>
      </c>
      <c r="D33" s="8" t="s">
        <v>298</v>
      </c>
    </row>
    <row r="34" spans="1:12" x14ac:dyDescent="0.25">
      <c r="A34">
        <f t="shared" si="0"/>
        <v>22</v>
      </c>
      <c r="B34" t="s">
        <v>165</v>
      </c>
      <c r="D34" s="8" t="s">
        <v>299</v>
      </c>
    </row>
    <row r="35" spans="1:12" x14ac:dyDescent="0.25">
      <c r="A35">
        <f t="shared" si="0"/>
        <v>23</v>
      </c>
      <c r="B35" t="s">
        <v>216</v>
      </c>
      <c r="D35" s="8" t="s">
        <v>300</v>
      </c>
    </row>
    <row r="36" spans="1:12" x14ac:dyDescent="0.25">
      <c r="D36" s="8"/>
    </row>
    <row r="37" spans="1:12" x14ac:dyDescent="0.25">
      <c r="A37" s="2" t="s">
        <v>167</v>
      </c>
      <c r="D37" s="8"/>
      <c r="K37" s="2" t="s">
        <v>224</v>
      </c>
    </row>
    <row r="38" spans="1:12" x14ac:dyDescent="0.25">
      <c r="A38">
        <f t="shared" ref="A38:A42" si="1">MAX(A26:A37)+1</f>
        <v>24</v>
      </c>
      <c r="B38" t="s">
        <v>217</v>
      </c>
      <c r="D38" s="8" t="s">
        <v>218</v>
      </c>
      <c r="K38" s="13">
        <v>32.105197500000003</v>
      </c>
      <c r="L38" t="s">
        <v>136</v>
      </c>
    </row>
    <row r="39" spans="1:12" x14ac:dyDescent="0.25">
      <c r="A39">
        <f t="shared" si="1"/>
        <v>25</v>
      </c>
      <c r="B39" t="s">
        <v>169</v>
      </c>
      <c r="D39" s="8" t="s">
        <v>302</v>
      </c>
      <c r="K39" s="13">
        <v>32.018407400000001</v>
      </c>
      <c r="L39" t="s">
        <v>137</v>
      </c>
    </row>
    <row r="40" spans="1:12" x14ac:dyDescent="0.25">
      <c r="A40">
        <f t="shared" si="1"/>
        <v>26</v>
      </c>
      <c r="B40" t="s">
        <v>174</v>
      </c>
      <c r="D40" s="8" t="s">
        <v>219</v>
      </c>
      <c r="K40" s="13">
        <v>32.056354900000002</v>
      </c>
      <c r="L40" t="s">
        <v>138</v>
      </c>
    </row>
    <row r="41" spans="1:12" x14ac:dyDescent="0.25">
      <c r="A41">
        <f t="shared" si="1"/>
        <v>27</v>
      </c>
      <c r="B41" t="s">
        <v>176</v>
      </c>
      <c r="D41" s="8" t="s">
        <v>220</v>
      </c>
      <c r="K41" s="13">
        <v>32.086998199999996</v>
      </c>
      <c r="L41" t="s">
        <v>139</v>
      </c>
    </row>
    <row r="42" spans="1:12" x14ac:dyDescent="0.25">
      <c r="A42">
        <f t="shared" si="1"/>
        <v>28</v>
      </c>
      <c r="B42" t="s">
        <v>170</v>
      </c>
      <c r="D42" s="8" t="s">
        <v>303</v>
      </c>
      <c r="K42" s="14">
        <v>32.0100269</v>
      </c>
      <c r="L42" s="7" t="s">
        <v>140</v>
      </c>
    </row>
    <row r="43" spans="1:12" x14ac:dyDescent="0.25">
      <c r="D43" s="8"/>
      <c r="K43" s="13">
        <f>SUM(K38:K42)</f>
        <v>160.2769849</v>
      </c>
      <c r="L43" t="s">
        <v>168</v>
      </c>
    </row>
    <row r="44" spans="1:12" x14ac:dyDescent="0.25">
      <c r="A44" s="2" t="s">
        <v>84</v>
      </c>
      <c r="D44" s="8"/>
    </row>
    <row r="45" spans="1:12" x14ac:dyDescent="0.25">
      <c r="A45">
        <f>MAX(A35:A44)+1</f>
        <v>29</v>
      </c>
      <c r="B45" t="s">
        <v>172</v>
      </c>
      <c r="D45" s="8" t="s">
        <v>304</v>
      </c>
    </row>
    <row r="46" spans="1:12" x14ac:dyDescent="0.25">
      <c r="A46">
        <f>MAX(A36:A45)+1</f>
        <v>30</v>
      </c>
      <c r="B46" t="s">
        <v>173</v>
      </c>
      <c r="D46" s="8" t="s">
        <v>221</v>
      </c>
    </row>
    <row r="47" spans="1:12" x14ac:dyDescent="0.25">
      <c r="A47">
        <f>MAX(A37:A46)+1</f>
        <v>31</v>
      </c>
      <c r="B47" t="s">
        <v>171</v>
      </c>
      <c r="D47" s="8" t="s">
        <v>222</v>
      </c>
    </row>
    <row r="48" spans="1:12" x14ac:dyDescent="0.25">
      <c r="D48" s="8"/>
    </row>
    <row r="49" spans="4:4" x14ac:dyDescent="0.25">
      <c r="D49" s="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9DA2-5ECC-46FE-8B33-9D7E5411AECC}">
  <sheetPr>
    <tabColor rgb="FFC00000"/>
  </sheetPr>
  <dimension ref="A1"/>
  <sheetViews>
    <sheetView zoomScale="85" zoomScaleNormal="85"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71AD-00CF-420F-B0E3-48CDC67F9FD6}">
  <sheetPr>
    <tabColor rgb="FFC00000"/>
  </sheetPr>
  <dimension ref="A1:N49"/>
  <sheetViews>
    <sheetView zoomScale="85" zoomScaleNormal="85" workbookViewId="0">
      <selection activeCell="C8" sqref="C8"/>
    </sheetView>
  </sheetViews>
  <sheetFormatPr defaultRowHeight="15" x14ac:dyDescent="0.25"/>
  <cols>
    <col min="1" max="1" width="4.28515625" customWidth="1"/>
    <col min="2" max="2" width="80.28515625" customWidth="1"/>
    <col min="3" max="4" width="27.42578125" customWidth="1"/>
  </cols>
  <sheetData>
    <row r="1" spans="1:14" ht="18.75" x14ac:dyDescent="0.3">
      <c r="A1" s="3" t="s">
        <v>157</v>
      </c>
      <c r="C1" s="10" t="s">
        <v>182</v>
      </c>
      <c r="D1" s="9" t="s">
        <v>179</v>
      </c>
    </row>
    <row r="2" spans="1:14" x14ac:dyDescent="0.25">
      <c r="A2" t="s">
        <v>181</v>
      </c>
    </row>
    <row r="3" spans="1:14" x14ac:dyDescent="0.25">
      <c r="C3" s="29"/>
    </row>
    <row r="4" spans="1:14" x14ac:dyDescent="0.25">
      <c r="A4" s="2" t="s">
        <v>148</v>
      </c>
      <c r="C4" s="29"/>
    </row>
    <row r="5" spans="1:14" x14ac:dyDescent="0.25">
      <c r="A5">
        <v>1</v>
      </c>
      <c r="B5" t="s">
        <v>147</v>
      </c>
      <c r="C5" s="30">
        <f>SUM(SAM!C67:AF72)</f>
        <v>16253.845987905952</v>
      </c>
      <c r="D5" s="8" t="s">
        <v>175</v>
      </c>
    </row>
    <row r="6" spans="1:14" x14ac:dyDescent="0.25">
      <c r="A6">
        <v>2</v>
      </c>
      <c r="B6" t="s">
        <v>149</v>
      </c>
      <c r="C6" s="31">
        <v>16.287266015307729</v>
      </c>
      <c r="D6" s="8" t="s">
        <v>177</v>
      </c>
    </row>
    <row r="7" spans="1:14" x14ac:dyDescent="0.25">
      <c r="A7">
        <v>3</v>
      </c>
      <c r="B7" t="s">
        <v>151</v>
      </c>
      <c r="C7" s="29" t="s">
        <v>229</v>
      </c>
      <c r="D7" s="8" t="s">
        <v>178</v>
      </c>
    </row>
    <row r="8" spans="1:14" x14ac:dyDescent="0.25">
      <c r="A8">
        <v>4</v>
      </c>
      <c r="B8" t="s">
        <v>150</v>
      </c>
      <c r="C8" s="31">
        <v>11.5650841794212</v>
      </c>
      <c r="D8" s="8" t="s">
        <v>268</v>
      </c>
    </row>
    <row r="9" spans="1:14" x14ac:dyDescent="0.25">
      <c r="A9">
        <v>5</v>
      </c>
      <c r="B9" t="s">
        <v>155</v>
      </c>
      <c r="C9" s="31">
        <v>9.0816053578207292</v>
      </c>
      <c r="D9" s="8" t="s">
        <v>269</v>
      </c>
      <c r="I9" s="15"/>
      <c r="J9" s="15"/>
      <c r="K9" s="15"/>
      <c r="L9" s="15"/>
      <c r="M9" s="15"/>
      <c r="N9" s="15"/>
    </row>
    <row r="10" spans="1:14" x14ac:dyDescent="0.25">
      <c r="A10">
        <v>6</v>
      </c>
      <c r="B10" t="s">
        <v>166</v>
      </c>
      <c r="C10" s="32">
        <v>13147.974364670154</v>
      </c>
      <c r="D10" s="8" t="s">
        <v>180</v>
      </c>
      <c r="I10" s="5"/>
      <c r="J10" s="5"/>
      <c r="K10" s="5"/>
      <c r="L10" s="5"/>
      <c r="M10" s="5"/>
      <c r="N10" s="5"/>
    </row>
    <row r="11" spans="1:14" x14ac:dyDescent="0.25">
      <c r="C11" s="29"/>
      <c r="D11" s="8"/>
    </row>
    <row r="12" spans="1:14" x14ac:dyDescent="0.25">
      <c r="A12" s="2" t="s">
        <v>152</v>
      </c>
      <c r="C12" s="29"/>
      <c r="D12" s="8"/>
    </row>
    <row r="13" spans="1:14" x14ac:dyDescent="0.25">
      <c r="A13">
        <f>MAX(A1:A12)+1</f>
        <v>7</v>
      </c>
      <c r="B13" t="s">
        <v>156</v>
      </c>
      <c r="C13" s="31">
        <v>49.016714003353997</v>
      </c>
      <c r="D13" s="8" t="s">
        <v>270</v>
      </c>
    </row>
    <row r="14" spans="1:14" x14ac:dyDescent="0.25">
      <c r="A14">
        <f>MAX(A2:A13)+1</f>
        <v>8</v>
      </c>
      <c r="B14" t="s">
        <v>143</v>
      </c>
      <c r="C14" s="29" t="s">
        <v>135</v>
      </c>
      <c r="D14" s="8" t="s">
        <v>183</v>
      </c>
    </row>
    <row r="15" spans="1:14" x14ac:dyDescent="0.25">
      <c r="A15">
        <f>MAX(A4:A14)+1</f>
        <v>9</v>
      </c>
      <c r="B15" t="s">
        <v>146</v>
      </c>
      <c r="C15" s="29" t="s">
        <v>239</v>
      </c>
      <c r="D15" s="8" t="s">
        <v>278</v>
      </c>
    </row>
    <row r="16" spans="1:14" x14ac:dyDescent="0.25">
      <c r="A16">
        <f>MAX(A5:A15)+1</f>
        <v>10</v>
      </c>
      <c r="B16" t="s">
        <v>184</v>
      </c>
      <c r="C16" s="29" t="s">
        <v>240</v>
      </c>
      <c r="D16" s="8" t="s">
        <v>186</v>
      </c>
    </row>
    <row r="17" spans="1:4" x14ac:dyDescent="0.25">
      <c r="A17">
        <f>MAX(A6:A16)+1</f>
        <v>11</v>
      </c>
      <c r="B17" t="s">
        <v>185</v>
      </c>
      <c r="C17" s="29" t="s">
        <v>242</v>
      </c>
      <c r="D17" s="8" t="s">
        <v>279</v>
      </c>
    </row>
    <row r="18" spans="1:4" x14ac:dyDescent="0.25">
      <c r="C18" s="29"/>
      <c r="D18" s="8"/>
    </row>
    <row r="19" spans="1:4" x14ac:dyDescent="0.25">
      <c r="A19" s="2" t="s">
        <v>88</v>
      </c>
      <c r="C19" s="29"/>
      <c r="D19" s="8"/>
    </row>
    <row r="20" spans="1:4" x14ac:dyDescent="0.25">
      <c r="A20">
        <f>MAX(A8:A19)+1</f>
        <v>12</v>
      </c>
      <c r="B20" t="s">
        <v>153</v>
      </c>
      <c r="C20" s="29" t="s">
        <v>244</v>
      </c>
      <c r="D20" s="8" t="s">
        <v>187</v>
      </c>
    </row>
    <row r="21" spans="1:4" x14ac:dyDescent="0.25">
      <c r="A21">
        <f>MAX(A9:A20)+1</f>
        <v>13</v>
      </c>
      <c r="B21" t="s">
        <v>211</v>
      </c>
      <c r="C21" s="31">
        <f>SAM!BK62/SAM!CF62*100</f>
        <v>45.686240398323193</v>
      </c>
      <c r="D21" s="8" t="s">
        <v>280</v>
      </c>
    </row>
    <row r="22" spans="1:4" x14ac:dyDescent="0.25">
      <c r="C22" s="29"/>
      <c r="D22" s="8"/>
    </row>
    <row r="23" spans="1:4" x14ac:dyDescent="0.25">
      <c r="A23" s="2" t="s">
        <v>154</v>
      </c>
      <c r="C23" s="29"/>
      <c r="D23" s="8"/>
    </row>
    <row r="24" spans="1:4" x14ac:dyDescent="0.25">
      <c r="A24">
        <f>MAX(A12:A23)+1</f>
        <v>14</v>
      </c>
      <c r="B24" t="s">
        <v>144</v>
      </c>
      <c r="C24" s="31">
        <f>SUM(SAM!CE36:CE65)/SUM(SAM!CF6:CF29)*100</f>
        <v>21.083172849519112</v>
      </c>
      <c r="D24" s="8" t="s">
        <v>212</v>
      </c>
    </row>
    <row r="25" spans="1:4" x14ac:dyDescent="0.25">
      <c r="A25">
        <f>MAX(A13:A24)+1</f>
        <v>15</v>
      </c>
      <c r="B25" t="s">
        <v>145</v>
      </c>
      <c r="C25" s="31">
        <v>10.1449580078891</v>
      </c>
      <c r="D25" s="8" t="s">
        <v>213</v>
      </c>
    </row>
    <row r="26" spans="1:4" x14ac:dyDescent="0.25">
      <c r="C26" s="29"/>
      <c r="D26" s="8"/>
    </row>
    <row r="27" spans="1:4" x14ac:dyDescent="0.25">
      <c r="A27" s="2" t="s">
        <v>163</v>
      </c>
      <c r="C27" s="29"/>
      <c r="D27" s="8"/>
    </row>
    <row r="28" spans="1:4" x14ac:dyDescent="0.25">
      <c r="A28">
        <f t="shared" ref="A28:A35" si="0">MAX(A16:A27)+1</f>
        <v>16</v>
      </c>
      <c r="B28" t="s">
        <v>159</v>
      </c>
      <c r="C28" s="31">
        <v>83.359335040709695</v>
      </c>
      <c r="D28" s="8" t="s">
        <v>291</v>
      </c>
    </row>
    <row r="29" spans="1:4" x14ac:dyDescent="0.25">
      <c r="A29">
        <f t="shared" si="0"/>
        <v>17</v>
      </c>
      <c r="B29" t="s">
        <v>160</v>
      </c>
      <c r="C29" s="31" t="s">
        <v>247</v>
      </c>
      <c r="D29" s="8" t="s">
        <v>292</v>
      </c>
    </row>
    <row r="30" spans="1:4" x14ac:dyDescent="0.25">
      <c r="A30">
        <f t="shared" si="0"/>
        <v>18</v>
      </c>
      <c r="B30" t="s">
        <v>158</v>
      </c>
      <c r="C30" s="29" t="s">
        <v>251</v>
      </c>
      <c r="D30" s="8" t="s">
        <v>293</v>
      </c>
    </row>
    <row r="31" spans="1:4" x14ac:dyDescent="0.25">
      <c r="A31">
        <f t="shared" si="0"/>
        <v>19</v>
      </c>
      <c r="B31" t="s">
        <v>161</v>
      </c>
      <c r="C31" s="29" t="s">
        <v>252</v>
      </c>
      <c r="D31" s="8" t="s">
        <v>214</v>
      </c>
    </row>
    <row r="32" spans="1:4" x14ac:dyDescent="0.25">
      <c r="A32">
        <f t="shared" si="0"/>
        <v>20</v>
      </c>
      <c r="B32" t="s">
        <v>162</v>
      </c>
      <c r="C32" s="29" t="s">
        <v>261</v>
      </c>
      <c r="D32" s="8" t="s">
        <v>215</v>
      </c>
    </row>
    <row r="33" spans="1:13" x14ac:dyDescent="0.25">
      <c r="A33">
        <f t="shared" si="0"/>
        <v>21</v>
      </c>
      <c r="B33" t="s">
        <v>164</v>
      </c>
      <c r="C33" s="31">
        <f>SAM!CE79/SAM!CF79*100</f>
        <v>1.3238126031059092</v>
      </c>
      <c r="D33" s="8" t="s">
        <v>298</v>
      </c>
    </row>
    <row r="34" spans="1:13" x14ac:dyDescent="0.25">
      <c r="A34">
        <f t="shared" si="0"/>
        <v>22</v>
      </c>
      <c r="B34" t="s">
        <v>165</v>
      </c>
      <c r="C34" s="34">
        <f>SAM!BX73/SAM!BX87</f>
        <v>0.28138205680415607</v>
      </c>
      <c r="D34" s="8" t="s">
        <v>299</v>
      </c>
    </row>
    <row r="35" spans="1:13" x14ac:dyDescent="0.25">
      <c r="A35">
        <f t="shared" si="0"/>
        <v>23</v>
      </c>
      <c r="B35" t="s">
        <v>216</v>
      </c>
      <c r="C35" s="29" t="s">
        <v>253</v>
      </c>
      <c r="D35" s="8" t="s">
        <v>300</v>
      </c>
    </row>
    <row r="36" spans="1:13" x14ac:dyDescent="0.25">
      <c r="C36" s="42">
        <f>SAM!BX84/SAM!BX87</f>
        <v>-2.0963826123878773E-2</v>
      </c>
      <c r="D36" s="8"/>
    </row>
    <row r="37" spans="1:13" x14ac:dyDescent="0.25">
      <c r="A37" s="2" t="s">
        <v>167</v>
      </c>
      <c r="D37" s="8"/>
      <c r="L37" s="2" t="s">
        <v>224</v>
      </c>
    </row>
    <row r="38" spans="1:13" x14ac:dyDescent="0.25">
      <c r="A38">
        <f t="shared" ref="A38:A42" si="1">MAX(A26:A37)+1</f>
        <v>24</v>
      </c>
      <c r="B38" t="s">
        <v>217</v>
      </c>
      <c r="C38" t="s">
        <v>301</v>
      </c>
      <c r="D38" s="8" t="s">
        <v>218</v>
      </c>
      <c r="L38" s="13">
        <v>32.105197500000003</v>
      </c>
      <c r="M38" t="s">
        <v>136</v>
      </c>
    </row>
    <row r="39" spans="1:13" x14ac:dyDescent="0.25">
      <c r="A39">
        <f t="shared" si="1"/>
        <v>25</v>
      </c>
      <c r="B39" t="s">
        <v>169</v>
      </c>
      <c r="C39" t="s">
        <v>301</v>
      </c>
      <c r="D39" s="8" t="s">
        <v>302</v>
      </c>
      <c r="L39" s="13">
        <v>32.018407400000001</v>
      </c>
      <c r="M39" t="s">
        <v>137</v>
      </c>
    </row>
    <row r="40" spans="1:13" x14ac:dyDescent="0.25">
      <c r="A40">
        <f t="shared" si="1"/>
        <v>26</v>
      </c>
      <c r="B40" t="s">
        <v>174</v>
      </c>
      <c r="C40" t="s">
        <v>301</v>
      </c>
      <c r="D40" s="8" t="s">
        <v>219</v>
      </c>
      <c r="L40" s="13">
        <v>32.056354900000002</v>
      </c>
      <c r="M40" t="s">
        <v>138</v>
      </c>
    </row>
    <row r="41" spans="1:13" x14ac:dyDescent="0.25">
      <c r="A41">
        <f t="shared" si="1"/>
        <v>27</v>
      </c>
      <c r="B41" t="s">
        <v>176</v>
      </c>
      <c r="C41" t="s">
        <v>301</v>
      </c>
      <c r="D41" s="8" t="s">
        <v>220</v>
      </c>
      <c r="L41" s="13">
        <v>32.086998199999996</v>
      </c>
      <c r="M41" t="s">
        <v>139</v>
      </c>
    </row>
    <row r="42" spans="1:13" x14ac:dyDescent="0.25">
      <c r="A42">
        <f t="shared" si="1"/>
        <v>28</v>
      </c>
      <c r="B42" t="s">
        <v>170</v>
      </c>
      <c r="C42" s="31">
        <v>20.039658160059101</v>
      </c>
      <c r="D42" s="8" t="s">
        <v>303</v>
      </c>
      <c r="L42" s="14">
        <v>32.0100269</v>
      </c>
      <c r="M42" s="7" t="s">
        <v>140</v>
      </c>
    </row>
    <row r="43" spans="1:13" x14ac:dyDescent="0.25">
      <c r="D43" s="8"/>
      <c r="L43" s="13">
        <f>SUM(L38:L42)</f>
        <v>160.2769849</v>
      </c>
      <c r="M43" t="s">
        <v>168</v>
      </c>
    </row>
    <row r="44" spans="1:13" x14ac:dyDescent="0.25">
      <c r="A44" s="2" t="s">
        <v>84</v>
      </c>
      <c r="D44" s="8"/>
    </row>
    <row r="45" spans="1:13" x14ac:dyDescent="0.25">
      <c r="A45">
        <f>MAX(A35:A44)+1</f>
        <v>29</v>
      </c>
      <c r="B45" t="s">
        <v>172</v>
      </c>
      <c r="C45" s="1">
        <f>SAM!CC60/SAM!CF60*100</f>
        <v>92.681752475209962</v>
      </c>
      <c r="D45" s="8" t="s">
        <v>304</v>
      </c>
    </row>
    <row r="46" spans="1:13" x14ac:dyDescent="0.25">
      <c r="A46">
        <f>MAX(A36:A45)+1</f>
        <v>30</v>
      </c>
      <c r="B46" t="s">
        <v>173</v>
      </c>
      <c r="C46">
        <f>SAM!CD87/SAM!CC87</f>
        <v>0</v>
      </c>
      <c r="D46" s="8" t="s">
        <v>221</v>
      </c>
    </row>
    <row r="47" spans="1:13" x14ac:dyDescent="0.25">
      <c r="A47">
        <f>MAX(A37:A46)+1</f>
        <v>31</v>
      </c>
      <c r="B47" t="s">
        <v>171</v>
      </c>
      <c r="C47">
        <f>SAM!CE83/Ex2x_Answers!C10*100</f>
        <v>0</v>
      </c>
      <c r="D47" s="8" t="s">
        <v>222</v>
      </c>
    </row>
    <row r="48" spans="1:13" x14ac:dyDescent="0.25">
      <c r="D48" s="8"/>
    </row>
    <row r="49" spans="4:4" x14ac:dyDescent="0.25">
      <c r="D49" s="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8FE1-0638-4353-984D-0F97E1454E5A}">
  <sheetPr>
    <tabColor rgb="FFC00000"/>
  </sheetPr>
  <dimension ref="A2:AN139"/>
  <sheetViews>
    <sheetView zoomScale="85" zoomScaleNormal="85" workbookViewId="0">
      <selection activeCell="C8" sqref="C8"/>
    </sheetView>
  </sheetViews>
  <sheetFormatPr defaultRowHeight="15" x14ac:dyDescent="0.25"/>
  <cols>
    <col min="3" max="3" width="11.5703125" bestFit="1" customWidth="1"/>
    <col min="4" max="4" width="10.5703125" bestFit="1" customWidth="1"/>
    <col min="5" max="5" width="10.85546875" bestFit="1" customWidth="1"/>
    <col min="6" max="6" width="10.5703125" bestFit="1" customWidth="1"/>
    <col min="7" max="7" width="11.5703125" bestFit="1" customWidth="1"/>
  </cols>
  <sheetData>
    <row r="2" spans="1:13" x14ac:dyDescent="0.25">
      <c r="B2" s="2" t="s">
        <v>305</v>
      </c>
    </row>
    <row r="4" spans="1:13" x14ac:dyDescent="0.25">
      <c r="C4" s="7" t="s">
        <v>148</v>
      </c>
      <c r="D4" s="7" t="s">
        <v>264</v>
      </c>
    </row>
    <row r="5" spans="1:13" x14ac:dyDescent="0.25">
      <c r="A5" s="19" t="s">
        <v>231</v>
      </c>
      <c r="B5" t="s">
        <v>227</v>
      </c>
      <c r="C5" s="6">
        <f>SUM(SAM!C67:L72)</f>
        <v>2647.3071337686652</v>
      </c>
      <c r="D5" s="27">
        <f>C5/$C$8*100</f>
        <v>16.287266015307729</v>
      </c>
    </row>
    <row r="6" spans="1:13" x14ac:dyDescent="0.25">
      <c r="B6" t="s">
        <v>225</v>
      </c>
      <c r="C6" s="6">
        <f>SUM(SAM!M67:AA72)</f>
        <v>4565.9838102304102</v>
      </c>
      <c r="D6" s="1">
        <f t="shared" ref="D6:D7" si="0">C6/$C$8*100</f>
        <v>28.091713269756802</v>
      </c>
    </row>
    <row r="7" spans="1:13" x14ac:dyDescent="0.25">
      <c r="B7" t="s">
        <v>226</v>
      </c>
      <c r="C7" s="37">
        <f>SUM(SAM!AB67:AF72)</f>
        <v>9040.5550439068757</v>
      </c>
      <c r="D7" s="38">
        <f t="shared" si="0"/>
        <v>55.621020714935469</v>
      </c>
    </row>
    <row r="8" spans="1:13" x14ac:dyDescent="0.25">
      <c r="C8" s="25">
        <f>SUM(C5:C7)</f>
        <v>16253.845987905952</v>
      </c>
    </row>
    <row r="9" spans="1:13" x14ac:dyDescent="0.25">
      <c r="C9" s="15"/>
    </row>
    <row r="12" spans="1:13" x14ac:dyDescent="0.25">
      <c r="A12">
        <v>3</v>
      </c>
      <c r="C12" s="40" t="s">
        <v>0</v>
      </c>
      <c r="D12" s="23" t="s">
        <v>1</v>
      </c>
      <c r="E12" s="23" t="s">
        <v>2</v>
      </c>
      <c r="F12" s="23" t="s">
        <v>3</v>
      </c>
      <c r="G12" s="23" t="s">
        <v>4</v>
      </c>
      <c r="H12" s="23" t="s">
        <v>5</v>
      </c>
      <c r="I12" s="23" t="s">
        <v>6</v>
      </c>
      <c r="J12" s="23" t="s">
        <v>7</v>
      </c>
      <c r="K12" s="23" t="s">
        <v>8</v>
      </c>
      <c r="L12" s="23" t="s">
        <v>9</v>
      </c>
      <c r="M12" s="23" t="s">
        <v>228</v>
      </c>
    </row>
    <row r="13" spans="1:13" x14ac:dyDescent="0.25">
      <c r="B13" t="s">
        <v>265</v>
      </c>
      <c r="C13" s="21">
        <f>SUM(SAM!C67:C72)</f>
        <v>740.92884064372515</v>
      </c>
      <c r="D13" s="15">
        <f>SUM(SAM!D67:D72)</f>
        <v>97.492398175945453</v>
      </c>
      <c r="E13" s="15">
        <f>SUM(SAM!E67:E72)</f>
        <v>134.87065833368678</v>
      </c>
      <c r="F13" s="15">
        <f>SUM(SAM!F67:F72)</f>
        <v>200.43710920005699</v>
      </c>
      <c r="G13" s="15">
        <f>SUM(SAM!G67:G72)</f>
        <v>194.59723879889074</v>
      </c>
      <c r="H13" s="15">
        <f>SUM(SAM!H67:H72)</f>
        <v>111.40070932428713</v>
      </c>
      <c r="I13" s="15">
        <f>SUM(SAM!I67:I72)</f>
        <v>107.54334394940206</v>
      </c>
      <c r="J13" s="15">
        <f>SUM(SAM!J67:J72)</f>
        <v>138.85469197723742</v>
      </c>
      <c r="K13" s="15">
        <f>SUM(SAM!K67:K72)</f>
        <v>216.09387475754716</v>
      </c>
      <c r="L13" s="15">
        <f>SUM(SAM!L67:L72)</f>
        <v>705.08826860788668</v>
      </c>
      <c r="M13" s="15">
        <f>SUM(C13:L13)</f>
        <v>2647.3071337686656</v>
      </c>
    </row>
    <row r="14" spans="1:13" x14ac:dyDescent="0.25">
      <c r="B14" t="s">
        <v>263</v>
      </c>
      <c r="C14" s="39">
        <f t="shared" ref="C14:L14" si="1">C13/$M$13</f>
        <v>0.27988019644284728</v>
      </c>
      <c r="D14" s="16">
        <f t="shared" si="1"/>
        <v>3.6827006935593751E-2</v>
      </c>
      <c r="E14" s="16">
        <f t="shared" si="1"/>
        <v>5.0946358514014571E-2</v>
      </c>
      <c r="F14" s="16">
        <f t="shared" si="1"/>
        <v>7.5713583302560672E-2</v>
      </c>
      <c r="G14" s="16">
        <f t="shared" si="1"/>
        <v>7.3507616972974768E-2</v>
      </c>
      <c r="H14" s="16">
        <f t="shared" si="1"/>
        <v>4.208076497935425E-2</v>
      </c>
      <c r="I14" s="16">
        <f t="shared" si="1"/>
        <v>4.0623674743891544E-2</v>
      </c>
      <c r="J14" s="16">
        <f t="shared" si="1"/>
        <v>5.2451296718097846E-2</v>
      </c>
      <c r="K14" s="16">
        <f t="shared" si="1"/>
        <v>8.1627806611890646E-2</v>
      </c>
      <c r="L14" s="16">
        <f t="shared" si="1"/>
        <v>0.26634169477877462</v>
      </c>
    </row>
    <row r="19" spans="1:21" x14ac:dyDescent="0.25">
      <c r="C19" s="23" t="s">
        <v>10</v>
      </c>
      <c r="D19" s="23" t="s">
        <v>11</v>
      </c>
      <c r="E19" s="23" t="s">
        <v>12</v>
      </c>
      <c r="F19" s="23" t="s">
        <v>13</v>
      </c>
      <c r="G19" s="23" t="s">
        <v>14</v>
      </c>
      <c r="H19" s="23" t="s">
        <v>15</v>
      </c>
      <c r="I19" s="23" t="s">
        <v>16</v>
      </c>
      <c r="J19" s="23" t="s">
        <v>17</v>
      </c>
      <c r="K19" s="23" t="s">
        <v>18</v>
      </c>
      <c r="L19" s="23" t="s">
        <v>19</v>
      </c>
      <c r="M19" s="23" t="s">
        <v>20</v>
      </c>
      <c r="N19" s="23" t="s">
        <v>21</v>
      </c>
      <c r="O19" s="23" t="s">
        <v>22</v>
      </c>
      <c r="P19" s="23" t="s">
        <v>232</v>
      </c>
    </row>
    <row r="20" spans="1:21" x14ac:dyDescent="0.25">
      <c r="B20" t="s">
        <v>266</v>
      </c>
      <c r="C20" s="15">
        <f>SUM(SAM!M67:M72)</f>
        <v>285.66543668542624</v>
      </c>
      <c r="D20" s="15">
        <f>SUM(SAM!N67:N72)</f>
        <v>41.871901732910111</v>
      </c>
      <c r="E20" s="15">
        <f>SUM(SAM!O67:O72)</f>
        <v>5.7964930599409401</v>
      </c>
      <c r="F20" s="15">
        <f>SUM(SAM!P67:P72)</f>
        <v>35.766870394609683</v>
      </c>
      <c r="G20" s="15">
        <f>SUM(SAM!Q67:Q72)</f>
        <v>70.72583229909327</v>
      </c>
      <c r="H20" s="15">
        <f>SUM(SAM!R67:R72)</f>
        <v>144.98202950049372</v>
      </c>
      <c r="I20" s="15">
        <f>SUM(SAM!S67:S72)</f>
        <v>56.223208950309555</v>
      </c>
      <c r="J20" s="15">
        <f>SUM(SAM!T67:T72)</f>
        <v>1303.4073467562025</v>
      </c>
      <c r="K20" s="15">
        <f>SUM(SAM!U67:U72)</f>
        <v>98.144301302063525</v>
      </c>
      <c r="L20" s="15">
        <f>SUM(SAM!V67:V72)</f>
        <v>96.45774241467447</v>
      </c>
      <c r="M20" s="15">
        <f>SUM(SAM!W67:W72)</f>
        <v>252.2169802902269</v>
      </c>
      <c r="N20" s="15">
        <f>SUM(SAM!X67:X72)</f>
        <v>499.03298535454144</v>
      </c>
      <c r="O20" s="15">
        <f>SUM(SAM!Y67:Y72)</f>
        <v>182.46070275671548</v>
      </c>
      <c r="P20" s="15">
        <f>SUM(C20:O20)</f>
        <v>3072.7518314972076</v>
      </c>
    </row>
    <row r="21" spans="1:21" x14ac:dyDescent="0.25">
      <c r="B21" t="s">
        <v>263</v>
      </c>
      <c r="C21" s="18">
        <f t="shared" ref="C21:O21" si="2">C20/$P$20</f>
        <v>9.2967298483794217E-2</v>
      </c>
      <c r="D21" s="18">
        <f t="shared" si="2"/>
        <v>1.362684135558969E-2</v>
      </c>
      <c r="E21" s="18">
        <f t="shared" si="2"/>
        <v>1.8864175754527437E-3</v>
      </c>
      <c r="F21" s="18">
        <f t="shared" si="2"/>
        <v>1.1640012716933983E-2</v>
      </c>
      <c r="G21" s="18">
        <f t="shared" si="2"/>
        <v>2.3017098736747607E-2</v>
      </c>
      <c r="H21" s="18">
        <f t="shared" si="2"/>
        <v>4.7183123613940142E-2</v>
      </c>
      <c r="I21" s="18">
        <f t="shared" si="2"/>
        <v>1.8297347795547363E-2</v>
      </c>
      <c r="J21" s="18">
        <f t="shared" si="2"/>
        <v>0.42418243263111599</v>
      </c>
      <c r="K21" s="18">
        <f t="shared" si="2"/>
        <v>3.1940197804468454E-2</v>
      </c>
      <c r="L21" s="18">
        <f t="shared" si="2"/>
        <v>3.1391322080076715E-2</v>
      </c>
      <c r="M21" s="18">
        <f t="shared" si="2"/>
        <v>8.208179316822127E-2</v>
      </c>
      <c r="N21" s="18">
        <f t="shared" si="2"/>
        <v>0.16240588655393823</v>
      </c>
      <c r="O21" s="18">
        <f t="shared" si="2"/>
        <v>5.9380227484173674E-2</v>
      </c>
      <c r="P21" s="18"/>
      <c r="Q21" s="18"/>
      <c r="R21" s="18"/>
      <c r="S21" s="18"/>
      <c r="T21" s="18"/>
      <c r="U21" s="18"/>
    </row>
    <row r="23" spans="1:21" x14ac:dyDescent="0.25">
      <c r="A23">
        <v>4</v>
      </c>
      <c r="B23" t="s">
        <v>267</v>
      </c>
      <c r="C23" s="26">
        <f>SUM(D21:I21)</f>
        <v>0.11565084179421153</v>
      </c>
    </row>
    <row r="27" spans="1:21" x14ac:dyDescent="0.25">
      <c r="C27" s="23" t="s">
        <v>23</v>
      </c>
      <c r="D27" s="23" t="s">
        <v>24</v>
      </c>
      <c r="E27" s="23" t="s">
        <v>25</v>
      </c>
      <c r="F27" s="23" t="s">
        <v>26</v>
      </c>
      <c r="G27" s="23" t="s">
        <v>27</v>
      </c>
      <c r="H27" s="23" t="s">
        <v>28</v>
      </c>
      <c r="I27" s="23" t="s">
        <v>29</v>
      </c>
      <c r="J27" s="23" t="s">
        <v>275</v>
      </c>
      <c r="K27" s="23" t="s">
        <v>230</v>
      </c>
    </row>
    <row r="28" spans="1:21" x14ac:dyDescent="0.25">
      <c r="B28" t="s">
        <v>274</v>
      </c>
      <c r="C28" s="15">
        <f>SUM(SAM!Z67:Z72)</f>
        <v>238.05541884068083</v>
      </c>
      <c r="D28" s="15">
        <f>SUM(SAM!AA67:AA72)</f>
        <v>1255.1765598925201</v>
      </c>
      <c r="E28" s="15">
        <f>SUM(SAM!AB67:AB72)</f>
        <v>2361.0752993875994</v>
      </c>
      <c r="F28" s="15">
        <f>SUM(SAM!AC67:AC72)</f>
        <v>1704.8171558743386</v>
      </c>
      <c r="G28" s="15">
        <f>SUM(SAM!AD67:AD72)</f>
        <v>1787.2900784224869</v>
      </c>
      <c r="H28" s="15">
        <f>SUM(SAM!AE67:AE72)</f>
        <v>1476.1101480895966</v>
      </c>
      <c r="I28" s="15">
        <f>SUM(SAM!AF67:AF72)</f>
        <v>1711.2623621328539</v>
      </c>
      <c r="J28" s="15">
        <f>SUM(C28:I28)</f>
        <v>10533.787022640077</v>
      </c>
      <c r="K28" s="15">
        <f>M13+P20+J28</f>
        <v>16253.84598790595</v>
      </c>
    </row>
    <row r="29" spans="1:21" x14ac:dyDescent="0.25">
      <c r="C29" s="18">
        <f t="shared" ref="C29:I29" si="3">C28/$J$28</f>
        <v>2.2599224602608031E-2</v>
      </c>
      <c r="D29" s="18">
        <f t="shared" si="3"/>
        <v>0.11915719932392708</v>
      </c>
      <c r="E29" s="18">
        <f t="shared" si="3"/>
        <v>0.22414306405787235</v>
      </c>
      <c r="F29" s="18">
        <f t="shared" si="3"/>
        <v>0.16184275913403282</v>
      </c>
      <c r="G29" s="18">
        <f t="shared" si="3"/>
        <v>0.16967212974603499</v>
      </c>
      <c r="H29" s="18">
        <f t="shared" si="3"/>
        <v>0.14013100368528619</v>
      </c>
      <c r="I29" s="18">
        <f t="shared" si="3"/>
        <v>0.16245461945023842</v>
      </c>
    </row>
    <row r="31" spans="1:21" x14ac:dyDescent="0.25">
      <c r="A31">
        <v>5</v>
      </c>
      <c r="B31" t="s">
        <v>233</v>
      </c>
      <c r="C31" s="28">
        <f>H28/K28</f>
        <v>9.0816053578207309E-2</v>
      </c>
    </row>
    <row r="35" spans="1:32" x14ac:dyDescent="0.25">
      <c r="A35">
        <v>6</v>
      </c>
      <c r="C35" s="23" t="s">
        <v>68</v>
      </c>
      <c r="D35" s="23" t="s">
        <v>69</v>
      </c>
      <c r="E35" s="23" t="s">
        <v>70</v>
      </c>
      <c r="F35" s="23" t="s">
        <v>71</v>
      </c>
      <c r="G35" s="23" t="s">
        <v>72</v>
      </c>
      <c r="H35" s="23" t="s">
        <v>73</v>
      </c>
      <c r="I35" s="23" t="s">
        <v>78</v>
      </c>
      <c r="J35" s="23" t="s">
        <v>79</v>
      </c>
      <c r="K35" s="23" t="s">
        <v>234</v>
      </c>
      <c r="L35" s="23" t="s">
        <v>235</v>
      </c>
      <c r="M35" s="23" t="s">
        <v>273</v>
      </c>
    </row>
    <row r="36" spans="1:32" x14ac:dyDescent="0.25">
      <c r="B36" t="s">
        <v>272</v>
      </c>
      <c r="C36" s="15">
        <f>SAM!BS87</f>
        <v>901.88537170024165</v>
      </c>
      <c r="D36" s="15">
        <f>SAM!BT87</f>
        <v>1476.452538947924</v>
      </c>
      <c r="E36" s="15">
        <f>SAM!BU87</f>
        <v>2142.0385653364392</v>
      </c>
      <c r="F36" s="15">
        <f>SAM!BV87</f>
        <v>3052.4560631487411</v>
      </c>
      <c r="G36" s="15">
        <f>SAM!BW87</f>
        <v>6819.2477826104714</v>
      </c>
      <c r="H36" s="15">
        <f>SAM!BX87</f>
        <v>1634.0800405341668</v>
      </c>
      <c r="I36" s="15">
        <f>SAM!BY87</f>
        <v>501.63123704980973</v>
      </c>
      <c r="J36" s="15">
        <f>SAM!BZ87</f>
        <v>0</v>
      </c>
      <c r="K36" s="15">
        <f>SAM!CA87</f>
        <v>369.20102739291013</v>
      </c>
      <c r="L36" s="15">
        <f>-SUM(SAM!AG86:BJ86)</f>
        <v>-3749.0182620505552</v>
      </c>
      <c r="M36" s="25">
        <f>SUM(C36:L36)</f>
        <v>13147.974364670154</v>
      </c>
    </row>
    <row r="38" spans="1:32" x14ac:dyDescent="0.25">
      <c r="C38" s="7" t="s">
        <v>271</v>
      </c>
      <c r="D38" s="7" t="s">
        <v>263</v>
      </c>
    </row>
    <row r="39" spans="1:32" x14ac:dyDescent="0.25">
      <c r="A39">
        <v>7</v>
      </c>
      <c r="B39" s="15" t="s">
        <v>61</v>
      </c>
      <c r="C39" s="15">
        <f>SUM(SAM!C67:AF67)</f>
        <v>2633.801706478645</v>
      </c>
      <c r="D39" s="24">
        <f>C39/SUM($C$39:$C$42)</f>
        <v>0.49016714003354039</v>
      </c>
    </row>
    <row r="40" spans="1:32" x14ac:dyDescent="0.25">
      <c r="B40" s="15" t="s">
        <v>62</v>
      </c>
      <c r="C40" s="15">
        <f>SUM(SAM!C68:AF68)</f>
        <v>998.46740839983534</v>
      </c>
      <c r="D40" s="16">
        <f t="shared" ref="D40:D42" si="4">C40/SUM($C$39:$C$42)</f>
        <v>0.18582109381590092</v>
      </c>
    </row>
    <row r="41" spans="1:32" x14ac:dyDescent="0.25">
      <c r="B41" s="15" t="s">
        <v>63</v>
      </c>
      <c r="C41" s="15">
        <f>SUM(SAM!C69:AF69)</f>
        <v>1075.2942603940512</v>
      </c>
      <c r="D41" s="16">
        <f t="shared" si="4"/>
        <v>0.20011905642529307</v>
      </c>
    </row>
    <row r="42" spans="1:32" x14ac:dyDescent="0.25">
      <c r="B42" s="15" t="s">
        <v>64</v>
      </c>
      <c r="C42" s="15">
        <f>SUM(SAM!C70:AF70)</f>
        <v>665.70931350546994</v>
      </c>
      <c r="D42" s="16">
        <f t="shared" si="4"/>
        <v>0.12389270972526552</v>
      </c>
    </row>
    <row r="44" spans="1:32" x14ac:dyDescent="0.25">
      <c r="C44" s="23" t="s">
        <v>0</v>
      </c>
      <c r="D44" s="23" t="s">
        <v>1</v>
      </c>
      <c r="E44" s="23" t="s">
        <v>2</v>
      </c>
      <c r="F44" s="23" t="s">
        <v>3</v>
      </c>
      <c r="G44" s="23" t="s">
        <v>4</v>
      </c>
      <c r="H44" s="23" t="s">
        <v>5</v>
      </c>
      <c r="I44" s="23" t="s">
        <v>6</v>
      </c>
      <c r="J44" s="23" t="s">
        <v>7</v>
      </c>
      <c r="K44" s="23" t="s">
        <v>8</v>
      </c>
      <c r="L44" s="23" t="s">
        <v>9</v>
      </c>
      <c r="M44" s="23" t="s">
        <v>10</v>
      </c>
      <c r="N44" s="23" t="s">
        <v>11</v>
      </c>
      <c r="O44" s="23" t="s">
        <v>12</v>
      </c>
      <c r="P44" s="23" t="s">
        <v>13</v>
      </c>
      <c r="Q44" s="23" t="s">
        <v>14</v>
      </c>
      <c r="R44" s="23" t="s">
        <v>15</v>
      </c>
      <c r="S44" s="23" t="s">
        <v>16</v>
      </c>
      <c r="T44" s="23" t="s">
        <v>17</v>
      </c>
      <c r="U44" s="23" t="s">
        <v>18</v>
      </c>
      <c r="V44" s="23" t="s">
        <v>19</v>
      </c>
      <c r="W44" s="23" t="s">
        <v>20</v>
      </c>
      <c r="X44" s="23" t="s">
        <v>21</v>
      </c>
      <c r="Y44" s="23" t="s">
        <v>22</v>
      </c>
      <c r="Z44" s="23" t="s">
        <v>23</v>
      </c>
      <c r="AA44" s="23" t="s">
        <v>24</v>
      </c>
      <c r="AB44" s="23" t="s">
        <v>25</v>
      </c>
      <c r="AC44" s="23" t="s">
        <v>26</v>
      </c>
      <c r="AD44" s="23" t="s">
        <v>27</v>
      </c>
      <c r="AE44" s="23" t="s">
        <v>28</v>
      </c>
      <c r="AF44" s="23" t="s">
        <v>29</v>
      </c>
    </row>
    <row r="45" spans="1:32" x14ac:dyDescent="0.25">
      <c r="A45">
        <v>8</v>
      </c>
      <c r="B45" s="15" t="s">
        <v>236</v>
      </c>
      <c r="C45" s="15">
        <f>SUM(SAM!C67:C70)</f>
        <v>401.28302051718595</v>
      </c>
      <c r="D45" s="15">
        <f>SUM(SAM!D67:D70)</f>
        <v>44.498826385766691</v>
      </c>
      <c r="E45" s="15">
        <f>SUM(SAM!E67:E70)</f>
        <v>52.657895291646653</v>
      </c>
      <c r="F45" s="15">
        <f>SUM(SAM!F67:F70)</f>
        <v>47.283362076056576</v>
      </c>
      <c r="G45" s="15">
        <f>SUM(SAM!G67:G70)</f>
        <v>81.575698816463856</v>
      </c>
      <c r="H45" s="15">
        <f>SUM(SAM!H67:H70)</f>
        <v>35.919841682272029</v>
      </c>
      <c r="I45" s="15">
        <f>SUM(SAM!I67:I70)</f>
        <v>31.003562192811099</v>
      </c>
      <c r="J45" s="15">
        <f>SUM(SAM!J67:J70)</f>
        <v>45.45445870883978</v>
      </c>
      <c r="K45" s="15">
        <f>SUM(SAM!K67:K70)</f>
        <v>32.339228984354961</v>
      </c>
      <c r="L45" s="15">
        <f>SUM(SAM!L67:L70)</f>
        <v>263.51807747057399</v>
      </c>
      <c r="M45" s="15">
        <f>SUM(SAM!M67:M70)</f>
        <v>53.166103183395585</v>
      </c>
      <c r="N45" s="15">
        <f>SUM(SAM!N67:N70)</f>
        <v>26.027758004913082</v>
      </c>
      <c r="O45" s="15">
        <f>SUM(SAM!O67:O70)</f>
        <v>4.9749230489762075</v>
      </c>
      <c r="P45" s="15">
        <f>SUM(SAM!P67:P70)</f>
        <v>14.52768038278211</v>
      </c>
      <c r="Q45" s="15">
        <f>SUM(SAM!Q67:Q70)</f>
        <v>34.246631256986731</v>
      </c>
      <c r="R45" s="15">
        <f>SUM(SAM!R67:R70)</f>
        <v>85.906690382837581</v>
      </c>
      <c r="S45" s="15">
        <f>SUM(SAM!S67:S70)</f>
        <v>15.005508955308638</v>
      </c>
      <c r="T45" s="15">
        <f>SUM(SAM!T67:T70)</f>
        <v>755.95791356282837</v>
      </c>
      <c r="U45" s="15">
        <f>SUM(SAM!U67:U70)</f>
        <v>40.375526001357976</v>
      </c>
      <c r="V45" s="15">
        <f>SUM(SAM!V67:V70)</f>
        <v>19.206593194464567</v>
      </c>
      <c r="W45" s="15">
        <f>SUM(SAM!W67:W70)</f>
        <v>40.694802770932689</v>
      </c>
      <c r="X45" s="15">
        <f>SUM(SAM!X67:X70)</f>
        <v>109.93669338399367</v>
      </c>
      <c r="Y45" s="15">
        <f>SUM(SAM!Y67:Y70)</f>
        <v>36.573635122731808</v>
      </c>
      <c r="Z45" s="15">
        <f>SUM(SAM!Z67:Z70)</f>
        <v>31.353308816189859</v>
      </c>
      <c r="AA45" s="15">
        <f>SUM(SAM!AA67:AA70)</f>
        <v>1023.2406408198433</v>
      </c>
      <c r="AB45" s="15">
        <f>SUM(SAM!AB67:AB70)</f>
        <v>507.75739893715001</v>
      </c>
      <c r="AC45" s="15">
        <f>SUM(SAM!AC67:AC70)</f>
        <v>244.52657164078792</v>
      </c>
      <c r="AD45" s="15">
        <f>SUM(SAM!AD67:AD70)</f>
        <v>224.12563243466485</v>
      </c>
      <c r="AE45" s="15">
        <f>SUM(SAM!AE67:AE70)</f>
        <v>974.98605163202546</v>
      </c>
      <c r="AF45" s="15">
        <f>SUM(SAM!AF67:AF70)</f>
        <v>95.148653119859262</v>
      </c>
    </row>
    <row r="46" spans="1:32" x14ac:dyDescent="0.25">
      <c r="B46" s="15" t="s">
        <v>192</v>
      </c>
      <c r="C46" s="15">
        <f>SAM!C71</f>
        <v>321.32353838319347</v>
      </c>
      <c r="D46" s="15">
        <f>SAM!D71</f>
        <v>50.448344493288381</v>
      </c>
      <c r="E46" s="15">
        <f>SAM!E71</f>
        <v>78.613767058233478</v>
      </c>
      <c r="F46" s="15">
        <f>SAM!F71</f>
        <v>145.94398325258373</v>
      </c>
      <c r="G46" s="15">
        <f>SAM!G71</f>
        <v>107.83477071330186</v>
      </c>
      <c r="H46" s="15">
        <f>SAM!H71</f>
        <v>0</v>
      </c>
      <c r="I46" s="15">
        <f>SAM!I71</f>
        <v>0</v>
      </c>
      <c r="J46" s="15">
        <f>SAM!J71</f>
        <v>0</v>
      </c>
      <c r="K46" s="15">
        <f>SAM!K71</f>
        <v>0</v>
      </c>
      <c r="L46" s="15">
        <f>SAM!L71</f>
        <v>0</v>
      </c>
      <c r="M46" s="15">
        <f>SAM!M71</f>
        <v>0</v>
      </c>
      <c r="N46" s="15">
        <f>SAM!N71</f>
        <v>0</v>
      </c>
      <c r="O46" s="15">
        <f>SAM!O71</f>
        <v>0</v>
      </c>
      <c r="P46" s="15">
        <f>SAM!P71</f>
        <v>0</v>
      </c>
      <c r="Q46" s="15">
        <f>SAM!Q71</f>
        <v>0</v>
      </c>
      <c r="R46" s="15">
        <f>SAM!R71</f>
        <v>0</v>
      </c>
      <c r="S46" s="15">
        <f>SAM!S71</f>
        <v>0</v>
      </c>
      <c r="T46" s="15">
        <f>SAM!T71</f>
        <v>0</v>
      </c>
      <c r="U46" s="15">
        <f>SAM!U71</f>
        <v>0</v>
      </c>
      <c r="V46" s="15">
        <f>SAM!V71</f>
        <v>0</v>
      </c>
      <c r="W46" s="15">
        <f>SAM!W71</f>
        <v>0</v>
      </c>
      <c r="X46" s="15">
        <f>SAM!X71</f>
        <v>0</v>
      </c>
      <c r="Y46" s="15">
        <f>SAM!Y71</f>
        <v>0</v>
      </c>
      <c r="Z46" s="15">
        <f>SAM!Z71</f>
        <v>0</v>
      </c>
      <c r="AA46" s="15">
        <f>SAM!AA71</f>
        <v>0</v>
      </c>
      <c r="AB46" s="15">
        <f>SAM!AB71</f>
        <v>0</v>
      </c>
      <c r="AC46" s="15">
        <f>SAM!AC71</f>
        <v>0</v>
      </c>
      <c r="AD46" s="15">
        <f>SAM!AD71</f>
        <v>0</v>
      </c>
      <c r="AE46" s="15">
        <f>SAM!AE71</f>
        <v>0</v>
      </c>
      <c r="AF46" s="15">
        <f>SAM!AF71</f>
        <v>0</v>
      </c>
    </row>
    <row r="47" spans="1:32" x14ac:dyDescent="0.25">
      <c r="B47" s="15" t="s">
        <v>237</v>
      </c>
      <c r="C47" s="23">
        <f>SAM!C72</f>
        <v>18.322281743345631</v>
      </c>
      <c r="D47" s="23">
        <f>SAM!D72</f>
        <v>2.5452272968903813</v>
      </c>
      <c r="E47" s="23">
        <f>SAM!E72</f>
        <v>3.598995983806637</v>
      </c>
      <c r="F47" s="23">
        <f>SAM!F72</f>
        <v>7.2097638714166976</v>
      </c>
      <c r="G47" s="23">
        <f>SAM!G72</f>
        <v>5.1867692691250094</v>
      </c>
      <c r="H47" s="23">
        <f>SAM!H72</f>
        <v>75.480867642015113</v>
      </c>
      <c r="I47" s="23">
        <f>SAM!I72</f>
        <v>76.539781756590955</v>
      </c>
      <c r="J47" s="23">
        <f>SAM!J72</f>
        <v>93.400233268397642</v>
      </c>
      <c r="K47" s="23">
        <f>SAM!K72</f>
        <v>183.75464577319218</v>
      </c>
      <c r="L47" s="23">
        <f>SAM!L72</f>
        <v>441.57019113731275</v>
      </c>
      <c r="M47" s="23">
        <f>SAM!M72</f>
        <v>232.49933350203068</v>
      </c>
      <c r="N47" s="23">
        <f>SAM!N72</f>
        <v>15.844143727997027</v>
      </c>
      <c r="O47" s="23">
        <f>SAM!O72</f>
        <v>0.82157001096473281</v>
      </c>
      <c r="P47" s="23">
        <f>SAM!P72</f>
        <v>21.239190011827574</v>
      </c>
      <c r="Q47" s="23">
        <f>SAM!Q72</f>
        <v>36.479201042106538</v>
      </c>
      <c r="R47" s="23">
        <f>SAM!R72</f>
        <v>59.075339117656135</v>
      </c>
      <c r="S47" s="23">
        <f>SAM!S72</f>
        <v>41.217699995000913</v>
      </c>
      <c r="T47" s="23">
        <f>SAM!T72</f>
        <v>547.44943319337415</v>
      </c>
      <c r="U47" s="23">
        <f>SAM!U72</f>
        <v>57.768775300705542</v>
      </c>
      <c r="V47" s="23">
        <f>SAM!V72</f>
        <v>77.251149220209896</v>
      </c>
      <c r="W47" s="23">
        <f>SAM!W72</f>
        <v>211.52217751929422</v>
      </c>
      <c r="X47" s="23">
        <f>SAM!X72</f>
        <v>389.09629197054778</v>
      </c>
      <c r="Y47" s="23">
        <f>SAM!Y72</f>
        <v>145.88706763398366</v>
      </c>
      <c r="Z47" s="23">
        <f>SAM!Z72</f>
        <v>206.70211002449096</v>
      </c>
      <c r="AA47" s="23">
        <f>SAM!AA72</f>
        <v>231.93591907267691</v>
      </c>
      <c r="AB47" s="23">
        <f>SAM!AB72</f>
        <v>1853.3179004504495</v>
      </c>
      <c r="AC47" s="23">
        <f>SAM!AC72</f>
        <v>1460.2905842335506</v>
      </c>
      <c r="AD47" s="23">
        <f>SAM!AD72</f>
        <v>1563.1644459878221</v>
      </c>
      <c r="AE47" s="23">
        <f>SAM!AE72</f>
        <v>501.12409645757111</v>
      </c>
      <c r="AF47" s="23">
        <f>SAM!AF72</f>
        <v>1616.1137090129946</v>
      </c>
    </row>
    <row r="48" spans="1:32" x14ac:dyDescent="0.25">
      <c r="C48" s="15">
        <f>SUM(C45:C47)</f>
        <v>740.92884064372515</v>
      </c>
      <c r="D48" s="15">
        <f t="shared" ref="D48:AF48" si="5">SUM(D45:D47)</f>
        <v>97.492398175945453</v>
      </c>
      <c r="E48" s="15">
        <f t="shared" si="5"/>
        <v>134.87065833368678</v>
      </c>
      <c r="F48" s="15">
        <f t="shared" si="5"/>
        <v>200.43710920005699</v>
      </c>
      <c r="G48" s="15">
        <f t="shared" si="5"/>
        <v>194.59723879889074</v>
      </c>
      <c r="H48" s="15">
        <f t="shared" si="5"/>
        <v>111.40070932428713</v>
      </c>
      <c r="I48" s="15">
        <f t="shared" si="5"/>
        <v>107.54334394940206</v>
      </c>
      <c r="J48" s="15">
        <f t="shared" si="5"/>
        <v>138.85469197723742</v>
      </c>
      <c r="K48" s="15">
        <f t="shared" si="5"/>
        <v>216.09387475754716</v>
      </c>
      <c r="L48" s="15">
        <f t="shared" si="5"/>
        <v>705.08826860788668</v>
      </c>
      <c r="M48" s="15">
        <f t="shared" si="5"/>
        <v>285.66543668542624</v>
      </c>
      <c r="N48" s="15">
        <f t="shared" si="5"/>
        <v>41.871901732910111</v>
      </c>
      <c r="O48" s="15">
        <f t="shared" si="5"/>
        <v>5.7964930599409401</v>
      </c>
      <c r="P48" s="15">
        <f t="shared" si="5"/>
        <v>35.766870394609683</v>
      </c>
      <c r="Q48" s="15">
        <f t="shared" si="5"/>
        <v>70.72583229909327</v>
      </c>
      <c r="R48" s="15">
        <f t="shared" si="5"/>
        <v>144.98202950049372</v>
      </c>
      <c r="S48" s="15">
        <f t="shared" si="5"/>
        <v>56.223208950309555</v>
      </c>
      <c r="T48" s="15">
        <f t="shared" si="5"/>
        <v>1303.4073467562025</v>
      </c>
      <c r="U48" s="15">
        <f t="shared" si="5"/>
        <v>98.144301302063525</v>
      </c>
      <c r="V48" s="15">
        <f t="shared" si="5"/>
        <v>96.45774241467447</v>
      </c>
      <c r="W48" s="15">
        <f t="shared" si="5"/>
        <v>252.2169802902269</v>
      </c>
      <c r="X48" s="15">
        <f t="shared" si="5"/>
        <v>499.03298535454144</v>
      </c>
      <c r="Y48" s="15">
        <f t="shared" si="5"/>
        <v>182.46070275671548</v>
      </c>
      <c r="Z48" s="15">
        <f t="shared" si="5"/>
        <v>238.05541884068083</v>
      </c>
      <c r="AA48" s="15">
        <f t="shared" si="5"/>
        <v>1255.1765598925201</v>
      </c>
      <c r="AB48" s="15">
        <f t="shared" si="5"/>
        <v>2361.0752993875994</v>
      </c>
      <c r="AC48" s="15">
        <f t="shared" si="5"/>
        <v>1704.8171558743386</v>
      </c>
      <c r="AD48" s="15">
        <f t="shared" si="5"/>
        <v>1787.2900784224869</v>
      </c>
      <c r="AE48" s="15">
        <f t="shared" si="5"/>
        <v>1476.1101480895966</v>
      </c>
      <c r="AF48" s="15">
        <f t="shared" si="5"/>
        <v>1711.2623621328539</v>
      </c>
    </row>
    <row r="50" spans="1:32" x14ac:dyDescent="0.25">
      <c r="A50">
        <v>8</v>
      </c>
      <c r="B50" s="15" t="s">
        <v>238</v>
      </c>
      <c r="C50" s="16">
        <f>C47/C48</f>
        <v>2.4728800848711839E-2</v>
      </c>
      <c r="D50" s="16">
        <f t="shared" ref="D50:AF50" si="6">D47/D48</f>
        <v>2.6106930842925678E-2</v>
      </c>
      <c r="E50" s="16">
        <f t="shared" si="6"/>
        <v>2.668479585012682E-2</v>
      </c>
      <c r="F50" s="16">
        <f t="shared" si="6"/>
        <v>3.5970204819810121E-2</v>
      </c>
      <c r="G50" s="16">
        <f t="shared" si="6"/>
        <v>2.6653868786315871E-2</v>
      </c>
      <c r="H50" s="16">
        <f t="shared" si="6"/>
        <v>0.67756182254002106</v>
      </c>
      <c r="I50" s="16">
        <f t="shared" si="6"/>
        <v>0.71171100828519962</v>
      </c>
      <c r="J50" s="16">
        <f t="shared" si="6"/>
        <v>0.67264729724587791</v>
      </c>
      <c r="K50" s="16">
        <f t="shared" si="6"/>
        <v>0.85034638755661673</v>
      </c>
      <c r="L50" s="16">
        <f t="shared" si="6"/>
        <v>0.62626228629380098</v>
      </c>
      <c r="M50" s="16">
        <f t="shared" si="6"/>
        <v>0.81388681878955527</v>
      </c>
      <c r="N50" s="16">
        <f t="shared" si="6"/>
        <v>0.37839560832614361</v>
      </c>
      <c r="O50" s="16">
        <f t="shared" si="6"/>
        <v>0.1417357016508019</v>
      </c>
      <c r="P50" s="16">
        <f t="shared" si="6"/>
        <v>0.59382299254867066</v>
      </c>
      <c r="Q50" s="16">
        <f t="shared" si="6"/>
        <v>0.5157832697936906</v>
      </c>
      <c r="R50" s="16">
        <f t="shared" si="6"/>
        <v>0.40746663101067265</v>
      </c>
      <c r="S50" s="16">
        <f t="shared" si="6"/>
        <v>0.73310827973958925</v>
      </c>
      <c r="T50" s="16">
        <f t="shared" si="6"/>
        <v>0.42001407660913892</v>
      </c>
      <c r="U50" s="16">
        <f t="shared" si="6"/>
        <v>0.58861059210058209</v>
      </c>
      <c r="V50" s="16">
        <f t="shared" si="6"/>
        <v>0.80088075136680159</v>
      </c>
      <c r="W50" s="16">
        <f t="shared" si="6"/>
        <v>0.83865161368554553</v>
      </c>
      <c r="X50" s="16">
        <f t="shared" si="6"/>
        <v>0.77970054763837227</v>
      </c>
      <c r="Y50" s="16">
        <f t="shared" si="6"/>
        <v>0.79955335822915585</v>
      </c>
      <c r="Z50" s="16">
        <f t="shared" si="6"/>
        <v>0.86829407635886191</v>
      </c>
      <c r="AA50" s="16">
        <f t="shared" si="6"/>
        <v>0.18478350097020407</v>
      </c>
      <c r="AB50" s="16">
        <f t="shared" si="6"/>
        <v>0.78494654572480227</v>
      </c>
      <c r="AC50" s="16">
        <f t="shared" si="6"/>
        <v>0.85656727420989653</v>
      </c>
      <c r="AD50" s="16">
        <f t="shared" si="6"/>
        <v>0.87460030403543421</v>
      </c>
      <c r="AE50" s="16">
        <f t="shared" si="6"/>
        <v>0.33948963572002622</v>
      </c>
      <c r="AF50" s="24">
        <f t="shared" si="6"/>
        <v>0.94439855908402637</v>
      </c>
    </row>
    <row r="52" spans="1:32" x14ac:dyDescent="0.25">
      <c r="A52">
        <v>9</v>
      </c>
      <c r="B52" t="s">
        <v>276</v>
      </c>
    </row>
    <row r="53" spans="1:32" x14ac:dyDescent="0.25">
      <c r="C53" s="23" t="s">
        <v>0</v>
      </c>
      <c r="D53" s="23" t="s">
        <v>1</v>
      </c>
      <c r="E53" s="23" t="s">
        <v>2</v>
      </c>
      <c r="F53" s="23" t="s">
        <v>3</v>
      </c>
      <c r="G53" s="23" t="s">
        <v>4</v>
      </c>
      <c r="H53" s="23" t="s">
        <v>5</v>
      </c>
      <c r="I53" s="23" t="s">
        <v>6</v>
      </c>
      <c r="J53" s="23" t="s">
        <v>7</v>
      </c>
      <c r="K53" s="23" t="s">
        <v>8</v>
      </c>
      <c r="L53" s="23" t="s">
        <v>9</v>
      </c>
      <c r="M53" s="23" t="s">
        <v>10</v>
      </c>
      <c r="N53" s="23" t="s">
        <v>11</v>
      </c>
      <c r="O53" s="23" t="s">
        <v>12</v>
      </c>
      <c r="P53" s="23" t="s">
        <v>13</v>
      </c>
      <c r="Q53" s="23" t="s">
        <v>14</v>
      </c>
      <c r="R53" s="23" t="s">
        <v>15</v>
      </c>
      <c r="S53" s="23" t="s">
        <v>16</v>
      </c>
      <c r="T53" s="23" t="s">
        <v>17</v>
      </c>
      <c r="U53" s="23" t="s">
        <v>18</v>
      </c>
      <c r="V53" s="23" t="s">
        <v>19</v>
      </c>
      <c r="W53" s="23" t="s">
        <v>20</v>
      </c>
      <c r="X53" s="23" t="s">
        <v>21</v>
      </c>
      <c r="Y53" s="23" t="s">
        <v>22</v>
      </c>
      <c r="Z53" s="23" t="s">
        <v>23</v>
      </c>
      <c r="AA53" s="23" t="s">
        <v>24</v>
      </c>
      <c r="AB53" s="23" t="s">
        <v>25</v>
      </c>
      <c r="AC53" s="23" t="s">
        <v>26</v>
      </c>
      <c r="AD53" s="23" t="s">
        <v>27</v>
      </c>
      <c r="AE53" s="23" t="s">
        <v>28</v>
      </c>
      <c r="AF53" s="23" t="s">
        <v>29</v>
      </c>
    </row>
    <row r="54" spans="1:32" x14ac:dyDescent="0.25">
      <c r="B54" s="15" t="s">
        <v>61</v>
      </c>
      <c r="C54" s="15">
        <f>SAM!C67</f>
        <v>253.0658456960187</v>
      </c>
      <c r="D54" s="15">
        <f>SAM!D67</f>
        <v>31.335264318143427</v>
      </c>
      <c r="E54" s="15">
        <f>SAM!E67</f>
        <v>33.111533528637651</v>
      </c>
      <c r="F54" s="15">
        <f>SAM!F67</f>
        <v>35.857197299166749</v>
      </c>
      <c r="G54" s="15">
        <f>SAM!G67</f>
        <v>58.190465746514818</v>
      </c>
      <c r="H54" s="15">
        <f>SAM!H67</f>
        <v>26.851769025098065</v>
      </c>
      <c r="I54" s="15">
        <f>SAM!I67</f>
        <v>19.983084208605757</v>
      </c>
      <c r="J54" s="15">
        <f>SAM!J67</f>
        <v>34.764707279905217</v>
      </c>
      <c r="K54" s="15">
        <f>SAM!K67</f>
        <v>18.63961420087988</v>
      </c>
      <c r="L54" s="15">
        <f>SAM!L67</f>
        <v>179.32328482851926</v>
      </c>
      <c r="M54" s="15">
        <f>SAM!M67</f>
        <v>22.692447081639987</v>
      </c>
      <c r="N54" s="15">
        <f>SAM!N67</f>
        <v>15.668463562993479</v>
      </c>
      <c r="O54" s="15">
        <f>SAM!O67</f>
        <v>2.9948565107630918</v>
      </c>
      <c r="P54" s="15">
        <f>SAM!P67</f>
        <v>8.7455258608701207</v>
      </c>
      <c r="Q54" s="15">
        <f>SAM!Q67</f>
        <v>20.616147341775708</v>
      </c>
      <c r="R54" s="15">
        <f>SAM!R67</f>
        <v>51.715013172735539</v>
      </c>
      <c r="S54" s="15">
        <f>SAM!S67</f>
        <v>8.1003303961041961</v>
      </c>
      <c r="T54" s="15">
        <f>SAM!T67</f>
        <v>380.42853018814372</v>
      </c>
      <c r="U54" s="15">
        <f>SAM!U67</f>
        <v>16.939858716079623</v>
      </c>
      <c r="V54" s="15">
        <f>SAM!V67</f>
        <v>2.5398978538737809</v>
      </c>
      <c r="W54" s="15">
        <f>SAM!W67</f>
        <v>30.299532762435334</v>
      </c>
      <c r="X54" s="15">
        <f>SAM!X67</f>
        <v>33.729395064540235</v>
      </c>
      <c r="Y54" s="15">
        <f>SAM!Y67</f>
        <v>25.50559589243559</v>
      </c>
      <c r="Z54" s="15">
        <f>SAM!Z67</f>
        <v>7.6321948879507611</v>
      </c>
      <c r="AA54" s="15">
        <f>SAM!AA67</f>
        <v>716.98741788695338</v>
      </c>
      <c r="AB54" s="15">
        <f>SAM!AB67</f>
        <v>212.64762644303482</v>
      </c>
      <c r="AC54" s="15">
        <f>SAM!AC67</f>
        <v>160.97303480797115</v>
      </c>
      <c r="AD54" s="15">
        <f>SAM!AD67</f>
        <v>63.671539118086542</v>
      </c>
      <c r="AE54" s="15">
        <f>SAM!AE67</f>
        <v>108.60942640573199</v>
      </c>
      <c r="AF54" s="15">
        <f>SAM!AF67</f>
        <v>52.182106393036364</v>
      </c>
    </row>
    <row r="55" spans="1:32" x14ac:dyDescent="0.25">
      <c r="B55" s="15" t="s">
        <v>62</v>
      </c>
      <c r="C55" s="15">
        <f>SAM!C68</f>
        <v>91.093868408182658</v>
      </c>
      <c r="D55" s="15">
        <f>SAM!D68</f>
        <v>8.1207165692743501</v>
      </c>
      <c r="E55" s="15">
        <f>SAM!E68</f>
        <v>9.9106708407503294</v>
      </c>
      <c r="F55" s="15">
        <f>SAM!F68</f>
        <v>6.700291090731028</v>
      </c>
      <c r="G55" s="15">
        <f>SAM!G68</f>
        <v>12.766426800244163</v>
      </c>
      <c r="H55" s="15">
        <f>SAM!H68</f>
        <v>5.8375580823502338</v>
      </c>
      <c r="I55" s="15">
        <f>SAM!I68</f>
        <v>6.773785211543272</v>
      </c>
      <c r="J55" s="15">
        <f>SAM!J68</f>
        <v>7.0919599782784744</v>
      </c>
      <c r="K55" s="15">
        <f>SAM!K68</f>
        <v>6.3936705078908291</v>
      </c>
      <c r="L55" s="15">
        <f>SAM!L68</f>
        <v>53.273230572521122</v>
      </c>
      <c r="M55" s="15">
        <f>SAM!M68</f>
        <v>5.3204366385204063</v>
      </c>
      <c r="N55" s="15">
        <f>SAM!N68</f>
        <v>6.2752666766296707</v>
      </c>
      <c r="O55" s="15">
        <f>SAM!O68</f>
        <v>1.1994490198558125</v>
      </c>
      <c r="P55" s="15">
        <f>SAM!P68</f>
        <v>3.5026093518154946</v>
      </c>
      <c r="Q55" s="15">
        <f>SAM!Q68</f>
        <v>8.256828877586246</v>
      </c>
      <c r="R55" s="15">
        <f>SAM!R68</f>
        <v>20.712017967786675</v>
      </c>
      <c r="S55" s="15">
        <f>SAM!S68</f>
        <v>1.7370062710290695</v>
      </c>
      <c r="T55" s="15">
        <f>SAM!T68</f>
        <v>186.76158758820435</v>
      </c>
      <c r="U55" s="15">
        <f>SAM!U68</f>
        <v>4.6053385677928196</v>
      </c>
      <c r="V55" s="15">
        <f>SAM!V68</f>
        <v>10.839039728828547</v>
      </c>
      <c r="W55" s="15">
        <f>SAM!W68</f>
        <v>5.5540732269819664</v>
      </c>
      <c r="X55" s="15">
        <f>SAM!X68</f>
        <v>31.136714330964804</v>
      </c>
      <c r="Y55" s="15">
        <f>SAM!Y68</f>
        <v>5.7689654816882552</v>
      </c>
      <c r="Z55" s="15">
        <f>SAM!Z68</f>
        <v>8.5805368857437205</v>
      </c>
      <c r="AA55" s="15">
        <f>SAM!AA68</f>
        <v>138.16786062981413</v>
      </c>
      <c r="AB55" s="15">
        <f>SAM!AB68</f>
        <v>154.23321184759692</v>
      </c>
      <c r="AC55" s="15">
        <f>SAM!AC68</f>
        <v>50.543722604702261</v>
      </c>
      <c r="AD55" s="15">
        <f>SAM!AD68</f>
        <v>30.613680824153384</v>
      </c>
      <c r="AE55" s="15">
        <f>SAM!AE68</f>
        <v>92.703421591728755</v>
      </c>
      <c r="AF55" s="15">
        <f>SAM!AF68</f>
        <v>23.993462226645654</v>
      </c>
    </row>
    <row r="56" spans="1:32" x14ac:dyDescent="0.25">
      <c r="B56" s="15" t="s">
        <v>63</v>
      </c>
      <c r="C56" s="15">
        <f>SAM!C69</f>
        <v>45.154499683482364</v>
      </c>
      <c r="D56" s="15">
        <f>SAM!D69</f>
        <v>4.1656224468397829</v>
      </c>
      <c r="E56" s="15">
        <f>SAM!E69</f>
        <v>7.4408616310638784</v>
      </c>
      <c r="F56" s="15">
        <f>SAM!F69</f>
        <v>3.1016722390482889</v>
      </c>
      <c r="G56" s="15">
        <f>SAM!G69</f>
        <v>9.2752247614594907</v>
      </c>
      <c r="H56" s="15">
        <f>SAM!H69</f>
        <v>2.5135061829229852</v>
      </c>
      <c r="I56" s="15">
        <f>SAM!I69</f>
        <v>3.7489480186686457</v>
      </c>
      <c r="J56" s="15">
        <f>SAM!J69</f>
        <v>2.5688282124990769</v>
      </c>
      <c r="K56" s="15">
        <f>SAM!K69</f>
        <v>4.2997016888363015</v>
      </c>
      <c r="L56" s="15">
        <f>SAM!L69</f>
        <v>28.9015105432177</v>
      </c>
      <c r="M56" s="15">
        <f>SAM!M69</f>
        <v>18.105710123316356</v>
      </c>
      <c r="N56" s="15">
        <f>SAM!N69</f>
        <v>3.6497666039653414</v>
      </c>
      <c r="O56" s="15">
        <f>SAM!O69</f>
        <v>0.69761321732065318</v>
      </c>
      <c r="P56" s="15">
        <f>SAM!P69</f>
        <v>2.0371575102301116</v>
      </c>
      <c r="Q56" s="15">
        <f>SAM!Q69</f>
        <v>4.8022657593662847</v>
      </c>
      <c r="R56" s="15">
        <f>SAM!R69</f>
        <v>12.046345657481774</v>
      </c>
      <c r="S56" s="15">
        <f>SAM!S69</f>
        <v>3.3238724566768529</v>
      </c>
      <c r="T56" s="15">
        <f>SAM!T69</f>
        <v>153.24937710220664</v>
      </c>
      <c r="U56" s="15">
        <f>SAM!U69</f>
        <v>16.274186011216841</v>
      </c>
      <c r="V56" s="15">
        <f>SAM!V69</f>
        <v>3.381481871083218</v>
      </c>
      <c r="W56" s="15">
        <f>SAM!W69</f>
        <v>3.7355989655764708</v>
      </c>
      <c r="X56" s="15">
        <f>SAM!X69</f>
        <v>30.15596623665413</v>
      </c>
      <c r="Y56" s="15">
        <f>SAM!Y69</f>
        <v>4.6027036997739277</v>
      </c>
      <c r="Z56" s="15">
        <f>SAM!Z69</f>
        <v>11.515227332866083</v>
      </c>
      <c r="AA56" s="15">
        <f>SAM!AA69</f>
        <v>143.79215430396667</v>
      </c>
      <c r="AB56" s="15">
        <f>SAM!AB69</f>
        <v>110.96242353583543</v>
      </c>
      <c r="AC56" s="15">
        <f>SAM!AC69</f>
        <v>24.825460219090754</v>
      </c>
      <c r="AD56" s="15">
        <f>SAM!AD69</f>
        <v>61.666956456688339</v>
      </c>
      <c r="AE56" s="15">
        <f>SAM!AE69</f>
        <v>346.90088637450879</v>
      </c>
      <c r="AF56" s="15">
        <f>SAM!AF69</f>
        <v>8.3987315481879232</v>
      </c>
    </row>
    <row r="57" spans="1:32" x14ac:dyDescent="0.25">
      <c r="B57" s="15" t="s">
        <v>64</v>
      </c>
      <c r="C57" s="15">
        <f>SAM!C70</f>
        <v>11.968806729502177</v>
      </c>
      <c r="D57" s="15">
        <f>SAM!D70</f>
        <v>0.87722305150912494</v>
      </c>
      <c r="E57" s="15">
        <f>SAM!E70</f>
        <v>2.1948292911947944</v>
      </c>
      <c r="F57" s="15">
        <f>SAM!F70</f>
        <v>1.624201447110506</v>
      </c>
      <c r="G57" s="15">
        <f>SAM!G70</f>
        <v>1.3435815082453799</v>
      </c>
      <c r="H57" s="15">
        <f>SAM!H70</f>
        <v>0.71700839190073862</v>
      </c>
      <c r="I57" s="15">
        <f>SAM!I70</f>
        <v>0.49774475399342388</v>
      </c>
      <c r="J57" s="15">
        <f>SAM!J70</f>
        <v>1.0289632381570115</v>
      </c>
      <c r="K57" s="15">
        <f>SAM!K70</f>
        <v>3.0062425867479527</v>
      </c>
      <c r="L57" s="15">
        <f>SAM!L70</f>
        <v>2.0200515263159291</v>
      </c>
      <c r="M57" s="15">
        <f>SAM!M70</f>
        <v>7.0475093399188378</v>
      </c>
      <c r="N57" s="15">
        <f>SAM!N70</f>
        <v>0.43426116132459092</v>
      </c>
      <c r="O57" s="15">
        <f>SAM!O70</f>
        <v>8.3004301036650019E-2</v>
      </c>
      <c r="P57" s="15">
        <f>SAM!P70</f>
        <v>0.24238765986638444</v>
      </c>
      <c r="Q57" s="15">
        <f>SAM!Q70</f>
        <v>0.57138927825849661</v>
      </c>
      <c r="R57" s="15">
        <f>SAM!R70</f>
        <v>1.4333135848335887</v>
      </c>
      <c r="S57" s="15">
        <f>SAM!S70</f>
        <v>1.8442998314985208</v>
      </c>
      <c r="T57" s="15">
        <f>SAM!T70</f>
        <v>35.518418684273662</v>
      </c>
      <c r="U57" s="15">
        <f>SAM!U70</f>
        <v>2.5561427062686968</v>
      </c>
      <c r="V57" s="15">
        <f>SAM!V70</f>
        <v>2.4461737406790203</v>
      </c>
      <c r="W57" s="15">
        <f>SAM!W70</f>
        <v>1.1055978159389124</v>
      </c>
      <c r="X57" s="15">
        <f>SAM!X70</f>
        <v>14.914617751834509</v>
      </c>
      <c r="Y57" s="15">
        <f>SAM!Y70</f>
        <v>0.69637004883403064</v>
      </c>
      <c r="Z57" s="15">
        <f>SAM!Z70</f>
        <v>3.625349709629293</v>
      </c>
      <c r="AA57" s="15">
        <f>SAM!AA70</f>
        <v>24.293207999109143</v>
      </c>
      <c r="AB57" s="15">
        <f>SAM!AB70</f>
        <v>29.914137110682873</v>
      </c>
      <c r="AC57" s="15">
        <f>SAM!AC70</f>
        <v>8.1843540090237639</v>
      </c>
      <c r="AD57" s="15">
        <f>SAM!AD70</f>
        <v>68.173456035736606</v>
      </c>
      <c r="AE57" s="15">
        <f>SAM!AE70</f>
        <v>426.77231726005601</v>
      </c>
      <c r="AF57" s="15">
        <f>SAM!AF70</f>
        <v>10.574352951989315</v>
      </c>
    </row>
    <row r="58" spans="1:32" x14ac:dyDescent="0.25"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spans="1:32" x14ac:dyDescent="0.25">
      <c r="B59" t="s">
        <v>277</v>
      </c>
    </row>
    <row r="60" spans="1:32" x14ac:dyDescent="0.25">
      <c r="A60">
        <v>9</v>
      </c>
      <c r="B60" s="15" t="s">
        <v>61</v>
      </c>
      <c r="C60" s="16">
        <f>C54/C$48</f>
        <v>0.34155215968668867</v>
      </c>
      <c r="D60" s="16">
        <f t="shared" ref="D60:AF60" si="7">D54/D$48</f>
        <v>0.32141238603642081</v>
      </c>
      <c r="E60" s="16">
        <f t="shared" si="7"/>
        <v>0.24550583453604563</v>
      </c>
      <c r="F60" s="16">
        <f t="shared" si="7"/>
        <v>0.17889500323703808</v>
      </c>
      <c r="G60" s="16">
        <f t="shared" si="7"/>
        <v>0.29903027455930437</v>
      </c>
      <c r="H60" s="16">
        <f t="shared" si="7"/>
        <v>0.2410376844812778</v>
      </c>
      <c r="I60" s="16">
        <f t="shared" si="7"/>
        <v>0.18581423521671014</v>
      </c>
      <c r="J60" s="16">
        <f t="shared" si="7"/>
        <v>0.25036753735051481</v>
      </c>
      <c r="K60" s="16">
        <f t="shared" si="7"/>
        <v>8.6257022425060129E-2</v>
      </c>
      <c r="L60" s="16">
        <f t="shared" si="7"/>
        <v>0.25432742652571977</v>
      </c>
      <c r="M60" s="16">
        <f t="shared" si="7"/>
        <v>7.9437146281819276E-2</v>
      </c>
      <c r="N60" s="16">
        <f t="shared" si="7"/>
        <v>0.37419995067189693</v>
      </c>
      <c r="O60" s="16">
        <f t="shared" si="7"/>
        <v>0.51666697083798563</v>
      </c>
      <c r="P60" s="16">
        <f t="shared" si="7"/>
        <v>0.24451470772763312</v>
      </c>
      <c r="Q60" s="16">
        <f t="shared" si="7"/>
        <v>0.29149388097112594</v>
      </c>
      <c r="R60" s="16">
        <f t="shared" si="7"/>
        <v>0.3566994706234225</v>
      </c>
      <c r="S60" s="16">
        <f t="shared" si="7"/>
        <v>0.14407449427625738</v>
      </c>
      <c r="T60" s="16">
        <f t="shared" si="7"/>
        <v>0.29187232305765226</v>
      </c>
      <c r="U60" s="16">
        <f t="shared" si="7"/>
        <v>0.17260155191225002</v>
      </c>
      <c r="V60" s="16">
        <f t="shared" si="7"/>
        <v>2.6331715736769897E-2</v>
      </c>
      <c r="W60" s="16">
        <f t="shared" si="7"/>
        <v>0.12013280282544642</v>
      </c>
      <c r="X60" s="16">
        <f t="shared" si="7"/>
        <v>6.7589510221607807E-2</v>
      </c>
      <c r="Y60" s="16">
        <f t="shared" si="7"/>
        <v>0.13978678974202766</v>
      </c>
      <c r="Z60" s="16">
        <f t="shared" si="7"/>
        <v>3.2060580368719213E-2</v>
      </c>
      <c r="AA60" s="16">
        <f t="shared" si="7"/>
        <v>0.5712243526507127</v>
      </c>
      <c r="AB60" s="16">
        <f t="shared" si="7"/>
        <v>9.0063890168259358E-2</v>
      </c>
      <c r="AC60" s="16">
        <f t="shared" si="7"/>
        <v>9.4422462991589226E-2</v>
      </c>
      <c r="AD60" s="16">
        <f t="shared" si="7"/>
        <v>3.562462517236422E-2</v>
      </c>
      <c r="AE60" s="16">
        <f t="shared" si="7"/>
        <v>7.3578131378810654E-2</v>
      </c>
      <c r="AF60" s="16">
        <f t="shared" si="7"/>
        <v>3.0493340791997857E-2</v>
      </c>
    </row>
    <row r="61" spans="1:32" x14ac:dyDescent="0.25">
      <c r="B61" s="15" t="s">
        <v>62</v>
      </c>
      <c r="C61" s="16">
        <f t="shared" ref="C61:AF61" si="8">C55/C$48</f>
        <v>0.12294550220104747</v>
      </c>
      <c r="D61" s="16">
        <f t="shared" si="8"/>
        <v>8.3295895077058382E-2</v>
      </c>
      <c r="E61" s="16">
        <f t="shared" si="8"/>
        <v>7.3482779451035957E-2</v>
      </c>
      <c r="F61" s="16">
        <f t="shared" si="8"/>
        <v>3.3428396156140149E-2</v>
      </c>
      <c r="G61" s="16">
        <f t="shared" si="8"/>
        <v>6.5604357384730458E-2</v>
      </c>
      <c r="H61" s="16">
        <f t="shared" si="8"/>
        <v>5.240144445900357E-2</v>
      </c>
      <c r="I61" s="16">
        <f t="shared" si="8"/>
        <v>6.2986559305151069E-2</v>
      </c>
      <c r="J61" s="16">
        <f t="shared" si="8"/>
        <v>5.1074687338913009E-2</v>
      </c>
      <c r="K61" s="16">
        <f t="shared" si="8"/>
        <v>2.9587467553462098E-2</v>
      </c>
      <c r="L61" s="16">
        <f t="shared" si="8"/>
        <v>7.5555406243962633E-2</v>
      </c>
      <c r="M61" s="16">
        <f t="shared" si="8"/>
        <v>1.8624712531741291E-2</v>
      </c>
      <c r="N61" s="16">
        <f t="shared" si="8"/>
        <v>0.14986820318451147</v>
      </c>
      <c r="O61" s="16">
        <f t="shared" si="8"/>
        <v>0.2069266722917518</v>
      </c>
      <c r="P61" s="16">
        <f t="shared" si="8"/>
        <v>9.7928874211576603E-2</v>
      </c>
      <c r="Q61" s="16">
        <f t="shared" si="8"/>
        <v>0.11674417407587159</v>
      </c>
      <c r="R61" s="16">
        <f t="shared" si="8"/>
        <v>0.14285920840772989</v>
      </c>
      <c r="S61" s="16">
        <f t="shared" si="8"/>
        <v>3.0894826237403972E-2</v>
      </c>
      <c r="T61" s="16">
        <f t="shared" si="8"/>
        <v>0.14328719878171547</v>
      </c>
      <c r="U61" s="16">
        <f t="shared" si="8"/>
        <v>4.6924156641746761E-2</v>
      </c>
      <c r="V61" s="16">
        <f t="shared" si="8"/>
        <v>0.11237086269582404</v>
      </c>
      <c r="W61" s="16">
        <f t="shared" si="8"/>
        <v>2.202101230690684E-2</v>
      </c>
      <c r="X61" s="16">
        <f t="shared" si="8"/>
        <v>6.2394100680225592E-2</v>
      </c>
      <c r="Y61" s="16">
        <f t="shared" si="8"/>
        <v>3.161757789226715E-2</v>
      </c>
      <c r="Z61" s="16">
        <f t="shared" si="8"/>
        <v>3.6044282997339645E-2</v>
      </c>
      <c r="AA61" s="16">
        <f t="shared" si="8"/>
        <v>0.11007842644993733</v>
      </c>
      <c r="AB61" s="16">
        <f t="shared" si="8"/>
        <v>6.5323292267553235E-2</v>
      </c>
      <c r="AC61" s="16">
        <f t="shared" si="8"/>
        <v>2.964759149128824E-2</v>
      </c>
      <c r="AD61" s="16">
        <f t="shared" si="8"/>
        <v>1.7128546280060979E-2</v>
      </c>
      <c r="AE61" s="16">
        <f t="shared" si="8"/>
        <v>6.2802509495451186E-2</v>
      </c>
      <c r="AF61" s="16">
        <f t="shared" si="8"/>
        <v>1.402091389232747E-2</v>
      </c>
    </row>
    <row r="62" spans="1:32" x14ac:dyDescent="0.25">
      <c r="B62" s="15" t="s">
        <v>63</v>
      </c>
      <c r="C62" s="16">
        <f t="shared" ref="C62:AF62" si="9">C56/C$48</f>
        <v>6.0943098994839719E-2</v>
      </c>
      <c r="D62" s="16">
        <f t="shared" si="9"/>
        <v>4.2727664154101994E-2</v>
      </c>
      <c r="E62" s="16">
        <f t="shared" si="9"/>
        <v>5.5170351527863544E-2</v>
      </c>
      <c r="F62" s="16">
        <f t="shared" si="9"/>
        <v>1.5474540874327312E-2</v>
      </c>
      <c r="G62" s="16">
        <f t="shared" si="9"/>
        <v>4.7663701801262975E-2</v>
      </c>
      <c r="H62" s="16">
        <f t="shared" si="9"/>
        <v>2.2562748461557602E-2</v>
      </c>
      <c r="I62" s="16">
        <f t="shared" si="9"/>
        <v>3.4859879570347786E-2</v>
      </c>
      <c r="J62" s="16">
        <f t="shared" si="9"/>
        <v>1.8500118187725248E-2</v>
      </c>
      <c r="K62" s="16">
        <f t="shared" si="9"/>
        <v>1.9897378829735354E-2</v>
      </c>
      <c r="L62" s="16">
        <f t="shared" si="9"/>
        <v>4.0989918326510118E-2</v>
      </c>
      <c r="M62" s="16">
        <f t="shared" si="9"/>
        <v>6.3380821752175423E-2</v>
      </c>
      <c r="N62" s="16">
        <f t="shared" si="9"/>
        <v>8.7165054676671863E-2</v>
      </c>
      <c r="O62" s="16">
        <f t="shared" si="9"/>
        <v>0.12035091047409295</v>
      </c>
      <c r="P62" s="16">
        <f t="shared" si="9"/>
        <v>5.695654911247492E-2</v>
      </c>
      <c r="Q62" s="16">
        <f t="shared" si="9"/>
        <v>6.7899741908415148E-2</v>
      </c>
      <c r="R62" s="16">
        <f t="shared" si="9"/>
        <v>8.3088543449040014E-2</v>
      </c>
      <c r="S62" s="16">
        <f t="shared" si="9"/>
        <v>5.9119223515230399E-2</v>
      </c>
      <c r="T62" s="16">
        <f t="shared" si="9"/>
        <v>0.1175759653983839</v>
      </c>
      <c r="U62" s="16">
        <f t="shared" si="9"/>
        <v>0.16581896040126651</v>
      </c>
      <c r="V62" s="16">
        <f t="shared" si="9"/>
        <v>3.5056614289666194E-2</v>
      </c>
      <c r="W62" s="16">
        <f t="shared" si="9"/>
        <v>1.4811052615402441E-2</v>
      </c>
      <c r="X62" s="16">
        <f t="shared" si="9"/>
        <v>6.0428803549387851E-2</v>
      </c>
      <c r="Y62" s="16">
        <f t="shared" si="9"/>
        <v>2.522572603433933E-2</v>
      </c>
      <c r="Z62" s="16">
        <f t="shared" si="9"/>
        <v>4.8372044580815343E-2</v>
      </c>
      <c r="AA62" s="16">
        <f t="shared" si="9"/>
        <v>0.11455930496047463</v>
      </c>
      <c r="AB62" s="16">
        <f t="shared" si="9"/>
        <v>4.6996562779940201E-2</v>
      </c>
      <c r="AC62" s="16">
        <f t="shared" si="9"/>
        <v>1.4561948848032727E-2</v>
      </c>
      <c r="AD62" s="16">
        <f t="shared" si="9"/>
        <v>3.4503048610395326E-2</v>
      </c>
      <c r="AE62" s="16">
        <f t="shared" si="9"/>
        <v>0.23501016290923343</v>
      </c>
      <c r="AF62" s="16">
        <f t="shared" si="9"/>
        <v>4.9079157784549503E-3</v>
      </c>
    </row>
    <row r="63" spans="1:32" x14ac:dyDescent="0.25">
      <c r="B63" s="21" t="s">
        <v>64</v>
      </c>
      <c r="C63" s="39">
        <f t="shared" ref="C63:AF63" si="10">C57/C$48</f>
        <v>1.615378707502272E-2</v>
      </c>
      <c r="D63" s="39">
        <f t="shared" si="10"/>
        <v>8.9978610427245021E-3</v>
      </c>
      <c r="E63" s="39">
        <f t="shared" si="10"/>
        <v>1.6273586251536742E-2</v>
      </c>
      <c r="F63" s="39">
        <f t="shared" si="10"/>
        <v>8.1032971069712675E-3</v>
      </c>
      <c r="G63" s="39">
        <f t="shared" si="10"/>
        <v>6.9044222648704853E-3</v>
      </c>
      <c r="H63" s="39">
        <f t="shared" si="10"/>
        <v>6.4363000581399293E-3</v>
      </c>
      <c r="I63" s="39">
        <f t="shared" si="10"/>
        <v>4.6283176225913828E-3</v>
      </c>
      <c r="J63" s="39">
        <f t="shared" si="10"/>
        <v>7.4103598769690148E-3</v>
      </c>
      <c r="K63" s="39">
        <f t="shared" si="10"/>
        <v>1.3911743635125682E-2</v>
      </c>
      <c r="L63" s="39">
        <f t="shared" si="10"/>
        <v>2.8649626100066615E-3</v>
      </c>
      <c r="M63" s="39">
        <f t="shared" si="10"/>
        <v>2.4670500644708829E-2</v>
      </c>
      <c r="N63" s="39">
        <f t="shared" si="10"/>
        <v>1.03711831407761E-2</v>
      </c>
      <c r="O63" s="39">
        <f t="shared" si="10"/>
        <v>1.431974474536777E-2</v>
      </c>
      <c r="P63" s="39">
        <f t="shared" si="10"/>
        <v>6.7768763996447941E-3</v>
      </c>
      <c r="Q63" s="39">
        <f t="shared" si="10"/>
        <v>8.0789332508968154E-3</v>
      </c>
      <c r="R63" s="39">
        <f t="shared" si="10"/>
        <v>9.8861465091348282E-3</v>
      </c>
      <c r="S63" s="39">
        <f t="shared" si="10"/>
        <v>3.2803176231519002E-2</v>
      </c>
      <c r="T63" s="39">
        <f t="shared" si="10"/>
        <v>2.7250436153109431E-2</v>
      </c>
      <c r="U63" s="39">
        <f t="shared" si="10"/>
        <v>2.60447389441546E-2</v>
      </c>
      <c r="V63" s="39">
        <f t="shared" si="10"/>
        <v>2.5360055910938206E-2</v>
      </c>
      <c r="W63" s="39">
        <f t="shared" si="10"/>
        <v>4.3835185666987898E-3</v>
      </c>
      <c r="X63" s="39">
        <f t="shared" si="10"/>
        <v>2.9887037910406495E-2</v>
      </c>
      <c r="Y63" s="39">
        <f t="shared" si="10"/>
        <v>3.8165481022099192E-3</v>
      </c>
      <c r="Z63" s="39">
        <f t="shared" si="10"/>
        <v>1.5229015694263893E-2</v>
      </c>
      <c r="AA63" s="39">
        <f t="shared" si="10"/>
        <v>1.9354414968671303E-2</v>
      </c>
      <c r="AB63" s="39">
        <f t="shared" si="10"/>
        <v>1.2669709059444995E-2</v>
      </c>
      <c r="AC63" s="39">
        <f t="shared" si="10"/>
        <v>4.8007224591931717E-3</v>
      </c>
      <c r="AD63" s="39">
        <f t="shared" si="10"/>
        <v>3.8143475901745306E-2</v>
      </c>
      <c r="AE63" s="24">
        <f t="shared" si="10"/>
        <v>0.28911956049647852</v>
      </c>
      <c r="AF63" s="39">
        <f t="shared" si="10"/>
        <v>6.1792704531932986E-3</v>
      </c>
    </row>
    <row r="66" spans="1:32" x14ac:dyDescent="0.25">
      <c r="A66">
        <v>10</v>
      </c>
      <c r="C66" s="23" t="s">
        <v>0</v>
      </c>
      <c r="D66" s="23" t="s">
        <v>1</v>
      </c>
      <c r="E66" s="23" t="s">
        <v>2</v>
      </c>
      <c r="F66" s="23" t="s">
        <v>3</v>
      </c>
      <c r="G66" s="23" t="s">
        <v>4</v>
      </c>
      <c r="H66" s="23" t="s">
        <v>5</v>
      </c>
      <c r="I66" s="23" t="s">
        <v>6</v>
      </c>
      <c r="J66" s="23" t="s">
        <v>7</v>
      </c>
      <c r="K66" s="23" t="s">
        <v>8</v>
      </c>
      <c r="L66" s="23" t="s">
        <v>9</v>
      </c>
      <c r="M66" s="23" t="s">
        <v>10</v>
      </c>
      <c r="N66" s="23" t="s">
        <v>11</v>
      </c>
      <c r="O66" s="23" t="s">
        <v>12</v>
      </c>
      <c r="P66" s="23" t="s">
        <v>13</v>
      </c>
      <c r="Q66" s="23" t="s">
        <v>14</v>
      </c>
      <c r="R66" s="23" t="s">
        <v>15</v>
      </c>
      <c r="S66" s="23" t="s">
        <v>16</v>
      </c>
      <c r="T66" s="23" t="s">
        <v>17</v>
      </c>
      <c r="U66" s="23" t="s">
        <v>18</v>
      </c>
      <c r="V66" s="23" t="s">
        <v>19</v>
      </c>
      <c r="W66" s="23" t="s">
        <v>20</v>
      </c>
      <c r="X66" s="23" t="s">
        <v>21</v>
      </c>
      <c r="Y66" s="23" t="s">
        <v>22</v>
      </c>
      <c r="Z66" s="23" t="s">
        <v>23</v>
      </c>
      <c r="AA66" s="23" t="s">
        <v>24</v>
      </c>
      <c r="AB66" s="23" t="s">
        <v>25</v>
      </c>
      <c r="AC66" s="23" t="s">
        <v>26</v>
      </c>
      <c r="AD66" s="23" t="s">
        <v>27</v>
      </c>
      <c r="AE66" s="23" t="s">
        <v>28</v>
      </c>
      <c r="AF66" s="23" t="s">
        <v>29</v>
      </c>
    </row>
    <row r="67" spans="1:32" x14ac:dyDescent="0.25">
      <c r="B67" s="15" t="s">
        <v>125</v>
      </c>
      <c r="C67" s="15">
        <f>SAM!C55</f>
        <v>76.514339036409353</v>
      </c>
      <c r="D67" s="15">
        <f>SAM!D55</f>
        <v>9.6487068549006256</v>
      </c>
      <c r="E67" s="15">
        <f>SAM!E55</f>
        <v>39.743309462347113</v>
      </c>
      <c r="F67" s="15">
        <f>SAM!F55</f>
        <v>10.496153543037554</v>
      </c>
      <c r="G67" s="15">
        <f>SAM!G55</f>
        <v>24.686490860714585</v>
      </c>
      <c r="H67" s="15">
        <f>SAM!H55</f>
        <v>2.3637136279377637</v>
      </c>
      <c r="I67" s="15">
        <f>SAM!I55</f>
        <v>4.0503675643642465</v>
      </c>
      <c r="J67" s="15">
        <f>SAM!J55</f>
        <v>1.1399205945506261</v>
      </c>
      <c r="K67" s="15">
        <f>SAM!K55</f>
        <v>2.9135064904040355</v>
      </c>
      <c r="L67" s="15">
        <f>SAM!L55</f>
        <v>15.038784545609575</v>
      </c>
      <c r="M67" s="15">
        <f>SAM!M55</f>
        <v>14.902631447893567</v>
      </c>
      <c r="N67" s="15">
        <f>SAM!N55</f>
        <v>0.99985762122691635</v>
      </c>
      <c r="O67" s="15">
        <f>SAM!O55</f>
        <v>0.15489197043032651</v>
      </c>
      <c r="P67" s="15">
        <f>SAM!P55</f>
        <v>0.86638507898328798</v>
      </c>
      <c r="Q67" s="15">
        <f>SAM!Q55</f>
        <v>3.5350425952381119</v>
      </c>
      <c r="R67" s="15">
        <f>SAM!R55</f>
        <v>11.407348036919258</v>
      </c>
      <c r="S67" s="15">
        <f>SAM!S55</f>
        <v>8.7221308096380223</v>
      </c>
      <c r="T67" s="15">
        <f>SAM!T55</f>
        <v>62.073421329372472</v>
      </c>
      <c r="U67" s="15">
        <f>SAM!U55</f>
        <v>5.3699244616456578</v>
      </c>
      <c r="V67" s="15">
        <f>SAM!V55</f>
        <v>65.242268873443734</v>
      </c>
      <c r="W67" s="15">
        <f>SAM!W55</f>
        <v>36.50805683007556</v>
      </c>
      <c r="X67" s="15">
        <f>SAM!X55</f>
        <v>95.731352702607836</v>
      </c>
      <c r="Y67" s="15">
        <f>SAM!Y55</f>
        <v>7.8628622051355759</v>
      </c>
      <c r="Z67" s="15">
        <f>SAM!Z55</f>
        <v>69.39730858383804</v>
      </c>
      <c r="AA67" s="15">
        <f>SAM!AA55</f>
        <v>91.846996356338465</v>
      </c>
      <c r="AB67" s="15">
        <f>SAM!AB55</f>
        <v>20.079674869290567</v>
      </c>
      <c r="AC67" s="15">
        <f>SAM!AC55</f>
        <v>227.49451302865802</v>
      </c>
      <c r="AD67" s="15">
        <f>SAM!AD55</f>
        <v>28.825219614010408</v>
      </c>
      <c r="AE67" s="15">
        <f>SAM!AE55</f>
        <v>340.18846125537516</v>
      </c>
      <c r="AF67" s="15">
        <f>SAM!AF55</f>
        <v>5.5325085382653683</v>
      </c>
    </row>
    <row r="68" spans="1:32" x14ac:dyDescent="0.25">
      <c r="C68" s="16">
        <f>C67/SAM!C87</f>
        <v>7.8918679488624285E-2</v>
      </c>
      <c r="D68" s="16">
        <f>D67/SAM!D87</f>
        <v>7.2852350970834895E-2</v>
      </c>
      <c r="E68" s="17">
        <f>E67/SAM!E87</f>
        <v>0.16292057634978271</v>
      </c>
      <c r="F68" s="16">
        <f>F67/SAM!F87</f>
        <v>3.9844345832027291E-2</v>
      </c>
      <c r="G68" s="16">
        <f>G67/SAM!G87</f>
        <v>8.7059795850857338E-2</v>
      </c>
      <c r="H68" s="16">
        <f>H67/SAM!H87</f>
        <v>7.1913210588678642E-3</v>
      </c>
      <c r="I68" s="16">
        <f>I67/SAM!I87</f>
        <v>1.3316325132252881E-2</v>
      </c>
      <c r="J68" s="16">
        <f>J67/SAM!J87</f>
        <v>4.7788597191989616E-3</v>
      </c>
      <c r="K68" s="16">
        <f>K67/SAM!K87</f>
        <v>6.3501513957440131E-3</v>
      </c>
      <c r="L68" s="16">
        <f>L67/SAM!L87</f>
        <v>1.2241091723965971E-2</v>
      </c>
      <c r="M68" s="16">
        <f>M67/SAM!M87</f>
        <v>2.8783052326671527E-2</v>
      </c>
      <c r="N68" s="16">
        <f>N67/SAM!N87</f>
        <v>7.3761838788322437E-3</v>
      </c>
      <c r="O68" s="16">
        <f>O67/SAM!O87</f>
        <v>1.0630289161312451E-2</v>
      </c>
      <c r="P68" s="16">
        <f>P67/SAM!P87</f>
        <v>6.6507778576621306E-3</v>
      </c>
      <c r="Q68" s="16">
        <f>Q67/SAM!Q87</f>
        <v>3.5894582651670539E-3</v>
      </c>
      <c r="R68" s="16">
        <f>R67/SAM!R87</f>
        <v>2.8029204907935021E-2</v>
      </c>
      <c r="S68" s="16">
        <f>S67/SAM!S87</f>
        <v>3.0163300985979653E-2</v>
      </c>
      <c r="T68" s="16">
        <f>T67/SAM!T87</f>
        <v>1.7494762099204992E-2</v>
      </c>
      <c r="U68" s="16">
        <f>U67/SAM!U87</f>
        <v>1.1883310219662584E-2</v>
      </c>
      <c r="V68" s="28">
        <f>V67/SAM!V87</f>
        <v>0.16264244489144694</v>
      </c>
      <c r="W68" s="16">
        <f>W67/SAM!W87</f>
        <v>4.6032239350761721E-2</v>
      </c>
      <c r="X68" s="16">
        <f>X67/SAM!X87</f>
        <v>5.4146896901696544E-2</v>
      </c>
      <c r="Y68" s="16">
        <f>Y67/SAM!Y87</f>
        <v>1.4379275278017391E-2</v>
      </c>
      <c r="Z68" s="16">
        <f>Z67/SAM!Z87</f>
        <v>6.6812001498859894E-2</v>
      </c>
      <c r="AA68" s="16">
        <f>AA67/SAM!AA87</f>
        <v>2.3394434312839635E-2</v>
      </c>
      <c r="AB68" s="16">
        <f>AB67/SAM!AB87</f>
        <v>6.2351803938739967E-3</v>
      </c>
      <c r="AC68" s="16">
        <f>AC67/SAM!AC87</f>
        <v>7.9565844494139421E-2</v>
      </c>
      <c r="AD68" s="16">
        <f>AD67/SAM!AD87</f>
        <v>1.1492241009094776E-2</v>
      </c>
      <c r="AE68" s="16">
        <f>AE67/SAM!AE87</f>
        <v>0.15036105144758949</v>
      </c>
      <c r="AF68" s="16">
        <f>AF67/SAM!AF87</f>
        <v>2.7679535316897617E-3</v>
      </c>
    </row>
    <row r="70" spans="1:32" x14ac:dyDescent="0.25">
      <c r="A70">
        <v>11</v>
      </c>
      <c r="B70" t="s">
        <v>241</v>
      </c>
      <c r="C70" s="16">
        <f>C48/SAM!C87</f>
        <v>0.7642113417566827</v>
      </c>
      <c r="D70" s="16">
        <f>D48/SAM!D87</f>
        <v>0.73611422916169755</v>
      </c>
      <c r="E70" s="16">
        <f>E48/SAM!E87</f>
        <v>0.55287809912298147</v>
      </c>
      <c r="F70" s="16">
        <f>F48/SAM!F87</f>
        <v>0.76087735033530046</v>
      </c>
      <c r="G70" s="16">
        <f>G48/SAM!G87</f>
        <v>0.68626991088200229</v>
      </c>
      <c r="H70" s="16">
        <f>H48/SAM!H87</f>
        <v>0.33892357241071719</v>
      </c>
      <c r="I70" s="16">
        <f>I48/SAM!I87</f>
        <v>0.35356843819302131</v>
      </c>
      <c r="J70" s="16">
        <f>J48/SAM!J87</f>
        <v>0.58211694523633661</v>
      </c>
      <c r="K70" s="16">
        <f>K48/SAM!K87</f>
        <v>0.47098876385652871</v>
      </c>
      <c r="L70" s="16">
        <f>L48/SAM!L87</f>
        <v>0.57391939776417944</v>
      </c>
      <c r="M70" s="16">
        <f>M48/SAM!M87</f>
        <v>0.55173633198855565</v>
      </c>
      <c r="N70" s="16">
        <f>N48/SAM!N87</f>
        <v>0.30889882717435951</v>
      </c>
      <c r="O70" s="16">
        <f>O48/SAM!O87</f>
        <v>0.39781531074543464</v>
      </c>
      <c r="P70" s="16">
        <f>P48/SAM!P87</f>
        <v>0.2745632576423096</v>
      </c>
      <c r="Q70" s="41">
        <f>Q48/SAM!Q87</f>
        <v>7.1814530226247369E-2</v>
      </c>
      <c r="R70" s="16">
        <f>R48/SAM!R87</f>
        <v>0.35623801427690077</v>
      </c>
      <c r="S70" s="16">
        <f>S48/SAM!S87</f>
        <v>0.19443386151602476</v>
      </c>
      <c r="T70" s="16">
        <f>T48/SAM!T87</f>
        <v>0.36735209629996202</v>
      </c>
      <c r="U70" s="16">
        <f>U48/SAM!U87</f>
        <v>0.21718725970812622</v>
      </c>
      <c r="V70" s="16">
        <f>V48/SAM!V87</f>
        <v>0.24045949544556355</v>
      </c>
      <c r="W70" s="16">
        <f>W48/SAM!W87</f>
        <v>0.31801507429126152</v>
      </c>
      <c r="X70" s="16">
        <f>X48/SAM!X87</f>
        <v>0.28225954032510092</v>
      </c>
      <c r="Y70" s="16">
        <f>Y48/SAM!Y87</f>
        <v>0.3336765421942276</v>
      </c>
      <c r="Z70" s="16">
        <f>Z48/SAM!Z87</f>
        <v>0.22918697172788338</v>
      </c>
      <c r="AA70" s="16">
        <f>AA48/SAM!AA87</f>
        <v>0.31970719507797091</v>
      </c>
      <c r="AB70" s="16">
        <f>AB48/SAM!AB87</f>
        <v>0.73316577638997737</v>
      </c>
      <c r="AC70" s="16">
        <f>AC48/SAM!AC87</f>
        <v>0.59625709169588237</v>
      </c>
      <c r="AD70" s="16">
        <f>AD48/SAM!AD87</f>
        <v>0.71256936146331151</v>
      </c>
      <c r="AE70" s="16">
        <f>AE48/SAM!AE87</f>
        <v>0.65243092931536595</v>
      </c>
      <c r="AF70" s="16">
        <f>AF48/SAM!AF87</f>
        <v>0.85615678062713185</v>
      </c>
    </row>
    <row r="72" spans="1:32" x14ac:dyDescent="0.25">
      <c r="A72">
        <v>12</v>
      </c>
      <c r="B72" t="s">
        <v>243</v>
      </c>
      <c r="C72" s="16">
        <f>SAM!AG66/SAM!C87</f>
        <v>2.425458026342929E-2</v>
      </c>
      <c r="D72" s="16">
        <f>SAM!AH66/SAM!D87</f>
        <v>0.6564313616132933</v>
      </c>
      <c r="E72" s="16">
        <f>SAM!AI66/SAM!E87</f>
        <v>0</v>
      </c>
      <c r="F72" s="24">
        <f>SAM!AJ66/SAM!F87</f>
        <v>1.6444781171087839</v>
      </c>
      <c r="G72" s="16">
        <f>SAM!AK66/SAM!G87</f>
        <v>1.2302813573833167</v>
      </c>
      <c r="H72" s="16">
        <f>SAM!AL66/SAM!H87</f>
        <v>0.29594196009004753</v>
      </c>
      <c r="I72" s="16">
        <f>SAM!AM66/SAM!I87</f>
        <v>0.10857109879726416</v>
      </c>
      <c r="J72" s="16">
        <f>SAM!AN66/SAM!J87</f>
        <v>0</v>
      </c>
      <c r="K72" s="16">
        <f>SAM!AO66/SAM!K87</f>
        <v>0.66481162594062782</v>
      </c>
      <c r="L72" s="16">
        <f>SAM!AP66/SAM!L87</f>
        <v>0.24782314639899569</v>
      </c>
      <c r="M72" s="16">
        <f>SAM!AQ66/SAM!M87</f>
        <v>2.5573326686854324E-2</v>
      </c>
      <c r="N72" s="16">
        <f>SAM!AR66/SAM!N87</f>
        <v>5.8882666699939371E-2</v>
      </c>
      <c r="O72" s="16">
        <f>SAM!AS66/SAM!O87</f>
        <v>0</v>
      </c>
      <c r="P72" s="16">
        <f>SAM!AT66/SAM!P87</f>
        <v>0.27213092274116879</v>
      </c>
      <c r="Q72" s="16">
        <f>SAM!AU66/SAM!Q87</f>
        <v>0.16051512536469148</v>
      </c>
      <c r="R72" s="16">
        <f>SAM!AV66/SAM!R87</f>
        <v>0.15997575603098949</v>
      </c>
      <c r="S72" s="16">
        <f>SAM!AW66/SAM!S87</f>
        <v>0.35465124729293224</v>
      </c>
      <c r="T72" s="16">
        <f>SAM!AX66/SAM!T87</f>
        <v>0.157468353643652</v>
      </c>
      <c r="U72" s="16">
        <f>SAM!AY66/SAM!U87</f>
        <v>0.16080444990495738</v>
      </c>
      <c r="V72" s="16">
        <f>SAM!AZ66/SAM!V87</f>
        <v>0.81349629958611602</v>
      </c>
      <c r="W72" s="16">
        <f>SAM!BA66/SAM!W87</f>
        <v>0.32060120452401075</v>
      </c>
      <c r="X72" s="16">
        <f>SAM!BB66/SAM!X87</f>
        <v>0.27869200226717344</v>
      </c>
      <c r="Y72" s="16">
        <f>SAM!BC66/SAM!Y87</f>
        <v>8.7992425520164202E-2</v>
      </c>
      <c r="Z72" s="16">
        <f>SAM!BD66/SAM!Z87</f>
        <v>0</v>
      </c>
      <c r="AA72" s="16">
        <f>SAM!BE66/SAM!AA87</f>
        <v>0</v>
      </c>
      <c r="AB72" s="16">
        <f>SAM!BF66/SAM!AB87</f>
        <v>0</v>
      </c>
      <c r="AC72" s="16">
        <f>SAM!BG66/SAM!AC87</f>
        <v>0</v>
      </c>
      <c r="AD72" s="16">
        <f>SAM!BH66/SAM!AD87</f>
        <v>0</v>
      </c>
      <c r="AE72" s="16">
        <f>SAM!BI66/SAM!AE87</f>
        <v>0</v>
      </c>
      <c r="AF72" s="16">
        <f>SAM!BJ66/SAM!AF87</f>
        <v>0</v>
      </c>
    </row>
    <row r="74" spans="1:32" x14ac:dyDescent="0.25">
      <c r="C74" s="7" t="s">
        <v>282</v>
      </c>
      <c r="D74" s="7" t="s">
        <v>281</v>
      </c>
      <c r="E74" s="7" t="s">
        <v>245</v>
      </c>
      <c r="F74" s="7" t="s">
        <v>283</v>
      </c>
      <c r="G74" s="7" t="s">
        <v>284</v>
      </c>
    </row>
    <row r="75" spans="1:32" x14ac:dyDescent="0.25">
      <c r="A75">
        <v>15</v>
      </c>
      <c r="B75" t="s">
        <v>272</v>
      </c>
      <c r="C75" s="20">
        <f>SUM(SAM!CF36:CF65)</f>
        <v>40217.863490776122</v>
      </c>
      <c r="D75" s="20">
        <f>SUM(SAM!CE36:CE65)</f>
        <v>3263.3659055205285</v>
      </c>
      <c r="E75" s="20">
        <f>C75-D75</f>
        <v>36954.497585255594</v>
      </c>
      <c r="F75" s="15">
        <f>SUM(SAM!AG86:BJ86)</f>
        <v>3749.0182620505552</v>
      </c>
      <c r="G75" s="28">
        <f>F75/E75</f>
        <v>0.10144958007889056</v>
      </c>
    </row>
    <row r="77" spans="1:32" x14ac:dyDescent="0.25">
      <c r="A77">
        <v>16</v>
      </c>
      <c r="C77" s="7" t="s">
        <v>287</v>
      </c>
      <c r="D77" s="7" t="s">
        <v>286</v>
      </c>
      <c r="E77" s="7" t="s">
        <v>246</v>
      </c>
    </row>
    <row r="78" spans="1:32" x14ac:dyDescent="0.25">
      <c r="B78" t="s">
        <v>285</v>
      </c>
      <c r="C78" s="15">
        <f>SUM(SAM!BY87:CB87)</f>
        <v>1362.1582558222403</v>
      </c>
      <c r="D78" s="15">
        <f>SUM(SAM!CF79)</f>
        <v>1634.0800405341668</v>
      </c>
      <c r="E78" s="28">
        <f>C78/D78</f>
        <v>0.83359335040709659</v>
      </c>
    </row>
    <row r="80" spans="1:32" x14ac:dyDescent="0.25">
      <c r="A80">
        <v>17</v>
      </c>
      <c r="C80" s="7" t="s">
        <v>288</v>
      </c>
      <c r="D80" s="7" t="s">
        <v>289</v>
      </c>
    </row>
    <row r="81" spans="1:32" x14ac:dyDescent="0.25">
      <c r="B81" t="s">
        <v>285</v>
      </c>
      <c r="C81" s="15">
        <f>SUM(SAM!BY87)</f>
        <v>501.63123704980973</v>
      </c>
      <c r="D81" s="15">
        <f>SUM(SAM!BZ87:CB87)</f>
        <v>860.52701877243044</v>
      </c>
    </row>
    <row r="82" spans="1:32" x14ac:dyDescent="0.25">
      <c r="B82" t="s">
        <v>290</v>
      </c>
      <c r="C82" s="28">
        <f>C81/$D$78</f>
        <v>0.30698082383151243</v>
      </c>
      <c r="D82" s="28">
        <f>D81/$D$78</f>
        <v>0.52661252657558411</v>
      </c>
    </row>
    <row r="83" spans="1:32" x14ac:dyDescent="0.25">
      <c r="C83" s="22"/>
      <c r="D83" s="22"/>
    </row>
    <row r="85" spans="1:32" x14ac:dyDescent="0.25">
      <c r="A85">
        <v>18</v>
      </c>
      <c r="C85" s="15" t="s">
        <v>67</v>
      </c>
      <c r="D85" s="15" t="s">
        <v>68</v>
      </c>
      <c r="E85" s="15" t="s">
        <v>69</v>
      </c>
      <c r="F85" s="15" t="s">
        <v>70</v>
      </c>
      <c r="G85" s="15" t="s">
        <v>71</v>
      </c>
      <c r="H85" s="15" t="s">
        <v>72</v>
      </c>
      <c r="I85" s="15" t="s">
        <v>248</v>
      </c>
    </row>
    <row r="86" spans="1:32" x14ac:dyDescent="0.25">
      <c r="C86" s="15">
        <f>SAM!BR80</f>
        <v>353.97184467522459</v>
      </c>
      <c r="D86" s="15">
        <f>SAM!BS80</f>
        <v>3.2696437974622508</v>
      </c>
      <c r="E86" s="15">
        <f>SAM!BT80</f>
        <v>5.2283594332964531</v>
      </c>
      <c r="F86" s="15">
        <f>SAM!BU80</f>
        <v>12.777832420548433</v>
      </c>
      <c r="G86" s="15">
        <f>SAM!BV80</f>
        <v>24.598108208170391</v>
      </c>
      <c r="H86" s="15">
        <f>SAM!BW80</f>
        <v>101.78544851510765</v>
      </c>
      <c r="I86" s="15">
        <f>SUM(D86:H86)</f>
        <v>147.65939237458517</v>
      </c>
    </row>
    <row r="88" spans="1:32" x14ac:dyDescent="0.25">
      <c r="C88" t="s">
        <v>67</v>
      </c>
      <c r="D88" t="s">
        <v>249</v>
      </c>
    </row>
    <row r="89" spans="1:32" x14ac:dyDescent="0.25">
      <c r="B89" t="s">
        <v>250</v>
      </c>
      <c r="C89" s="33">
        <f>SAM!BR87</f>
        <v>10189.884565311604</v>
      </c>
      <c r="D89" s="33">
        <f>SUM(SAM!BS87:BW87)</f>
        <v>14392.080321743819</v>
      </c>
    </row>
    <row r="91" spans="1:32" x14ac:dyDescent="0.25">
      <c r="C91" s="28">
        <f>C86/C89</f>
        <v>3.4737571599212737E-2</v>
      </c>
      <c r="D91" s="28">
        <f>I86/D89</f>
        <v>1.0259767113132258E-2</v>
      </c>
    </row>
    <row r="94" spans="1:32" x14ac:dyDescent="0.25">
      <c r="C94" s="23" t="s">
        <v>0</v>
      </c>
      <c r="D94" s="23" t="s">
        <v>1</v>
      </c>
      <c r="E94" s="23" t="s">
        <v>2</v>
      </c>
      <c r="F94" s="23" t="s">
        <v>3</v>
      </c>
      <c r="G94" s="23" t="s">
        <v>4</v>
      </c>
      <c r="H94" s="23" t="s">
        <v>5</v>
      </c>
      <c r="I94" s="23" t="s">
        <v>6</v>
      </c>
      <c r="J94" s="23" t="s">
        <v>7</v>
      </c>
      <c r="K94" s="23" t="s">
        <v>8</v>
      </c>
      <c r="L94" s="23" t="s">
        <v>9</v>
      </c>
      <c r="M94" s="23" t="s">
        <v>10</v>
      </c>
      <c r="N94" s="23" t="s">
        <v>11</v>
      </c>
      <c r="O94" s="23" t="s">
        <v>12</v>
      </c>
      <c r="P94" s="23" t="s">
        <v>13</v>
      </c>
      <c r="Q94" s="23" t="s">
        <v>14</v>
      </c>
      <c r="R94" s="23" t="s">
        <v>15</v>
      </c>
      <c r="S94" s="23" t="s">
        <v>16</v>
      </c>
      <c r="T94" s="23" t="s">
        <v>17</v>
      </c>
      <c r="U94" s="23" t="s">
        <v>18</v>
      </c>
      <c r="V94" s="23" t="s">
        <v>19</v>
      </c>
      <c r="W94" s="23" t="s">
        <v>20</v>
      </c>
      <c r="X94" s="23" t="s">
        <v>21</v>
      </c>
      <c r="Y94" s="23" t="s">
        <v>22</v>
      </c>
      <c r="Z94" s="23" t="s">
        <v>23</v>
      </c>
      <c r="AA94" s="23" t="s">
        <v>24</v>
      </c>
      <c r="AB94" s="23" t="s">
        <v>25</v>
      </c>
      <c r="AC94" s="23" t="s">
        <v>26</v>
      </c>
      <c r="AD94" s="23" t="s">
        <v>27</v>
      </c>
      <c r="AE94" s="23" t="s">
        <v>28</v>
      </c>
      <c r="AF94" s="23" t="s">
        <v>29</v>
      </c>
    </row>
    <row r="95" spans="1:32" x14ac:dyDescent="0.25">
      <c r="B95" t="s">
        <v>294</v>
      </c>
      <c r="C95" s="15">
        <f>SAM!AG86</f>
        <v>76.912371562267467</v>
      </c>
      <c r="D95" s="15">
        <f>SAM!AH86</f>
        <v>72.621870936458137</v>
      </c>
      <c r="E95" s="15">
        <f>SAM!AI86</f>
        <v>0</v>
      </c>
      <c r="F95" s="15">
        <f>SAM!AJ86</f>
        <v>36.63651194857848</v>
      </c>
      <c r="G95" s="15">
        <f>SAM!AK86</f>
        <v>131.19392395241334</v>
      </c>
      <c r="H95" s="15">
        <f>SAM!AL86</f>
        <v>1.4106392519736659E-2</v>
      </c>
      <c r="I95" s="15">
        <f>SAM!AM86</f>
        <v>3.562160373787266</v>
      </c>
      <c r="J95" s="15">
        <f>SAM!AN86</f>
        <v>0.57985224170874727</v>
      </c>
      <c r="K95" s="15">
        <f>SAM!AO86</f>
        <v>5.7963515728216706</v>
      </c>
      <c r="L95" s="15">
        <f>SAM!AP86</f>
        <v>1.4954664696465549</v>
      </c>
      <c r="M95" s="15">
        <f>SAM!AQ86</f>
        <v>93.755641288083851</v>
      </c>
      <c r="N95" s="15">
        <f>SAM!AR86</f>
        <v>22.51454511340755</v>
      </c>
      <c r="O95" s="15">
        <f>SAM!AS86</f>
        <v>1.8800369301587969</v>
      </c>
      <c r="P95" s="15">
        <f>SAM!AT86</f>
        <v>311.23167407630626</v>
      </c>
      <c r="Q95" s="15">
        <f>SAM!AU86</f>
        <v>26.628964720867593</v>
      </c>
      <c r="R95" s="15">
        <f>SAM!AV86</f>
        <v>111.27018732534648</v>
      </c>
      <c r="S95" s="15">
        <f>SAM!AW86</f>
        <v>1.0904456748746687</v>
      </c>
      <c r="T95" s="15">
        <f>SAM!AX86</f>
        <v>401.14375905999589</v>
      </c>
      <c r="U95" s="15">
        <f>SAM!AY86</f>
        <v>50.480108409664929</v>
      </c>
      <c r="V95" s="15">
        <f>SAM!AZ86</f>
        <v>786.26683989481535</v>
      </c>
      <c r="W95" s="15">
        <f>SAM!BA86</f>
        <v>67.754972559805097</v>
      </c>
      <c r="X95" s="15">
        <f>SAM!BB86</f>
        <v>921.13696335689588</v>
      </c>
      <c r="Y95" s="15">
        <f>SAM!BC86</f>
        <v>21.480727460058084</v>
      </c>
      <c r="Z95" s="15">
        <f>SAM!BD86</f>
        <v>0</v>
      </c>
      <c r="AA95" s="15">
        <f>SAM!BE86</f>
        <v>17.091488771126929</v>
      </c>
      <c r="AB95" s="15">
        <f>SAM!BF86</f>
        <v>37.176306253244093</v>
      </c>
      <c r="AC95" s="15">
        <f>SAM!BG86</f>
        <v>428.58445713623405</v>
      </c>
      <c r="AD95" s="15">
        <f>SAM!BH86</f>
        <v>104.45890832925365</v>
      </c>
      <c r="AE95" s="15">
        <f>SAM!BI86</f>
        <v>15.434895863642307</v>
      </c>
      <c r="AF95" s="15">
        <f>SAM!BJ86</f>
        <v>0.8247243765725103</v>
      </c>
    </row>
    <row r="96" spans="1:32" x14ac:dyDescent="0.25">
      <c r="B96" t="s">
        <v>295</v>
      </c>
      <c r="C96" s="15">
        <f>SAM!AG82</f>
        <v>0</v>
      </c>
      <c r="D96" s="15">
        <f>SAM!AH82</f>
        <v>0.95298845148113032</v>
      </c>
      <c r="E96" s="15">
        <f>SAM!AI82</f>
        <v>0</v>
      </c>
      <c r="F96" s="15">
        <f>SAM!AJ82</f>
        <v>8.1368569496405083</v>
      </c>
      <c r="G96" s="15">
        <f>SAM!AK82</f>
        <v>4.9711060704341152</v>
      </c>
      <c r="H96" s="15">
        <f>SAM!AL82</f>
        <v>1.2739726903354028E-4</v>
      </c>
      <c r="I96" s="15">
        <f>SAM!AM82</f>
        <v>1.073199425623635</v>
      </c>
      <c r="J96" s="15">
        <f>SAM!AN82</f>
        <v>0</v>
      </c>
      <c r="K96" s="15">
        <f>SAM!AO82</f>
        <v>0</v>
      </c>
      <c r="L96" s="15">
        <f>SAM!AP82</f>
        <v>0</v>
      </c>
      <c r="M96" s="15">
        <f>SAM!AQ82</f>
        <v>10.070963073829759</v>
      </c>
      <c r="N96" s="15">
        <f>SAM!AR82</f>
        <v>1.4594737123610351</v>
      </c>
      <c r="O96" s="15">
        <f>SAM!AS82</f>
        <v>0</v>
      </c>
      <c r="P96" s="15">
        <f>SAM!AT82</f>
        <v>23.772009055091445</v>
      </c>
      <c r="Q96" s="15">
        <f>SAM!AU82</f>
        <v>1.8305731731816423E-3</v>
      </c>
      <c r="R96" s="15">
        <f>SAM!AV82</f>
        <v>2.8960141114743458</v>
      </c>
      <c r="S96" s="15">
        <f>SAM!AW82</f>
        <v>1.7845238895407338E-2</v>
      </c>
      <c r="T96" s="15">
        <f>SAM!AX82</f>
        <v>64.455878948592925</v>
      </c>
      <c r="U96" s="15">
        <f>SAM!AY82</f>
        <v>11.530818460311821</v>
      </c>
      <c r="V96" s="15">
        <f>SAM!AZ82</f>
        <v>84.71750937166405</v>
      </c>
      <c r="W96" s="15">
        <f>SAM!BA82</f>
        <v>19.67956048806311</v>
      </c>
      <c r="X96" s="15">
        <f>SAM!BB82</f>
        <v>132.99929717649601</v>
      </c>
      <c r="Y96" s="15">
        <f>SAM!BC82</f>
        <v>2.4655488885085073</v>
      </c>
      <c r="Z96" s="15">
        <f>SAM!BD82</f>
        <v>0</v>
      </c>
      <c r="AA96" s="15">
        <f>SAM!BE82</f>
        <v>0</v>
      </c>
      <c r="AB96" s="15">
        <f>SAM!BF82</f>
        <v>0</v>
      </c>
      <c r="AC96" s="15">
        <f>SAM!BG82</f>
        <v>0</v>
      </c>
      <c r="AD96" s="15">
        <f>SAM!BH82</f>
        <v>0</v>
      </c>
      <c r="AE96" s="15">
        <f>SAM!BI82</f>
        <v>0</v>
      </c>
      <c r="AF96" s="15">
        <f>SAM!BJ82</f>
        <v>0</v>
      </c>
    </row>
    <row r="97" spans="1:40" x14ac:dyDescent="0.25">
      <c r="B97" t="s">
        <v>296</v>
      </c>
      <c r="C97" s="17">
        <f>IF(C95,C96/C95,0)</f>
        <v>0</v>
      </c>
      <c r="D97" s="17">
        <f t="shared" ref="D97:AF97" si="11">IF(D95,D96/D95,0)</f>
        <v>1.3122609472771163E-2</v>
      </c>
      <c r="E97" s="17">
        <f t="shared" si="11"/>
        <v>0</v>
      </c>
      <c r="F97" s="17">
        <f t="shared" si="11"/>
        <v>0.22209693327413566</v>
      </c>
      <c r="G97" s="17">
        <f t="shared" si="11"/>
        <v>3.7891282771885339E-2</v>
      </c>
      <c r="H97" s="17">
        <f t="shared" si="11"/>
        <v>9.0311728427587071E-3</v>
      </c>
      <c r="I97" s="28">
        <f t="shared" si="11"/>
        <v>0.30127768348694989</v>
      </c>
      <c r="J97" s="17">
        <f t="shared" si="11"/>
        <v>0</v>
      </c>
      <c r="K97" s="17">
        <f t="shared" si="11"/>
        <v>0</v>
      </c>
      <c r="L97" s="17">
        <f t="shared" si="11"/>
        <v>0</v>
      </c>
      <c r="M97" s="17">
        <f t="shared" si="11"/>
        <v>0.1074171424296978</v>
      </c>
      <c r="N97" s="17">
        <f t="shared" si="11"/>
        <v>6.4823593148764513E-2</v>
      </c>
      <c r="O97" s="17">
        <f t="shared" si="11"/>
        <v>0</v>
      </c>
      <c r="P97" s="17">
        <f t="shared" si="11"/>
        <v>7.6380429869946781E-2</v>
      </c>
      <c r="Q97" s="17">
        <f t="shared" si="11"/>
        <v>6.8743685395592077E-5</v>
      </c>
      <c r="R97" s="17">
        <f t="shared" si="11"/>
        <v>2.602686470731461E-2</v>
      </c>
      <c r="S97" s="17">
        <f t="shared" si="11"/>
        <v>1.6365087511084307E-2</v>
      </c>
      <c r="T97" s="17">
        <f t="shared" si="11"/>
        <v>0.16068024864610389</v>
      </c>
      <c r="U97" s="17">
        <f t="shared" si="11"/>
        <v>0.2284230130160364</v>
      </c>
      <c r="V97" s="17">
        <f t="shared" si="11"/>
        <v>0.10774651183686867</v>
      </c>
      <c r="W97" s="17">
        <f t="shared" si="11"/>
        <v>0.29045189961065376</v>
      </c>
      <c r="X97" s="17">
        <f t="shared" si="11"/>
        <v>0.14438601691957642</v>
      </c>
      <c r="Y97" s="17">
        <f t="shared" si="11"/>
        <v>0.11477958058417824</v>
      </c>
      <c r="Z97" s="17">
        <f t="shared" si="11"/>
        <v>0</v>
      </c>
      <c r="AA97" s="17">
        <f t="shared" si="11"/>
        <v>0</v>
      </c>
      <c r="AB97" s="17">
        <f t="shared" si="11"/>
        <v>0</v>
      </c>
      <c r="AC97" s="17">
        <f t="shared" si="11"/>
        <v>0</v>
      </c>
      <c r="AD97" s="17">
        <f t="shared" si="11"/>
        <v>0</v>
      </c>
      <c r="AE97" s="17">
        <f t="shared" si="11"/>
        <v>0</v>
      </c>
      <c r="AF97" s="17">
        <f t="shared" si="11"/>
        <v>0</v>
      </c>
    </row>
    <row r="100" spans="1:40" x14ac:dyDescent="0.25">
      <c r="A100">
        <v>20</v>
      </c>
      <c r="C100" s="23" t="s">
        <v>0</v>
      </c>
      <c r="D100" s="23" t="s">
        <v>1</v>
      </c>
      <c r="E100" s="23" t="s">
        <v>2</v>
      </c>
      <c r="F100" s="23" t="s">
        <v>3</v>
      </c>
      <c r="G100" s="23" t="s">
        <v>4</v>
      </c>
      <c r="H100" s="23" t="s">
        <v>5</v>
      </c>
      <c r="I100" s="23" t="s">
        <v>6</v>
      </c>
      <c r="J100" s="23" t="s">
        <v>7</v>
      </c>
      <c r="K100" s="23" t="s">
        <v>8</v>
      </c>
      <c r="L100" s="23" t="s">
        <v>9</v>
      </c>
      <c r="M100" s="23" t="s">
        <v>10</v>
      </c>
      <c r="N100" s="23" t="s">
        <v>11</v>
      </c>
      <c r="O100" s="23" t="s">
        <v>12</v>
      </c>
      <c r="P100" s="23" t="s">
        <v>13</v>
      </c>
      <c r="Q100" s="23" t="s">
        <v>14</v>
      </c>
      <c r="R100" s="23" t="s">
        <v>15</v>
      </c>
      <c r="S100" s="23" t="s">
        <v>16</v>
      </c>
      <c r="T100" s="23" t="s">
        <v>17</v>
      </c>
      <c r="U100" s="23" t="s">
        <v>18</v>
      </c>
      <c r="V100" s="23" t="s">
        <v>19</v>
      </c>
      <c r="W100" s="23" t="s">
        <v>20</v>
      </c>
      <c r="X100" s="23" t="s">
        <v>21</v>
      </c>
      <c r="Y100" s="23" t="s">
        <v>22</v>
      </c>
      <c r="Z100" s="23" t="s">
        <v>23</v>
      </c>
      <c r="AA100" s="23" t="s">
        <v>24</v>
      </c>
      <c r="AB100" s="23" t="s">
        <v>25</v>
      </c>
      <c r="AC100" s="23" t="s">
        <v>26</v>
      </c>
      <c r="AD100" s="23" t="s">
        <v>27</v>
      </c>
      <c r="AE100" s="23" t="s">
        <v>28</v>
      </c>
      <c r="AF100" s="23" t="s">
        <v>29</v>
      </c>
    </row>
    <row r="101" spans="1:40" x14ac:dyDescent="0.25">
      <c r="B101" t="s">
        <v>77</v>
      </c>
      <c r="C101" s="15">
        <f>SAM!AG83</f>
        <v>0</v>
      </c>
      <c r="D101" s="15">
        <f>SAM!AH83</f>
        <v>1.6825111509545178E-5</v>
      </c>
      <c r="E101" s="15">
        <f>SAM!AI83</f>
        <v>0</v>
      </c>
      <c r="F101" s="15">
        <f>SAM!AJ83</f>
        <v>0</v>
      </c>
      <c r="G101" s="15">
        <f>SAM!AK83</f>
        <v>0.67532758186650432</v>
      </c>
      <c r="H101" s="15">
        <f>SAM!AL83</f>
        <v>0</v>
      </c>
      <c r="I101" s="15">
        <f>SAM!AM83</f>
        <v>0</v>
      </c>
      <c r="J101" s="15">
        <f>SAM!AN83</f>
        <v>0</v>
      </c>
      <c r="K101" s="15">
        <f>SAM!AO83</f>
        <v>0</v>
      </c>
      <c r="L101" s="15">
        <f>SAM!AP83</f>
        <v>0</v>
      </c>
      <c r="M101" s="15">
        <f>SAM!AQ83</f>
        <v>1.4165809848694862E-2</v>
      </c>
      <c r="N101" s="15">
        <f>SAM!AR83</f>
        <v>12.034385759123394</v>
      </c>
      <c r="O101" s="15">
        <f>SAM!AS83</f>
        <v>0</v>
      </c>
      <c r="P101" s="15">
        <f>SAM!AT83</f>
        <v>258.28412401591862</v>
      </c>
      <c r="Q101" s="15">
        <f>SAM!AU83</f>
        <v>0</v>
      </c>
      <c r="R101" s="15">
        <f>SAM!AV83</f>
        <v>37.839398277638288</v>
      </c>
      <c r="S101" s="15">
        <f>SAM!AW83</f>
        <v>0</v>
      </c>
      <c r="T101" s="15">
        <f>SAM!AX83</f>
        <v>22.756607556040368</v>
      </c>
      <c r="U101" s="15">
        <f>SAM!AY83</f>
        <v>4.5560380978353674</v>
      </c>
      <c r="V101" s="15">
        <f>SAM!AZ83</f>
        <v>155.16592745613667</v>
      </c>
      <c r="W101" s="15">
        <f>SAM!BA83</f>
        <v>0</v>
      </c>
      <c r="X101" s="15">
        <f>SAM!BB83</f>
        <v>0</v>
      </c>
      <c r="Y101" s="15">
        <f>SAM!BC83</f>
        <v>0</v>
      </c>
      <c r="Z101" s="15">
        <f>SAM!BD83</f>
        <v>0</v>
      </c>
      <c r="AA101" s="15">
        <f>SAM!BE83</f>
        <v>0</v>
      </c>
      <c r="AB101" s="15">
        <f>SAM!BF83</f>
        <v>0</v>
      </c>
      <c r="AC101" s="15">
        <f>SAM!BG83</f>
        <v>0</v>
      </c>
      <c r="AD101" s="15">
        <f>SAM!BH83</f>
        <v>0</v>
      </c>
      <c r="AE101" s="15">
        <f>SAM!BI83</f>
        <v>0</v>
      </c>
      <c r="AF101" s="15">
        <f>SAM!BJ83</f>
        <v>0</v>
      </c>
    </row>
    <row r="102" spans="1:40" x14ac:dyDescent="0.25">
      <c r="B102" t="s">
        <v>281</v>
      </c>
      <c r="C102" s="6">
        <v>3.2781518288065579E-5</v>
      </c>
      <c r="D102" s="6">
        <v>1.4929173474307187</v>
      </c>
      <c r="E102" s="6">
        <v>1.5388236207802211</v>
      </c>
      <c r="F102" s="6">
        <v>2.7266930795093187</v>
      </c>
      <c r="G102" s="6">
        <v>19.558832403961922</v>
      </c>
      <c r="H102" s="6">
        <v>2.9315302845226709E-3</v>
      </c>
      <c r="I102" s="6">
        <v>2.8450019381733395E-2</v>
      </c>
      <c r="J102" s="6">
        <v>0.2903497078952007</v>
      </c>
      <c r="K102" s="6">
        <v>2.3411785851735799E-3</v>
      </c>
      <c r="L102" s="6">
        <v>1.6948613950164826</v>
      </c>
      <c r="M102" s="6">
        <v>1.528441489711593</v>
      </c>
      <c r="N102" s="6">
        <v>15.746723969682447</v>
      </c>
      <c r="O102" s="6">
        <v>3.9834505138796228</v>
      </c>
      <c r="P102" s="6">
        <v>1.5043425166598123</v>
      </c>
      <c r="Q102" s="6">
        <v>0.44563615551616992</v>
      </c>
      <c r="R102" s="6">
        <v>8.1196434259516117</v>
      </c>
      <c r="S102" s="6">
        <v>2.5256184590692556</v>
      </c>
      <c r="T102" s="6">
        <v>2853.3011991921444</v>
      </c>
      <c r="U102" s="6">
        <v>4.1227388089552308</v>
      </c>
      <c r="V102" s="6">
        <v>30.439696135423951</v>
      </c>
      <c r="W102" s="6">
        <v>3.3648213899347144</v>
      </c>
      <c r="X102" s="6">
        <v>44.689279708382223</v>
      </c>
      <c r="Y102" s="6">
        <v>6.3634920944504634</v>
      </c>
      <c r="Z102" s="6"/>
      <c r="AA102" s="6">
        <v>8.2793568529079646</v>
      </c>
      <c r="AB102" s="6">
        <v>16.910687846027148</v>
      </c>
      <c r="AC102" s="6">
        <v>31.916775649738053</v>
      </c>
      <c r="AD102" s="6">
        <v>88.352599271744921</v>
      </c>
      <c r="AE102" s="6">
        <v>113.87969181879257</v>
      </c>
      <c r="AF102" s="6">
        <v>0.55547715719252466</v>
      </c>
      <c r="AG102" s="15"/>
      <c r="AH102" s="15"/>
      <c r="AI102" s="15"/>
      <c r="AJ102" s="15"/>
      <c r="AK102" s="15"/>
      <c r="AL102" s="15"/>
      <c r="AM102" s="15"/>
      <c r="AN102" s="15"/>
    </row>
    <row r="103" spans="1:40" x14ac:dyDescent="0.25">
      <c r="B103" t="s">
        <v>272</v>
      </c>
      <c r="C103" s="6">
        <v>1069.9619603502779</v>
      </c>
      <c r="D103" s="6">
        <v>234.86575590311696</v>
      </c>
      <c r="E103" s="6">
        <v>242.53103283088487</v>
      </c>
      <c r="F103" s="6">
        <v>724.4360515406546</v>
      </c>
      <c r="G103" s="6">
        <v>767.16825465073953</v>
      </c>
      <c r="H103" s="6">
        <v>394.14210008575344</v>
      </c>
      <c r="I103" s="6">
        <v>329.38699404371579</v>
      </c>
      <c r="J103" s="6">
        <v>215.34304061460193</v>
      </c>
      <c r="K103" s="6">
        <v>688.20871270905184</v>
      </c>
      <c r="L103" s="6">
        <v>1504.9701112549717</v>
      </c>
      <c r="M103" s="6">
        <v>634.83870384962347</v>
      </c>
      <c r="N103" s="6">
        <v>179.35849031973046</v>
      </c>
      <c r="O103" s="6">
        <v>16.450851334157846</v>
      </c>
      <c r="P103" s="6">
        <v>758.08575101263841</v>
      </c>
      <c r="Q103" s="6">
        <v>1017.1058868925206</v>
      </c>
      <c r="R103" s="6">
        <v>622.3771860660064</v>
      </c>
      <c r="S103" s="6">
        <v>392.8242170261093</v>
      </c>
      <c r="T103" s="6">
        <v>4595.1866433556625</v>
      </c>
      <c r="U103" s="6">
        <v>591.12048545217033</v>
      </c>
      <c r="V103" s="6">
        <v>1753.6148279199442</v>
      </c>
      <c r="W103" s="6">
        <v>1134.8001295215277</v>
      </c>
      <c r="X103" s="6">
        <v>3314.8551949772077</v>
      </c>
      <c r="Y103" s="6">
        <v>618.88130309323776</v>
      </c>
      <c r="Z103" s="6">
        <v>1038.6952497602128</v>
      </c>
      <c r="AA103" s="6">
        <v>3943.1106063152456</v>
      </c>
      <c r="AB103" s="6">
        <v>3257.5602568152317</v>
      </c>
      <c r="AC103" s="6">
        <v>3287.7825775736346</v>
      </c>
      <c r="AD103" s="6">
        <v>2612.6920363326271</v>
      </c>
      <c r="AE103" s="6">
        <v>2277.9121662753387</v>
      </c>
      <c r="AF103" s="6">
        <v>1999.5969128995205</v>
      </c>
    </row>
    <row r="104" spans="1:40" x14ac:dyDescent="0.25">
      <c r="B104" t="s">
        <v>297</v>
      </c>
      <c r="C104" s="6">
        <f>C103-C102</f>
        <v>1069.9619275687596</v>
      </c>
      <c r="D104" s="6">
        <f t="shared" ref="D104:AF104" si="12">D103-D102</f>
        <v>233.37283855568626</v>
      </c>
      <c r="E104" s="6">
        <f t="shared" si="12"/>
        <v>240.99220921010465</v>
      </c>
      <c r="F104" s="6">
        <f t="shared" si="12"/>
        <v>721.70935846114526</v>
      </c>
      <c r="G104" s="6">
        <f t="shared" si="12"/>
        <v>747.60942224677763</v>
      </c>
      <c r="H104" s="6">
        <f t="shared" si="12"/>
        <v>394.13916855546893</v>
      </c>
      <c r="I104" s="6">
        <f t="shared" si="12"/>
        <v>329.35854402433404</v>
      </c>
      <c r="J104" s="6">
        <f t="shared" si="12"/>
        <v>215.05269090670674</v>
      </c>
      <c r="K104" s="6">
        <f t="shared" si="12"/>
        <v>688.20637153046664</v>
      </c>
      <c r="L104" s="6">
        <f t="shared" si="12"/>
        <v>1503.2752498599552</v>
      </c>
      <c r="M104" s="6">
        <f t="shared" si="12"/>
        <v>633.31026235991192</v>
      </c>
      <c r="N104" s="6">
        <f t="shared" si="12"/>
        <v>163.61176635004801</v>
      </c>
      <c r="O104" s="6">
        <f t="shared" si="12"/>
        <v>12.467400820278224</v>
      </c>
      <c r="P104" s="6">
        <f t="shared" si="12"/>
        <v>756.58140849597862</v>
      </c>
      <c r="Q104" s="6">
        <f t="shared" si="12"/>
        <v>1016.6602507370045</v>
      </c>
      <c r="R104" s="6">
        <f t="shared" si="12"/>
        <v>614.25754264005479</v>
      </c>
      <c r="S104" s="6">
        <f t="shared" si="12"/>
        <v>390.29859856704002</v>
      </c>
      <c r="T104" s="6">
        <f t="shared" si="12"/>
        <v>1741.8854441635181</v>
      </c>
      <c r="U104" s="6">
        <f t="shared" si="12"/>
        <v>586.99774664321512</v>
      </c>
      <c r="V104" s="6">
        <f t="shared" si="12"/>
        <v>1723.1751317845203</v>
      </c>
      <c r="W104" s="6">
        <f t="shared" si="12"/>
        <v>1131.435308131593</v>
      </c>
      <c r="X104" s="6">
        <f t="shared" si="12"/>
        <v>3270.1659152688253</v>
      </c>
      <c r="Y104" s="6">
        <f t="shared" si="12"/>
        <v>612.51781099878735</v>
      </c>
      <c r="Z104" s="6">
        <f t="shared" si="12"/>
        <v>1038.6952497602128</v>
      </c>
      <c r="AA104" s="6">
        <f t="shared" si="12"/>
        <v>3934.8312494623378</v>
      </c>
      <c r="AB104" s="6">
        <f t="shared" si="12"/>
        <v>3240.6495689692047</v>
      </c>
      <c r="AC104" s="6">
        <f t="shared" si="12"/>
        <v>3255.8658019238965</v>
      </c>
      <c r="AD104" s="6">
        <f t="shared" si="12"/>
        <v>2524.3394370608821</v>
      </c>
      <c r="AE104" s="6">
        <f t="shared" si="12"/>
        <v>2164.032474456546</v>
      </c>
      <c r="AF104" s="6">
        <f t="shared" si="12"/>
        <v>1999.0414357423278</v>
      </c>
    </row>
    <row r="105" spans="1:40" x14ac:dyDescent="0.25">
      <c r="C105" s="16">
        <f>C101/C104</f>
        <v>0</v>
      </c>
      <c r="D105" s="16">
        <f t="shared" ref="D105:AF105" si="13">D101/D104</f>
        <v>7.2095414417862745E-8</v>
      </c>
      <c r="E105" s="16">
        <f t="shared" si="13"/>
        <v>0</v>
      </c>
      <c r="F105" s="16">
        <f t="shared" si="13"/>
        <v>0</v>
      </c>
      <c r="G105" s="16">
        <f t="shared" si="13"/>
        <v>9.0331603879062158E-4</v>
      </c>
      <c r="H105" s="16">
        <f t="shared" si="13"/>
        <v>0</v>
      </c>
      <c r="I105" s="16">
        <f t="shared" si="13"/>
        <v>0</v>
      </c>
      <c r="J105" s="16">
        <f t="shared" si="13"/>
        <v>0</v>
      </c>
      <c r="K105" s="16">
        <f t="shared" si="13"/>
        <v>0</v>
      </c>
      <c r="L105" s="16">
        <f t="shared" si="13"/>
        <v>0</v>
      </c>
      <c r="M105" s="16">
        <f t="shared" si="13"/>
        <v>2.2367882996098356E-5</v>
      </c>
      <c r="N105" s="16">
        <f t="shared" si="13"/>
        <v>7.3554525005101276E-2</v>
      </c>
      <c r="O105" s="16">
        <f t="shared" si="13"/>
        <v>0</v>
      </c>
      <c r="P105" s="24">
        <f t="shared" si="13"/>
        <v>0.34138312297333095</v>
      </c>
      <c r="Q105" s="16">
        <f t="shared" si="13"/>
        <v>0</v>
      </c>
      <c r="R105" s="16">
        <f t="shared" si="13"/>
        <v>6.160184556302889E-2</v>
      </c>
      <c r="S105" s="16">
        <f t="shared" si="13"/>
        <v>0</v>
      </c>
      <c r="T105" s="16">
        <f t="shared" si="13"/>
        <v>1.306435370494095E-2</v>
      </c>
      <c r="U105" s="16">
        <f t="shared" si="13"/>
        <v>7.7615938457845333E-3</v>
      </c>
      <c r="V105" s="16">
        <f t="shared" si="13"/>
        <v>9.0046522024402026E-2</v>
      </c>
      <c r="W105" s="16">
        <f t="shared" si="13"/>
        <v>0</v>
      </c>
      <c r="X105" s="16">
        <f t="shared" si="13"/>
        <v>0</v>
      </c>
      <c r="Y105" s="16">
        <f t="shared" si="13"/>
        <v>0</v>
      </c>
      <c r="Z105" s="16">
        <f t="shared" si="13"/>
        <v>0</v>
      </c>
      <c r="AA105" s="16">
        <f t="shared" si="13"/>
        <v>0</v>
      </c>
      <c r="AB105" s="16">
        <f t="shared" si="13"/>
        <v>0</v>
      </c>
      <c r="AC105" s="16">
        <f t="shared" si="13"/>
        <v>0</v>
      </c>
      <c r="AD105" s="16">
        <f t="shared" si="13"/>
        <v>0</v>
      </c>
      <c r="AE105" s="16">
        <f t="shared" si="13"/>
        <v>0</v>
      </c>
      <c r="AF105" s="16">
        <f t="shared" si="13"/>
        <v>0</v>
      </c>
    </row>
    <row r="106" spans="1:40" x14ac:dyDescent="0.25">
      <c r="C106" s="15"/>
    </row>
    <row r="107" spans="1:40" x14ac:dyDescent="0.25">
      <c r="A107">
        <v>24</v>
      </c>
      <c r="C107" s="23" t="s">
        <v>68</v>
      </c>
      <c r="D107" s="23" t="s">
        <v>69</v>
      </c>
      <c r="E107" s="23" t="s">
        <v>70</v>
      </c>
      <c r="F107" s="23" t="s">
        <v>71</v>
      </c>
      <c r="G107" s="23" t="s">
        <v>72</v>
      </c>
    </row>
    <row r="108" spans="1:40" x14ac:dyDescent="0.25">
      <c r="B108" t="s">
        <v>254</v>
      </c>
      <c r="C108" s="35">
        <f>SUM(SAM!BS37:BS65)</f>
        <v>695.10976694467684</v>
      </c>
      <c r="D108" s="35">
        <f>SUM(SAM!BT37:BT65)</f>
        <v>1104.3552785417733</v>
      </c>
      <c r="E108" s="35">
        <f>SUM(SAM!BU37:BU65)</f>
        <v>1571.5544239603164</v>
      </c>
      <c r="F108" s="35">
        <f>SUM(SAM!BV37:BV65)</f>
        <v>2311.7566041356499</v>
      </c>
      <c r="G108" s="35">
        <f>SUM(SAM!BW37:BW65)</f>
        <v>5258.1566982103259</v>
      </c>
    </row>
    <row r="109" spans="1:40" x14ac:dyDescent="0.25">
      <c r="C109" s="15"/>
    </row>
    <row r="110" spans="1:40" x14ac:dyDescent="0.25">
      <c r="C110" s="23" t="s">
        <v>68</v>
      </c>
      <c r="D110" s="23" t="s">
        <v>69</v>
      </c>
      <c r="E110" s="23" t="s">
        <v>70</v>
      </c>
      <c r="F110" s="23" t="s">
        <v>71</v>
      </c>
      <c r="G110" s="23" t="s">
        <v>72</v>
      </c>
    </row>
    <row r="111" spans="1:40" x14ac:dyDescent="0.25">
      <c r="A111">
        <v>25</v>
      </c>
      <c r="B111" t="s">
        <v>255</v>
      </c>
      <c r="C111" s="1">
        <v>32.105197500000003</v>
      </c>
      <c r="D111" s="1">
        <v>32.018407400000001</v>
      </c>
      <c r="E111" s="1">
        <v>32.056354900000002</v>
      </c>
      <c r="F111" s="1">
        <v>32.086998199999996</v>
      </c>
      <c r="G111" s="1">
        <v>32.0100269</v>
      </c>
    </row>
    <row r="112" spans="1:40" x14ac:dyDescent="0.25">
      <c r="B112" t="s">
        <v>256</v>
      </c>
      <c r="C112" s="35">
        <f>C108/C111*1000</f>
        <v>21651.004232092848</v>
      </c>
      <c r="D112" s="35">
        <f t="shared" ref="D112:G112" si="14">D108/D111*1000</f>
        <v>34491.262002674535</v>
      </c>
      <c r="E112" s="35">
        <f t="shared" si="14"/>
        <v>49024.73874097009</v>
      </c>
      <c r="F112" s="35">
        <f t="shared" si="14"/>
        <v>72046.52145165921</v>
      </c>
      <c r="G112" s="35">
        <f t="shared" si="14"/>
        <v>164265.92563126917</v>
      </c>
    </row>
    <row r="113" spans="1:7" x14ac:dyDescent="0.25">
      <c r="C113" s="15"/>
      <c r="D113" s="15"/>
      <c r="E113" s="15"/>
      <c r="F113" s="15"/>
      <c r="G113" s="15"/>
    </row>
    <row r="114" spans="1:7" x14ac:dyDescent="0.25">
      <c r="C114" s="15"/>
    </row>
    <row r="115" spans="1:7" x14ac:dyDescent="0.25">
      <c r="C115" s="23" t="s">
        <v>68</v>
      </c>
      <c r="D115" s="23" t="s">
        <v>69</v>
      </c>
      <c r="E115" s="23" t="s">
        <v>70</v>
      </c>
      <c r="F115" s="23" t="s">
        <v>71</v>
      </c>
      <c r="G115" s="23" t="s">
        <v>72</v>
      </c>
    </row>
    <row r="116" spans="1:7" x14ac:dyDescent="0.25">
      <c r="A116">
        <v>26</v>
      </c>
      <c r="B116" t="s">
        <v>257</v>
      </c>
      <c r="C116" s="15">
        <f>SUM(SAM!BS36:BS43,SAM!BS45,SAM!BS47:BS52)</f>
        <v>410.68063761728661</v>
      </c>
      <c r="D116" s="15">
        <f>SUM(SAM!BT36:BT43,SAM!BT45,SAM!BT47:BT52)</f>
        <v>614.08905491757309</v>
      </c>
      <c r="E116" s="15">
        <f>SUM(SAM!BU36:BU43,SAM!BU45,SAM!BU47:BU52)</f>
        <v>821.99839163845445</v>
      </c>
      <c r="F116" s="15">
        <f>SUM(SAM!BV36:BV43,SAM!BV45,SAM!BV47:BV52)</f>
        <v>1173.6286150304311</v>
      </c>
      <c r="G116" s="15">
        <f>SUM(SAM!BW36:BW43,SAM!BW45,SAM!BW47:BW52)</f>
        <v>2526.7301454505846</v>
      </c>
    </row>
    <row r="117" spans="1:7" x14ac:dyDescent="0.25">
      <c r="C117" s="24">
        <f>C116/C108</f>
        <v>0.59081408023140658</v>
      </c>
      <c r="D117" s="24">
        <f t="shared" ref="D117:G117" si="15">D116/D108</f>
        <v>0.55606113978867044</v>
      </c>
      <c r="E117" s="24">
        <f t="shared" si="15"/>
        <v>0.52304799573343375</v>
      </c>
      <c r="F117" s="24">
        <f t="shared" si="15"/>
        <v>0.50767827933565823</v>
      </c>
      <c r="G117" s="24">
        <f t="shared" si="15"/>
        <v>0.48053534545872062</v>
      </c>
    </row>
    <row r="118" spans="1:7" x14ac:dyDescent="0.25">
      <c r="C118" s="15"/>
    </row>
    <row r="119" spans="1:7" x14ac:dyDescent="0.25">
      <c r="C119" s="15"/>
    </row>
    <row r="120" spans="1:7" x14ac:dyDescent="0.25">
      <c r="C120" s="23" t="s">
        <v>258</v>
      </c>
      <c r="D120" s="7" t="s">
        <v>67</v>
      </c>
      <c r="E120" s="7" t="s">
        <v>73</v>
      </c>
      <c r="F120" s="7" t="s">
        <v>80</v>
      </c>
    </row>
    <row r="121" spans="1:7" x14ac:dyDescent="0.25">
      <c r="B121" t="s">
        <v>68</v>
      </c>
      <c r="C121" s="15">
        <f>SUM(SAM!BL74:BQ74)</f>
        <v>606.34992761775084</v>
      </c>
      <c r="D121" s="15">
        <f>SAM!BR74</f>
        <v>244.59220585739627</v>
      </c>
      <c r="E121" s="15">
        <f>SAM!BX74</f>
        <v>32.234883997282694</v>
      </c>
      <c r="F121" s="15">
        <f>SAM!CE74</f>
        <v>18.708354227811927</v>
      </c>
      <c r="G121" s="15">
        <f>SAM!CF74</f>
        <v>901.88537170024176</v>
      </c>
    </row>
    <row r="122" spans="1:7" x14ac:dyDescent="0.25">
      <c r="B122" t="s">
        <v>69</v>
      </c>
      <c r="C122" s="15">
        <f>SUM(SAM!BL75:BQ75)</f>
        <v>956.81441938777334</v>
      </c>
      <c r="D122" s="15">
        <f>SAM!BR75</f>
        <v>428.91725623046409</v>
      </c>
      <c r="E122" s="15">
        <f>SAM!BX75</f>
        <v>42.675428677054306</v>
      </c>
      <c r="F122" s="15">
        <f>SAM!CE75</f>
        <v>48.045434652632153</v>
      </c>
      <c r="G122" s="15">
        <f>SAM!CF75</f>
        <v>1476.4525389479238</v>
      </c>
    </row>
    <row r="123" spans="1:7" x14ac:dyDescent="0.25">
      <c r="B123" t="s">
        <v>70</v>
      </c>
      <c r="C123" s="15">
        <f>SUM(SAM!BL76:BQ76)</f>
        <v>1232.6156245471907</v>
      </c>
      <c r="D123" s="15">
        <f>SAM!BR76</f>
        <v>764.84250244972384</v>
      </c>
      <c r="E123" s="15">
        <f>SAM!BX76</f>
        <v>36.119785997594015</v>
      </c>
      <c r="F123" s="15">
        <f>SAM!CE76</f>
        <v>108.46065234193104</v>
      </c>
      <c r="G123" s="15">
        <f>SAM!CF76</f>
        <v>2142.0385653364392</v>
      </c>
    </row>
    <row r="124" spans="1:7" x14ac:dyDescent="0.25">
      <c r="B124" t="s">
        <v>71</v>
      </c>
      <c r="C124" s="15">
        <f>SUM(SAM!BL77:BQ77)</f>
        <v>1405.3626686259533</v>
      </c>
      <c r="D124" s="15">
        <f>SAM!BR77</f>
        <v>1444.7662812474523</v>
      </c>
      <c r="E124" s="15">
        <f>SAM!BX77</f>
        <v>31.156131336532813</v>
      </c>
      <c r="F124" s="15">
        <f>SAM!CE77</f>
        <v>171.17098193880253</v>
      </c>
      <c r="G124" s="15">
        <f>SAM!CF77</f>
        <v>3052.4560631487411</v>
      </c>
    </row>
    <row r="125" spans="1:7" x14ac:dyDescent="0.25">
      <c r="B125" t="s">
        <v>72</v>
      </c>
      <c r="C125" s="15">
        <f>SUM(SAM!BL78:BQ78)</f>
        <v>2160.3799604192009</v>
      </c>
      <c r="D125" s="15">
        <f>SAM!BR78</f>
        <v>4243.5472233759501</v>
      </c>
      <c r="E125" s="15">
        <f>SAM!BX78</f>
        <v>21.987027933474266</v>
      </c>
      <c r="F125" s="15">
        <f>SAM!CE78</f>
        <v>393.3335708818459</v>
      </c>
      <c r="G125" s="15">
        <f>SAM!CF78</f>
        <v>6819.2477826104714</v>
      </c>
    </row>
    <row r="126" spans="1:7" x14ac:dyDescent="0.25">
      <c r="C126" s="15"/>
      <c r="D126" s="15"/>
    </row>
    <row r="127" spans="1:7" x14ac:dyDescent="0.25">
      <c r="A127">
        <v>27</v>
      </c>
      <c r="B127" t="s">
        <v>68</v>
      </c>
      <c r="C127" s="24">
        <f>C121/$G121</f>
        <v>0.6723137403533388</v>
      </c>
      <c r="D127" s="24">
        <f t="shared" ref="D127:F127" si="16">D121/$G121</f>
        <v>0.27120099020598265</v>
      </c>
      <c r="E127" s="24">
        <f t="shared" si="16"/>
        <v>3.5741664083666448E-2</v>
      </c>
      <c r="F127" s="24">
        <f t="shared" si="16"/>
        <v>2.0743605357012036E-2</v>
      </c>
    </row>
    <row r="128" spans="1:7" x14ac:dyDescent="0.25">
      <c r="B128" t="s">
        <v>69</v>
      </c>
      <c r="C128" s="24">
        <f t="shared" ref="C128:F128" si="17">C122/$G122</f>
        <v>0.64804956078681053</v>
      </c>
      <c r="D128" s="24">
        <f t="shared" si="17"/>
        <v>0.29050527864315762</v>
      </c>
      <c r="E128" s="24">
        <f t="shared" si="17"/>
        <v>2.8904030133920559E-2</v>
      </c>
      <c r="F128" s="24">
        <f t="shared" si="17"/>
        <v>3.2541130436111343E-2</v>
      </c>
    </row>
    <row r="129" spans="1:6" x14ac:dyDescent="0.25">
      <c r="B129" t="s">
        <v>70</v>
      </c>
      <c r="C129" s="24">
        <f t="shared" ref="C129:F129" si="18">C123/$G123</f>
        <v>0.57544044467452904</v>
      </c>
      <c r="D129" s="24">
        <f t="shared" si="18"/>
        <v>0.35706290018620362</v>
      </c>
      <c r="E129" s="24">
        <f t="shared" si="18"/>
        <v>1.6862341594639247E-2</v>
      </c>
      <c r="F129" s="24">
        <f t="shared" si="18"/>
        <v>5.0634313544628301E-2</v>
      </c>
    </row>
    <row r="130" spans="1:6" x14ac:dyDescent="0.25">
      <c r="B130" t="s">
        <v>71</v>
      </c>
      <c r="C130" s="24">
        <f t="shared" ref="C130:F130" si="19">C124/$G124</f>
        <v>0.46040389756708266</v>
      </c>
      <c r="D130" s="24">
        <f t="shared" si="19"/>
        <v>0.47331271977658312</v>
      </c>
      <c r="E130" s="24">
        <f t="shared" si="19"/>
        <v>1.0206905748020467E-2</v>
      </c>
      <c r="F130" s="24">
        <f t="shared" si="19"/>
        <v>5.6076476908313702E-2</v>
      </c>
    </row>
    <row r="131" spans="1:6" x14ac:dyDescent="0.25">
      <c r="B131" t="s">
        <v>72</v>
      </c>
      <c r="C131" s="24">
        <f t="shared" ref="C131:F131" si="20">C125/$G125</f>
        <v>0.31680619758799661</v>
      </c>
      <c r="D131" s="24">
        <f t="shared" si="20"/>
        <v>0.6222896364313486</v>
      </c>
      <c r="E131" s="24">
        <f t="shared" si="20"/>
        <v>3.2242600114256925E-3</v>
      </c>
      <c r="F131" s="24">
        <f t="shared" si="20"/>
        <v>5.7679905969229082E-2</v>
      </c>
    </row>
    <row r="132" spans="1:6" x14ac:dyDescent="0.25">
      <c r="C132" s="15"/>
    </row>
    <row r="133" spans="1:6" x14ac:dyDescent="0.25">
      <c r="C133" s="15"/>
    </row>
    <row r="134" spans="1:6" x14ac:dyDescent="0.25">
      <c r="A134">
        <v>28</v>
      </c>
      <c r="B134" t="s">
        <v>259</v>
      </c>
      <c r="C134" s="15">
        <f>SUM(SAM!BS84:BW84)</f>
        <v>2884.1236985985934</v>
      </c>
    </row>
    <row r="135" spans="1:6" x14ac:dyDescent="0.25">
      <c r="B135" t="s">
        <v>260</v>
      </c>
      <c r="C135" s="15">
        <f>SUM(SAM!BS87:BW87)</f>
        <v>14392.080321743819</v>
      </c>
    </row>
    <row r="136" spans="1:6" x14ac:dyDescent="0.25">
      <c r="C136" s="24">
        <f>C134/C135</f>
        <v>0.20039658160059087</v>
      </c>
    </row>
    <row r="137" spans="1:6" x14ac:dyDescent="0.25">
      <c r="C137" s="15"/>
    </row>
    <row r="138" spans="1:6" x14ac:dyDescent="0.25">
      <c r="C138" s="15"/>
    </row>
    <row r="139" spans="1:6" x14ac:dyDescent="0.25">
      <c r="C139" s="15"/>
    </row>
  </sheetData>
  <pageMargins left="0.7" right="0.7" top="0.75" bottom="0.75" header="0.3" footer="0.3"/>
  <pageSetup orientation="portrait" horizontalDpi="4294967293" verticalDpi="0" r:id="rId1"/>
  <ignoredErrors>
    <ignoredError sqref="C45:G47 C121:I129 C134:D1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Structure</vt:lpstr>
      <vt:lpstr>SAM</vt:lpstr>
      <vt:lpstr>Ex2x_Question</vt:lpstr>
      <vt:lpstr>Workings</vt:lpstr>
      <vt:lpstr>Ex2x_Answers</vt:lpstr>
      <vt:lpstr>Answer_Workings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Thurlow, James (IFPRI)</cp:lastModifiedBy>
  <dcterms:created xsi:type="dcterms:W3CDTF">2019-05-30T04:35:08Z</dcterms:created>
  <dcterms:modified xsi:type="dcterms:W3CDTF">2024-04-28T16:20:14Z</dcterms:modified>
</cp:coreProperties>
</file>