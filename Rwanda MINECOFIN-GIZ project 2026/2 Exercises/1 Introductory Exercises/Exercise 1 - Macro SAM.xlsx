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RADESHA\Dropbox (IFPRI)\Bangladesh CGE Course\Exercises\"/>
    </mc:Choice>
  </mc:AlternateContent>
  <xr:revisionPtr revIDLastSave="0" documentId="13_ncr:1_{2AAE7797-ECE7-4C97-BFD5-B53D202EBFA2}" xr6:coauthVersionLast="36" xr6:coauthVersionMax="41" xr10:uidLastSave="{00000000-0000-0000-0000-000000000000}"/>
  <bookViews>
    <workbookView xWindow="-105" yWindow="-105" windowWidth="23250" windowHeight="12720" xr2:uid="{416252D5-677F-4B94-AB01-390750FF0700}"/>
  </bookViews>
  <sheets>
    <sheet name="Ex1_Question" sheetId="1" r:id="rId1"/>
    <sheet name="Ex1_Answer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" i="2" l="1"/>
  <c r="F12" i="2"/>
  <c r="L12" i="2" l="1"/>
  <c r="L10" i="2"/>
  <c r="L9" i="2"/>
  <c r="L8" i="2"/>
  <c r="L7" i="2"/>
  <c r="M7" i="2" s="1"/>
  <c r="E8" i="2" s="1"/>
  <c r="L6" i="2"/>
  <c r="M13" i="2"/>
  <c r="M11" i="2"/>
  <c r="M6" i="2"/>
  <c r="D9" i="2" s="1"/>
  <c r="M5" i="2"/>
  <c r="M4" i="2"/>
  <c r="M14" i="2"/>
  <c r="K15" i="2"/>
  <c r="J15" i="2"/>
  <c r="F15" i="2"/>
  <c r="C15" i="2"/>
  <c r="B15" i="2"/>
  <c r="C4" i="2" s="1"/>
  <c r="J13" i="2"/>
  <c r="I10" i="2"/>
  <c r="M10" i="2" s="1"/>
  <c r="H12" i="2" s="1"/>
  <c r="H15" i="2" s="1"/>
  <c r="H14" i="2"/>
  <c r="H9" i="2"/>
  <c r="H8" i="2"/>
  <c r="G14" i="2"/>
  <c r="G10" i="2"/>
  <c r="G11" i="2"/>
  <c r="F14" i="2"/>
  <c r="F11" i="2"/>
  <c r="F10" i="2"/>
  <c r="E14" i="2"/>
  <c r="D14" i="2"/>
  <c r="E11" i="2"/>
  <c r="D11" i="2"/>
  <c r="C14" i="2"/>
  <c r="C11" i="2"/>
  <c r="L5" i="2"/>
  <c r="K5" i="2"/>
  <c r="J5" i="2"/>
  <c r="H5" i="2"/>
  <c r="G5" i="2"/>
  <c r="B7" i="2"/>
  <c r="B6" i="2"/>
  <c r="L15" i="2" l="1"/>
  <c r="E15" i="2"/>
  <c r="M8" i="2"/>
  <c r="D15" i="2"/>
  <c r="M9" i="2"/>
  <c r="G12" i="2" s="1"/>
  <c r="I15" i="2"/>
  <c r="M12" i="2" l="1"/>
  <c r="G15" i="2"/>
  <c r="G17" i="2" s="1"/>
  <c r="N4" i="2" l="1" a="1"/>
  <c r="N6" i="2" l="1"/>
  <c r="N5" i="2"/>
  <c r="N14" i="2"/>
  <c r="N4" i="2"/>
  <c r="N11" i="2"/>
  <c r="N8" i="2"/>
  <c r="N13" i="2"/>
  <c r="N9" i="2"/>
  <c r="N12" i="2"/>
  <c r="N10" i="2"/>
  <c r="N7" i="2"/>
  <c r="M14" i="1" l="1"/>
  <c r="L15" i="1"/>
  <c r="K15" i="1"/>
  <c r="J13" i="1" s="1"/>
  <c r="M13" i="1" s="1"/>
  <c r="M7" i="1"/>
  <c r="E8" i="1" s="1"/>
  <c r="M8" i="1" s="1"/>
  <c r="M6" i="1"/>
  <c r="D9" i="1" s="1"/>
  <c r="D15" i="1" s="1"/>
  <c r="J15" i="1" l="1"/>
  <c r="F12" i="1"/>
  <c r="M11" i="1"/>
  <c r="I10" i="1" s="1"/>
  <c r="E15" i="1"/>
  <c r="M5" i="1"/>
  <c r="B15" i="1"/>
  <c r="C4" i="1" s="1"/>
  <c r="F9" i="1" l="1"/>
  <c r="I15" i="1"/>
  <c r="M10" i="1"/>
  <c r="H12" i="1" s="1"/>
  <c r="H15" i="1" s="1"/>
  <c r="M4" i="1"/>
  <c r="C15" i="1"/>
  <c r="F15" i="1" l="1"/>
  <c r="M9" i="1"/>
  <c r="G12" i="1" s="1"/>
  <c r="G15" i="1" l="1"/>
  <c r="G17" i="1" s="1"/>
  <c r="M12" i="1"/>
  <c r="N4" i="1" l="1" a="1"/>
  <c r="N5" i="1" l="1"/>
  <c r="N9" i="1"/>
  <c r="N10" i="1"/>
  <c r="N13" i="1"/>
  <c r="N6" i="1"/>
  <c r="N11" i="1"/>
  <c r="N12" i="1"/>
  <c r="N7" i="1"/>
  <c r="N14" i="1"/>
  <c r="N4" i="1"/>
  <c r="N8" i="1"/>
</calcChain>
</file>

<file path=xl/sharedStrings.xml><?xml version="1.0" encoding="utf-8"?>
<sst xmlns="http://schemas.openxmlformats.org/spreadsheetml/2006/main" count="190" uniqueCount="53">
  <si>
    <t>Exogenous savings rate</t>
  </si>
  <si>
    <t>National accounts</t>
  </si>
  <si>
    <t>Government account</t>
  </si>
  <si>
    <t>Current account</t>
  </si>
  <si>
    <t>Receipts</t>
  </si>
  <si>
    <t>Payments</t>
  </si>
  <si>
    <t>Revenues</t>
  </si>
  <si>
    <t>Expenditures</t>
  </si>
  <si>
    <t>GDPfc</t>
  </si>
  <si>
    <t>Private consumption</t>
  </si>
  <si>
    <t>Activity tax</t>
  </si>
  <si>
    <t>Consumption</t>
  </si>
  <si>
    <t>i.e., salaries, goods and services</t>
  </si>
  <si>
    <t>Export goods</t>
  </si>
  <si>
    <t>Import goods</t>
  </si>
  <si>
    <t>Indirect taxes</t>
  </si>
  <si>
    <t>Government consumption</t>
  </si>
  <si>
    <t>Personal tax</t>
  </si>
  <si>
    <t>Households</t>
  </si>
  <si>
    <t>e.g., Social transfers</t>
  </si>
  <si>
    <t>Export services</t>
  </si>
  <si>
    <t>Import services</t>
  </si>
  <si>
    <t>Gross fixed capital formation</t>
  </si>
  <si>
    <t>Corporate tax</t>
  </si>
  <si>
    <t>Enterprises</t>
  </si>
  <si>
    <t>e.g., Domestic interest payments</t>
  </si>
  <si>
    <t>Labor</t>
  </si>
  <si>
    <t>Changes in inventories</t>
  </si>
  <si>
    <t>Labor tax</t>
  </si>
  <si>
    <t>Rest of world</t>
  </si>
  <si>
    <t>e.g., Foreign interest payments</t>
  </si>
  <si>
    <t>Capital</t>
  </si>
  <si>
    <t>Exports</t>
  </si>
  <si>
    <t>Capital tax</t>
  </si>
  <si>
    <t>Imports</t>
  </si>
  <si>
    <t>Total</t>
  </si>
  <si>
    <t>Import tax</t>
  </si>
  <si>
    <t>Difference</t>
  </si>
  <si>
    <t>Export tax</t>
  </si>
  <si>
    <t>Government</t>
  </si>
  <si>
    <t>Sales tax</t>
  </si>
  <si>
    <t>Balance</t>
  </si>
  <si>
    <t>Savings</t>
  </si>
  <si>
    <t>i.e., Recurrent surplus</t>
  </si>
  <si>
    <t>Activity</t>
  </si>
  <si>
    <t>Commodity</t>
  </si>
  <si>
    <t>Taxes</t>
  </si>
  <si>
    <t>Savings-Investment</t>
  </si>
  <si>
    <t>Stock changes</t>
  </si>
  <si>
    <t xml:space="preserve"> </t>
  </si>
  <si>
    <t xml:space="preserve">   Labor</t>
  </si>
  <si>
    <t xml:space="preserve">   Capital</t>
  </si>
  <si>
    <t>Exercise 1 - Building a Macro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</si>
</sst>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3" fontId="0" fillId="0" borderId="0" xfId="0" applyNumberFormat="1" applyFill="1"/>
    <xf numFmtId="3" fontId="5" fillId="0" borderId="0" xfId="0" applyNumberFormat="1" applyFont="1"/>
    <xf numFmtId="0" fontId="5" fillId="0" borderId="0" xfId="0" applyFont="1" applyAlignment="1">
      <alignment horizontal="right"/>
    </xf>
    <xf numFmtId="10" fontId="5" fillId="0" borderId="1" xfId="1" applyNumberFormat="1" applyFont="1" applyBorder="1"/>
    <xf numFmtId="10" fontId="5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2" xfId="0" applyBorder="1"/>
    <xf numFmtId="3" fontId="0" fillId="0" borderId="4" xfId="0" applyNumberFormat="1" applyBorder="1"/>
    <xf numFmtId="0" fontId="6" fillId="0" borderId="0" xfId="0" applyFont="1"/>
    <xf numFmtId="3" fontId="7" fillId="0" borderId="0" xfId="0" applyNumberFormat="1" applyFont="1"/>
    <xf numFmtId="3" fontId="0" fillId="0" borderId="5" xfId="0" applyNumberFormat="1" applyBorder="1"/>
    <xf numFmtId="3" fontId="0" fillId="0" borderId="6" xfId="0" applyNumberFormat="1" applyBorder="1"/>
    <xf numFmtId="4" fontId="0" fillId="0" borderId="0" xfId="0" applyNumberFormat="1"/>
    <xf numFmtId="3" fontId="6" fillId="0" borderId="0" xfId="0" applyNumberFormat="1" applyFont="1" applyFill="1" applyBorder="1"/>
    <xf numFmtId="3" fontId="6" fillId="0" borderId="0" xfId="0" applyNumberFormat="1" applyFont="1"/>
    <xf numFmtId="0" fontId="4" fillId="0" borderId="2" xfId="0" applyFont="1" applyBorder="1"/>
    <xf numFmtId="0" fontId="4" fillId="0" borderId="3" xfId="0" applyFont="1" applyBorder="1"/>
    <xf numFmtId="3" fontId="0" fillId="0" borderId="0" xfId="0" applyNumberFormat="1" applyFill="1" applyBorder="1"/>
    <xf numFmtId="0" fontId="8" fillId="0" borderId="2" xfId="0" applyFont="1" applyBorder="1"/>
    <xf numFmtId="0" fontId="8" fillId="0" borderId="3" xfId="0" applyFont="1" applyBorder="1"/>
    <xf numFmtId="0" fontId="7" fillId="0" borderId="2" xfId="0" applyFont="1" applyBorder="1"/>
    <xf numFmtId="0" fontId="7" fillId="0" borderId="0" xfId="0" applyFont="1"/>
    <xf numFmtId="3" fontId="7" fillId="0" borderId="4" xfId="0" applyNumberFormat="1" applyFont="1" applyBorder="1"/>
    <xf numFmtId="3" fontId="7" fillId="0" borderId="5" xfId="0" applyNumberFormat="1" applyFont="1" applyBorder="1"/>
    <xf numFmtId="3" fontId="7" fillId="0" borderId="6" xfId="0" applyNumberFormat="1" applyFont="1" applyBorder="1"/>
    <xf numFmtId="3" fontId="9" fillId="0" borderId="0" xfId="0" applyNumberFormat="1" applyFont="1" applyFill="1"/>
    <xf numFmtId="3" fontId="0" fillId="0" borderId="4" xfId="0" applyNumberFormat="1" applyFill="1" applyBorder="1"/>
    <xf numFmtId="3" fontId="10" fillId="0" borderId="0" xfId="0" applyNumberFormat="1" applyFont="1" applyFill="1" applyBorder="1"/>
    <xf numFmtId="3" fontId="0" fillId="0" borderId="7" xfId="0" applyNumberFormat="1" applyFill="1" applyBorder="1"/>
    <xf numFmtId="3" fontId="0" fillId="2" borderId="0" xfId="0" applyNumberFormat="1" applyFill="1" applyBorder="1"/>
    <xf numFmtId="3" fontId="0" fillId="0" borderId="3" xfId="0" applyNumberFormat="1" applyFill="1" applyBorder="1"/>
    <xf numFmtId="3" fontId="0" fillId="0" borderId="2" xfId="0" applyNumberFormat="1" applyFill="1" applyBorder="1"/>
    <xf numFmtId="3" fontId="0" fillId="0" borderId="8" xfId="0" applyNumberFormat="1" applyFill="1" applyBorder="1"/>
    <xf numFmtId="3" fontId="0" fillId="2" borderId="2" xfId="0" applyNumberFormat="1" applyFill="1" applyBorder="1"/>
    <xf numFmtId="3" fontId="0" fillId="2" borderId="7" xfId="0" applyNumberFormat="1" applyFill="1" applyBorder="1"/>
    <xf numFmtId="3" fontId="10" fillId="0" borderId="2" xfId="0" applyNumberFormat="1" applyFont="1" applyFill="1" applyBorder="1"/>
    <xf numFmtId="3" fontId="10" fillId="0" borderId="7" xfId="0" applyNumberFormat="1" applyFont="1" applyFill="1" applyBorder="1"/>
    <xf numFmtId="3" fontId="0" fillId="2" borderId="8" xfId="0" applyNumberFormat="1" applyFill="1" applyBorder="1"/>
    <xf numFmtId="0" fontId="0" fillId="0" borderId="7" xfId="0" applyBorder="1"/>
    <xf numFmtId="0" fontId="0" fillId="0" borderId="8" xfId="0" applyBorder="1"/>
    <xf numFmtId="3" fontId="0" fillId="0" borderId="9" xfId="0" applyNumberFormat="1" applyFill="1" applyBorder="1"/>
    <xf numFmtId="3" fontId="0" fillId="2" borderId="10" xfId="0" applyNumberFormat="1" applyFill="1" applyBorder="1"/>
    <xf numFmtId="3" fontId="0" fillId="2" borderId="9" xfId="0" applyNumberFormat="1" applyFill="1" applyBorder="1"/>
    <xf numFmtId="3" fontId="0" fillId="0" borderId="10" xfId="0" applyNumberFormat="1" applyFill="1" applyBorder="1"/>
    <xf numFmtId="3" fontId="10" fillId="0" borderId="3" xfId="0" applyNumberFormat="1" applyFont="1" applyFill="1" applyBorder="1"/>
    <xf numFmtId="3" fontId="0" fillId="2" borderId="3" xfId="0" applyNumberFormat="1" applyFill="1" applyBorder="1"/>
    <xf numFmtId="3" fontId="0" fillId="0" borderId="1" xfId="0" applyNumberFormat="1" applyFill="1" applyBorder="1"/>
    <xf numFmtId="3" fontId="0" fillId="0" borderId="11" xfId="0" applyNumberFormat="1" applyFill="1" applyBorder="1"/>
    <xf numFmtId="3" fontId="0" fillId="0" borderId="12" xfId="0" applyNumberFormat="1" applyFill="1" applyBorder="1"/>
    <xf numFmtId="0" fontId="0" fillId="0" borderId="13" xfId="0" applyBorder="1"/>
    <xf numFmtId="3" fontId="0" fillId="0" borderId="1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1466-987A-4086-B7F6-55C512E0B7EB}">
  <dimension ref="A1:T45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8" sqref="A8"/>
      <selection pane="bottomRight" activeCell="D32" sqref="D32"/>
    </sheetView>
  </sheetViews>
  <sheetFormatPr defaultRowHeight="15" x14ac:dyDescent="0.25"/>
  <cols>
    <col min="1" max="1" width="19" customWidth="1"/>
  </cols>
  <sheetData>
    <row r="1" spans="1:20" ht="18.75" x14ac:dyDescent="0.3">
      <c r="A1" s="1" t="s">
        <v>52</v>
      </c>
    </row>
    <row r="3" spans="1:20" x14ac:dyDescent="0.25">
      <c r="A3" s="49"/>
      <c r="B3" s="49" t="s">
        <v>44</v>
      </c>
      <c r="C3" s="50" t="s">
        <v>45</v>
      </c>
      <c r="D3" s="51" t="s">
        <v>26</v>
      </c>
      <c r="E3" s="52" t="s">
        <v>31</v>
      </c>
      <c r="F3" s="50" t="s">
        <v>24</v>
      </c>
      <c r="G3" s="53" t="s">
        <v>18</v>
      </c>
      <c r="H3" s="50" t="s">
        <v>39</v>
      </c>
      <c r="I3" s="53" t="s">
        <v>46</v>
      </c>
      <c r="J3" s="50" t="s">
        <v>47</v>
      </c>
      <c r="K3" s="53" t="s">
        <v>48</v>
      </c>
      <c r="L3" s="53" t="s">
        <v>29</v>
      </c>
      <c r="M3" s="53" t="s">
        <v>35</v>
      </c>
      <c r="N3" s="2"/>
      <c r="S3" s="2"/>
    </row>
    <row r="4" spans="1:20" x14ac:dyDescent="0.25">
      <c r="A4" s="43" t="s">
        <v>44</v>
      </c>
      <c r="B4" s="43"/>
      <c r="C4" s="38">
        <f>B15</f>
        <v>0</v>
      </c>
      <c r="D4" s="33"/>
      <c r="E4" s="42"/>
      <c r="F4" s="34"/>
      <c r="G4" s="35"/>
      <c r="H4" s="34"/>
      <c r="I4" s="35"/>
      <c r="J4" s="34"/>
      <c r="K4" s="35"/>
      <c r="L4" s="35"/>
      <c r="M4" s="35">
        <f>SUM(B4:L4)</f>
        <v>0</v>
      </c>
      <c r="N4" s="28">
        <f t="array" ref="N4:N14">M4:M14-TRANSPOSE(B15:L15)</f>
        <v>0</v>
      </c>
      <c r="S4" s="2"/>
      <c r="T4" s="3"/>
    </row>
    <row r="5" spans="1:20" x14ac:dyDescent="0.25">
      <c r="A5" s="43" t="s">
        <v>45</v>
      </c>
      <c r="B5" s="43"/>
      <c r="C5" s="34"/>
      <c r="D5" s="33"/>
      <c r="E5" s="42"/>
      <c r="F5" s="34"/>
      <c r="G5" s="40"/>
      <c r="H5" s="36"/>
      <c r="I5" s="35"/>
      <c r="J5" s="36"/>
      <c r="K5" s="40"/>
      <c r="L5" s="40"/>
      <c r="M5" s="35">
        <f t="shared" ref="M5:M14" si="0">SUM(B5:L5)</f>
        <v>0</v>
      </c>
      <c r="N5" s="28">
        <v>0</v>
      </c>
      <c r="S5" s="2"/>
      <c r="T5" s="3"/>
    </row>
    <row r="6" spans="1:20" x14ac:dyDescent="0.25">
      <c r="A6" s="46" t="s">
        <v>26</v>
      </c>
      <c r="B6" s="44"/>
      <c r="C6" s="20"/>
      <c r="D6" s="29"/>
      <c r="E6" s="41"/>
      <c r="F6" s="20"/>
      <c r="G6" s="31"/>
      <c r="H6" s="20"/>
      <c r="I6" s="31"/>
      <c r="J6" s="20"/>
      <c r="K6" s="31"/>
      <c r="L6" s="37"/>
      <c r="M6" s="31">
        <f t="shared" si="0"/>
        <v>0</v>
      </c>
      <c r="N6" s="28">
        <v>0</v>
      </c>
      <c r="S6" s="2"/>
      <c r="T6" s="3"/>
    </row>
    <row r="7" spans="1:20" x14ac:dyDescent="0.25">
      <c r="A7" s="43" t="s">
        <v>31</v>
      </c>
      <c r="B7" s="45"/>
      <c r="C7" s="34"/>
      <c r="D7" s="33"/>
      <c r="E7" s="42"/>
      <c r="F7" s="34"/>
      <c r="G7" s="35"/>
      <c r="H7" s="34"/>
      <c r="I7" s="35"/>
      <c r="J7" s="34"/>
      <c r="K7" s="35"/>
      <c r="L7" s="40"/>
      <c r="M7" s="35">
        <f t="shared" si="0"/>
        <v>0</v>
      </c>
      <c r="N7" s="28">
        <v>0</v>
      </c>
      <c r="S7" s="2"/>
      <c r="T7" s="3"/>
    </row>
    <row r="8" spans="1:20" x14ac:dyDescent="0.25">
      <c r="A8" s="46" t="s">
        <v>24</v>
      </c>
      <c r="B8" s="46"/>
      <c r="C8" s="20"/>
      <c r="D8" s="29"/>
      <c r="E8" s="39">
        <f>M7-SUM(E9:E14)</f>
        <v>0</v>
      </c>
      <c r="F8" s="20"/>
      <c r="G8" s="31"/>
      <c r="H8" s="32"/>
      <c r="I8" s="31"/>
      <c r="J8" s="20"/>
      <c r="K8" s="31"/>
      <c r="L8" s="37"/>
      <c r="M8" s="31">
        <f t="shared" si="0"/>
        <v>0</v>
      </c>
      <c r="N8" s="28">
        <v>0</v>
      </c>
      <c r="S8" s="2"/>
      <c r="T8" s="3"/>
    </row>
    <row r="9" spans="1:20" x14ac:dyDescent="0.25">
      <c r="A9" s="43" t="s">
        <v>18</v>
      </c>
      <c r="B9" s="43"/>
      <c r="C9" s="34"/>
      <c r="D9" s="47">
        <f>M6-SUM(D10:D14)</f>
        <v>0</v>
      </c>
      <c r="E9" s="42"/>
      <c r="F9" s="38">
        <f>M8-SUM(F10:F14)</f>
        <v>0</v>
      </c>
      <c r="G9" s="35"/>
      <c r="H9" s="36"/>
      <c r="I9" s="35"/>
      <c r="J9" s="34"/>
      <c r="K9" s="35"/>
      <c r="L9" s="40"/>
      <c r="M9" s="35">
        <f t="shared" si="0"/>
        <v>0</v>
      </c>
      <c r="N9" s="28">
        <v>0</v>
      </c>
      <c r="S9" s="2"/>
      <c r="T9" s="3"/>
    </row>
    <row r="10" spans="1:20" x14ac:dyDescent="0.25">
      <c r="A10" s="46" t="s">
        <v>39</v>
      </c>
      <c r="B10" s="46"/>
      <c r="C10" s="20"/>
      <c r="D10" s="29"/>
      <c r="E10" s="41"/>
      <c r="F10" s="32"/>
      <c r="G10" s="37"/>
      <c r="H10" s="20"/>
      <c r="I10" s="39">
        <f>M11</f>
        <v>0</v>
      </c>
      <c r="J10" s="20"/>
      <c r="K10" s="31"/>
      <c r="L10" s="37"/>
      <c r="M10" s="31">
        <f t="shared" si="0"/>
        <v>0</v>
      </c>
      <c r="N10" s="28">
        <v>0</v>
      </c>
      <c r="S10" s="2"/>
      <c r="T10" s="3"/>
    </row>
    <row r="11" spans="1:20" x14ac:dyDescent="0.25">
      <c r="A11" s="43" t="s">
        <v>46</v>
      </c>
      <c r="B11" s="45"/>
      <c r="C11" s="36"/>
      <c r="D11" s="48"/>
      <c r="E11" s="40"/>
      <c r="F11" s="36"/>
      <c r="G11" s="40"/>
      <c r="H11" s="34"/>
      <c r="I11" s="35"/>
      <c r="J11" s="34"/>
      <c r="K11" s="35"/>
      <c r="L11" s="35"/>
      <c r="M11" s="35">
        <f t="shared" si="0"/>
        <v>0</v>
      </c>
      <c r="N11" s="28">
        <v>0</v>
      </c>
      <c r="S11" s="2"/>
      <c r="T11" s="3"/>
    </row>
    <row r="12" spans="1:20" x14ac:dyDescent="0.25">
      <c r="A12" s="46" t="s">
        <v>47</v>
      </c>
      <c r="B12" s="46"/>
      <c r="C12" s="20"/>
      <c r="D12" s="29"/>
      <c r="E12" s="41"/>
      <c r="F12" s="30">
        <f>F17*M8</f>
        <v>0</v>
      </c>
      <c r="G12" s="39">
        <f>M9-SUM(G4:G11,G13:G14)</f>
        <v>0</v>
      </c>
      <c r="H12" s="30">
        <f>M10-SUM(H4:H11,H13:H14)</f>
        <v>0</v>
      </c>
      <c r="I12" s="31"/>
      <c r="J12" s="20"/>
      <c r="K12" s="31"/>
      <c r="L12" s="37"/>
      <c r="M12" s="31">
        <f t="shared" si="0"/>
        <v>0</v>
      </c>
      <c r="N12" s="28">
        <v>0</v>
      </c>
      <c r="S12" s="2"/>
      <c r="T12" s="3"/>
    </row>
    <row r="13" spans="1:20" x14ac:dyDescent="0.25">
      <c r="A13" s="43" t="s">
        <v>48</v>
      </c>
      <c r="B13" s="43"/>
      <c r="C13" s="34"/>
      <c r="D13" s="33"/>
      <c r="E13" s="42"/>
      <c r="F13" s="34"/>
      <c r="G13" s="35"/>
      <c r="H13" s="34"/>
      <c r="I13" s="35"/>
      <c r="J13" s="38">
        <f>K15</f>
        <v>0</v>
      </c>
      <c r="K13" s="35"/>
      <c r="L13" s="35"/>
      <c r="M13" s="35">
        <f t="shared" si="0"/>
        <v>0</v>
      </c>
      <c r="N13" s="28">
        <v>0</v>
      </c>
      <c r="S13" s="2"/>
      <c r="T13" s="3"/>
    </row>
    <row r="14" spans="1:20" x14ac:dyDescent="0.25">
      <c r="A14" s="43" t="s">
        <v>29</v>
      </c>
      <c r="B14" s="43"/>
      <c r="C14" s="36"/>
      <c r="D14" s="48"/>
      <c r="E14" s="40"/>
      <c r="F14" s="36"/>
      <c r="G14" s="40"/>
      <c r="H14" s="36"/>
      <c r="I14" s="35"/>
      <c r="J14" s="34"/>
      <c r="K14" s="35"/>
      <c r="L14" s="35"/>
      <c r="M14" s="35">
        <f t="shared" si="0"/>
        <v>0</v>
      </c>
      <c r="N14" s="28">
        <v>0</v>
      </c>
      <c r="S14" s="2"/>
      <c r="T14" s="3"/>
    </row>
    <row r="15" spans="1:20" x14ac:dyDescent="0.25">
      <c r="A15" s="43" t="s">
        <v>35</v>
      </c>
      <c r="B15" s="43">
        <f>SUM(B4:B14)</f>
        <v>0</v>
      </c>
      <c r="C15" s="34">
        <f t="shared" ref="C15:L15" si="1">SUM(C4:C14)</f>
        <v>0</v>
      </c>
      <c r="D15" s="33">
        <f t="shared" si="1"/>
        <v>0</v>
      </c>
      <c r="E15" s="35">
        <f t="shared" si="1"/>
        <v>0</v>
      </c>
      <c r="F15" s="34">
        <f t="shared" si="1"/>
        <v>0</v>
      </c>
      <c r="G15" s="35">
        <f t="shared" si="1"/>
        <v>0</v>
      </c>
      <c r="H15" s="34">
        <f t="shared" si="1"/>
        <v>0</v>
      </c>
      <c r="I15" s="35">
        <f t="shared" si="1"/>
        <v>0</v>
      </c>
      <c r="J15" s="34">
        <f t="shared" si="1"/>
        <v>0</v>
      </c>
      <c r="K15" s="35">
        <f t="shared" si="1"/>
        <v>0</v>
      </c>
      <c r="L15" s="35">
        <f t="shared" si="1"/>
        <v>0</v>
      </c>
      <c r="M15" s="35"/>
      <c r="N15" s="2"/>
      <c r="S15" s="2"/>
    </row>
    <row r="16" spans="1:20" x14ac:dyDescent="0.25">
      <c r="A16" s="20"/>
      <c r="B16" s="20"/>
      <c r="C16" s="20"/>
      <c r="D16" s="20"/>
      <c r="E16" s="20"/>
      <c r="F16" s="34"/>
      <c r="G16" s="20"/>
      <c r="H16" s="20"/>
      <c r="I16" s="20"/>
      <c r="J16" s="20"/>
      <c r="K16" s="20"/>
      <c r="L16" s="20"/>
      <c r="M16" s="20"/>
      <c r="N16" s="2"/>
      <c r="S16" s="2"/>
    </row>
    <row r="17" spans="1:20" x14ac:dyDescent="0.25">
      <c r="A17" s="2"/>
      <c r="B17" s="2"/>
      <c r="C17" s="2"/>
      <c r="E17" s="4" t="s">
        <v>0</v>
      </c>
      <c r="F17" s="5">
        <v>0</v>
      </c>
      <c r="G17" s="6">
        <f>IF(G15,G12/G15,0)</f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9" spans="1:20" x14ac:dyDescent="0.25">
      <c r="B19" s="7" t="s">
        <v>1</v>
      </c>
      <c r="G19" s="7" t="s">
        <v>2</v>
      </c>
      <c r="M19" s="7" t="s">
        <v>3</v>
      </c>
    </row>
    <row r="20" spans="1:20" x14ac:dyDescent="0.25">
      <c r="B20" s="21" t="s">
        <v>4</v>
      </c>
      <c r="C20" s="21"/>
      <c r="D20" s="22" t="s">
        <v>5</v>
      </c>
      <c r="E20" s="23"/>
      <c r="F20" s="24"/>
      <c r="G20" s="21" t="s">
        <v>6</v>
      </c>
      <c r="H20" s="21"/>
      <c r="I20" s="22" t="s">
        <v>7</v>
      </c>
      <c r="J20" s="23"/>
      <c r="M20" s="18" t="s">
        <v>4</v>
      </c>
      <c r="N20" s="18"/>
      <c r="O20" s="19" t="s">
        <v>5</v>
      </c>
      <c r="P20" s="9"/>
    </row>
    <row r="21" spans="1:20" x14ac:dyDescent="0.25">
      <c r="B21" s="12" t="s">
        <v>8</v>
      </c>
      <c r="C21" s="12">
        <v>16253.845987905952</v>
      </c>
      <c r="D21" s="25" t="s">
        <v>9</v>
      </c>
      <c r="E21" s="12">
        <v>11353.756214522753</v>
      </c>
      <c r="F21" s="24"/>
      <c r="G21" s="12" t="s">
        <v>10</v>
      </c>
      <c r="H21" s="12">
        <v>0</v>
      </c>
      <c r="I21" s="25" t="s">
        <v>11</v>
      </c>
      <c r="J21" s="12">
        <v>1028.2672427692576</v>
      </c>
      <c r="K21" s="11" t="s">
        <v>12</v>
      </c>
      <c r="L21" s="20" t="s">
        <v>49</v>
      </c>
      <c r="M21" s="12" t="s">
        <v>13</v>
      </c>
      <c r="N21" s="12">
        <v>3011.7506737770323</v>
      </c>
      <c r="O21" s="25" t="s">
        <v>14</v>
      </c>
      <c r="P21" s="12">
        <v>3162.5389700916094</v>
      </c>
    </row>
    <row r="22" spans="1:20" x14ac:dyDescent="0.25">
      <c r="B22" s="12" t="s">
        <v>50</v>
      </c>
      <c r="C22" s="12">
        <v>6077.437092678605</v>
      </c>
      <c r="D22" s="25" t="s">
        <v>16</v>
      </c>
      <c r="E22" s="12">
        <v>1028.2672427692576</v>
      </c>
      <c r="F22" s="24"/>
      <c r="G22" s="12" t="s">
        <v>17</v>
      </c>
      <c r="H22" s="12">
        <v>147.65939237458517</v>
      </c>
      <c r="I22" s="25" t="s">
        <v>18</v>
      </c>
      <c r="J22" s="12">
        <v>164.17325794193806</v>
      </c>
      <c r="K22" s="11" t="s">
        <v>19</v>
      </c>
      <c r="L22" s="20" t="s">
        <v>49</v>
      </c>
      <c r="M22" s="12" t="s">
        <v>20</v>
      </c>
      <c r="N22" s="12">
        <v>251.6152317434952</v>
      </c>
      <c r="O22" s="25" t="s">
        <v>21</v>
      </c>
      <c r="P22" s="12">
        <v>586.47929195894653</v>
      </c>
    </row>
    <row r="23" spans="1:20" x14ac:dyDescent="0.25">
      <c r="B23" s="12" t="s">
        <v>51</v>
      </c>
      <c r="C23" s="12">
        <v>10176.408895227347</v>
      </c>
      <c r="D23" s="25" t="s">
        <v>22</v>
      </c>
      <c r="E23" s="12">
        <v>5218.0019059164124</v>
      </c>
      <c r="F23" s="24"/>
      <c r="G23" s="12" t="s">
        <v>23</v>
      </c>
      <c r="H23" s="12">
        <v>353.97184467522459</v>
      </c>
      <c r="I23" s="25" t="s">
        <v>24</v>
      </c>
      <c r="J23" s="12">
        <v>459.80080278812255</v>
      </c>
      <c r="K23" s="11" t="s">
        <v>25</v>
      </c>
      <c r="L23" s="20" t="s">
        <v>49</v>
      </c>
      <c r="M23" s="12" t="s">
        <v>26</v>
      </c>
      <c r="N23" s="12">
        <v>1.9845959073865265</v>
      </c>
      <c r="O23" s="25" t="s">
        <v>26</v>
      </c>
      <c r="P23" s="12">
        <v>0.18300881970842275</v>
      </c>
    </row>
    <row r="24" spans="1:20" x14ac:dyDescent="0.25">
      <c r="B24" s="12" t="s">
        <v>15</v>
      </c>
      <c r="C24" s="12">
        <v>860.52701877242953</v>
      </c>
      <c r="D24" s="25" t="s">
        <v>27</v>
      </c>
      <c r="E24" s="12">
        <v>0</v>
      </c>
      <c r="F24" s="24"/>
      <c r="G24" s="12" t="s">
        <v>28</v>
      </c>
      <c r="H24" s="12">
        <v>0</v>
      </c>
      <c r="I24" s="25" t="s">
        <v>29</v>
      </c>
      <c r="J24" s="12">
        <v>16.095306877107852</v>
      </c>
      <c r="K24" s="11" t="s">
        <v>30</v>
      </c>
      <c r="L24" s="20" t="s">
        <v>49</v>
      </c>
      <c r="M24" s="12" t="s">
        <v>31</v>
      </c>
      <c r="N24" s="12">
        <v>5.3979776206701402</v>
      </c>
      <c r="O24" s="25" t="s">
        <v>31</v>
      </c>
      <c r="P24" s="12">
        <v>218.168437317567</v>
      </c>
    </row>
    <row r="25" spans="1:20" x14ac:dyDescent="0.25">
      <c r="B25" s="12"/>
      <c r="C25" s="12"/>
      <c r="D25" s="25" t="s">
        <v>32</v>
      </c>
      <c r="E25" s="12">
        <v>3263.3659055205276</v>
      </c>
      <c r="F25" s="24"/>
      <c r="G25" s="12" t="s">
        <v>33</v>
      </c>
      <c r="H25" s="12">
        <v>0</v>
      </c>
      <c r="I25" s="25"/>
      <c r="J25" s="12"/>
      <c r="M25" s="12" t="s">
        <v>18</v>
      </c>
      <c r="N25" s="12">
        <v>739.71899404302349</v>
      </c>
      <c r="O25" s="25" t="s">
        <v>18</v>
      </c>
      <c r="P25" s="12">
        <v>3.0509824649882544</v>
      </c>
    </row>
    <row r="26" spans="1:20" x14ac:dyDescent="0.25">
      <c r="B26" s="12"/>
      <c r="C26" s="12"/>
      <c r="D26" s="25" t="s">
        <v>34</v>
      </c>
      <c r="E26" s="12">
        <v>-3749.0182620505557</v>
      </c>
      <c r="F26" s="24"/>
      <c r="G26" s="12" t="s">
        <v>36</v>
      </c>
      <c r="H26" s="12">
        <v>369.20102739291002</v>
      </c>
      <c r="I26" s="25"/>
      <c r="J26" s="12"/>
      <c r="M26" s="12" t="s">
        <v>24</v>
      </c>
      <c r="N26" s="12">
        <v>48.729247824616316</v>
      </c>
      <c r="O26" s="25" t="s">
        <v>24</v>
      </c>
      <c r="P26" s="12">
        <v>6.0232095133695571</v>
      </c>
    </row>
    <row r="27" spans="1:20" x14ac:dyDescent="0.25">
      <c r="B27" s="26" t="s">
        <v>35</v>
      </c>
      <c r="C27" s="26">
        <v>17114.373006678383</v>
      </c>
      <c r="D27" s="27" t="s">
        <v>35</v>
      </c>
      <c r="E27" s="26">
        <v>17114.373006678397</v>
      </c>
      <c r="F27" s="24"/>
      <c r="G27" s="8" t="s">
        <v>38</v>
      </c>
      <c r="H27" s="8">
        <v>0.25228988837965177</v>
      </c>
      <c r="I27" s="10"/>
      <c r="J27" s="8"/>
      <c r="M27" s="12" t="s">
        <v>39</v>
      </c>
      <c r="N27" s="12">
        <v>21.632157521429448</v>
      </c>
      <c r="O27" s="25" t="s">
        <v>39</v>
      </c>
      <c r="P27" s="12">
        <v>16.095306877107852</v>
      </c>
    </row>
    <row r="28" spans="1:20" x14ac:dyDescent="0.25">
      <c r="D28" s="11" t="s">
        <v>37</v>
      </c>
      <c r="E28" s="3">
        <v>0</v>
      </c>
      <c r="G28" s="8" t="s">
        <v>40</v>
      </c>
      <c r="H28" s="8">
        <v>491.07370149113979</v>
      </c>
      <c r="I28" s="10"/>
      <c r="J28" s="8"/>
      <c r="M28" s="12" t="s">
        <v>41</v>
      </c>
      <c r="N28" s="12">
        <v>-88.289671394354244</v>
      </c>
      <c r="O28" s="25"/>
      <c r="P28" s="12"/>
    </row>
    <row r="29" spans="1:20" x14ac:dyDescent="0.25">
      <c r="G29" s="8" t="s">
        <v>18</v>
      </c>
      <c r="H29" s="8">
        <v>3.4900337829054187</v>
      </c>
      <c r="I29" s="10"/>
      <c r="J29" s="8"/>
      <c r="M29" s="26" t="s">
        <v>35</v>
      </c>
      <c r="N29" s="26">
        <v>3992.539207043299</v>
      </c>
      <c r="O29" s="27" t="s">
        <v>35</v>
      </c>
      <c r="P29" s="26">
        <v>3992.5392070432972</v>
      </c>
    </row>
    <row r="30" spans="1:20" x14ac:dyDescent="0.25">
      <c r="G30" s="8" t="s">
        <v>24</v>
      </c>
      <c r="H30" s="8">
        <v>246.79959340759163</v>
      </c>
      <c r="I30" s="10"/>
      <c r="J30" s="8"/>
      <c r="O30" s="11" t="s">
        <v>37</v>
      </c>
      <c r="P30" s="3">
        <v>0</v>
      </c>
    </row>
    <row r="31" spans="1:20" x14ac:dyDescent="0.25">
      <c r="G31" s="8" t="s">
        <v>29</v>
      </c>
      <c r="H31" s="12">
        <v>21.632157521429448</v>
      </c>
      <c r="I31" s="10" t="s">
        <v>42</v>
      </c>
      <c r="J31" s="8">
        <v>-34.256569842259047</v>
      </c>
      <c r="K31" s="11" t="s">
        <v>43</v>
      </c>
    </row>
    <row r="32" spans="1:20" x14ac:dyDescent="0.25">
      <c r="C32" s="15"/>
      <c r="G32" s="13" t="s">
        <v>35</v>
      </c>
      <c r="H32" s="13">
        <v>1634.0800405341658</v>
      </c>
      <c r="I32" s="14" t="s">
        <v>35</v>
      </c>
      <c r="J32" s="13">
        <v>1634.080040534167</v>
      </c>
      <c r="L32" s="20" t="s">
        <v>49</v>
      </c>
    </row>
    <row r="33" spans="3:14" x14ac:dyDescent="0.25">
      <c r="C33" s="15"/>
      <c r="I33" s="11" t="s">
        <v>37</v>
      </c>
      <c r="J33" s="3">
        <v>0</v>
      </c>
    </row>
    <row r="34" spans="3:14" x14ac:dyDescent="0.25">
      <c r="C34" s="15"/>
    </row>
    <row r="45" spans="3:14" x14ac:dyDescent="0.25">
      <c r="I45" s="16"/>
      <c r="J45" s="17"/>
      <c r="K45" s="11"/>
      <c r="L45" s="11"/>
      <c r="M45" s="17"/>
      <c r="N45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F17B-8B75-41E3-AADF-0F8ADF2EFBA8}">
  <dimension ref="A1:T45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0" sqref="D10"/>
    </sheetView>
  </sheetViews>
  <sheetFormatPr defaultRowHeight="15" x14ac:dyDescent="0.25"/>
  <cols>
    <col min="1" max="1" width="19" customWidth="1"/>
    <col min="4" max="4" width="9.85546875" customWidth="1"/>
    <col min="5" max="5" width="9.42578125" customWidth="1"/>
    <col min="6" max="6" width="11.28515625" customWidth="1"/>
    <col min="7" max="7" width="10.28515625" customWidth="1"/>
  </cols>
  <sheetData>
    <row r="1" spans="1:20" ht="18.75" x14ac:dyDescent="0.3">
      <c r="A1" s="1" t="s">
        <v>52</v>
      </c>
    </row>
    <row r="3" spans="1:20" x14ac:dyDescent="0.25">
      <c r="A3" s="49"/>
      <c r="B3" s="49" t="s">
        <v>44</v>
      </c>
      <c r="C3" s="50" t="s">
        <v>45</v>
      </c>
      <c r="D3" s="51" t="s">
        <v>26</v>
      </c>
      <c r="E3" s="52" t="s">
        <v>31</v>
      </c>
      <c r="F3" s="50" t="s">
        <v>24</v>
      </c>
      <c r="G3" s="53" t="s">
        <v>18</v>
      </c>
      <c r="H3" s="50" t="s">
        <v>39</v>
      </c>
      <c r="I3" s="53" t="s">
        <v>46</v>
      </c>
      <c r="J3" s="50" t="s">
        <v>47</v>
      </c>
      <c r="K3" s="53" t="s">
        <v>48</v>
      </c>
      <c r="L3" s="53" t="s">
        <v>29</v>
      </c>
      <c r="M3" s="53" t="s">
        <v>35</v>
      </c>
      <c r="N3" s="2"/>
      <c r="S3" s="2"/>
    </row>
    <row r="4" spans="1:20" x14ac:dyDescent="0.25">
      <c r="A4" s="43" t="s">
        <v>44</v>
      </c>
      <c r="B4" s="43"/>
      <c r="C4" s="38">
        <f>B15-SUM(B4,D4:L4)</f>
        <v>16253.845987905952</v>
      </c>
      <c r="D4" s="33"/>
      <c r="E4" s="42"/>
      <c r="F4" s="34"/>
      <c r="G4" s="35"/>
      <c r="H4" s="34"/>
      <c r="I4" s="35"/>
      <c r="J4" s="34"/>
      <c r="K4" s="35"/>
      <c r="L4" s="35"/>
      <c r="M4" s="35">
        <f t="shared" ref="M4:M13" si="0">SUM(B4:L4)</f>
        <v>16253.845987905952</v>
      </c>
      <c r="N4" s="28">
        <f t="array" ref="N4:N14">(M4:M14)-TRANSPOSE(B15:L15)</f>
        <v>0</v>
      </c>
      <c r="S4" s="2"/>
      <c r="T4" s="3"/>
    </row>
    <row r="5" spans="1:20" x14ac:dyDescent="0.25">
      <c r="A5" s="43" t="s">
        <v>45</v>
      </c>
      <c r="B5" s="43"/>
      <c r="C5" s="34"/>
      <c r="D5" s="33"/>
      <c r="E5" s="42"/>
      <c r="F5" s="34"/>
      <c r="G5" s="40">
        <f>E21</f>
        <v>11353.756214522753</v>
      </c>
      <c r="H5" s="36">
        <f>E22</f>
        <v>1028.2672427692576</v>
      </c>
      <c r="I5" s="35"/>
      <c r="J5" s="36">
        <f>E23</f>
        <v>5218.0019059164124</v>
      </c>
      <c r="K5" s="40">
        <f>E24</f>
        <v>0</v>
      </c>
      <c r="L5" s="40">
        <f>E25</f>
        <v>3263.3659055205276</v>
      </c>
      <c r="M5" s="35">
        <f t="shared" si="0"/>
        <v>20863.391268728952</v>
      </c>
      <c r="N5" s="28">
        <v>1.4551915228366852E-11</v>
      </c>
      <c r="S5" s="2"/>
      <c r="T5" s="3"/>
    </row>
    <row r="6" spans="1:20" x14ac:dyDescent="0.25">
      <c r="A6" s="46" t="s">
        <v>26</v>
      </c>
      <c r="B6" s="44">
        <f>C22</f>
        <v>6077.437092678605</v>
      </c>
      <c r="C6" s="20"/>
      <c r="D6" s="29"/>
      <c r="E6" s="41"/>
      <c r="F6" s="20"/>
      <c r="G6" s="31"/>
      <c r="H6" s="20"/>
      <c r="I6" s="31"/>
      <c r="J6" s="20"/>
      <c r="K6" s="31"/>
      <c r="L6" s="37">
        <f>N23</f>
        <v>1.9845959073865265</v>
      </c>
      <c r="M6" s="31">
        <f t="shared" si="0"/>
        <v>6079.4216885859914</v>
      </c>
      <c r="N6" s="28">
        <v>0</v>
      </c>
      <c r="S6" s="2"/>
      <c r="T6" s="3"/>
    </row>
    <row r="7" spans="1:20" x14ac:dyDescent="0.25">
      <c r="A7" s="43" t="s">
        <v>31</v>
      </c>
      <c r="B7" s="45">
        <f>C23</f>
        <v>10176.408895227347</v>
      </c>
      <c r="C7" s="34"/>
      <c r="D7" s="33"/>
      <c r="E7" s="42"/>
      <c r="F7" s="34"/>
      <c r="G7" s="35"/>
      <c r="H7" s="34"/>
      <c r="I7" s="35"/>
      <c r="J7" s="34"/>
      <c r="K7" s="35"/>
      <c r="L7" s="40">
        <f>N24</f>
        <v>5.3979776206701402</v>
      </c>
      <c r="M7" s="35">
        <f t="shared" si="0"/>
        <v>10181.806872848018</v>
      </c>
      <c r="N7" s="28">
        <v>0</v>
      </c>
      <c r="S7" s="2"/>
      <c r="T7" s="3"/>
    </row>
    <row r="8" spans="1:20" x14ac:dyDescent="0.25">
      <c r="A8" s="46" t="s">
        <v>24</v>
      </c>
      <c r="B8" s="46"/>
      <c r="C8" s="20"/>
      <c r="D8" s="29"/>
      <c r="E8" s="39">
        <f>M7-SUM(E9:E14)</f>
        <v>9963.6384355304508</v>
      </c>
      <c r="F8" s="20"/>
      <c r="G8" s="31"/>
      <c r="H8" s="32">
        <f>J23</f>
        <v>459.80080278812255</v>
      </c>
      <c r="I8" s="31"/>
      <c r="J8" s="20"/>
      <c r="K8" s="31"/>
      <c r="L8" s="37">
        <f>N26</f>
        <v>48.729247824616316</v>
      </c>
      <c r="M8" s="31">
        <f t="shared" si="0"/>
        <v>10472.16848614319</v>
      </c>
      <c r="N8" s="28">
        <v>0</v>
      </c>
      <c r="S8" s="2"/>
      <c r="T8" s="3"/>
    </row>
    <row r="9" spans="1:20" x14ac:dyDescent="0.25">
      <c r="A9" s="43" t="s">
        <v>18</v>
      </c>
      <c r="B9" s="43"/>
      <c r="C9" s="34"/>
      <c r="D9" s="47">
        <f>M6-SUM(D10:D14)</f>
        <v>6079.238679766283</v>
      </c>
      <c r="E9" s="42"/>
      <c r="F9" s="38">
        <f>M8-SUM(F10:F14)</f>
        <v>7689.2572271264489</v>
      </c>
      <c r="G9" s="35"/>
      <c r="H9" s="36">
        <f>J22</f>
        <v>164.17325794193806</v>
      </c>
      <c r="I9" s="35"/>
      <c r="J9" s="34"/>
      <c r="K9" s="35"/>
      <c r="L9" s="40">
        <f>N25</f>
        <v>739.71899404302349</v>
      </c>
      <c r="M9" s="35">
        <f t="shared" si="0"/>
        <v>14672.388158877693</v>
      </c>
      <c r="N9" s="28">
        <v>0</v>
      </c>
      <c r="S9" s="2"/>
      <c r="T9" s="3"/>
    </row>
    <row r="10" spans="1:20" x14ac:dyDescent="0.25">
      <c r="A10" s="46" t="s">
        <v>39</v>
      </c>
      <c r="B10" s="46"/>
      <c r="C10" s="20"/>
      <c r="D10" s="29"/>
      <c r="E10" s="41"/>
      <c r="F10" s="32">
        <f>H30</f>
        <v>246.79959340759163</v>
      </c>
      <c r="G10" s="37">
        <f>H29</f>
        <v>3.4900337829054187</v>
      </c>
      <c r="H10" s="20"/>
      <c r="I10" s="39">
        <f>M11</f>
        <v>1362.1582558222392</v>
      </c>
      <c r="J10" s="20"/>
      <c r="K10" s="31"/>
      <c r="L10" s="37">
        <f>N27</f>
        <v>21.632157521429448</v>
      </c>
      <c r="M10" s="31">
        <f t="shared" si="0"/>
        <v>1634.0800405341656</v>
      </c>
      <c r="N10" s="28">
        <v>0</v>
      </c>
      <c r="S10" s="2"/>
      <c r="T10" s="3"/>
    </row>
    <row r="11" spans="1:20" x14ac:dyDescent="0.25">
      <c r="A11" s="43" t="s">
        <v>46</v>
      </c>
      <c r="B11" s="45">
        <v>0</v>
      </c>
      <c r="C11" s="36">
        <f>SUM(H26:H28)</f>
        <v>860.52701877242953</v>
      </c>
      <c r="D11" s="48">
        <f>H24</f>
        <v>0</v>
      </c>
      <c r="E11" s="40">
        <f>H25</f>
        <v>0</v>
      </c>
      <c r="F11" s="36">
        <f>H23</f>
        <v>353.97184467522459</v>
      </c>
      <c r="G11" s="40">
        <f>H22</f>
        <v>147.65939237458517</v>
      </c>
      <c r="H11" s="34"/>
      <c r="I11" s="35"/>
      <c r="J11" s="34"/>
      <c r="K11" s="35"/>
      <c r="L11" s="35"/>
      <c r="M11" s="35">
        <f t="shared" si="0"/>
        <v>1362.1582558222392</v>
      </c>
      <c r="N11" s="28">
        <v>0</v>
      </c>
      <c r="S11" s="2"/>
      <c r="T11" s="3"/>
    </row>
    <row r="12" spans="1:20" x14ac:dyDescent="0.25">
      <c r="A12" s="46" t="s">
        <v>47</v>
      </c>
      <c r="B12" s="46"/>
      <c r="C12" s="20"/>
      <c r="D12" s="29"/>
      <c r="E12" s="41"/>
      <c r="F12" s="30">
        <f>F17*M8</f>
        <v>2176.1166114205548</v>
      </c>
      <c r="G12" s="39">
        <f>M9-SUM(G5:G11,G14)</f>
        <v>3164.4315357324595</v>
      </c>
      <c r="H12" s="30">
        <f>M10-SUM(H5:H9,H14)</f>
        <v>-34.256569842260433</v>
      </c>
      <c r="I12" s="31"/>
      <c r="J12" s="20"/>
      <c r="K12" s="31"/>
      <c r="L12" s="37">
        <f>N28</f>
        <v>-88.289671394354244</v>
      </c>
      <c r="M12" s="31">
        <f t="shared" si="0"/>
        <v>5218.0019059163997</v>
      </c>
      <c r="N12" s="28">
        <v>-1.2732925824820995E-11</v>
      </c>
      <c r="S12" s="2"/>
      <c r="T12" s="3"/>
    </row>
    <row r="13" spans="1:20" x14ac:dyDescent="0.25">
      <c r="A13" s="43" t="s">
        <v>48</v>
      </c>
      <c r="B13" s="43"/>
      <c r="C13" s="34"/>
      <c r="D13" s="33"/>
      <c r="E13" s="42"/>
      <c r="F13" s="34"/>
      <c r="G13" s="35"/>
      <c r="H13" s="34"/>
      <c r="I13" s="35"/>
      <c r="J13" s="38">
        <f>E24</f>
        <v>0</v>
      </c>
      <c r="K13" s="35"/>
      <c r="L13" s="35"/>
      <c r="M13" s="35">
        <f t="shared" si="0"/>
        <v>0</v>
      </c>
      <c r="N13" s="28">
        <v>0</v>
      </c>
      <c r="S13" s="2"/>
      <c r="T13" s="3"/>
    </row>
    <row r="14" spans="1:20" x14ac:dyDescent="0.25">
      <c r="A14" s="43" t="s">
        <v>29</v>
      </c>
      <c r="B14" s="43"/>
      <c r="C14" s="36">
        <f>-E26</f>
        <v>3749.0182620505557</v>
      </c>
      <c r="D14" s="48">
        <f>P23</f>
        <v>0.18300881970842275</v>
      </c>
      <c r="E14" s="40">
        <f>P24</f>
        <v>218.168437317567</v>
      </c>
      <c r="F14" s="36">
        <f>P26</f>
        <v>6.0232095133695571</v>
      </c>
      <c r="G14" s="40">
        <f>P25</f>
        <v>3.0509824649882544</v>
      </c>
      <c r="H14" s="36">
        <f>J24</f>
        <v>16.095306877107852</v>
      </c>
      <c r="I14" s="35"/>
      <c r="J14" s="34"/>
      <c r="K14" s="35"/>
      <c r="L14" s="35"/>
      <c r="M14" s="35">
        <f>SUM(B14:L14)</f>
        <v>3992.5392070432972</v>
      </c>
      <c r="N14" s="28">
        <v>-1.8189894035458565E-12</v>
      </c>
      <c r="S14" s="2"/>
      <c r="T14" s="3"/>
    </row>
    <row r="15" spans="1:20" x14ac:dyDescent="0.25">
      <c r="A15" s="43" t="s">
        <v>35</v>
      </c>
      <c r="B15" s="43">
        <f>SUM(B4:B14)</f>
        <v>16253.845987905952</v>
      </c>
      <c r="C15" s="34">
        <f t="shared" ref="C15:L15" si="1">SUM(C4:C14)</f>
        <v>20863.391268728938</v>
      </c>
      <c r="D15" s="33">
        <f t="shared" si="1"/>
        <v>6079.4216885859914</v>
      </c>
      <c r="E15" s="35">
        <f t="shared" si="1"/>
        <v>10181.806872848018</v>
      </c>
      <c r="F15" s="34">
        <f t="shared" si="1"/>
        <v>10472.16848614319</v>
      </c>
      <c r="G15" s="35">
        <f t="shared" si="1"/>
        <v>14672.388158877693</v>
      </c>
      <c r="H15" s="34">
        <f t="shared" si="1"/>
        <v>1634.0800405341656</v>
      </c>
      <c r="I15" s="35">
        <f t="shared" si="1"/>
        <v>1362.1582558222392</v>
      </c>
      <c r="J15" s="34">
        <f t="shared" si="1"/>
        <v>5218.0019059164124</v>
      </c>
      <c r="K15" s="35">
        <f t="shared" si="1"/>
        <v>0</v>
      </c>
      <c r="L15" s="35">
        <f t="shared" si="1"/>
        <v>3992.539207043299</v>
      </c>
      <c r="M15" s="35"/>
      <c r="N15" s="2"/>
      <c r="S15" s="2"/>
    </row>
    <row r="16" spans="1:2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S16" s="2"/>
    </row>
    <row r="17" spans="1:20" x14ac:dyDescent="0.25">
      <c r="A17" s="2"/>
      <c r="B17" s="2"/>
      <c r="C17" s="2"/>
      <c r="E17" s="4" t="s">
        <v>0</v>
      </c>
      <c r="F17" s="5">
        <v>0.20780000000000001</v>
      </c>
      <c r="G17" s="6">
        <f>G12/G15</f>
        <v>0.21567256137630086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</row>
    <row r="19" spans="1:20" x14ac:dyDescent="0.25">
      <c r="B19" s="7" t="s">
        <v>1</v>
      </c>
      <c r="G19" s="7" t="s">
        <v>2</v>
      </c>
      <c r="M19" s="7" t="s">
        <v>3</v>
      </c>
    </row>
    <row r="20" spans="1:20" x14ac:dyDescent="0.25">
      <c r="B20" s="21" t="s">
        <v>4</v>
      </c>
      <c r="C20" s="21"/>
      <c r="D20" s="22" t="s">
        <v>5</v>
      </c>
      <c r="E20" s="23"/>
      <c r="F20" s="24"/>
      <c r="G20" s="21" t="s">
        <v>6</v>
      </c>
      <c r="H20" s="21"/>
      <c r="I20" s="22" t="s">
        <v>7</v>
      </c>
      <c r="J20" s="23"/>
      <c r="M20" s="18" t="s">
        <v>4</v>
      </c>
      <c r="N20" s="18"/>
      <c r="O20" s="19" t="s">
        <v>5</v>
      </c>
      <c r="P20" s="9"/>
    </row>
    <row r="21" spans="1:20" x14ac:dyDescent="0.25">
      <c r="B21" s="12" t="s">
        <v>8</v>
      </c>
      <c r="C21" s="12">
        <v>16253.845987905952</v>
      </c>
      <c r="D21" s="25" t="s">
        <v>9</v>
      </c>
      <c r="E21" s="12">
        <v>11353.756214522753</v>
      </c>
      <c r="F21" s="24"/>
      <c r="G21" s="12" t="s">
        <v>10</v>
      </c>
      <c r="H21" s="12">
        <v>0</v>
      </c>
      <c r="I21" s="25" t="s">
        <v>11</v>
      </c>
      <c r="J21" s="12">
        <v>1028.2672427692576</v>
      </c>
      <c r="K21" s="11" t="s">
        <v>12</v>
      </c>
      <c r="L21" s="20" t="s">
        <v>49</v>
      </c>
      <c r="M21" s="12" t="s">
        <v>13</v>
      </c>
      <c r="N21" s="12">
        <v>3011.7506737770323</v>
      </c>
      <c r="O21" s="25" t="s">
        <v>14</v>
      </c>
      <c r="P21" s="12">
        <v>3162.5389700916094</v>
      </c>
    </row>
    <row r="22" spans="1:20" x14ac:dyDescent="0.25">
      <c r="B22" s="12" t="s">
        <v>50</v>
      </c>
      <c r="C22" s="12">
        <v>6077.437092678605</v>
      </c>
      <c r="D22" s="25" t="s">
        <v>16</v>
      </c>
      <c r="E22" s="12">
        <v>1028.2672427692576</v>
      </c>
      <c r="F22" s="24"/>
      <c r="G22" s="12" t="s">
        <v>17</v>
      </c>
      <c r="H22" s="12">
        <v>147.65939237458517</v>
      </c>
      <c r="I22" s="25" t="s">
        <v>18</v>
      </c>
      <c r="J22" s="12">
        <v>164.17325794193806</v>
      </c>
      <c r="K22" s="11" t="s">
        <v>19</v>
      </c>
      <c r="L22" s="20" t="s">
        <v>49</v>
      </c>
      <c r="M22" s="12" t="s">
        <v>20</v>
      </c>
      <c r="N22" s="12">
        <v>251.6152317434952</v>
      </c>
      <c r="O22" s="25" t="s">
        <v>21</v>
      </c>
      <c r="P22" s="12">
        <v>586.47929195894653</v>
      </c>
    </row>
    <row r="23" spans="1:20" x14ac:dyDescent="0.25">
      <c r="B23" s="12" t="s">
        <v>51</v>
      </c>
      <c r="C23" s="12">
        <v>10176.408895227347</v>
      </c>
      <c r="D23" s="25" t="s">
        <v>22</v>
      </c>
      <c r="E23" s="12">
        <v>5218.0019059164124</v>
      </c>
      <c r="F23" s="24"/>
      <c r="G23" s="12" t="s">
        <v>23</v>
      </c>
      <c r="H23" s="12">
        <v>353.97184467522459</v>
      </c>
      <c r="I23" s="25" t="s">
        <v>24</v>
      </c>
      <c r="J23" s="12">
        <v>459.80080278812255</v>
      </c>
      <c r="K23" s="11" t="s">
        <v>25</v>
      </c>
      <c r="L23" s="20" t="s">
        <v>49</v>
      </c>
      <c r="M23" s="12" t="s">
        <v>26</v>
      </c>
      <c r="N23" s="12">
        <v>1.9845959073865265</v>
      </c>
      <c r="O23" s="25" t="s">
        <v>26</v>
      </c>
      <c r="P23" s="12">
        <v>0.18300881970842275</v>
      </c>
    </row>
    <row r="24" spans="1:20" x14ac:dyDescent="0.25">
      <c r="B24" s="12" t="s">
        <v>15</v>
      </c>
      <c r="C24" s="12">
        <v>860.52701877242953</v>
      </c>
      <c r="D24" s="25" t="s">
        <v>27</v>
      </c>
      <c r="E24" s="12">
        <v>0</v>
      </c>
      <c r="F24" s="24"/>
      <c r="G24" s="12" t="s">
        <v>28</v>
      </c>
      <c r="H24" s="12">
        <v>0</v>
      </c>
      <c r="I24" s="25" t="s">
        <v>29</v>
      </c>
      <c r="J24" s="12">
        <v>16.095306877107852</v>
      </c>
      <c r="K24" s="11" t="s">
        <v>30</v>
      </c>
      <c r="L24" s="20" t="s">
        <v>49</v>
      </c>
      <c r="M24" s="12" t="s">
        <v>31</v>
      </c>
      <c r="N24" s="12">
        <v>5.3979776206701402</v>
      </c>
      <c r="O24" s="25" t="s">
        <v>31</v>
      </c>
      <c r="P24" s="12">
        <v>218.168437317567</v>
      </c>
    </row>
    <row r="25" spans="1:20" x14ac:dyDescent="0.25">
      <c r="B25" s="12"/>
      <c r="C25" s="12"/>
      <c r="D25" s="25" t="s">
        <v>32</v>
      </c>
      <c r="E25" s="12">
        <v>3263.3659055205276</v>
      </c>
      <c r="F25" s="24"/>
      <c r="G25" s="12" t="s">
        <v>33</v>
      </c>
      <c r="H25" s="12">
        <v>0</v>
      </c>
      <c r="I25" s="25"/>
      <c r="J25" s="12"/>
      <c r="M25" s="12" t="s">
        <v>18</v>
      </c>
      <c r="N25" s="12">
        <v>739.71899404302349</v>
      </c>
      <c r="O25" s="25" t="s">
        <v>18</v>
      </c>
      <c r="P25" s="12">
        <v>3.0509824649882544</v>
      </c>
    </row>
    <row r="26" spans="1:20" x14ac:dyDescent="0.25">
      <c r="B26" s="12"/>
      <c r="C26" s="12"/>
      <c r="D26" s="25" t="s">
        <v>34</v>
      </c>
      <c r="E26" s="12">
        <v>-3749.0182620505557</v>
      </c>
      <c r="F26" s="24"/>
      <c r="G26" s="12" t="s">
        <v>36</v>
      </c>
      <c r="H26" s="12">
        <v>369.20102739291002</v>
      </c>
      <c r="I26" s="25"/>
      <c r="J26" s="12"/>
      <c r="M26" s="12" t="s">
        <v>24</v>
      </c>
      <c r="N26" s="12">
        <v>48.729247824616316</v>
      </c>
      <c r="O26" s="25" t="s">
        <v>24</v>
      </c>
      <c r="P26" s="12">
        <v>6.0232095133695571</v>
      </c>
    </row>
    <row r="27" spans="1:20" x14ac:dyDescent="0.25">
      <c r="B27" s="26" t="s">
        <v>35</v>
      </c>
      <c r="C27" s="26">
        <v>17114.373006678383</v>
      </c>
      <c r="D27" s="27" t="s">
        <v>35</v>
      </c>
      <c r="E27" s="26">
        <v>17114.373006678397</v>
      </c>
      <c r="F27" s="24"/>
      <c r="G27" s="8" t="s">
        <v>38</v>
      </c>
      <c r="H27" s="8">
        <v>0.25228988837965177</v>
      </c>
      <c r="I27" s="10"/>
      <c r="J27" s="8"/>
      <c r="M27" s="12" t="s">
        <v>39</v>
      </c>
      <c r="N27" s="12">
        <v>21.632157521429448</v>
      </c>
      <c r="O27" s="25" t="s">
        <v>39</v>
      </c>
      <c r="P27" s="12">
        <v>16.095306877107852</v>
      </c>
    </row>
    <row r="28" spans="1:20" x14ac:dyDescent="0.25">
      <c r="D28" s="11" t="s">
        <v>37</v>
      </c>
      <c r="E28" s="3">
        <v>0</v>
      </c>
      <c r="G28" s="8" t="s">
        <v>40</v>
      </c>
      <c r="H28" s="8">
        <v>491.07370149113979</v>
      </c>
      <c r="I28" s="10"/>
      <c r="J28" s="8"/>
      <c r="M28" s="12" t="s">
        <v>41</v>
      </c>
      <c r="N28" s="12">
        <v>-88.289671394354244</v>
      </c>
      <c r="O28" s="25"/>
      <c r="P28" s="12"/>
    </row>
    <row r="29" spans="1:20" x14ac:dyDescent="0.25">
      <c r="G29" s="8" t="s">
        <v>18</v>
      </c>
      <c r="H29" s="8">
        <v>3.4900337829054187</v>
      </c>
      <c r="I29" s="10"/>
      <c r="J29" s="8"/>
      <c r="M29" s="26" t="s">
        <v>35</v>
      </c>
      <c r="N29" s="26">
        <v>3992.539207043299</v>
      </c>
      <c r="O29" s="27" t="s">
        <v>35</v>
      </c>
      <c r="P29" s="26">
        <v>3992.5392070432972</v>
      </c>
    </row>
    <row r="30" spans="1:20" x14ac:dyDescent="0.25">
      <c r="G30" s="8" t="s">
        <v>24</v>
      </c>
      <c r="H30" s="8">
        <v>246.79959340759163</v>
      </c>
      <c r="I30" s="10"/>
      <c r="J30" s="8"/>
      <c r="O30" s="11" t="s">
        <v>37</v>
      </c>
      <c r="P30" s="3">
        <v>0</v>
      </c>
    </row>
    <row r="31" spans="1:20" x14ac:dyDescent="0.25">
      <c r="G31" s="8" t="s">
        <v>29</v>
      </c>
      <c r="H31" s="12">
        <v>21.632157521429448</v>
      </c>
      <c r="I31" s="10" t="s">
        <v>42</v>
      </c>
      <c r="J31" s="8">
        <v>-34.256569842259047</v>
      </c>
      <c r="K31" s="11" t="s">
        <v>43</v>
      </c>
    </row>
    <row r="32" spans="1:20" x14ac:dyDescent="0.25">
      <c r="C32" s="15"/>
      <c r="G32" s="13" t="s">
        <v>35</v>
      </c>
      <c r="H32" s="13">
        <v>1634.0800405341658</v>
      </c>
      <c r="I32" s="14" t="s">
        <v>35</v>
      </c>
      <c r="J32" s="13">
        <v>1634.080040534167</v>
      </c>
      <c r="L32" s="20" t="s">
        <v>49</v>
      </c>
    </row>
    <row r="33" spans="3:14" x14ac:dyDescent="0.25">
      <c r="C33" s="15"/>
      <c r="I33" s="11" t="s">
        <v>37</v>
      </c>
      <c r="J33" s="3">
        <v>0</v>
      </c>
    </row>
    <row r="34" spans="3:14" x14ac:dyDescent="0.25">
      <c r="C34" s="15"/>
    </row>
    <row r="45" spans="3:14" x14ac:dyDescent="0.25">
      <c r="I45" s="16"/>
      <c r="J45" s="17"/>
      <c r="K45" s="11"/>
      <c r="L45" s="11"/>
      <c r="M45" s="17"/>
      <c r="N45" s="11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Ex1_Question</vt:lpstr>
      <vt:lpstr>Ex1_Answer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Administrator</cp:lastModifiedBy>
  <dcterms:created xsi:type="dcterms:W3CDTF">2019-05-29T09:39:31Z</dcterms:created>
  <dcterms:modified xsi:type="dcterms:W3CDTF">2019-07-21T03:57:38Z</dcterms:modified>
</cp:coreProperties>
</file>