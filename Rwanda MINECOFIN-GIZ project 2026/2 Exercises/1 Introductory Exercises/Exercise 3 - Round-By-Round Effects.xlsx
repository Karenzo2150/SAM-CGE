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C:\Users\JTHURLOW\Dropbox (IFPRI)\Training\Bangladesh CGE Course\Exercises\"/>
    </mc:Choice>
  </mc:AlternateContent>
  <xr:revisionPtr revIDLastSave="0" documentId="13_ncr:1_{45C3E9BD-C362-4E11-8977-4716DC10ACCF}" xr6:coauthVersionLast="41" xr6:coauthVersionMax="41" xr10:uidLastSave="{00000000-0000-0000-0000-000000000000}"/>
  <bookViews>
    <workbookView xWindow="-108" yWindow="-108" windowWidth="23256" windowHeight="12720" xr2:uid="{00000000-000D-0000-FFFF-FFFF00000000}"/>
  </bookViews>
  <sheets>
    <sheet name="Ex3_Question" sheetId="1" r:id="rId1"/>
    <sheet name="Ex3_Answer" sheetId="3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5" i="3" l="1"/>
  <c r="J17" i="3"/>
  <c r="I17" i="3"/>
  <c r="H17" i="3"/>
  <c r="G17" i="3"/>
  <c r="F17" i="3"/>
  <c r="E17" i="3"/>
  <c r="D17" i="3"/>
  <c r="C17" i="3"/>
  <c r="C25" i="3" s="1"/>
  <c r="B17" i="3"/>
  <c r="B25" i="3" s="1"/>
  <c r="D40" i="3" s="1"/>
  <c r="K16" i="3"/>
  <c r="K15" i="3"/>
  <c r="K14" i="3"/>
  <c r="K13" i="3"/>
  <c r="K12" i="3"/>
  <c r="K11" i="3"/>
  <c r="K10" i="3"/>
  <c r="K9" i="3"/>
  <c r="K8" i="3"/>
  <c r="C26" i="3" l="1"/>
  <c r="B26" i="3"/>
  <c r="D54" i="3" s="1"/>
  <c r="F44" i="3"/>
  <c r="H43" i="3" s="1"/>
  <c r="F37" i="3"/>
  <c r="B68" i="3"/>
  <c r="F51" i="3"/>
  <c r="F58" i="3"/>
  <c r="H46" i="3"/>
  <c r="H36" i="3" l="1"/>
  <c r="H39" i="3"/>
  <c r="B71" i="3"/>
  <c r="H60" i="3"/>
  <c r="H57" i="3"/>
  <c r="H53" i="3"/>
  <c r="H50" i="3"/>
  <c r="B74" i="3" l="1"/>
  <c r="B77" i="3"/>
  <c r="B80" i="3"/>
  <c r="B83" i="3" s="1"/>
  <c r="B86" i="3" l="1"/>
  <c r="J17" i="1"/>
  <c r="I17" i="1"/>
  <c r="H17" i="1"/>
  <c r="G17" i="1"/>
  <c r="F17" i="1"/>
  <c r="E17" i="1"/>
  <c r="D17" i="1"/>
  <c r="C17" i="1"/>
  <c r="B17" i="1"/>
  <c r="K16" i="1"/>
  <c r="K15" i="1"/>
  <c r="K14" i="1"/>
  <c r="K13" i="1"/>
  <c r="K12" i="1"/>
  <c r="K11" i="1"/>
  <c r="K10" i="1"/>
  <c r="K9" i="1"/>
  <c r="K8" i="1"/>
</calcChain>
</file>

<file path=xl/sharedStrings.xml><?xml version="1.0" encoding="utf-8"?>
<sst xmlns="http://schemas.openxmlformats.org/spreadsheetml/2006/main" count="220" uniqueCount="72">
  <si>
    <t>Commodities</t>
  </si>
  <si>
    <t>Factors</t>
  </si>
  <si>
    <t>Other accounts</t>
  </si>
  <si>
    <t>aagr</t>
  </si>
  <si>
    <t>cagr</t>
  </si>
  <si>
    <t>gov</t>
  </si>
  <si>
    <t>s-i</t>
  </si>
  <si>
    <t>row</t>
  </si>
  <si>
    <t>total</t>
  </si>
  <si>
    <t>anagr</t>
  </si>
  <si>
    <t>Activities</t>
  </si>
  <si>
    <t>fac</t>
  </si>
  <si>
    <t>Government</t>
  </si>
  <si>
    <t>hhd</t>
  </si>
  <si>
    <t>cnagr</t>
  </si>
  <si>
    <t>Activity - agriculture</t>
  </si>
  <si>
    <t>Commodity - agriculture</t>
  </si>
  <si>
    <t>Saving/investment</t>
  </si>
  <si>
    <t>Rest of the world</t>
  </si>
  <si>
    <t>Column and row total</t>
  </si>
  <si>
    <t>Activity - nonagriculture</t>
  </si>
  <si>
    <t>Commodity - nonagriculture</t>
  </si>
  <si>
    <t>Factors - labor and capital</t>
  </si>
  <si>
    <t>Households - rural and urban</t>
  </si>
  <si>
    <t>SAM legend</t>
  </si>
  <si>
    <t>Input-output (IO) coefficients</t>
  </si>
  <si>
    <t>Calculate the intermediate inputs required per unit of activity output</t>
  </si>
  <si>
    <t>ROUND 1</t>
  </si>
  <si>
    <t>ROUND 2</t>
  </si>
  <si>
    <t>ROUND 3</t>
  </si>
  <si>
    <t>SHOCK</t>
  </si>
  <si>
    <t>agr</t>
  </si>
  <si>
    <t>nagr</t>
  </si>
  <si>
    <t>Q1:</t>
  </si>
  <si>
    <t>What was the size of the shock's direct impact on agricultural production?</t>
  </si>
  <si>
    <t>A1:</t>
  </si>
  <si>
    <t>Q2:</t>
  </si>
  <si>
    <t>A2:</t>
  </si>
  <si>
    <t>Q3:</t>
  </si>
  <si>
    <t>A4:</t>
  </si>
  <si>
    <t>A3:</t>
  </si>
  <si>
    <t>Q4:</t>
  </si>
  <si>
    <t>Round-by-round backward production linkage effects</t>
  </si>
  <si>
    <t>Remember that we are only calculating backward production linkages in this Task.</t>
  </si>
  <si>
    <t>This is the additional intermediate demand generated when a sector expands production</t>
  </si>
  <si>
    <t xml:space="preserve">IMPORTANT: </t>
  </si>
  <si>
    <t>1. Calculate the first round effects by multiplying the direct increase in agricultural production</t>
  </si>
  <si>
    <t>by the respective IO coefficient for agriculture and nonagricultural intermediate inputs</t>
  </si>
  <si>
    <t xml:space="preserve">2. Use the increase in production from the first round to calculate the increase in production </t>
  </si>
  <si>
    <t>in the second round.</t>
  </si>
  <si>
    <t>3. Make sure that your results are the same as the values in blue next to the cell entries.</t>
  </si>
  <si>
    <t>What was the increase in agricultural production during Round 1?</t>
  </si>
  <si>
    <t>What was the increase in agricultural production during Round 2?</t>
  </si>
  <si>
    <t>What was the increase in agricultural production during Round 3?</t>
  </si>
  <si>
    <t>Q5:</t>
  </si>
  <si>
    <t>A5:</t>
  </si>
  <si>
    <t>Q6:</t>
  </si>
  <si>
    <t>A6:</t>
  </si>
  <si>
    <t>Q7:</t>
  </si>
  <si>
    <t>What was the overall impact of the shock after 3 rounds?</t>
  </si>
  <si>
    <t>What is the total increase in nonagricultural production after 3 rounds?</t>
  </si>
  <si>
    <t>What is the total increase in agricultural production after 3 rounds?</t>
  </si>
  <si>
    <t>What was the overall size of the indirect multiplier effect after 3 rounds?</t>
  </si>
  <si>
    <r>
      <t xml:space="preserve">4. Complete this flow-chart by </t>
    </r>
    <r>
      <rPr>
        <u/>
        <sz val="11"/>
        <color indexed="30"/>
        <rFont val="Calibri"/>
        <family val="2"/>
      </rPr>
      <t>linking</t>
    </r>
    <r>
      <rPr>
        <sz val="11"/>
        <color indexed="30"/>
        <rFont val="Calibri"/>
        <family val="2"/>
      </rPr>
      <t xml:space="preserve"> previous round results to the coefficients in the IO table.</t>
    </r>
  </si>
  <si>
    <t>Do not just paste results into the cells</t>
  </si>
  <si>
    <t>5. You should use cell references or links when answering the questions in red below.</t>
  </si>
  <si>
    <t>A7:</t>
  </si>
  <si>
    <t>Q8:</t>
  </si>
  <si>
    <t>A8:</t>
  </si>
  <si>
    <t>Exercise 3: Round-by-round effects</t>
  </si>
  <si>
    <t>Calculate 3 rounds of impacts from a 10 billion increase (shock) in agricultural production</t>
  </si>
  <si>
    <t>National SAM with 2 sectors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</si>
</sst>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indexed="30"/>
      <name val="Calibri"/>
      <family val="2"/>
    </font>
    <font>
      <u/>
      <sz val="11"/>
      <color indexed="30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0" xfId="0" applyFont="1"/>
    <xf numFmtId="0" fontId="5" fillId="0" borderId="0" xfId="0" applyFont="1"/>
    <xf numFmtId="0" fontId="0" fillId="0" borderId="1" xfId="0" applyFont="1" applyBorder="1"/>
    <xf numFmtId="0" fontId="0" fillId="0" borderId="2" xfId="0" applyFont="1" applyBorder="1"/>
    <xf numFmtId="0" fontId="0" fillId="0" borderId="0" xfId="0" applyFont="1" applyBorder="1"/>
    <xf numFmtId="0" fontId="0" fillId="0" borderId="3" xfId="0" applyFont="1" applyBorder="1"/>
    <xf numFmtId="0" fontId="0" fillId="0" borderId="4" xfId="0" applyFont="1" applyBorder="1"/>
    <xf numFmtId="0" fontId="0" fillId="0" borderId="5" xfId="0" applyFont="1" applyBorder="1"/>
    <xf numFmtId="0" fontId="0" fillId="0" borderId="6" xfId="0" applyFont="1" applyBorder="1"/>
    <xf numFmtId="0" fontId="0" fillId="0" borderId="2" xfId="0" applyBorder="1"/>
    <xf numFmtId="0" fontId="0" fillId="0" borderId="3" xfId="0" applyBorder="1"/>
    <xf numFmtId="0" fontId="0" fillId="0" borderId="0" xfId="0" applyBorder="1"/>
    <xf numFmtId="0" fontId="0" fillId="0" borderId="7" xfId="0" applyFont="1" applyBorder="1"/>
    <xf numFmtId="0" fontId="0" fillId="0" borderId="8" xfId="0" applyFont="1" applyBorder="1"/>
    <xf numFmtId="0" fontId="0" fillId="0" borderId="9" xfId="0" applyFont="1" applyBorder="1"/>
    <xf numFmtId="0" fontId="3" fillId="0" borderId="8" xfId="0" applyFont="1" applyBorder="1" applyAlignment="1">
      <alignment horizontal="center"/>
    </xf>
    <xf numFmtId="0" fontId="0" fillId="0" borderId="10" xfId="0" applyBorder="1"/>
    <xf numFmtId="3" fontId="0" fillId="0" borderId="1" xfId="0" applyNumberFormat="1" applyFont="1" applyBorder="1"/>
    <xf numFmtId="3" fontId="0" fillId="0" borderId="11" xfId="0" applyNumberFormat="1" applyFont="1" applyBorder="1"/>
    <xf numFmtId="3" fontId="0" fillId="0" borderId="12" xfId="0" applyNumberFormat="1" applyFont="1" applyBorder="1"/>
    <xf numFmtId="3" fontId="0" fillId="0" borderId="2" xfId="0" applyNumberFormat="1" applyFont="1" applyBorder="1"/>
    <xf numFmtId="3" fontId="0" fillId="0" borderId="3" xfId="0" applyNumberFormat="1" applyFont="1" applyBorder="1"/>
    <xf numFmtId="3" fontId="0" fillId="0" borderId="0" xfId="0" applyNumberFormat="1" applyFont="1" applyBorder="1"/>
    <xf numFmtId="3" fontId="0" fillId="0" borderId="7" xfId="0" applyNumberFormat="1" applyFont="1" applyBorder="1"/>
    <xf numFmtId="3" fontId="0" fillId="0" borderId="8" xfId="0" applyNumberFormat="1" applyFont="1" applyBorder="1"/>
    <xf numFmtId="3" fontId="0" fillId="0" borderId="9" xfId="0" applyNumberFormat="1" applyFont="1" applyBorder="1"/>
    <xf numFmtId="0" fontId="0" fillId="0" borderId="1" xfId="0" applyBorder="1"/>
    <xf numFmtId="0" fontId="0" fillId="0" borderId="4" xfId="0" applyBorder="1"/>
    <xf numFmtId="3" fontId="0" fillId="0" borderId="4" xfId="0" applyNumberFormat="1" applyFont="1" applyBorder="1"/>
    <xf numFmtId="3" fontId="0" fillId="0" borderId="6" xfId="0" applyNumberFormat="1" applyFont="1" applyBorder="1"/>
    <xf numFmtId="3" fontId="0" fillId="0" borderId="5" xfId="0" applyNumberFormat="1" applyFont="1" applyBorder="1"/>
    <xf numFmtId="0" fontId="6" fillId="0" borderId="0" xfId="0" applyFont="1"/>
    <xf numFmtId="0" fontId="7" fillId="0" borderId="0" xfId="0" applyFont="1"/>
    <xf numFmtId="0" fontId="0" fillId="0" borderId="0" xfId="0" applyFont="1" applyFill="1" applyBorder="1"/>
    <xf numFmtId="0" fontId="0" fillId="0" borderId="0" xfId="0" applyFill="1" applyBorder="1"/>
    <xf numFmtId="0" fontId="8" fillId="0" borderId="0" xfId="0" applyFont="1"/>
    <xf numFmtId="3" fontId="3" fillId="0" borderId="0" xfId="0" applyNumberFormat="1" applyFont="1" applyFill="1" applyBorder="1"/>
    <xf numFmtId="0" fontId="3" fillId="0" borderId="9" xfId="0" applyFont="1" applyBorder="1" applyAlignment="1">
      <alignment horizontal="center"/>
    </xf>
    <xf numFmtId="0" fontId="0" fillId="0" borderId="13" xfId="0" applyFont="1" applyBorder="1" applyAlignment="1">
      <alignment horizontal="center"/>
    </xf>
    <xf numFmtId="4" fontId="0" fillId="0" borderId="13" xfId="0" applyNumberFormat="1" applyFont="1" applyBorder="1" applyAlignment="1">
      <alignment horizontal="center"/>
    </xf>
    <xf numFmtId="2" fontId="0" fillId="0" borderId="13" xfId="0" applyNumberFormat="1" applyFont="1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0" fillId="2" borderId="10" xfId="0" applyFont="1" applyFill="1" applyBorder="1" applyAlignment="1">
      <alignment horizontal="center"/>
    </xf>
    <xf numFmtId="0" fontId="0" fillId="3" borderId="10" xfId="0" applyFont="1" applyFill="1" applyBorder="1" applyAlignment="1">
      <alignment horizontal="center"/>
    </xf>
    <xf numFmtId="4" fontId="0" fillId="0" borderId="1" xfId="0" applyNumberFormat="1" applyFont="1" applyBorder="1"/>
    <xf numFmtId="4" fontId="0" fillId="0" borderId="11" xfId="0" applyNumberFormat="1" applyFont="1" applyBorder="1"/>
    <xf numFmtId="4" fontId="0" fillId="0" borderId="4" xfId="0" applyNumberFormat="1" applyFont="1" applyBorder="1"/>
    <xf numFmtId="4" fontId="0" fillId="0" borderId="6" xfId="0" applyNumberFormat="1" applyFont="1" applyBorder="1"/>
    <xf numFmtId="4" fontId="9" fillId="0" borderId="0" xfId="0" applyNumberFormat="1" applyFont="1"/>
    <xf numFmtId="0" fontId="0" fillId="2" borderId="1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2" fontId="9" fillId="0" borderId="3" xfId="0" applyNumberFormat="1" applyFont="1" applyBorder="1" applyAlignment="1">
      <alignment horizontal="left"/>
    </xf>
    <xf numFmtId="2" fontId="9" fillId="0" borderId="0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/>
    <xf numFmtId="0" fontId="9" fillId="0" borderId="0" xfId="0" applyFont="1"/>
    <xf numFmtId="2" fontId="4" fillId="0" borderId="14" xfId="0" applyNumberFormat="1" applyFont="1" applyBorder="1"/>
    <xf numFmtId="2" fontId="0" fillId="0" borderId="0" xfId="0" applyNumberFormat="1" applyFont="1"/>
    <xf numFmtId="2" fontId="4" fillId="0" borderId="0" xfId="0" applyNumberFormat="1" applyFont="1"/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9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271410</xdr:colOff>
      <xdr:row>39</xdr:row>
      <xdr:rowOff>4049</xdr:rowOff>
    </xdr:from>
    <xdr:to>
      <xdr:col>2</xdr:col>
      <xdr:colOff>272998</xdr:colOff>
      <xdr:row>52</xdr:row>
      <xdr:rowOff>176361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A10F74E-574B-4BE2-83C4-BB81C32708BC}"/>
            </a:ext>
          </a:extLst>
        </xdr:cNvPr>
        <xdr:cNvCxnSpPr/>
      </xdr:nvCxnSpPr>
      <xdr:spPr>
        <a:xfrm rot="5400000">
          <a:off x="152644" y="9200579"/>
          <a:ext cx="2656417" cy="158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46</xdr:row>
      <xdr:rowOff>0</xdr:rowOff>
    </xdr:from>
    <xdr:to>
      <xdr:col>2</xdr:col>
      <xdr:colOff>263985</xdr:colOff>
      <xdr:row>46</xdr:row>
      <xdr:rowOff>2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4A6C92B2-4901-4A46-95BF-BC54FF2057F5}"/>
            </a:ext>
          </a:extLst>
        </xdr:cNvPr>
        <xdr:cNvCxnSpPr/>
      </xdr:nvCxnSpPr>
      <xdr:spPr>
        <a:xfrm flipV="1">
          <a:off x="1216269" y="9202615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264062</xdr:colOff>
      <xdr:row>39</xdr:row>
      <xdr:rowOff>7034</xdr:rowOff>
    </xdr:from>
    <xdr:to>
      <xdr:col>2</xdr:col>
      <xdr:colOff>528047</xdr:colOff>
      <xdr:row>39</xdr:row>
      <xdr:rowOff>7036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71675D6-8844-4D47-BD2F-8554F8A85FBE}"/>
            </a:ext>
          </a:extLst>
        </xdr:cNvPr>
        <xdr:cNvCxnSpPr/>
      </xdr:nvCxnSpPr>
      <xdr:spPr>
        <a:xfrm flipV="1">
          <a:off x="1472711" y="7883769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277251</xdr:colOff>
      <xdr:row>52</xdr:row>
      <xdr:rowOff>174088</xdr:rowOff>
    </xdr:from>
    <xdr:to>
      <xdr:col>2</xdr:col>
      <xdr:colOff>541236</xdr:colOff>
      <xdr:row>52</xdr:row>
      <xdr:rowOff>174090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4812EEBB-57AE-49FF-94D2-9D58E49AF061}"/>
            </a:ext>
          </a:extLst>
        </xdr:cNvPr>
        <xdr:cNvCxnSpPr/>
      </xdr:nvCxnSpPr>
      <xdr:spPr>
        <a:xfrm flipV="1">
          <a:off x="1485900" y="10527323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271390</xdr:colOff>
      <xdr:row>36</xdr:row>
      <xdr:rowOff>3</xdr:rowOff>
    </xdr:from>
    <xdr:to>
      <xdr:col>4</xdr:col>
      <xdr:colOff>271392</xdr:colOff>
      <xdr:row>43</xdr:row>
      <xdr:rowOff>7327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7190790B-AB1B-4079-9E77-6741B88355FB}"/>
            </a:ext>
          </a:extLst>
        </xdr:cNvPr>
        <xdr:cNvCxnSpPr/>
      </xdr:nvCxnSpPr>
      <xdr:spPr>
        <a:xfrm rot="5400000">
          <a:off x="2025897" y="7968029"/>
          <a:ext cx="1340824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621909</xdr:colOff>
      <xdr:row>39</xdr:row>
      <xdr:rowOff>5862</xdr:rowOff>
    </xdr:from>
    <xdr:to>
      <xdr:col>4</xdr:col>
      <xdr:colOff>262525</xdr:colOff>
      <xdr:row>39</xdr:row>
      <xdr:rowOff>5864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1D16C076-AC82-45BD-87FE-FB04C3907B95}"/>
            </a:ext>
          </a:extLst>
        </xdr:cNvPr>
        <xdr:cNvCxnSpPr/>
      </xdr:nvCxnSpPr>
      <xdr:spPr>
        <a:xfrm flipV="1">
          <a:off x="2431073" y="7874977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262597</xdr:colOff>
      <xdr:row>36</xdr:row>
      <xdr:rowOff>5862</xdr:rowOff>
    </xdr:from>
    <xdr:to>
      <xdr:col>4</xdr:col>
      <xdr:colOff>526582</xdr:colOff>
      <xdr:row>36</xdr:row>
      <xdr:rowOff>5864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7B565404-A5BE-4E3A-949D-58D3D71B1445}"/>
            </a:ext>
          </a:extLst>
        </xdr:cNvPr>
        <xdr:cNvCxnSpPr/>
      </xdr:nvCxnSpPr>
      <xdr:spPr>
        <a:xfrm flipV="1">
          <a:off x="2687515" y="7303477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275786</xdr:colOff>
      <xdr:row>43</xdr:row>
      <xdr:rowOff>4397</xdr:rowOff>
    </xdr:from>
    <xdr:to>
      <xdr:col>4</xdr:col>
      <xdr:colOff>539771</xdr:colOff>
      <xdr:row>43</xdr:row>
      <xdr:rowOff>4399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CBDAA652-53FD-423D-AC35-D3C7759082D7}"/>
            </a:ext>
          </a:extLst>
        </xdr:cNvPr>
        <xdr:cNvCxnSpPr/>
      </xdr:nvCxnSpPr>
      <xdr:spPr>
        <a:xfrm flipV="1">
          <a:off x="2700704" y="8635512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277252</xdr:colOff>
      <xdr:row>50</xdr:row>
      <xdr:rowOff>443</xdr:rowOff>
    </xdr:from>
    <xdr:to>
      <xdr:col>4</xdr:col>
      <xdr:colOff>277254</xdr:colOff>
      <xdr:row>57</xdr:row>
      <xdr:rowOff>5862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CF880094-F298-4FF9-B286-F52854938495}"/>
            </a:ext>
          </a:extLst>
        </xdr:cNvPr>
        <xdr:cNvCxnSpPr/>
      </xdr:nvCxnSpPr>
      <xdr:spPr>
        <a:xfrm rot="5400000">
          <a:off x="2031759" y="10633564"/>
          <a:ext cx="1340824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4397</xdr:colOff>
      <xdr:row>53</xdr:row>
      <xdr:rowOff>4397</xdr:rowOff>
    </xdr:from>
    <xdr:to>
      <xdr:col>4</xdr:col>
      <xdr:colOff>268382</xdr:colOff>
      <xdr:row>53</xdr:row>
      <xdr:rowOff>4399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3729EF1C-9025-4F0A-A30D-AE65E6D43B7E}"/>
            </a:ext>
          </a:extLst>
        </xdr:cNvPr>
        <xdr:cNvCxnSpPr/>
      </xdr:nvCxnSpPr>
      <xdr:spPr>
        <a:xfrm flipV="1">
          <a:off x="2436935" y="10540512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268459</xdr:colOff>
      <xdr:row>50</xdr:row>
      <xdr:rowOff>4397</xdr:rowOff>
    </xdr:from>
    <xdr:to>
      <xdr:col>4</xdr:col>
      <xdr:colOff>532444</xdr:colOff>
      <xdr:row>50</xdr:row>
      <xdr:rowOff>4399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D6640C0C-5231-460F-883A-330AB83A56CA}"/>
            </a:ext>
          </a:extLst>
        </xdr:cNvPr>
        <xdr:cNvCxnSpPr/>
      </xdr:nvCxnSpPr>
      <xdr:spPr>
        <a:xfrm flipV="1">
          <a:off x="2693377" y="9969012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281648</xdr:colOff>
      <xdr:row>57</xdr:row>
      <xdr:rowOff>2932</xdr:rowOff>
    </xdr:from>
    <xdr:to>
      <xdr:col>4</xdr:col>
      <xdr:colOff>545633</xdr:colOff>
      <xdr:row>57</xdr:row>
      <xdr:rowOff>2934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3FD248C0-2FFB-4371-961F-E45078EC90DF}"/>
            </a:ext>
          </a:extLst>
        </xdr:cNvPr>
        <xdr:cNvCxnSpPr/>
      </xdr:nvCxnSpPr>
      <xdr:spPr>
        <a:xfrm flipV="1">
          <a:off x="2706566" y="11301047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271390</xdr:colOff>
      <xdr:row>35</xdr:row>
      <xdr:rowOff>1</xdr:rowOff>
    </xdr:from>
    <xdr:to>
      <xdr:col>6</xdr:col>
      <xdr:colOff>271391</xdr:colOff>
      <xdr:row>38</xdr:row>
      <xdr:rowOff>2201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7E818D2E-A35A-416F-B737-16D46BF0F2A3}"/>
            </a:ext>
          </a:extLst>
        </xdr:cNvPr>
        <xdr:cNvCxnSpPr/>
      </xdr:nvCxnSpPr>
      <xdr:spPr>
        <a:xfrm rot="5400000">
          <a:off x="3630491" y="7389203"/>
          <a:ext cx="564175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620444</xdr:colOff>
      <xdr:row>36</xdr:row>
      <xdr:rowOff>4397</xdr:rowOff>
    </xdr:from>
    <xdr:to>
      <xdr:col>6</xdr:col>
      <xdr:colOff>261059</xdr:colOff>
      <xdr:row>36</xdr:row>
      <xdr:rowOff>4399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3C67F3EA-A70F-49D2-AD49-FEF2D80F0EE1}"/>
            </a:ext>
          </a:extLst>
        </xdr:cNvPr>
        <xdr:cNvCxnSpPr/>
      </xdr:nvCxnSpPr>
      <xdr:spPr>
        <a:xfrm flipV="1">
          <a:off x="3645877" y="7302012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261131</xdr:colOff>
      <xdr:row>35</xdr:row>
      <xdr:rowOff>4397</xdr:rowOff>
    </xdr:from>
    <xdr:to>
      <xdr:col>6</xdr:col>
      <xdr:colOff>525116</xdr:colOff>
      <xdr:row>35</xdr:row>
      <xdr:rowOff>4399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0A9E71A2-D26C-4BE6-9590-BB0C7B3C223B}"/>
            </a:ext>
          </a:extLst>
        </xdr:cNvPr>
        <xdr:cNvCxnSpPr/>
      </xdr:nvCxnSpPr>
      <xdr:spPr>
        <a:xfrm flipV="1">
          <a:off x="3902319" y="7111512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38</xdr:row>
      <xdr:rowOff>2932</xdr:rowOff>
    </xdr:from>
    <xdr:to>
      <xdr:col>6</xdr:col>
      <xdr:colOff>538305</xdr:colOff>
      <xdr:row>38</xdr:row>
      <xdr:rowOff>2934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865410F6-3405-4E3B-A2A5-E3809C261635}"/>
            </a:ext>
          </a:extLst>
        </xdr:cNvPr>
        <xdr:cNvCxnSpPr/>
      </xdr:nvCxnSpPr>
      <xdr:spPr>
        <a:xfrm flipV="1">
          <a:off x="3915508" y="7681547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277252</xdr:colOff>
      <xdr:row>42</xdr:row>
      <xdr:rowOff>440</xdr:rowOff>
    </xdr:from>
    <xdr:to>
      <xdr:col>6</xdr:col>
      <xdr:colOff>277253</xdr:colOff>
      <xdr:row>44</xdr:row>
      <xdr:rowOff>174059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999BB979-09D3-45F9-AE55-E1B97148767A}"/>
            </a:ext>
          </a:extLst>
        </xdr:cNvPr>
        <xdr:cNvCxnSpPr/>
      </xdr:nvCxnSpPr>
      <xdr:spPr>
        <a:xfrm rot="5400000">
          <a:off x="3636353" y="8721237"/>
          <a:ext cx="564175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2931</xdr:colOff>
      <xdr:row>43</xdr:row>
      <xdr:rowOff>2931</xdr:rowOff>
    </xdr:from>
    <xdr:to>
      <xdr:col>6</xdr:col>
      <xdr:colOff>266916</xdr:colOff>
      <xdr:row>43</xdr:row>
      <xdr:rowOff>2933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8928015D-EDCC-4623-BAE6-553A64855016}"/>
            </a:ext>
          </a:extLst>
        </xdr:cNvPr>
        <xdr:cNvCxnSpPr/>
      </xdr:nvCxnSpPr>
      <xdr:spPr>
        <a:xfrm flipV="1">
          <a:off x="3651739" y="8634046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42</xdr:row>
      <xdr:rowOff>2931</xdr:rowOff>
    </xdr:from>
    <xdr:to>
      <xdr:col>6</xdr:col>
      <xdr:colOff>538305</xdr:colOff>
      <xdr:row>42</xdr:row>
      <xdr:rowOff>2933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1A1562A1-2204-4615-B39F-7DC5FFE09A97}"/>
            </a:ext>
          </a:extLst>
        </xdr:cNvPr>
        <xdr:cNvCxnSpPr/>
      </xdr:nvCxnSpPr>
      <xdr:spPr>
        <a:xfrm flipV="1">
          <a:off x="3915508" y="8443546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280182</xdr:colOff>
      <xdr:row>44</xdr:row>
      <xdr:rowOff>177019</xdr:rowOff>
    </xdr:from>
    <xdr:to>
      <xdr:col>6</xdr:col>
      <xdr:colOff>544167</xdr:colOff>
      <xdr:row>44</xdr:row>
      <xdr:rowOff>177021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B68C5E28-5266-4768-B6A6-0725E257C87F}"/>
            </a:ext>
          </a:extLst>
        </xdr:cNvPr>
        <xdr:cNvCxnSpPr/>
      </xdr:nvCxnSpPr>
      <xdr:spPr>
        <a:xfrm flipV="1">
          <a:off x="3921370" y="9006254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274321</xdr:colOff>
      <xdr:row>49</xdr:row>
      <xdr:rowOff>0</xdr:rowOff>
    </xdr:from>
    <xdr:to>
      <xdr:col>6</xdr:col>
      <xdr:colOff>274322</xdr:colOff>
      <xdr:row>51</xdr:row>
      <xdr:rowOff>175497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CBACF105-873A-4097-959D-36FD37E9F49C}"/>
            </a:ext>
          </a:extLst>
        </xdr:cNvPr>
        <xdr:cNvCxnSpPr/>
      </xdr:nvCxnSpPr>
      <xdr:spPr>
        <a:xfrm rot="5400000">
          <a:off x="3633422" y="10056202"/>
          <a:ext cx="564175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4396</xdr:rowOff>
    </xdr:from>
    <xdr:to>
      <xdr:col>6</xdr:col>
      <xdr:colOff>263985</xdr:colOff>
      <xdr:row>50</xdr:row>
      <xdr:rowOff>4398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EC59C43-0BC5-4797-944A-2A09A2B0B24F}"/>
            </a:ext>
          </a:extLst>
        </xdr:cNvPr>
        <xdr:cNvCxnSpPr/>
      </xdr:nvCxnSpPr>
      <xdr:spPr>
        <a:xfrm flipV="1">
          <a:off x="3648808" y="9969011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264062</xdr:colOff>
      <xdr:row>49</xdr:row>
      <xdr:rowOff>4396</xdr:rowOff>
    </xdr:from>
    <xdr:to>
      <xdr:col>6</xdr:col>
      <xdr:colOff>528047</xdr:colOff>
      <xdr:row>49</xdr:row>
      <xdr:rowOff>4398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01270DFE-7B4E-43AB-B35F-550F2254CDED}"/>
            </a:ext>
          </a:extLst>
        </xdr:cNvPr>
        <xdr:cNvCxnSpPr/>
      </xdr:nvCxnSpPr>
      <xdr:spPr>
        <a:xfrm flipV="1">
          <a:off x="3905250" y="9778511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269924</xdr:colOff>
      <xdr:row>52</xdr:row>
      <xdr:rowOff>5129</xdr:rowOff>
    </xdr:from>
    <xdr:to>
      <xdr:col>6</xdr:col>
      <xdr:colOff>526367</xdr:colOff>
      <xdr:row>52</xdr:row>
      <xdr:rowOff>5131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BB3B16C3-E1A4-4CFB-91FC-6EE0A285EC22}"/>
            </a:ext>
          </a:extLst>
        </xdr:cNvPr>
        <xdr:cNvCxnSpPr/>
      </xdr:nvCxnSpPr>
      <xdr:spPr>
        <a:xfrm flipV="1">
          <a:off x="3911112" y="10341219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281648</xdr:colOff>
      <xdr:row>56</xdr:row>
      <xdr:rowOff>0</xdr:rowOff>
    </xdr:from>
    <xdr:to>
      <xdr:col>6</xdr:col>
      <xdr:colOff>281649</xdr:colOff>
      <xdr:row>58</xdr:row>
      <xdr:rowOff>175497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1DD1E2DD-E208-49BE-83AB-7BC885065504}"/>
            </a:ext>
          </a:extLst>
        </xdr:cNvPr>
        <xdr:cNvCxnSpPr/>
      </xdr:nvCxnSpPr>
      <xdr:spPr>
        <a:xfrm rot="5400000">
          <a:off x="3640749" y="11389702"/>
          <a:ext cx="564175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7327</xdr:colOff>
      <xdr:row>57</xdr:row>
      <xdr:rowOff>4396</xdr:rowOff>
    </xdr:from>
    <xdr:to>
      <xdr:col>6</xdr:col>
      <xdr:colOff>271312</xdr:colOff>
      <xdr:row>57</xdr:row>
      <xdr:rowOff>4398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C4D25BBA-5460-4FC6-B844-0617D67444B8}"/>
            </a:ext>
          </a:extLst>
        </xdr:cNvPr>
        <xdr:cNvCxnSpPr/>
      </xdr:nvCxnSpPr>
      <xdr:spPr>
        <a:xfrm flipV="1">
          <a:off x="3656135" y="11302511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271389</xdr:colOff>
      <xdr:row>56</xdr:row>
      <xdr:rowOff>4396</xdr:rowOff>
    </xdr:from>
    <xdr:to>
      <xdr:col>6</xdr:col>
      <xdr:colOff>535374</xdr:colOff>
      <xdr:row>56</xdr:row>
      <xdr:rowOff>4398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D596102D-8172-4260-B863-D2A4D2FAAB4F}"/>
            </a:ext>
          </a:extLst>
        </xdr:cNvPr>
        <xdr:cNvCxnSpPr/>
      </xdr:nvCxnSpPr>
      <xdr:spPr>
        <a:xfrm flipV="1">
          <a:off x="3912577" y="11112011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277251</xdr:colOff>
      <xdr:row>59</xdr:row>
      <xdr:rowOff>5129</xdr:rowOff>
    </xdr:from>
    <xdr:to>
      <xdr:col>6</xdr:col>
      <xdr:colOff>541236</xdr:colOff>
      <xdr:row>59</xdr:row>
      <xdr:rowOff>5131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87DBF805-FD33-4772-9353-69E36DF358D4}"/>
            </a:ext>
          </a:extLst>
        </xdr:cNvPr>
        <xdr:cNvCxnSpPr/>
      </xdr:nvCxnSpPr>
      <xdr:spPr>
        <a:xfrm flipV="1">
          <a:off x="3918439" y="11674719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621909</xdr:colOff>
      <xdr:row>36</xdr:row>
      <xdr:rowOff>5862</xdr:rowOff>
    </xdr:from>
    <xdr:to>
      <xdr:col>6</xdr:col>
      <xdr:colOff>262525</xdr:colOff>
      <xdr:row>36</xdr:row>
      <xdr:rowOff>5864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EB5AB450-AF52-4329-9039-A68C5992EE35}"/>
            </a:ext>
          </a:extLst>
        </xdr:cNvPr>
        <xdr:cNvCxnSpPr/>
      </xdr:nvCxnSpPr>
      <xdr:spPr>
        <a:xfrm flipV="1">
          <a:off x="2431073" y="7874977"/>
          <a:ext cx="256443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271410</xdr:colOff>
      <xdr:row>39</xdr:row>
      <xdr:rowOff>4049</xdr:rowOff>
    </xdr:from>
    <xdr:to>
      <xdr:col>2</xdr:col>
      <xdr:colOff>272998</xdr:colOff>
      <xdr:row>52</xdr:row>
      <xdr:rowOff>176361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6A9FE536-0581-4396-B05F-DE1A31660583}"/>
            </a:ext>
          </a:extLst>
        </xdr:cNvPr>
        <xdr:cNvCxnSpPr/>
      </xdr:nvCxnSpPr>
      <xdr:spPr>
        <a:xfrm rot="5400000">
          <a:off x="247008" y="8471411"/>
          <a:ext cx="2549752" cy="1588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0</xdr:colOff>
      <xdr:row>46</xdr:row>
      <xdr:rowOff>0</xdr:rowOff>
    </xdr:from>
    <xdr:to>
      <xdr:col>2</xdr:col>
      <xdr:colOff>263985</xdr:colOff>
      <xdr:row>46</xdr:row>
      <xdr:rowOff>2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F2983049-D478-4AA9-B17A-10626C66C745}"/>
            </a:ext>
          </a:extLst>
        </xdr:cNvPr>
        <xdr:cNvCxnSpPr/>
      </xdr:nvCxnSpPr>
      <xdr:spPr>
        <a:xfrm flipV="1">
          <a:off x="1249680" y="8473440"/>
          <a:ext cx="26398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264062</xdr:colOff>
      <xdr:row>39</xdr:row>
      <xdr:rowOff>7034</xdr:rowOff>
    </xdr:from>
    <xdr:to>
      <xdr:col>2</xdr:col>
      <xdr:colOff>528047</xdr:colOff>
      <xdr:row>39</xdr:row>
      <xdr:rowOff>7036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2667C16-48C9-474E-A56D-B8DC442FA11E}"/>
            </a:ext>
          </a:extLst>
        </xdr:cNvPr>
        <xdr:cNvCxnSpPr/>
      </xdr:nvCxnSpPr>
      <xdr:spPr>
        <a:xfrm flipV="1">
          <a:off x="1513742" y="7200314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277251</xdr:colOff>
      <xdr:row>52</xdr:row>
      <xdr:rowOff>174088</xdr:rowOff>
    </xdr:from>
    <xdr:to>
      <xdr:col>2</xdr:col>
      <xdr:colOff>541236</xdr:colOff>
      <xdr:row>52</xdr:row>
      <xdr:rowOff>174090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B5D0BDBC-39D5-4A90-AAB8-24D038896D15}"/>
            </a:ext>
          </a:extLst>
        </xdr:cNvPr>
        <xdr:cNvCxnSpPr/>
      </xdr:nvCxnSpPr>
      <xdr:spPr>
        <a:xfrm flipV="1">
          <a:off x="1526931" y="9744808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271390</xdr:colOff>
      <xdr:row>36</xdr:row>
      <xdr:rowOff>3</xdr:rowOff>
    </xdr:from>
    <xdr:to>
      <xdr:col>4</xdr:col>
      <xdr:colOff>271392</xdr:colOff>
      <xdr:row>43</xdr:row>
      <xdr:rowOff>7327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5888745A-502F-47C2-BDFF-774E508E1240}"/>
            </a:ext>
          </a:extLst>
        </xdr:cNvPr>
        <xdr:cNvCxnSpPr/>
      </xdr:nvCxnSpPr>
      <xdr:spPr>
        <a:xfrm rot="5400000">
          <a:off x="2127009" y="7288384"/>
          <a:ext cx="1287484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621909</xdr:colOff>
      <xdr:row>39</xdr:row>
      <xdr:rowOff>5862</xdr:rowOff>
    </xdr:from>
    <xdr:to>
      <xdr:col>4</xdr:col>
      <xdr:colOff>262525</xdr:colOff>
      <xdr:row>39</xdr:row>
      <xdr:rowOff>5864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9D096ACA-FD8C-4B2F-9467-CFF38F60088E}"/>
            </a:ext>
          </a:extLst>
        </xdr:cNvPr>
        <xdr:cNvCxnSpPr/>
      </xdr:nvCxnSpPr>
      <xdr:spPr>
        <a:xfrm flipV="1">
          <a:off x="2496429" y="7199142"/>
          <a:ext cx="265456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262597</xdr:colOff>
      <xdr:row>36</xdr:row>
      <xdr:rowOff>5862</xdr:rowOff>
    </xdr:from>
    <xdr:to>
      <xdr:col>4</xdr:col>
      <xdr:colOff>526582</xdr:colOff>
      <xdr:row>36</xdr:row>
      <xdr:rowOff>5864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D282B60F-31AE-45BD-B4E8-C5355DC1505E}"/>
            </a:ext>
          </a:extLst>
        </xdr:cNvPr>
        <xdr:cNvCxnSpPr/>
      </xdr:nvCxnSpPr>
      <xdr:spPr>
        <a:xfrm flipV="1">
          <a:off x="2761957" y="6650502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275786</xdr:colOff>
      <xdr:row>43</xdr:row>
      <xdr:rowOff>4397</xdr:rowOff>
    </xdr:from>
    <xdr:to>
      <xdr:col>4</xdr:col>
      <xdr:colOff>539771</xdr:colOff>
      <xdr:row>43</xdr:row>
      <xdr:rowOff>4399</xdr:rowOff>
    </xdr:to>
    <xdr:cxnSp macro="">
      <xdr:nvCxnSpPr>
        <xdr:cNvPr id="9" name="Straight Connector 8">
          <a:extLst>
            <a:ext uri="{FF2B5EF4-FFF2-40B4-BE49-F238E27FC236}">
              <a16:creationId xmlns:a16="http://schemas.microsoft.com/office/drawing/2014/main" id="{53860AEE-7DD0-47FE-991A-4EB425324790}"/>
            </a:ext>
          </a:extLst>
        </xdr:cNvPr>
        <xdr:cNvCxnSpPr/>
      </xdr:nvCxnSpPr>
      <xdr:spPr>
        <a:xfrm flipV="1">
          <a:off x="2775146" y="7929197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277252</xdr:colOff>
      <xdr:row>50</xdr:row>
      <xdr:rowOff>443</xdr:rowOff>
    </xdr:from>
    <xdr:to>
      <xdr:col>4</xdr:col>
      <xdr:colOff>277254</xdr:colOff>
      <xdr:row>57</xdr:row>
      <xdr:rowOff>5862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B152190-31C2-41D2-A258-52CF49E4F5EF}"/>
            </a:ext>
          </a:extLst>
        </xdr:cNvPr>
        <xdr:cNvCxnSpPr/>
      </xdr:nvCxnSpPr>
      <xdr:spPr>
        <a:xfrm rot="5400000">
          <a:off x="2133823" y="9848192"/>
          <a:ext cx="1285579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4397</xdr:colOff>
      <xdr:row>53</xdr:row>
      <xdr:rowOff>4397</xdr:rowOff>
    </xdr:from>
    <xdr:to>
      <xdr:col>4</xdr:col>
      <xdr:colOff>268382</xdr:colOff>
      <xdr:row>53</xdr:row>
      <xdr:rowOff>4399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A8E320EF-256B-4D5A-AAE5-20D7CFAD5228}"/>
            </a:ext>
          </a:extLst>
        </xdr:cNvPr>
        <xdr:cNvCxnSpPr/>
      </xdr:nvCxnSpPr>
      <xdr:spPr>
        <a:xfrm flipV="1">
          <a:off x="2503757" y="9757997"/>
          <a:ext cx="26398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268459</xdr:colOff>
      <xdr:row>50</xdr:row>
      <xdr:rowOff>4397</xdr:rowOff>
    </xdr:from>
    <xdr:to>
      <xdr:col>4</xdr:col>
      <xdr:colOff>532444</xdr:colOff>
      <xdr:row>50</xdr:row>
      <xdr:rowOff>4399</xdr:rowOff>
    </xdr:to>
    <xdr:cxnSp macro="">
      <xdr:nvCxnSpPr>
        <xdr:cNvPr id="12" name="Straight Connector 11">
          <a:extLst>
            <a:ext uri="{FF2B5EF4-FFF2-40B4-BE49-F238E27FC236}">
              <a16:creationId xmlns:a16="http://schemas.microsoft.com/office/drawing/2014/main" id="{F7275C03-7ECA-406A-9F01-E792C86556FE}"/>
            </a:ext>
          </a:extLst>
        </xdr:cNvPr>
        <xdr:cNvCxnSpPr/>
      </xdr:nvCxnSpPr>
      <xdr:spPr>
        <a:xfrm flipV="1">
          <a:off x="2767819" y="9209357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281648</xdr:colOff>
      <xdr:row>57</xdr:row>
      <xdr:rowOff>2932</xdr:rowOff>
    </xdr:from>
    <xdr:to>
      <xdr:col>4</xdr:col>
      <xdr:colOff>545633</xdr:colOff>
      <xdr:row>57</xdr:row>
      <xdr:rowOff>2934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F5586A89-1540-4871-9D17-C0A31AD16B26}"/>
            </a:ext>
          </a:extLst>
        </xdr:cNvPr>
        <xdr:cNvCxnSpPr/>
      </xdr:nvCxnSpPr>
      <xdr:spPr>
        <a:xfrm flipV="1">
          <a:off x="2781008" y="10488052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271390</xdr:colOff>
      <xdr:row>35</xdr:row>
      <xdr:rowOff>1</xdr:rowOff>
    </xdr:from>
    <xdr:to>
      <xdr:col>6</xdr:col>
      <xdr:colOff>271391</xdr:colOff>
      <xdr:row>38</xdr:row>
      <xdr:rowOff>2201</xdr:rowOff>
    </xdr:to>
    <xdr:cxnSp macro="">
      <xdr:nvCxnSpPr>
        <xdr:cNvPr id="14" name="Straight Connector 13">
          <a:extLst>
            <a:ext uri="{FF2B5EF4-FFF2-40B4-BE49-F238E27FC236}">
              <a16:creationId xmlns:a16="http://schemas.microsoft.com/office/drawing/2014/main" id="{97E06E25-6546-4B22-A739-A6D4CBA5D957}"/>
            </a:ext>
          </a:extLst>
        </xdr:cNvPr>
        <xdr:cNvCxnSpPr/>
      </xdr:nvCxnSpPr>
      <xdr:spPr>
        <a:xfrm rot="5400000">
          <a:off x="3745011" y="6737180"/>
          <a:ext cx="550840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620444</xdr:colOff>
      <xdr:row>36</xdr:row>
      <xdr:rowOff>4397</xdr:rowOff>
    </xdr:from>
    <xdr:to>
      <xdr:col>6</xdr:col>
      <xdr:colOff>261059</xdr:colOff>
      <xdr:row>36</xdr:row>
      <xdr:rowOff>4399</xdr:rowOff>
    </xdr:to>
    <xdr:cxnSp macro="">
      <xdr:nvCxnSpPr>
        <xdr:cNvPr id="15" name="Straight Connector 14">
          <a:extLst>
            <a:ext uri="{FF2B5EF4-FFF2-40B4-BE49-F238E27FC236}">
              <a16:creationId xmlns:a16="http://schemas.microsoft.com/office/drawing/2014/main" id="{6F6C042D-1807-4DD7-B2C9-3901935C1A0A}"/>
            </a:ext>
          </a:extLst>
        </xdr:cNvPr>
        <xdr:cNvCxnSpPr/>
      </xdr:nvCxnSpPr>
      <xdr:spPr>
        <a:xfrm flipV="1">
          <a:off x="3744644" y="6649037"/>
          <a:ext cx="26545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261131</xdr:colOff>
      <xdr:row>35</xdr:row>
      <xdr:rowOff>4397</xdr:rowOff>
    </xdr:from>
    <xdr:to>
      <xdr:col>6</xdr:col>
      <xdr:colOff>525116</xdr:colOff>
      <xdr:row>35</xdr:row>
      <xdr:rowOff>4399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5D31D553-6D44-460C-9638-C97DBC8950A3}"/>
            </a:ext>
          </a:extLst>
        </xdr:cNvPr>
        <xdr:cNvCxnSpPr/>
      </xdr:nvCxnSpPr>
      <xdr:spPr>
        <a:xfrm flipV="1">
          <a:off x="4010171" y="6466157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38</xdr:row>
      <xdr:rowOff>2932</xdr:rowOff>
    </xdr:from>
    <xdr:to>
      <xdr:col>6</xdr:col>
      <xdr:colOff>538305</xdr:colOff>
      <xdr:row>38</xdr:row>
      <xdr:rowOff>2934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3EBE0838-8134-4C70-82AE-4F68B7C53D67}"/>
            </a:ext>
          </a:extLst>
        </xdr:cNvPr>
        <xdr:cNvCxnSpPr/>
      </xdr:nvCxnSpPr>
      <xdr:spPr>
        <a:xfrm flipV="1">
          <a:off x="4023360" y="7013332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277252</xdr:colOff>
      <xdr:row>42</xdr:row>
      <xdr:rowOff>440</xdr:rowOff>
    </xdr:from>
    <xdr:to>
      <xdr:col>6</xdr:col>
      <xdr:colOff>277253</xdr:colOff>
      <xdr:row>44</xdr:row>
      <xdr:rowOff>174059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055A96E0-6483-4DE8-A66E-C2408AF1B29C}"/>
            </a:ext>
          </a:extLst>
        </xdr:cNvPr>
        <xdr:cNvCxnSpPr/>
      </xdr:nvCxnSpPr>
      <xdr:spPr>
        <a:xfrm rot="5400000">
          <a:off x="3756603" y="8012049"/>
          <a:ext cx="539379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2931</xdr:colOff>
      <xdr:row>43</xdr:row>
      <xdr:rowOff>2931</xdr:rowOff>
    </xdr:from>
    <xdr:to>
      <xdr:col>6</xdr:col>
      <xdr:colOff>266916</xdr:colOff>
      <xdr:row>43</xdr:row>
      <xdr:rowOff>2933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A4749F7C-A84C-4076-94C6-1035FE33F85F}"/>
            </a:ext>
          </a:extLst>
        </xdr:cNvPr>
        <xdr:cNvCxnSpPr/>
      </xdr:nvCxnSpPr>
      <xdr:spPr>
        <a:xfrm flipV="1">
          <a:off x="3751971" y="7927731"/>
          <a:ext cx="26398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274320</xdr:colOff>
      <xdr:row>42</xdr:row>
      <xdr:rowOff>2931</xdr:rowOff>
    </xdr:from>
    <xdr:to>
      <xdr:col>6</xdr:col>
      <xdr:colOff>538305</xdr:colOff>
      <xdr:row>42</xdr:row>
      <xdr:rowOff>2933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278A7FE3-C190-4DAA-A057-BAEA4E44D1B3}"/>
            </a:ext>
          </a:extLst>
        </xdr:cNvPr>
        <xdr:cNvCxnSpPr/>
      </xdr:nvCxnSpPr>
      <xdr:spPr>
        <a:xfrm flipV="1">
          <a:off x="4023360" y="7744851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280182</xdr:colOff>
      <xdr:row>44</xdr:row>
      <xdr:rowOff>177019</xdr:rowOff>
    </xdr:from>
    <xdr:to>
      <xdr:col>6</xdr:col>
      <xdr:colOff>544167</xdr:colOff>
      <xdr:row>44</xdr:row>
      <xdr:rowOff>177021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BD6A1CE3-136C-4A45-BD76-D3E16F74FEFB}"/>
            </a:ext>
          </a:extLst>
        </xdr:cNvPr>
        <xdr:cNvCxnSpPr/>
      </xdr:nvCxnSpPr>
      <xdr:spPr>
        <a:xfrm flipV="1">
          <a:off x="4029222" y="8284699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274321</xdr:colOff>
      <xdr:row>49</xdr:row>
      <xdr:rowOff>0</xdr:rowOff>
    </xdr:from>
    <xdr:to>
      <xdr:col>6</xdr:col>
      <xdr:colOff>274322</xdr:colOff>
      <xdr:row>51</xdr:row>
      <xdr:rowOff>175497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76A1B546-97DE-4634-A4FD-A272AB7748EF}"/>
            </a:ext>
          </a:extLst>
        </xdr:cNvPr>
        <xdr:cNvCxnSpPr/>
      </xdr:nvCxnSpPr>
      <xdr:spPr>
        <a:xfrm rot="5400000">
          <a:off x="3752733" y="9292708"/>
          <a:ext cx="541257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50</xdr:row>
      <xdr:rowOff>4396</xdr:rowOff>
    </xdr:from>
    <xdr:to>
      <xdr:col>6</xdr:col>
      <xdr:colOff>263985</xdr:colOff>
      <xdr:row>50</xdr:row>
      <xdr:rowOff>4398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D44D295B-C4F3-41D2-9FC0-F221D80FD660}"/>
            </a:ext>
          </a:extLst>
        </xdr:cNvPr>
        <xdr:cNvCxnSpPr/>
      </xdr:nvCxnSpPr>
      <xdr:spPr>
        <a:xfrm flipV="1">
          <a:off x="3749040" y="9209356"/>
          <a:ext cx="26398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264062</xdr:colOff>
      <xdr:row>49</xdr:row>
      <xdr:rowOff>4396</xdr:rowOff>
    </xdr:from>
    <xdr:to>
      <xdr:col>6</xdr:col>
      <xdr:colOff>528047</xdr:colOff>
      <xdr:row>49</xdr:row>
      <xdr:rowOff>4398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A45E5D1-452F-45B6-955E-BD37ED453758}"/>
            </a:ext>
          </a:extLst>
        </xdr:cNvPr>
        <xdr:cNvCxnSpPr/>
      </xdr:nvCxnSpPr>
      <xdr:spPr>
        <a:xfrm flipV="1">
          <a:off x="4013102" y="9026476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269924</xdr:colOff>
      <xdr:row>52</xdr:row>
      <xdr:rowOff>5129</xdr:rowOff>
    </xdr:from>
    <xdr:to>
      <xdr:col>6</xdr:col>
      <xdr:colOff>526367</xdr:colOff>
      <xdr:row>52</xdr:row>
      <xdr:rowOff>5131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EDCE4A9A-0B3D-4D13-A04E-17751FA8FD10}"/>
            </a:ext>
          </a:extLst>
        </xdr:cNvPr>
        <xdr:cNvCxnSpPr/>
      </xdr:nvCxnSpPr>
      <xdr:spPr>
        <a:xfrm flipV="1">
          <a:off x="4018964" y="9575849"/>
          <a:ext cx="256443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281648</xdr:colOff>
      <xdr:row>56</xdr:row>
      <xdr:rowOff>0</xdr:rowOff>
    </xdr:from>
    <xdr:to>
      <xdr:col>6</xdr:col>
      <xdr:colOff>281649</xdr:colOff>
      <xdr:row>58</xdr:row>
      <xdr:rowOff>175497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CB19932E-F8B8-4698-B671-CBABD453E56A}"/>
            </a:ext>
          </a:extLst>
        </xdr:cNvPr>
        <xdr:cNvCxnSpPr/>
      </xdr:nvCxnSpPr>
      <xdr:spPr>
        <a:xfrm rot="5400000">
          <a:off x="3760060" y="10572868"/>
          <a:ext cx="541257" cy="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7327</xdr:colOff>
      <xdr:row>57</xdr:row>
      <xdr:rowOff>4396</xdr:rowOff>
    </xdr:from>
    <xdr:to>
      <xdr:col>6</xdr:col>
      <xdr:colOff>271312</xdr:colOff>
      <xdr:row>57</xdr:row>
      <xdr:rowOff>4398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3124038A-A6EF-4DAD-AA97-214F248417DF}"/>
            </a:ext>
          </a:extLst>
        </xdr:cNvPr>
        <xdr:cNvCxnSpPr/>
      </xdr:nvCxnSpPr>
      <xdr:spPr>
        <a:xfrm flipV="1">
          <a:off x="3756367" y="10489516"/>
          <a:ext cx="263985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271389</xdr:colOff>
      <xdr:row>56</xdr:row>
      <xdr:rowOff>4396</xdr:rowOff>
    </xdr:from>
    <xdr:to>
      <xdr:col>6</xdr:col>
      <xdr:colOff>535374</xdr:colOff>
      <xdr:row>56</xdr:row>
      <xdr:rowOff>4398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5856AA5-0C8E-4037-997A-9824834D9D7C}"/>
            </a:ext>
          </a:extLst>
        </xdr:cNvPr>
        <xdr:cNvCxnSpPr/>
      </xdr:nvCxnSpPr>
      <xdr:spPr>
        <a:xfrm flipV="1">
          <a:off x="4020429" y="10306636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277251</xdr:colOff>
      <xdr:row>59</xdr:row>
      <xdr:rowOff>5129</xdr:rowOff>
    </xdr:from>
    <xdr:to>
      <xdr:col>6</xdr:col>
      <xdr:colOff>541236</xdr:colOff>
      <xdr:row>59</xdr:row>
      <xdr:rowOff>5131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BFBA7966-5A30-450C-AD66-6C756F760D4D}"/>
            </a:ext>
          </a:extLst>
        </xdr:cNvPr>
        <xdr:cNvCxnSpPr/>
      </xdr:nvCxnSpPr>
      <xdr:spPr>
        <a:xfrm flipV="1">
          <a:off x="4026291" y="10856009"/>
          <a:ext cx="263985" cy="2"/>
        </a:xfrm>
        <a:prstGeom prst="line">
          <a:avLst/>
        </a:prstGeom>
        <a:ln w="12700">
          <a:solidFill>
            <a:schemeClr val="tx1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621909</xdr:colOff>
      <xdr:row>36</xdr:row>
      <xdr:rowOff>5862</xdr:rowOff>
    </xdr:from>
    <xdr:to>
      <xdr:col>6</xdr:col>
      <xdr:colOff>262525</xdr:colOff>
      <xdr:row>36</xdr:row>
      <xdr:rowOff>5864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E61AF253-F003-49BF-B1C4-0A8DF1CE5A1C}"/>
            </a:ext>
          </a:extLst>
        </xdr:cNvPr>
        <xdr:cNvCxnSpPr/>
      </xdr:nvCxnSpPr>
      <xdr:spPr>
        <a:xfrm flipV="1">
          <a:off x="3746109" y="6650502"/>
          <a:ext cx="265456" cy="2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6"/>
  <sheetViews>
    <sheetView tabSelected="1" zoomScaleNormal="100" workbookViewId="0">
      <selection activeCell="B10" sqref="B10"/>
    </sheetView>
  </sheetViews>
  <sheetFormatPr defaultColWidth="9.109375" defaultRowHeight="14.4" x14ac:dyDescent="0.3"/>
  <cols>
    <col min="1" max="16384" width="9.109375" style="1"/>
  </cols>
  <sheetData>
    <row r="1" spans="1:14" ht="18" x14ac:dyDescent="0.35">
      <c r="A1" s="2" t="s">
        <v>69</v>
      </c>
    </row>
    <row r="4" spans="1:14" ht="15.6" x14ac:dyDescent="0.3">
      <c r="A4" s="36" t="s">
        <v>71</v>
      </c>
    </row>
    <row r="5" spans="1:14" x14ac:dyDescent="0.3">
      <c r="A5"/>
    </row>
    <row r="6" spans="1:14" x14ac:dyDescent="0.3">
      <c r="B6" s="62" t="s">
        <v>10</v>
      </c>
      <c r="C6" s="63"/>
      <c r="D6" s="64" t="s">
        <v>0</v>
      </c>
      <c r="E6" s="63"/>
      <c r="F6" s="16" t="s">
        <v>1</v>
      </c>
      <c r="G6" s="62" t="s">
        <v>2</v>
      </c>
      <c r="H6" s="64"/>
      <c r="I6" s="64"/>
      <c r="J6" s="63"/>
      <c r="K6" s="5"/>
    </row>
    <row r="7" spans="1:14" x14ac:dyDescent="0.3">
      <c r="B7" s="10" t="s">
        <v>3</v>
      </c>
      <c r="C7" s="11" t="s">
        <v>9</v>
      </c>
      <c r="D7" s="12" t="s">
        <v>4</v>
      </c>
      <c r="E7" s="11" t="s">
        <v>14</v>
      </c>
      <c r="F7" s="11" t="s">
        <v>11</v>
      </c>
      <c r="G7" s="12" t="s">
        <v>13</v>
      </c>
      <c r="H7" s="12" t="s">
        <v>5</v>
      </c>
      <c r="I7" s="12" t="s">
        <v>6</v>
      </c>
      <c r="J7" s="11" t="s">
        <v>7</v>
      </c>
      <c r="K7" s="17" t="s">
        <v>8</v>
      </c>
      <c r="M7" s="32" t="s">
        <v>24</v>
      </c>
    </row>
    <row r="8" spans="1:14" x14ac:dyDescent="0.3">
      <c r="A8" s="3" t="s">
        <v>3</v>
      </c>
      <c r="B8" s="18"/>
      <c r="C8" s="19"/>
      <c r="D8" s="20">
        <v>6083.9481150695046</v>
      </c>
      <c r="E8" s="19"/>
      <c r="F8" s="19"/>
      <c r="G8" s="20"/>
      <c r="H8" s="20"/>
      <c r="I8" s="20"/>
      <c r="J8" s="19"/>
      <c r="K8" s="19">
        <f>SUM(B8:J8)</f>
        <v>6083.9481150695046</v>
      </c>
      <c r="M8" s="1" t="s">
        <v>3</v>
      </c>
      <c r="N8" s="1" t="s">
        <v>15</v>
      </c>
    </row>
    <row r="9" spans="1:14" x14ac:dyDescent="0.3">
      <c r="A9" s="4" t="s">
        <v>9</v>
      </c>
      <c r="B9" s="21"/>
      <c r="C9" s="22"/>
      <c r="D9" s="23"/>
      <c r="E9" s="22">
        <v>29937.193537613624</v>
      </c>
      <c r="F9" s="22"/>
      <c r="G9" s="23"/>
      <c r="H9" s="23"/>
      <c r="I9" s="23"/>
      <c r="J9" s="22"/>
      <c r="K9" s="22">
        <f t="shared" ref="K9:K16" si="0">SUM(B9:J9)</f>
        <v>29937.193537613624</v>
      </c>
      <c r="M9" s="1" t="s">
        <v>9</v>
      </c>
      <c r="N9" t="s">
        <v>20</v>
      </c>
    </row>
    <row r="10" spans="1:14" x14ac:dyDescent="0.3">
      <c r="A10" s="27" t="s">
        <v>4</v>
      </c>
      <c r="B10" s="18">
        <v>934.35727595647836</v>
      </c>
      <c r="C10" s="19">
        <v>1926.4407516797125</v>
      </c>
      <c r="D10" s="20"/>
      <c r="E10" s="19"/>
      <c r="F10" s="19"/>
      <c r="G10" s="20">
        <v>3540.4360925205783</v>
      </c>
      <c r="H10" s="20">
        <v>0</v>
      </c>
      <c r="I10" s="20">
        <v>0</v>
      </c>
      <c r="J10" s="19">
        <v>27.336233064363579</v>
      </c>
      <c r="K10" s="19">
        <f t="shared" si="0"/>
        <v>6428.5703532211328</v>
      </c>
      <c r="M10" s="1" t="s">
        <v>4</v>
      </c>
      <c r="N10" s="1" t="s">
        <v>16</v>
      </c>
    </row>
    <row r="11" spans="1:14" x14ac:dyDescent="0.3">
      <c r="A11" s="28" t="s">
        <v>14</v>
      </c>
      <c r="B11" s="29">
        <v>2502.2837053443618</v>
      </c>
      <c r="C11" s="30">
        <v>14404.213931796628</v>
      </c>
      <c r="D11" s="31"/>
      <c r="E11" s="30"/>
      <c r="F11" s="30"/>
      <c r="G11" s="31">
        <v>7813.3201220021674</v>
      </c>
      <c r="H11" s="31">
        <v>1028.2672427692576</v>
      </c>
      <c r="I11" s="31">
        <v>5218.0019059164124</v>
      </c>
      <c r="J11" s="30">
        <v>3236.029672456164</v>
      </c>
      <c r="K11" s="30">
        <f t="shared" si="0"/>
        <v>34202.116580284994</v>
      </c>
      <c r="M11" s="1" t="s">
        <v>14</v>
      </c>
      <c r="N11" t="s">
        <v>21</v>
      </c>
    </row>
    <row r="12" spans="1:14" x14ac:dyDescent="0.3">
      <c r="A12" s="4" t="s">
        <v>11</v>
      </c>
      <c r="B12" s="21">
        <v>2647.3071337686647</v>
      </c>
      <c r="C12" s="22">
        <v>13606.538854137285</v>
      </c>
      <c r="D12" s="23"/>
      <c r="E12" s="22"/>
      <c r="F12" s="22"/>
      <c r="G12" s="23"/>
      <c r="H12" s="23"/>
      <c r="I12" s="23"/>
      <c r="J12" s="22">
        <v>7.3825735280566667</v>
      </c>
      <c r="K12" s="22">
        <f t="shared" si="0"/>
        <v>16261.228561434007</v>
      </c>
      <c r="M12" s="1" t="s">
        <v>11</v>
      </c>
      <c r="N12" t="s">
        <v>22</v>
      </c>
    </row>
    <row r="13" spans="1:14" x14ac:dyDescent="0.3">
      <c r="A13" s="3" t="s">
        <v>13</v>
      </c>
      <c r="B13" s="18"/>
      <c r="C13" s="19"/>
      <c r="D13" s="20"/>
      <c r="E13" s="19"/>
      <c r="F13" s="19">
        <v>16042.877115296735</v>
      </c>
      <c r="G13" s="20"/>
      <c r="H13" s="20">
        <v>623.97406073006073</v>
      </c>
      <c r="I13" s="20"/>
      <c r="J13" s="19">
        <v>788.44824186763992</v>
      </c>
      <c r="K13" s="19">
        <f t="shared" si="0"/>
        <v>17455.299417894435</v>
      </c>
      <c r="M13" s="1" t="s">
        <v>13</v>
      </c>
      <c r="N13" t="s">
        <v>23</v>
      </c>
    </row>
    <row r="14" spans="1:14" x14ac:dyDescent="0.3">
      <c r="A14" s="4" t="s">
        <v>5</v>
      </c>
      <c r="B14" s="21"/>
      <c r="C14" s="22"/>
      <c r="D14" s="23">
        <v>15.809622701426436</v>
      </c>
      <c r="E14" s="22">
        <v>844.71739607100312</v>
      </c>
      <c r="F14" s="22"/>
      <c r="G14" s="23">
        <v>751.92086424030674</v>
      </c>
      <c r="H14" s="23">
        <v>1362.1582558222403</v>
      </c>
      <c r="I14" s="23"/>
      <c r="J14" s="22">
        <v>21.632157521429448</v>
      </c>
      <c r="K14" s="22">
        <f t="shared" si="0"/>
        <v>2996.238296356406</v>
      </c>
      <c r="M14" s="1" t="s">
        <v>5</v>
      </c>
      <c r="N14" s="1" t="s">
        <v>12</v>
      </c>
    </row>
    <row r="15" spans="1:14" x14ac:dyDescent="0.3">
      <c r="A15" s="4" t="s">
        <v>6</v>
      </c>
      <c r="B15" s="21"/>
      <c r="C15" s="22"/>
      <c r="D15" s="23"/>
      <c r="E15" s="22"/>
      <c r="F15" s="22"/>
      <c r="G15" s="23">
        <v>5340.5481471530265</v>
      </c>
      <c r="H15" s="23">
        <v>-34.256569842259047</v>
      </c>
      <c r="I15" s="23"/>
      <c r="J15" s="22">
        <v>-88.289671394354244</v>
      </c>
      <c r="K15" s="22">
        <f t="shared" si="0"/>
        <v>5218.0019059164133</v>
      </c>
      <c r="M15" s="1" t="s">
        <v>6</v>
      </c>
      <c r="N15" s="1" t="s">
        <v>17</v>
      </c>
    </row>
    <row r="16" spans="1:14" x14ac:dyDescent="0.3">
      <c r="A16" s="7" t="s">
        <v>7</v>
      </c>
      <c r="B16" s="29"/>
      <c r="C16" s="30"/>
      <c r="D16" s="31">
        <v>328.81261545020141</v>
      </c>
      <c r="E16" s="30">
        <v>3420.2056466003542</v>
      </c>
      <c r="F16" s="30">
        <v>218.35144613727542</v>
      </c>
      <c r="G16" s="31">
        <v>9.0741919783578098</v>
      </c>
      <c r="H16" s="31">
        <v>16.095306877107852</v>
      </c>
      <c r="I16" s="31"/>
      <c r="J16" s="30"/>
      <c r="K16" s="30">
        <f t="shared" si="0"/>
        <v>3992.5392070432968</v>
      </c>
      <c r="M16" s="1" t="s">
        <v>7</v>
      </c>
      <c r="N16" s="1" t="s">
        <v>18</v>
      </c>
    </row>
    <row r="17" spans="1:14" x14ac:dyDescent="0.3">
      <c r="A17" s="13" t="s">
        <v>8</v>
      </c>
      <c r="B17" s="24">
        <f>SUM(B8:B16)</f>
        <v>6083.9481150695046</v>
      </c>
      <c r="C17" s="25">
        <f t="shared" ref="C17:J17" si="1">SUM(C8:C16)</f>
        <v>29937.193537613624</v>
      </c>
      <c r="D17" s="26">
        <f t="shared" si="1"/>
        <v>6428.5703532211328</v>
      </c>
      <c r="E17" s="25">
        <f t="shared" si="1"/>
        <v>34202.116580284979</v>
      </c>
      <c r="F17" s="25">
        <f t="shared" si="1"/>
        <v>16261.228561434011</v>
      </c>
      <c r="G17" s="26">
        <f t="shared" si="1"/>
        <v>17455.299417894435</v>
      </c>
      <c r="H17" s="26">
        <f t="shared" si="1"/>
        <v>2996.2382963564073</v>
      </c>
      <c r="I17" s="26">
        <f t="shared" si="1"/>
        <v>5218.0019059164124</v>
      </c>
      <c r="J17" s="25">
        <f t="shared" si="1"/>
        <v>3992.539207043299</v>
      </c>
      <c r="K17" s="25"/>
      <c r="M17" s="1" t="s">
        <v>8</v>
      </c>
      <c r="N17" s="1" t="s">
        <v>19</v>
      </c>
    </row>
    <row r="18" spans="1:14" x14ac:dyDescent="0.3">
      <c r="B18"/>
    </row>
    <row r="19" spans="1:14" x14ac:dyDescent="0.3">
      <c r="B19"/>
    </row>
    <row r="20" spans="1:14" x14ac:dyDescent="0.3">
      <c r="A20" s="37"/>
      <c r="B20"/>
    </row>
    <row r="21" spans="1:14" x14ac:dyDescent="0.3">
      <c r="A21" s="33" t="s">
        <v>25</v>
      </c>
    </row>
    <row r="22" spans="1:14" x14ac:dyDescent="0.3">
      <c r="A22" s="35" t="s">
        <v>26</v>
      </c>
    </row>
    <row r="23" spans="1:14" x14ac:dyDescent="0.3">
      <c r="B23" s="62" t="s">
        <v>10</v>
      </c>
      <c r="C23" s="63"/>
    </row>
    <row r="24" spans="1:14" x14ac:dyDescent="0.3">
      <c r="B24" s="10" t="s">
        <v>3</v>
      </c>
      <c r="C24" s="11" t="s">
        <v>9</v>
      </c>
    </row>
    <row r="25" spans="1:14" x14ac:dyDescent="0.3">
      <c r="A25" s="27" t="s">
        <v>4</v>
      </c>
      <c r="B25" s="45"/>
      <c r="C25" s="46"/>
    </row>
    <row r="26" spans="1:14" x14ac:dyDescent="0.3">
      <c r="A26" s="28" t="s">
        <v>14</v>
      </c>
      <c r="B26" s="47"/>
      <c r="C26" s="48"/>
      <c r="D26" s="49">
        <v>0.48114777070532405</v>
      </c>
    </row>
    <row r="27" spans="1:14" x14ac:dyDescent="0.3">
      <c r="A27" s="34"/>
    </row>
    <row r="30" spans="1:14" x14ac:dyDescent="0.3">
      <c r="A30" s="33" t="s">
        <v>42</v>
      </c>
    </row>
    <row r="31" spans="1:14" x14ac:dyDescent="0.3">
      <c r="A31" t="s">
        <v>70</v>
      </c>
    </row>
    <row r="33" spans="1:11" x14ac:dyDescent="0.3">
      <c r="A33" s="13"/>
      <c r="B33" s="38" t="s">
        <v>30</v>
      </c>
      <c r="C33" s="15"/>
      <c r="D33" s="38" t="s">
        <v>27</v>
      </c>
      <c r="E33" s="38"/>
      <c r="F33" s="38" t="s">
        <v>28</v>
      </c>
      <c r="G33" s="38"/>
      <c r="H33" s="38" t="s">
        <v>29</v>
      </c>
      <c r="I33" s="14"/>
    </row>
    <row r="34" spans="1:11" x14ac:dyDescent="0.3">
      <c r="A34" s="4"/>
      <c r="B34" s="5"/>
      <c r="C34" s="5"/>
      <c r="D34" s="5"/>
      <c r="E34" s="5"/>
      <c r="F34" s="5"/>
      <c r="G34" s="5"/>
      <c r="H34" s="5"/>
      <c r="I34" s="6"/>
    </row>
    <row r="35" spans="1:11" x14ac:dyDescent="0.3">
      <c r="A35" s="4"/>
      <c r="B35" s="5"/>
      <c r="C35" s="5"/>
      <c r="D35" s="5"/>
      <c r="E35" s="5"/>
      <c r="F35" s="5"/>
      <c r="G35" s="5"/>
      <c r="H35" s="43" t="s">
        <v>31</v>
      </c>
      <c r="I35" s="6"/>
      <c r="K35" s="56" t="s">
        <v>45</v>
      </c>
    </row>
    <row r="36" spans="1:11" x14ac:dyDescent="0.3">
      <c r="A36" s="4"/>
      <c r="B36" s="5"/>
      <c r="C36" s="5"/>
      <c r="D36" s="5"/>
      <c r="E36" s="5"/>
      <c r="F36" s="43" t="s">
        <v>31</v>
      </c>
      <c r="G36" s="5"/>
      <c r="H36" s="41"/>
      <c r="I36" s="52">
        <v>3.6222832744659907E-2</v>
      </c>
      <c r="K36" s="56" t="s">
        <v>43</v>
      </c>
    </row>
    <row r="37" spans="1:11" x14ac:dyDescent="0.3">
      <c r="A37" s="4"/>
      <c r="B37" s="5"/>
      <c r="C37" s="5"/>
      <c r="D37" s="5"/>
      <c r="E37" s="5"/>
      <c r="F37" s="41"/>
      <c r="G37" s="5"/>
      <c r="H37" s="5"/>
      <c r="I37" s="6"/>
      <c r="K37" s="56" t="s">
        <v>44</v>
      </c>
    </row>
    <row r="38" spans="1:11" x14ac:dyDescent="0.3">
      <c r="A38" s="4"/>
      <c r="B38" s="5"/>
      <c r="C38" s="5"/>
      <c r="D38" s="5"/>
      <c r="E38" s="5"/>
      <c r="F38" s="5"/>
      <c r="G38" s="5"/>
      <c r="H38" s="44" t="s">
        <v>32</v>
      </c>
      <c r="I38" s="6"/>
    </row>
    <row r="39" spans="1:11" x14ac:dyDescent="0.3">
      <c r="A39" s="4"/>
      <c r="B39" s="5"/>
      <c r="C39" s="5"/>
      <c r="D39" s="43" t="s">
        <v>31</v>
      </c>
      <c r="E39" s="5"/>
      <c r="F39" s="5"/>
      <c r="G39" s="5"/>
      <c r="H39" s="40"/>
      <c r="I39" s="6"/>
      <c r="K39" s="56" t="s">
        <v>46</v>
      </c>
    </row>
    <row r="40" spans="1:11" x14ac:dyDescent="0.3">
      <c r="A40" s="4"/>
      <c r="B40" s="5"/>
      <c r="C40" s="5"/>
      <c r="D40" s="41"/>
      <c r="E40" s="5"/>
      <c r="F40" s="5"/>
      <c r="G40" s="5"/>
      <c r="H40" s="5"/>
      <c r="I40" s="6"/>
      <c r="K40" s="56" t="s">
        <v>47</v>
      </c>
    </row>
    <row r="41" spans="1:11" x14ac:dyDescent="0.3">
      <c r="A41" s="4"/>
      <c r="B41" s="5"/>
      <c r="C41" s="5"/>
      <c r="D41" s="53">
        <v>1.5357745633006668</v>
      </c>
      <c r="E41" s="5"/>
      <c r="F41" s="5"/>
      <c r="G41" s="5"/>
      <c r="H41" s="5"/>
      <c r="I41" s="6"/>
      <c r="K41" s="56"/>
    </row>
    <row r="42" spans="1:11" x14ac:dyDescent="0.3">
      <c r="A42" s="4"/>
      <c r="B42" s="5"/>
      <c r="C42" s="5"/>
      <c r="D42" s="5"/>
      <c r="E42" s="5"/>
      <c r="F42" s="5"/>
      <c r="G42" s="5"/>
      <c r="H42" s="43" t="s">
        <v>31</v>
      </c>
      <c r="I42" s="6"/>
      <c r="K42" s="56" t="s">
        <v>48</v>
      </c>
    </row>
    <row r="43" spans="1:11" x14ac:dyDescent="0.3">
      <c r="A43" s="4"/>
      <c r="B43" s="5"/>
      <c r="C43" s="5"/>
      <c r="D43" s="5"/>
      <c r="E43" s="5"/>
      <c r="F43" s="51" t="s">
        <v>32</v>
      </c>
      <c r="G43" s="5"/>
      <c r="H43" s="41"/>
      <c r="I43" s="6"/>
      <c r="K43" s="56" t="s">
        <v>49</v>
      </c>
    </row>
    <row r="44" spans="1:11" x14ac:dyDescent="0.3">
      <c r="A44" s="4"/>
      <c r="B44" s="42"/>
      <c r="C44" s="5"/>
      <c r="D44" s="5"/>
      <c r="E44" s="5"/>
      <c r="F44" s="40"/>
      <c r="G44" s="5"/>
      <c r="H44" s="5"/>
      <c r="I44" s="6"/>
    </row>
    <row r="45" spans="1:11" x14ac:dyDescent="0.3">
      <c r="A45" s="4"/>
      <c r="B45" s="42"/>
      <c r="C45" s="5"/>
      <c r="D45" s="5"/>
      <c r="E45" s="5"/>
      <c r="F45" s="5"/>
      <c r="G45" s="5"/>
      <c r="H45" s="44" t="s">
        <v>32</v>
      </c>
      <c r="I45" s="6"/>
      <c r="K45" s="56" t="s">
        <v>50</v>
      </c>
    </row>
    <row r="46" spans="1:11" x14ac:dyDescent="0.3">
      <c r="A46" s="4"/>
      <c r="B46" s="50" t="s">
        <v>31</v>
      </c>
      <c r="C46" s="5"/>
      <c r="D46" s="5"/>
      <c r="E46" s="5"/>
      <c r="F46" s="5"/>
      <c r="G46" s="5"/>
      <c r="H46" s="40"/>
      <c r="I46" s="52">
        <v>0.30391840007626231</v>
      </c>
    </row>
    <row r="47" spans="1:11" x14ac:dyDescent="0.3">
      <c r="A47" s="4"/>
      <c r="B47" s="39">
        <v>10</v>
      </c>
      <c r="C47" s="5"/>
      <c r="D47" s="5"/>
      <c r="E47" s="5"/>
      <c r="F47" s="5"/>
      <c r="G47" s="5"/>
      <c r="H47" s="5"/>
      <c r="I47" s="6"/>
      <c r="K47" s="56" t="s">
        <v>63</v>
      </c>
    </row>
    <row r="48" spans="1:11" x14ac:dyDescent="0.3">
      <c r="A48" s="4"/>
      <c r="B48" s="42"/>
      <c r="C48" s="5"/>
      <c r="D48" s="5"/>
      <c r="E48" s="5"/>
      <c r="F48" s="5"/>
      <c r="G48" s="5"/>
      <c r="H48" s="5"/>
      <c r="I48" s="6"/>
      <c r="K48" s="56" t="s">
        <v>64</v>
      </c>
    </row>
    <row r="49" spans="1:11" x14ac:dyDescent="0.3">
      <c r="A49" s="4"/>
      <c r="B49" s="5"/>
      <c r="C49" s="5"/>
      <c r="D49" s="5"/>
      <c r="E49" s="5"/>
      <c r="F49" s="5"/>
      <c r="G49" s="5"/>
      <c r="H49" s="43" t="s">
        <v>31</v>
      </c>
      <c r="I49" s="6"/>
    </row>
    <row r="50" spans="1:11" x14ac:dyDescent="0.3">
      <c r="A50" s="4"/>
      <c r="B50" s="5"/>
      <c r="C50" s="5"/>
      <c r="D50" s="5"/>
      <c r="E50" s="5"/>
      <c r="F50" s="43" t="s">
        <v>31</v>
      </c>
      <c r="G50" s="5"/>
      <c r="H50" s="41"/>
      <c r="I50" s="6"/>
      <c r="K50" s="56" t="s">
        <v>65</v>
      </c>
    </row>
    <row r="51" spans="1:11" x14ac:dyDescent="0.3">
      <c r="A51" s="4"/>
      <c r="B51" s="5"/>
      <c r="C51" s="5"/>
      <c r="D51" s="5"/>
      <c r="E51" s="5"/>
      <c r="F51" s="41"/>
      <c r="G51" s="5"/>
      <c r="H51" s="5"/>
      <c r="I51" s="6"/>
    </row>
    <row r="52" spans="1:11" x14ac:dyDescent="0.3">
      <c r="A52" s="4"/>
      <c r="B52" s="5"/>
      <c r="C52" s="5"/>
      <c r="D52" s="5"/>
      <c r="E52" s="5"/>
      <c r="F52" s="53">
        <v>0.26466445459737542</v>
      </c>
      <c r="G52" s="5"/>
      <c r="H52" s="44" t="s">
        <v>32</v>
      </c>
      <c r="I52" s="6"/>
    </row>
    <row r="53" spans="1:11" x14ac:dyDescent="0.3">
      <c r="A53" s="4"/>
      <c r="B53" s="5"/>
      <c r="C53" s="5"/>
      <c r="D53" s="44" t="s">
        <v>32</v>
      </c>
      <c r="E53" s="5"/>
      <c r="F53" s="5"/>
      <c r="G53" s="5"/>
      <c r="H53" s="40"/>
      <c r="I53" s="6"/>
    </row>
    <row r="54" spans="1:11" x14ac:dyDescent="0.3">
      <c r="A54" s="4"/>
      <c r="B54" s="5"/>
      <c r="C54" s="5"/>
      <c r="D54" s="40"/>
      <c r="E54" s="5"/>
      <c r="F54" s="5"/>
      <c r="G54" s="5"/>
      <c r="H54" s="5"/>
      <c r="I54" s="6"/>
    </row>
    <row r="55" spans="1:11" x14ac:dyDescent="0.3">
      <c r="A55" s="4"/>
      <c r="B55" s="5"/>
      <c r="C55" s="5"/>
      <c r="D55" s="53">
        <v>4.1129274247858625</v>
      </c>
      <c r="E55" s="5"/>
      <c r="F55" s="5"/>
      <c r="G55" s="5"/>
      <c r="H55" s="5"/>
      <c r="I55" s="6"/>
    </row>
    <row r="56" spans="1:11" x14ac:dyDescent="0.3">
      <c r="A56" s="4"/>
      <c r="B56" s="5"/>
      <c r="C56" s="5"/>
      <c r="D56" s="5"/>
      <c r="E56" s="5"/>
      <c r="F56" s="5"/>
      <c r="G56" s="5"/>
      <c r="H56" s="43" t="s">
        <v>31</v>
      </c>
      <c r="I56" s="6"/>
    </row>
    <row r="57" spans="1:11" x14ac:dyDescent="0.3">
      <c r="A57" s="4"/>
      <c r="B57" s="5"/>
      <c r="C57" s="5"/>
      <c r="D57" s="5"/>
      <c r="E57" s="5"/>
      <c r="F57" s="44" t="s">
        <v>32</v>
      </c>
      <c r="G57" s="5"/>
      <c r="H57" s="41"/>
      <c r="I57" s="6"/>
    </row>
    <row r="58" spans="1:11" x14ac:dyDescent="0.3">
      <c r="A58" s="4"/>
      <c r="B58" s="5"/>
      <c r="C58" s="5"/>
      <c r="D58" s="5"/>
      <c r="E58" s="5"/>
      <c r="F58" s="40"/>
      <c r="G58" s="5"/>
      <c r="H58" s="5"/>
      <c r="I58" s="6"/>
    </row>
    <row r="59" spans="1:11" x14ac:dyDescent="0.3">
      <c r="A59" s="4"/>
      <c r="B59" s="5"/>
      <c r="C59" s="5"/>
      <c r="D59" s="5"/>
      <c r="E59" s="5"/>
      <c r="F59" s="5"/>
      <c r="G59" s="5"/>
      <c r="H59" s="44" t="s">
        <v>32</v>
      </c>
      <c r="I59" s="6"/>
    </row>
    <row r="60" spans="1:11" x14ac:dyDescent="0.3">
      <c r="A60" s="4"/>
      <c r="B60" s="5"/>
      <c r="C60" s="5"/>
      <c r="D60" s="5"/>
      <c r="E60" s="5"/>
      <c r="F60" s="5"/>
      <c r="G60" s="5"/>
      <c r="H60" s="40"/>
      <c r="I60" s="52">
        <v>0.95215576665593105</v>
      </c>
    </row>
    <row r="61" spans="1:11" x14ac:dyDescent="0.3">
      <c r="A61" s="7"/>
      <c r="B61" s="8"/>
      <c r="C61" s="8"/>
      <c r="D61" s="8"/>
      <c r="E61" s="8"/>
      <c r="F61" s="8"/>
      <c r="G61" s="8"/>
      <c r="H61" s="8"/>
      <c r="I61" s="9"/>
    </row>
    <row r="64" spans="1:11" x14ac:dyDescent="0.3">
      <c r="A64" s="54" t="s">
        <v>33</v>
      </c>
      <c r="B64" s="55" t="s">
        <v>34</v>
      </c>
    </row>
    <row r="65" spans="1:3" x14ac:dyDescent="0.3">
      <c r="A65" s="54" t="s">
        <v>35</v>
      </c>
      <c r="B65" s="57"/>
      <c r="C65" s="55"/>
    </row>
    <row r="66" spans="1:3" x14ac:dyDescent="0.3">
      <c r="B66" s="58"/>
    </row>
    <row r="67" spans="1:3" x14ac:dyDescent="0.3">
      <c r="A67" s="54" t="s">
        <v>36</v>
      </c>
      <c r="B67" s="59" t="s">
        <v>51</v>
      </c>
    </row>
    <row r="68" spans="1:3" x14ac:dyDescent="0.3">
      <c r="A68" s="54" t="s">
        <v>37</v>
      </c>
      <c r="B68" s="57"/>
      <c r="C68" s="55"/>
    </row>
    <row r="69" spans="1:3" x14ac:dyDescent="0.3">
      <c r="B69" s="58"/>
    </row>
    <row r="70" spans="1:3" x14ac:dyDescent="0.3">
      <c r="A70" s="54" t="s">
        <v>38</v>
      </c>
      <c r="B70" s="59" t="s">
        <v>52</v>
      </c>
    </row>
    <row r="71" spans="1:3" x14ac:dyDescent="0.3">
      <c r="A71" s="54" t="s">
        <v>40</v>
      </c>
      <c r="B71" s="57"/>
      <c r="C71" s="55"/>
    </row>
    <row r="72" spans="1:3" x14ac:dyDescent="0.3">
      <c r="B72" s="58"/>
    </row>
    <row r="73" spans="1:3" x14ac:dyDescent="0.3">
      <c r="A73" s="54" t="s">
        <v>41</v>
      </c>
      <c r="B73" s="59" t="s">
        <v>53</v>
      </c>
    </row>
    <row r="74" spans="1:3" x14ac:dyDescent="0.3">
      <c r="A74" s="54" t="s">
        <v>39</v>
      </c>
      <c r="B74" s="57"/>
      <c r="C74" s="55"/>
    </row>
    <row r="75" spans="1:3" x14ac:dyDescent="0.3">
      <c r="B75" s="58"/>
    </row>
    <row r="76" spans="1:3" x14ac:dyDescent="0.3">
      <c r="A76" s="54" t="s">
        <v>54</v>
      </c>
      <c r="B76" s="59" t="s">
        <v>61</v>
      </c>
    </row>
    <row r="77" spans="1:3" x14ac:dyDescent="0.3">
      <c r="A77" s="54" t="s">
        <v>55</v>
      </c>
      <c r="B77" s="57"/>
      <c r="C77" s="55"/>
    </row>
    <row r="78" spans="1:3" x14ac:dyDescent="0.3">
      <c r="B78" s="58"/>
    </row>
    <row r="79" spans="1:3" x14ac:dyDescent="0.3">
      <c r="A79" s="54" t="s">
        <v>56</v>
      </c>
      <c r="B79" s="59" t="s">
        <v>60</v>
      </c>
    </row>
    <row r="80" spans="1:3" x14ac:dyDescent="0.3">
      <c r="A80" s="54" t="s">
        <v>57</v>
      </c>
      <c r="B80" s="57"/>
      <c r="C80" s="55"/>
    </row>
    <row r="81" spans="1:3" x14ac:dyDescent="0.3">
      <c r="B81" s="58"/>
    </row>
    <row r="82" spans="1:3" x14ac:dyDescent="0.3">
      <c r="A82" s="54" t="s">
        <v>58</v>
      </c>
      <c r="B82" s="59" t="s">
        <v>62</v>
      </c>
    </row>
    <row r="83" spans="1:3" x14ac:dyDescent="0.3">
      <c r="A83" s="54" t="s">
        <v>66</v>
      </c>
      <c r="B83" s="57"/>
      <c r="C83" s="55"/>
    </row>
    <row r="84" spans="1:3" x14ac:dyDescent="0.3">
      <c r="B84" s="59"/>
    </row>
    <row r="85" spans="1:3" x14ac:dyDescent="0.3">
      <c r="A85" s="54" t="s">
        <v>67</v>
      </c>
      <c r="B85" s="59" t="s">
        <v>59</v>
      </c>
    </row>
    <row r="86" spans="1:3" x14ac:dyDescent="0.3">
      <c r="A86" s="54" t="s">
        <v>68</v>
      </c>
      <c r="B86" s="57"/>
      <c r="C86" s="55"/>
    </row>
  </sheetData>
  <mergeCells count="4">
    <mergeCell ref="B6:C6"/>
    <mergeCell ref="D6:E6"/>
    <mergeCell ref="G6:J6"/>
    <mergeCell ref="B23:C2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86"/>
  <sheetViews>
    <sheetView zoomScale="80" zoomScaleNormal="80" workbookViewId="0">
      <selection activeCell="E72" sqref="E72"/>
    </sheetView>
  </sheetViews>
  <sheetFormatPr defaultColWidth="9.109375" defaultRowHeight="14.4" x14ac:dyDescent="0.3"/>
  <cols>
    <col min="1" max="16384" width="9.109375" style="1"/>
  </cols>
  <sheetData>
    <row r="1" spans="1:14" ht="18" x14ac:dyDescent="0.35">
      <c r="A1" s="2" t="s">
        <v>69</v>
      </c>
    </row>
    <row r="4" spans="1:14" ht="15.6" x14ac:dyDescent="0.3">
      <c r="A4" s="36" t="s">
        <v>71</v>
      </c>
    </row>
    <row r="5" spans="1:14" x14ac:dyDescent="0.3">
      <c r="A5"/>
    </row>
    <row r="6" spans="1:14" x14ac:dyDescent="0.3">
      <c r="B6" s="62" t="s">
        <v>10</v>
      </c>
      <c r="C6" s="63"/>
      <c r="D6" s="64" t="s">
        <v>0</v>
      </c>
      <c r="E6" s="63"/>
      <c r="F6" s="60" t="s">
        <v>1</v>
      </c>
      <c r="G6" s="62" t="s">
        <v>2</v>
      </c>
      <c r="H6" s="64"/>
      <c r="I6" s="64"/>
      <c r="J6" s="63"/>
      <c r="K6" s="5"/>
    </row>
    <row r="7" spans="1:14" x14ac:dyDescent="0.3">
      <c r="B7" s="10" t="s">
        <v>3</v>
      </c>
      <c r="C7" s="11" t="s">
        <v>9</v>
      </c>
      <c r="D7" s="12" t="s">
        <v>4</v>
      </c>
      <c r="E7" s="11" t="s">
        <v>14</v>
      </c>
      <c r="F7" s="11" t="s">
        <v>11</v>
      </c>
      <c r="G7" s="12" t="s">
        <v>13</v>
      </c>
      <c r="H7" s="12" t="s">
        <v>5</v>
      </c>
      <c r="I7" s="12" t="s">
        <v>6</v>
      </c>
      <c r="J7" s="11" t="s">
        <v>7</v>
      </c>
      <c r="K7" s="17" t="s">
        <v>8</v>
      </c>
      <c r="M7" s="32" t="s">
        <v>24</v>
      </c>
    </row>
    <row r="8" spans="1:14" x14ac:dyDescent="0.3">
      <c r="A8" s="3" t="s">
        <v>3</v>
      </c>
      <c r="B8" s="18"/>
      <c r="C8" s="19"/>
      <c r="D8" s="20">
        <v>6083.9481150695046</v>
      </c>
      <c r="E8" s="19"/>
      <c r="F8" s="19"/>
      <c r="G8" s="20"/>
      <c r="H8" s="20"/>
      <c r="I8" s="20"/>
      <c r="J8" s="19"/>
      <c r="K8" s="19">
        <f>SUM(B8:J8)</f>
        <v>6083.9481150695046</v>
      </c>
      <c r="M8" s="1" t="s">
        <v>3</v>
      </c>
      <c r="N8" s="1" t="s">
        <v>15</v>
      </c>
    </row>
    <row r="9" spans="1:14" x14ac:dyDescent="0.3">
      <c r="A9" s="4" t="s">
        <v>9</v>
      </c>
      <c r="B9" s="21"/>
      <c r="C9" s="22"/>
      <c r="D9" s="23"/>
      <c r="E9" s="22">
        <v>29937.193537613624</v>
      </c>
      <c r="F9" s="22"/>
      <c r="G9" s="23"/>
      <c r="H9" s="23"/>
      <c r="I9" s="23"/>
      <c r="J9" s="22"/>
      <c r="K9" s="22">
        <f t="shared" ref="K9:K16" si="0">SUM(B9:J9)</f>
        <v>29937.193537613624</v>
      </c>
      <c r="M9" s="1" t="s">
        <v>9</v>
      </c>
      <c r="N9" t="s">
        <v>20</v>
      </c>
    </row>
    <row r="10" spans="1:14" x14ac:dyDescent="0.3">
      <c r="A10" s="27" t="s">
        <v>4</v>
      </c>
      <c r="B10" s="18">
        <v>934.35727595647836</v>
      </c>
      <c r="C10" s="19">
        <v>1926.4407516797125</v>
      </c>
      <c r="D10" s="20"/>
      <c r="E10" s="19"/>
      <c r="F10" s="19"/>
      <c r="G10" s="20">
        <v>3540.4360925205783</v>
      </c>
      <c r="H10" s="20">
        <v>0</v>
      </c>
      <c r="I10" s="20">
        <v>0</v>
      </c>
      <c r="J10" s="19">
        <v>27.336233064363579</v>
      </c>
      <c r="K10" s="19">
        <f t="shared" si="0"/>
        <v>6428.5703532211328</v>
      </c>
      <c r="M10" s="1" t="s">
        <v>4</v>
      </c>
      <c r="N10" s="1" t="s">
        <v>16</v>
      </c>
    </row>
    <row r="11" spans="1:14" x14ac:dyDescent="0.3">
      <c r="A11" s="28" t="s">
        <v>14</v>
      </c>
      <c r="B11" s="29">
        <v>2502.2837053443618</v>
      </c>
      <c r="C11" s="30">
        <v>14404.213931796628</v>
      </c>
      <c r="D11" s="31"/>
      <c r="E11" s="30"/>
      <c r="F11" s="30"/>
      <c r="G11" s="31">
        <v>7813.3201220021674</v>
      </c>
      <c r="H11" s="31">
        <v>1028.2672427692576</v>
      </c>
      <c r="I11" s="31">
        <v>5218.0019059164124</v>
      </c>
      <c r="J11" s="30">
        <v>3236.029672456164</v>
      </c>
      <c r="K11" s="30">
        <f t="shared" si="0"/>
        <v>34202.116580284994</v>
      </c>
      <c r="M11" s="1" t="s">
        <v>14</v>
      </c>
      <c r="N11" t="s">
        <v>21</v>
      </c>
    </row>
    <row r="12" spans="1:14" x14ac:dyDescent="0.3">
      <c r="A12" s="4" t="s">
        <v>11</v>
      </c>
      <c r="B12" s="21">
        <v>2647.3071337686647</v>
      </c>
      <c r="C12" s="22">
        <v>13606.538854137285</v>
      </c>
      <c r="D12" s="23"/>
      <c r="E12" s="22"/>
      <c r="F12" s="22"/>
      <c r="G12" s="23"/>
      <c r="H12" s="23"/>
      <c r="I12" s="23"/>
      <c r="J12" s="22">
        <v>7.3825735280566667</v>
      </c>
      <c r="K12" s="22">
        <f t="shared" si="0"/>
        <v>16261.228561434007</v>
      </c>
      <c r="M12" s="1" t="s">
        <v>11</v>
      </c>
      <c r="N12" t="s">
        <v>22</v>
      </c>
    </row>
    <row r="13" spans="1:14" x14ac:dyDescent="0.3">
      <c r="A13" s="3" t="s">
        <v>13</v>
      </c>
      <c r="B13" s="18"/>
      <c r="C13" s="19"/>
      <c r="D13" s="20"/>
      <c r="E13" s="19"/>
      <c r="F13" s="19">
        <v>16042.877115296735</v>
      </c>
      <c r="G13" s="20"/>
      <c r="H13" s="20">
        <v>623.97406073006073</v>
      </c>
      <c r="I13" s="20"/>
      <c r="J13" s="19">
        <v>788.44824186763992</v>
      </c>
      <c r="K13" s="19">
        <f t="shared" si="0"/>
        <v>17455.299417894435</v>
      </c>
      <c r="M13" s="1" t="s">
        <v>13</v>
      </c>
      <c r="N13" t="s">
        <v>23</v>
      </c>
    </row>
    <row r="14" spans="1:14" x14ac:dyDescent="0.3">
      <c r="A14" s="4" t="s">
        <v>5</v>
      </c>
      <c r="B14" s="21"/>
      <c r="C14" s="22"/>
      <c r="D14" s="23">
        <v>15.809622701426436</v>
      </c>
      <c r="E14" s="22">
        <v>844.71739607100312</v>
      </c>
      <c r="F14" s="22"/>
      <c r="G14" s="23">
        <v>751.92086424030674</v>
      </c>
      <c r="H14" s="23">
        <v>1362.1582558222403</v>
      </c>
      <c r="I14" s="23"/>
      <c r="J14" s="22">
        <v>21.632157521429448</v>
      </c>
      <c r="K14" s="22">
        <f t="shared" si="0"/>
        <v>2996.238296356406</v>
      </c>
      <c r="M14" s="1" t="s">
        <v>5</v>
      </c>
      <c r="N14" s="1" t="s">
        <v>12</v>
      </c>
    </row>
    <row r="15" spans="1:14" x14ac:dyDescent="0.3">
      <c r="A15" s="4" t="s">
        <v>6</v>
      </c>
      <c r="B15" s="21"/>
      <c r="C15" s="22"/>
      <c r="D15" s="23"/>
      <c r="E15" s="22"/>
      <c r="F15" s="22"/>
      <c r="G15" s="23">
        <v>5340.5481471530265</v>
      </c>
      <c r="H15" s="23">
        <v>-34.256569842259047</v>
      </c>
      <c r="I15" s="23"/>
      <c r="J15" s="22">
        <v>-88.289671394354244</v>
      </c>
      <c r="K15" s="22">
        <f t="shared" si="0"/>
        <v>5218.0019059164133</v>
      </c>
      <c r="M15" s="1" t="s">
        <v>6</v>
      </c>
      <c r="N15" s="1" t="s">
        <v>17</v>
      </c>
    </row>
    <row r="16" spans="1:14" x14ac:dyDescent="0.3">
      <c r="A16" s="7" t="s">
        <v>7</v>
      </c>
      <c r="B16" s="29"/>
      <c r="C16" s="30"/>
      <c r="D16" s="31">
        <v>328.81261545020141</v>
      </c>
      <c r="E16" s="30">
        <v>3420.2056466003542</v>
      </c>
      <c r="F16" s="30">
        <v>218.35144613727542</v>
      </c>
      <c r="G16" s="31">
        <v>9.0741919783578098</v>
      </c>
      <c r="H16" s="31">
        <v>16.095306877107852</v>
      </c>
      <c r="I16" s="31"/>
      <c r="J16" s="30"/>
      <c r="K16" s="30">
        <f t="shared" si="0"/>
        <v>3992.5392070432968</v>
      </c>
      <c r="M16" s="1" t="s">
        <v>7</v>
      </c>
      <c r="N16" s="1" t="s">
        <v>18</v>
      </c>
    </row>
    <row r="17" spans="1:14" x14ac:dyDescent="0.3">
      <c r="A17" s="13" t="s">
        <v>8</v>
      </c>
      <c r="B17" s="24">
        <f>SUM(B8:B16)</f>
        <v>6083.9481150695046</v>
      </c>
      <c r="C17" s="25">
        <f t="shared" ref="C17:J17" si="1">SUM(C8:C16)</f>
        <v>29937.193537613624</v>
      </c>
      <c r="D17" s="26">
        <f t="shared" si="1"/>
        <v>6428.5703532211328</v>
      </c>
      <c r="E17" s="25">
        <f t="shared" si="1"/>
        <v>34202.116580284979</v>
      </c>
      <c r="F17" s="25">
        <f t="shared" si="1"/>
        <v>16261.228561434011</v>
      </c>
      <c r="G17" s="26">
        <f t="shared" si="1"/>
        <v>17455.299417894435</v>
      </c>
      <c r="H17" s="26">
        <f t="shared" si="1"/>
        <v>2996.2382963564073</v>
      </c>
      <c r="I17" s="26">
        <f t="shared" si="1"/>
        <v>5218.0019059164124</v>
      </c>
      <c r="J17" s="25">
        <f t="shared" si="1"/>
        <v>3992.539207043299</v>
      </c>
      <c r="K17" s="25"/>
      <c r="M17" s="1" t="s">
        <v>8</v>
      </c>
      <c r="N17" s="1" t="s">
        <v>19</v>
      </c>
    </row>
    <row r="18" spans="1:14" x14ac:dyDescent="0.3">
      <c r="B18"/>
    </row>
    <row r="19" spans="1:14" x14ac:dyDescent="0.3">
      <c r="B19"/>
    </row>
    <row r="20" spans="1:14" x14ac:dyDescent="0.3">
      <c r="A20" s="37"/>
      <c r="B20"/>
    </row>
    <row r="21" spans="1:14" x14ac:dyDescent="0.3">
      <c r="A21" s="33" t="s">
        <v>25</v>
      </c>
    </row>
    <row r="22" spans="1:14" x14ac:dyDescent="0.3">
      <c r="A22" s="35" t="s">
        <v>26</v>
      </c>
    </row>
    <row r="23" spans="1:14" x14ac:dyDescent="0.3">
      <c r="B23" s="62" t="s">
        <v>10</v>
      </c>
      <c r="C23" s="63"/>
    </row>
    <row r="24" spans="1:14" x14ac:dyDescent="0.3">
      <c r="B24" s="10" t="s">
        <v>3</v>
      </c>
      <c r="C24" s="11" t="s">
        <v>9</v>
      </c>
    </row>
    <row r="25" spans="1:14" x14ac:dyDescent="0.3">
      <c r="A25" s="27" t="s">
        <v>4</v>
      </c>
      <c r="B25" s="45">
        <f>B10/B$17</f>
        <v>0.15357745633006667</v>
      </c>
      <c r="C25" s="46">
        <f t="shared" ref="C25:C26" si="2">C10/C$17</f>
        <v>6.4349410350014874E-2</v>
      </c>
    </row>
    <row r="26" spans="1:14" x14ac:dyDescent="0.3">
      <c r="A26" s="28" t="s">
        <v>14</v>
      </c>
      <c r="B26" s="47">
        <f t="shared" ref="B26" si="3">B11/B$17</f>
        <v>0.41129274247858622</v>
      </c>
      <c r="C26" s="48">
        <f t="shared" si="2"/>
        <v>0.48114777070532405</v>
      </c>
      <c r="D26" s="49">
        <v>0.48114777070532405</v>
      </c>
    </row>
    <row r="27" spans="1:14" x14ac:dyDescent="0.3">
      <c r="A27" s="34"/>
    </row>
    <row r="30" spans="1:14" x14ac:dyDescent="0.3">
      <c r="A30" s="33" t="s">
        <v>42</v>
      </c>
    </row>
    <row r="31" spans="1:14" x14ac:dyDescent="0.3">
      <c r="A31" t="s">
        <v>70</v>
      </c>
    </row>
    <row r="33" spans="1:11" x14ac:dyDescent="0.3">
      <c r="A33" s="13"/>
      <c r="B33" s="61" t="s">
        <v>30</v>
      </c>
      <c r="C33" s="15"/>
      <c r="D33" s="61" t="s">
        <v>27</v>
      </c>
      <c r="E33" s="61"/>
      <c r="F33" s="61" t="s">
        <v>28</v>
      </c>
      <c r="G33" s="61"/>
      <c r="H33" s="61" t="s">
        <v>29</v>
      </c>
      <c r="I33" s="14"/>
    </row>
    <row r="34" spans="1:11" x14ac:dyDescent="0.3">
      <c r="A34" s="4"/>
      <c r="B34" s="5"/>
      <c r="C34" s="5"/>
      <c r="D34" s="5"/>
      <c r="E34" s="5"/>
      <c r="F34" s="5"/>
      <c r="G34" s="5"/>
      <c r="H34" s="5"/>
      <c r="I34" s="6"/>
    </row>
    <row r="35" spans="1:11" x14ac:dyDescent="0.3">
      <c r="A35" s="4"/>
      <c r="B35" s="5"/>
      <c r="C35" s="5"/>
      <c r="D35" s="5"/>
      <c r="E35" s="5"/>
      <c r="F35" s="5"/>
      <c r="G35" s="5"/>
      <c r="H35" s="43" t="s">
        <v>31</v>
      </c>
      <c r="I35" s="6"/>
      <c r="K35" s="56" t="s">
        <v>45</v>
      </c>
    </row>
    <row r="36" spans="1:11" x14ac:dyDescent="0.3">
      <c r="A36" s="4"/>
      <c r="B36" s="5"/>
      <c r="C36" s="5"/>
      <c r="D36" s="5"/>
      <c r="E36" s="5"/>
      <c r="F36" s="43" t="s">
        <v>31</v>
      </c>
      <c r="G36" s="5"/>
      <c r="H36" s="41">
        <f>F37*B25</f>
        <v>3.6222832744659907E-2</v>
      </c>
      <c r="I36" s="52">
        <v>3.6222832744659907E-2</v>
      </c>
      <c r="K36" s="56" t="s">
        <v>43</v>
      </c>
    </row>
    <row r="37" spans="1:11" x14ac:dyDescent="0.3">
      <c r="A37" s="4"/>
      <c r="B37" s="5"/>
      <c r="C37" s="5"/>
      <c r="D37" s="5"/>
      <c r="E37" s="5"/>
      <c r="F37" s="41">
        <f>D40*B25</f>
        <v>0.23586035092813537</v>
      </c>
      <c r="G37" s="5"/>
      <c r="H37" s="5"/>
      <c r="I37" s="6"/>
      <c r="K37" s="56" t="s">
        <v>44</v>
      </c>
    </row>
    <row r="38" spans="1:11" x14ac:dyDescent="0.3">
      <c r="A38" s="4"/>
      <c r="B38" s="5"/>
      <c r="C38" s="5"/>
      <c r="D38" s="5"/>
      <c r="E38" s="5"/>
      <c r="F38" s="5"/>
      <c r="G38" s="5"/>
      <c r="H38" s="44" t="s">
        <v>32</v>
      </c>
      <c r="I38" s="6"/>
    </row>
    <row r="39" spans="1:11" x14ac:dyDescent="0.3">
      <c r="A39" s="4"/>
      <c r="B39" s="5"/>
      <c r="C39" s="5"/>
      <c r="D39" s="43" t="s">
        <v>31</v>
      </c>
      <c r="E39" s="5"/>
      <c r="F39" s="5"/>
      <c r="G39" s="5"/>
      <c r="H39" s="40">
        <f>F37*B26</f>
        <v>9.7007650575194559E-2</v>
      </c>
      <c r="I39" s="6"/>
      <c r="K39" s="56" t="s">
        <v>46</v>
      </c>
    </row>
    <row r="40" spans="1:11" x14ac:dyDescent="0.3">
      <c r="A40" s="4"/>
      <c r="B40" s="5"/>
      <c r="C40" s="5"/>
      <c r="D40" s="41">
        <f>B47*B25</f>
        <v>1.5357745633006668</v>
      </c>
      <c r="E40" s="5"/>
      <c r="F40" s="5"/>
      <c r="G40" s="5"/>
      <c r="H40" s="5"/>
      <c r="I40" s="6"/>
      <c r="K40" s="56" t="s">
        <v>47</v>
      </c>
    </row>
    <row r="41" spans="1:11" x14ac:dyDescent="0.3">
      <c r="A41" s="4"/>
      <c r="B41" s="5"/>
      <c r="C41" s="5"/>
      <c r="D41" s="53">
        <v>1.5357745633006668</v>
      </c>
      <c r="E41" s="5"/>
      <c r="F41" s="5"/>
      <c r="G41" s="5"/>
      <c r="H41" s="5"/>
      <c r="I41" s="6"/>
      <c r="K41" s="56"/>
    </row>
    <row r="42" spans="1:11" x14ac:dyDescent="0.3">
      <c r="A42" s="4"/>
      <c r="B42" s="5"/>
      <c r="C42" s="5"/>
      <c r="D42" s="5"/>
      <c r="E42" s="5"/>
      <c r="F42" s="5"/>
      <c r="G42" s="5"/>
      <c r="H42" s="43" t="s">
        <v>31</v>
      </c>
      <c r="I42" s="6"/>
      <c r="K42" s="56" t="s">
        <v>48</v>
      </c>
    </row>
    <row r="43" spans="1:11" x14ac:dyDescent="0.3">
      <c r="A43" s="4"/>
      <c r="B43" s="5"/>
      <c r="C43" s="5"/>
      <c r="D43" s="5"/>
      <c r="E43" s="5"/>
      <c r="F43" s="51" t="s">
        <v>32</v>
      </c>
      <c r="G43" s="5"/>
      <c r="H43" s="41">
        <f>C25*F44</f>
        <v>4.0646493718049334E-2</v>
      </c>
      <c r="I43" s="6"/>
      <c r="K43" s="56" t="s">
        <v>49</v>
      </c>
    </row>
    <row r="44" spans="1:11" x14ac:dyDescent="0.3">
      <c r="A44" s="4"/>
      <c r="B44" s="42"/>
      <c r="C44" s="5"/>
      <c r="D44" s="5"/>
      <c r="E44" s="5"/>
      <c r="F44" s="40">
        <f>D40*B26</f>
        <v>0.63165293196878436</v>
      </c>
      <c r="G44" s="5"/>
      <c r="H44" s="5"/>
      <c r="I44" s="6"/>
    </row>
    <row r="45" spans="1:11" x14ac:dyDescent="0.3">
      <c r="A45" s="4"/>
      <c r="B45" s="42"/>
      <c r="C45" s="5"/>
      <c r="D45" s="5"/>
      <c r="E45" s="5"/>
      <c r="F45" s="5"/>
      <c r="G45" s="5"/>
      <c r="H45" s="44" t="s">
        <v>32</v>
      </c>
      <c r="I45" s="6"/>
      <c r="K45" s="56" t="s">
        <v>50</v>
      </c>
    </row>
    <row r="46" spans="1:11" x14ac:dyDescent="0.3">
      <c r="A46" s="4"/>
      <c r="B46" s="50" t="s">
        <v>31</v>
      </c>
      <c r="C46" s="5"/>
      <c r="D46" s="5"/>
      <c r="E46" s="5"/>
      <c r="F46" s="5"/>
      <c r="G46" s="5"/>
      <c r="H46" s="40">
        <f>C26*F44</f>
        <v>0.30391840007626231</v>
      </c>
      <c r="I46" s="52">
        <v>0.30391840007626231</v>
      </c>
    </row>
    <row r="47" spans="1:11" x14ac:dyDescent="0.3">
      <c r="A47" s="4"/>
      <c r="B47" s="39">
        <v>10</v>
      </c>
      <c r="C47" s="5"/>
      <c r="D47" s="5"/>
      <c r="E47" s="5"/>
      <c r="F47" s="5"/>
      <c r="G47" s="5"/>
      <c r="H47" s="5"/>
      <c r="I47" s="6"/>
      <c r="K47" s="56" t="s">
        <v>63</v>
      </c>
    </row>
    <row r="48" spans="1:11" x14ac:dyDescent="0.3">
      <c r="A48" s="4"/>
      <c r="B48" s="42"/>
      <c r="C48" s="5"/>
      <c r="D48" s="5"/>
      <c r="E48" s="5"/>
      <c r="F48" s="5"/>
      <c r="G48" s="5"/>
      <c r="H48" s="5"/>
      <c r="I48" s="6"/>
      <c r="K48" s="56" t="s">
        <v>64</v>
      </c>
    </row>
    <row r="49" spans="1:11" x14ac:dyDescent="0.3">
      <c r="A49" s="4"/>
      <c r="B49" s="5"/>
      <c r="C49" s="5"/>
      <c r="D49" s="5"/>
      <c r="E49" s="5"/>
      <c r="F49" s="5"/>
      <c r="G49" s="5"/>
      <c r="H49" s="43" t="s">
        <v>31</v>
      </c>
      <c r="I49" s="6"/>
    </row>
    <row r="50" spans="1:11" x14ac:dyDescent="0.3">
      <c r="A50" s="4"/>
      <c r="B50" s="5"/>
      <c r="C50" s="5"/>
      <c r="D50" s="5"/>
      <c r="E50" s="5"/>
      <c r="F50" s="43" t="s">
        <v>31</v>
      </c>
      <c r="G50" s="5"/>
      <c r="H50" s="41">
        <f>F51*B25</f>
        <v>4.0646493718049334E-2</v>
      </c>
      <c r="I50" s="6"/>
      <c r="K50" s="56" t="s">
        <v>65</v>
      </c>
    </row>
    <row r="51" spans="1:11" x14ac:dyDescent="0.3">
      <c r="A51" s="4"/>
      <c r="B51" s="5"/>
      <c r="C51" s="5"/>
      <c r="D51" s="5"/>
      <c r="E51" s="5"/>
      <c r="F51" s="41">
        <f>D54*C25</f>
        <v>0.26466445459737542</v>
      </c>
      <c r="G51" s="5"/>
      <c r="H51" s="5"/>
      <c r="I51" s="6"/>
    </row>
    <row r="52" spans="1:11" x14ac:dyDescent="0.3">
      <c r="A52" s="4"/>
      <c r="B52" s="5"/>
      <c r="C52" s="5"/>
      <c r="D52" s="5"/>
      <c r="E52" s="5"/>
      <c r="F52" s="53">
        <v>0.26466445459737542</v>
      </c>
      <c r="G52" s="5"/>
      <c r="H52" s="44" t="s">
        <v>32</v>
      </c>
      <c r="I52" s="6"/>
    </row>
    <row r="53" spans="1:11" x14ac:dyDescent="0.3">
      <c r="A53" s="4"/>
      <c r="B53" s="5"/>
      <c r="C53" s="5"/>
      <c r="D53" s="44" t="s">
        <v>32</v>
      </c>
      <c r="E53" s="5"/>
      <c r="F53" s="5"/>
      <c r="G53" s="5"/>
      <c r="H53" s="40">
        <f>F51*B26</f>
        <v>0.1088545693679538</v>
      </c>
      <c r="I53" s="6"/>
    </row>
    <row r="54" spans="1:11" x14ac:dyDescent="0.3">
      <c r="A54" s="4"/>
      <c r="B54" s="5"/>
      <c r="C54" s="5"/>
      <c r="D54" s="40">
        <f>B47*B26</f>
        <v>4.1129274247858625</v>
      </c>
      <c r="E54" s="5"/>
      <c r="F54" s="5"/>
      <c r="G54" s="5"/>
      <c r="H54" s="5"/>
      <c r="I54" s="6"/>
    </row>
    <row r="55" spans="1:11" x14ac:dyDescent="0.3">
      <c r="A55" s="4"/>
      <c r="B55" s="5"/>
      <c r="C55" s="5"/>
      <c r="D55" s="53">
        <v>4.1129274247858625</v>
      </c>
      <c r="E55" s="5"/>
      <c r="F55" s="5"/>
      <c r="G55" s="5"/>
      <c r="H55" s="5"/>
      <c r="I55" s="6"/>
    </row>
    <row r="56" spans="1:11" x14ac:dyDescent="0.3">
      <c r="A56" s="4"/>
      <c r="B56" s="5"/>
      <c r="C56" s="5"/>
      <c r="D56" s="5"/>
      <c r="E56" s="5"/>
      <c r="F56" s="5"/>
      <c r="G56" s="5"/>
      <c r="H56" s="43" t="s">
        <v>31</v>
      </c>
      <c r="I56" s="6"/>
    </row>
    <row r="57" spans="1:11" x14ac:dyDescent="0.3">
      <c r="A57" s="4"/>
      <c r="B57" s="5"/>
      <c r="C57" s="5"/>
      <c r="D57" s="5"/>
      <c r="E57" s="5"/>
      <c r="F57" s="44" t="s">
        <v>32</v>
      </c>
      <c r="G57" s="5"/>
      <c r="H57" s="41">
        <f>F58*C25</f>
        <v>0.12734271231446762</v>
      </c>
      <c r="I57" s="6"/>
    </row>
    <row r="58" spans="1:11" x14ac:dyDescent="0.3">
      <c r="A58" s="4"/>
      <c r="B58" s="5"/>
      <c r="C58" s="5"/>
      <c r="D58" s="5"/>
      <c r="E58" s="5"/>
      <c r="F58" s="40">
        <f>D54*C26</f>
        <v>1.978925861508507</v>
      </c>
      <c r="G58" s="5"/>
      <c r="H58" s="5"/>
      <c r="I58" s="6"/>
    </row>
    <row r="59" spans="1:11" x14ac:dyDescent="0.3">
      <c r="A59" s="4"/>
      <c r="B59" s="5"/>
      <c r="C59" s="5"/>
      <c r="D59" s="5"/>
      <c r="E59" s="5"/>
      <c r="F59" s="5"/>
      <c r="G59" s="5"/>
      <c r="H59" s="44" t="s">
        <v>32</v>
      </c>
      <c r="I59" s="6"/>
    </row>
    <row r="60" spans="1:11" x14ac:dyDescent="0.3">
      <c r="A60" s="4"/>
      <c r="B60" s="5"/>
      <c r="C60" s="5"/>
      <c r="D60" s="5"/>
      <c r="E60" s="5"/>
      <c r="F60" s="5"/>
      <c r="G60" s="5"/>
      <c r="H60" s="40">
        <f>F58*C26</f>
        <v>0.95215576665593105</v>
      </c>
      <c r="I60" s="52">
        <v>0.95215576665593105</v>
      </c>
    </row>
    <row r="61" spans="1:11" x14ac:dyDescent="0.3">
      <c r="A61" s="7"/>
      <c r="B61" s="8"/>
      <c r="C61" s="8"/>
      <c r="D61" s="8"/>
      <c r="E61" s="8"/>
      <c r="F61" s="8"/>
      <c r="G61" s="8"/>
      <c r="H61" s="8"/>
      <c r="I61" s="9"/>
    </row>
    <row r="64" spans="1:11" x14ac:dyDescent="0.3">
      <c r="A64" s="54" t="s">
        <v>33</v>
      </c>
      <c r="B64" s="55" t="s">
        <v>34</v>
      </c>
    </row>
    <row r="65" spans="1:3" x14ac:dyDescent="0.3">
      <c r="A65" s="54" t="s">
        <v>35</v>
      </c>
      <c r="B65" s="57">
        <f>B47</f>
        <v>10</v>
      </c>
      <c r="C65" s="55"/>
    </row>
    <row r="66" spans="1:3" x14ac:dyDescent="0.3">
      <c r="B66" s="58"/>
    </row>
    <row r="67" spans="1:3" x14ac:dyDescent="0.3">
      <c r="A67" s="54" t="s">
        <v>36</v>
      </c>
      <c r="B67" s="59" t="s">
        <v>51</v>
      </c>
    </row>
    <row r="68" spans="1:3" x14ac:dyDescent="0.3">
      <c r="A68" s="54" t="s">
        <v>37</v>
      </c>
      <c r="B68" s="57">
        <f>D40</f>
        <v>1.5357745633006668</v>
      </c>
      <c r="C68" s="55"/>
    </row>
    <row r="69" spans="1:3" x14ac:dyDescent="0.3">
      <c r="B69" s="58"/>
    </row>
    <row r="70" spans="1:3" x14ac:dyDescent="0.3">
      <c r="A70" s="54" t="s">
        <v>38</v>
      </c>
      <c r="B70" s="59" t="s">
        <v>52</v>
      </c>
    </row>
    <row r="71" spans="1:3" x14ac:dyDescent="0.3">
      <c r="A71" s="54" t="s">
        <v>40</v>
      </c>
      <c r="B71" s="57">
        <f>F37+F51</f>
        <v>0.50052480552551082</v>
      </c>
      <c r="C71" s="55"/>
    </row>
    <row r="72" spans="1:3" x14ac:dyDescent="0.3">
      <c r="B72" s="58"/>
    </row>
    <row r="73" spans="1:3" x14ac:dyDescent="0.3">
      <c r="A73" s="54" t="s">
        <v>41</v>
      </c>
      <c r="B73" s="59" t="s">
        <v>53</v>
      </c>
    </row>
    <row r="74" spans="1:3" x14ac:dyDescent="0.3">
      <c r="A74" s="54" t="s">
        <v>39</v>
      </c>
      <c r="B74" s="57">
        <f>H36+H43+H50+H57</f>
        <v>0.24485853249522621</v>
      </c>
      <c r="C74" s="55"/>
    </row>
    <row r="75" spans="1:3" x14ac:dyDescent="0.3">
      <c r="B75" s="58"/>
    </row>
    <row r="76" spans="1:3" x14ac:dyDescent="0.3">
      <c r="A76" s="54" t="s">
        <v>54</v>
      </c>
      <c r="B76" s="59" t="s">
        <v>61</v>
      </c>
    </row>
    <row r="77" spans="1:3" x14ac:dyDescent="0.3">
      <c r="A77" s="54" t="s">
        <v>55</v>
      </c>
      <c r="B77" s="57">
        <f>B47+D40+F37+H36+H43+F51+H50+H57</f>
        <v>12.281157901321404</v>
      </c>
      <c r="C77" s="55"/>
    </row>
    <row r="78" spans="1:3" x14ac:dyDescent="0.3">
      <c r="B78" s="58"/>
    </row>
    <row r="79" spans="1:3" x14ac:dyDescent="0.3">
      <c r="A79" s="54" t="s">
        <v>56</v>
      </c>
      <c r="B79" s="59" t="s">
        <v>60</v>
      </c>
    </row>
    <row r="80" spans="1:3" x14ac:dyDescent="0.3">
      <c r="A80" s="54" t="s">
        <v>57</v>
      </c>
      <c r="B80" s="57">
        <f>D54+F58+H60+H53+H46+F44+H39</f>
        <v>8.1854426049384958</v>
      </c>
      <c r="C80" s="55"/>
    </row>
    <row r="81" spans="1:3" x14ac:dyDescent="0.3">
      <c r="B81" s="58"/>
    </row>
    <row r="82" spans="1:3" x14ac:dyDescent="0.3">
      <c r="A82" s="54" t="s">
        <v>58</v>
      </c>
      <c r="B82" s="59" t="s">
        <v>62</v>
      </c>
    </row>
    <row r="83" spans="1:3" x14ac:dyDescent="0.3">
      <c r="A83" s="54" t="s">
        <v>66</v>
      </c>
      <c r="B83" s="57">
        <f>B68+B71+B74+B80</f>
        <v>10.466600506259899</v>
      </c>
      <c r="C83" s="55"/>
    </row>
    <row r="84" spans="1:3" x14ac:dyDescent="0.3">
      <c r="B84" s="59"/>
    </row>
    <row r="85" spans="1:3" x14ac:dyDescent="0.3">
      <c r="A85" s="54" t="s">
        <v>67</v>
      </c>
      <c r="B85" s="59" t="s">
        <v>59</v>
      </c>
    </row>
    <row r="86" spans="1:3" x14ac:dyDescent="0.3">
      <c r="A86" s="54" t="s">
        <v>68</v>
      </c>
      <c r="B86" s="57">
        <f>B77+B80</f>
        <v>20.466600506259901</v>
      </c>
      <c r="C86" s="55"/>
    </row>
  </sheetData>
  <mergeCells count="4">
    <mergeCell ref="B6:C6"/>
    <mergeCell ref="D6:E6"/>
    <mergeCell ref="G6:J6"/>
    <mergeCell ref="B23:C2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Ex3_Question</vt:lpstr>
      <vt:lpstr>Ex3_Answer</vt:lpstr>
    </vt:vector>
  </TitlesOfParts>
  <Company>IFPRI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JTHURLOW</dc:creator>
  <cp:lastModifiedBy>James</cp:lastModifiedBy>
  <dcterms:created xsi:type="dcterms:W3CDTF">2009-02-13T22:33:17Z</dcterms:created>
  <dcterms:modified xsi:type="dcterms:W3CDTF">2019-07-25T03:41:59Z</dcterms:modified>
</cp:coreProperties>
</file>