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RAGIE\IFPRI Dropbox\Emerta Aragie\Rwanda MINECOFIN-GIZ project 2026\2 Exercises\1 Introductory Exercises\"/>
    </mc:Choice>
  </mc:AlternateContent>
  <xr:revisionPtr revIDLastSave="0" documentId="13_ncr:1_{EE682D92-D496-4534-810C-3B02160D7D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4x_Question" sheetId="5" r:id="rId1"/>
    <sheet name="Ex4x_Answer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5" l="1"/>
  <c r="C157" i="5"/>
  <c r="C156" i="5"/>
  <c r="C155" i="5"/>
  <c r="C124" i="5"/>
  <c r="C125" i="5"/>
  <c r="B125" i="5"/>
  <c r="B124" i="5"/>
  <c r="L6" i="5"/>
  <c r="M5" i="5"/>
  <c r="L5" i="5"/>
  <c r="M6" i="5"/>
  <c r="B33" i="5"/>
  <c r="M47" i="6"/>
  <c r="L47" i="6"/>
  <c r="K47" i="6"/>
  <c r="J47" i="6"/>
  <c r="I47" i="6"/>
  <c r="H47" i="6"/>
  <c r="G47" i="6"/>
  <c r="F47" i="6"/>
  <c r="E47" i="6"/>
  <c r="D47" i="6"/>
  <c r="C47" i="6"/>
  <c r="B47" i="6"/>
  <c r="M46" i="6"/>
  <c r="L46" i="6"/>
  <c r="K46" i="6"/>
  <c r="J46" i="6"/>
  <c r="I46" i="6"/>
  <c r="H46" i="6"/>
  <c r="G46" i="6"/>
  <c r="F46" i="6"/>
  <c r="E46" i="6"/>
  <c r="D46" i="6"/>
  <c r="C46" i="6"/>
  <c r="B46" i="6"/>
  <c r="M45" i="6"/>
  <c r="L45" i="6"/>
  <c r="K45" i="6"/>
  <c r="J45" i="6"/>
  <c r="I45" i="6"/>
  <c r="H45" i="6"/>
  <c r="G45" i="6"/>
  <c r="F45" i="6"/>
  <c r="E45" i="6"/>
  <c r="D45" i="6"/>
  <c r="C45" i="6"/>
  <c r="B45" i="6"/>
  <c r="M44" i="6"/>
  <c r="L44" i="6"/>
  <c r="K44" i="6"/>
  <c r="J44" i="6"/>
  <c r="I44" i="6"/>
  <c r="H44" i="6"/>
  <c r="G44" i="6"/>
  <c r="F44" i="6"/>
  <c r="E44" i="6"/>
  <c r="D44" i="6"/>
  <c r="C44" i="6"/>
  <c r="B44" i="6"/>
  <c r="M43" i="6"/>
  <c r="L43" i="6"/>
  <c r="K43" i="6"/>
  <c r="J43" i="6"/>
  <c r="I43" i="6"/>
  <c r="H43" i="6"/>
  <c r="G43" i="6"/>
  <c r="F43" i="6"/>
  <c r="E43" i="6"/>
  <c r="D43" i="6"/>
  <c r="C43" i="6"/>
  <c r="B43" i="6"/>
  <c r="M42" i="6"/>
  <c r="L42" i="6"/>
  <c r="K42" i="6"/>
  <c r="J42" i="6"/>
  <c r="I42" i="6"/>
  <c r="H42" i="6"/>
  <c r="G42" i="6"/>
  <c r="F42" i="6"/>
  <c r="E42" i="6"/>
  <c r="D42" i="6"/>
  <c r="C42" i="6"/>
  <c r="B42" i="6"/>
  <c r="M41" i="6"/>
  <c r="L41" i="6"/>
  <c r="K41" i="6"/>
  <c r="J41" i="6"/>
  <c r="I41" i="6"/>
  <c r="H41" i="6"/>
  <c r="G41" i="6"/>
  <c r="F41" i="6"/>
  <c r="E41" i="6"/>
  <c r="D41" i="6"/>
  <c r="C41" i="6"/>
  <c r="B41" i="6"/>
  <c r="M40" i="6"/>
  <c r="L40" i="6"/>
  <c r="K40" i="6"/>
  <c r="J40" i="6"/>
  <c r="I40" i="6"/>
  <c r="H40" i="6"/>
  <c r="G40" i="6"/>
  <c r="F40" i="6"/>
  <c r="E40" i="6"/>
  <c r="D40" i="6"/>
  <c r="C40" i="6"/>
  <c r="B40" i="6"/>
  <c r="M39" i="6"/>
  <c r="L39" i="6"/>
  <c r="K39" i="6"/>
  <c r="J39" i="6"/>
  <c r="I39" i="6"/>
  <c r="H39" i="6"/>
  <c r="G39" i="6"/>
  <c r="F39" i="6"/>
  <c r="E39" i="6"/>
  <c r="D39" i="6"/>
  <c r="C39" i="6"/>
  <c r="B39" i="6"/>
  <c r="M38" i="6"/>
  <c r="L38" i="6"/>
  <c r="K38" i="6"/>
  <c r="J38" i="6"/>
  <c r="I38" i="6"/>
  <c r="H38" i="6"/>
  <c r="G38" i="6"/>
  <c r="F38" i="6"/>
  <c r="E38" i="6"/>
  <c r="D38" i="6"/>
  <c r="C38" i="6"/>
  <c r="B38" i="6"/>
  <c r="M37" i="6"/>
  <c r="L37" i="6"/>
  <c r="K37" i="6"/>
  <c r="J37" i="6"/>
  <c r="I37" i="6"/>
  <c r="H37" i="6"/>
  <c r="G37" i="6"/>
  <c r="F37" i="6"/>
  <c r="E37" i="6"/>
  <c r="D37" i="6"/>
  <c r="C37" i="6"/>
  <c r="B37" i="6"/>
  <c r="M36" i="6"/>
  <c r="L36" i="6"/>
  <c r="K36" i="6"/>
  <c r="J36" i="6"/>
  <c r="I36" i="6"/>
  <c r="H36" i="6"/>
  <c r="G36" i="6"/>
  <c r="F36" i="6"/>
  <c r="E36" i="6"/>
  <c r="D36" i="6"/>
  <c r="C36" i="6"/>
  <c r="B36" i="6"/>
  <c r="M35" i="6"/>
  <c r="L35" i="6"/>
  <c r="K35" i="6"/>
  <c r="J35" i="6"/>
  <c r="I35" i="6"/>
  <c r="H35" i="6"/>
  <c r="G35" i="6"/>
  <c r="F35" i="6"/>
  <c r="E35" i="6"/>
  <c r="D35" i="6"/>
  <c r="C35" i="6"/>
  <c r="B35" i="6"/>
  <c r="M34" i="6"/>
  <c r="L34" i="6"/>
  <c r="K34" i="6"/>
  <c r="J34" i="6"/>
  <c r="I34" i="6"/>
  <c r="H34" i="6"/>
  <c r="G34" i="6"/>
  <c r="F34" i="6"/>
  <c r="E34" i="6"/>
  <c r="D34" i="6"/>
  <c r="C34" i="6"/>
  <c r="B34" i="6"/>
  <c r="M33" i="6"/>
  <c r="L33" i="6"/>
  <c r="K33" i="6"/>
  <c r="J33" i="6"/>
  <c r="I33" i="6"/>
  <c r="H33" i="6"/>
  <c r="G33" i="6"/>
  <c r="F33" i="6"/>
  <c r="E33" i="6"/>
  <c r="D33" i="6"/>
  <c r="C33" i="6"/>
  <c r="B33" i="6"/>
  <c r="M32" i="6"/>
  <c r="L32" i="6"/>
  <c r="K32" i="6"/>
  <c r="J32" i="6"/>
  <c r="I32" i="6"/>
  <c r="H32" i="6"/>
  <c r="G32" i="6"/>
  <c r="F32" i="6"/>
  <c r="E32" i="6"/>
  <c r="D32" i="6"/>
  <c r="C32" i="6"/>
  <c r="B32" i="6"/>
  <c r="B73" i="6" s="1" a="1"/>
  <c r="D86" i="6" s="1"/>
  <c r="M73" i="6" l="1"/>
  <c r="E75" i="6"/>
  <c r="J76" i="6"/>
  <c r="D78" i="6"/>
  <c r="F80" i="6"/>
  <c r="H82" i="6"/>
  <c r="J84" i="6"/>
  <c r="L86" i="6"/>
  <c r="O73" i="6"/>
  <c r="G75" i="6"/>
  <c r="N76" i="6"/>
  <c r="J78" i="6"/>
  <c r="L80" i="6"/>
  <c r="N82" i="6"/>
  <c r="P84" i="6"/>
  <c r="C87" i="6"/>
  <c r="D74" i="6"/>
  <c r="I75" i="6"/>
  <c r="P76" i="6"/>
  <c r="L78" i="6"/>
  <c r="N80" i="6"/>
  <c r="P82" i="6"/>
  <c r="C85" i="6"/>
  <c r="E87" i="6"/>
  <c r="F74" i="6"/>
  <c r="M75" i="6"/>
  <c r="C77" i="6"/>
  <c r="C79" i="6"/>
  <c r="E81" i="6"/>
  <c r="G83" i="6"/>
  <c r="I85" i="6"/>
  <c r="K87" i="6"/>
  <c r="H74" i="6"/>
  <c r="O75" i="6"/>
  <c r="E79" i="6"/>
  <c r="G81" i="6"/>
  <c r="K85" i="6"/>
  <c r="M87" i="6"/>
  <c r="E73" i="6"/>
  <c r="L74" i="6"/>
  <c r="B76" i="6"/>
  <c r="I77" i="6"/>
  <c r="K79" i="6"/>
  <c r="M81" i="6"/>
  <c r="O83" i="6"/>
  <c r="B86" i="6"/>
  <c r="G73" i="6"/>
  <c r="N74" i="6"/>
  <c r="F76" i="6"/>
  <c r="K77" i="6"/>
  <c r="M79" i="6"/>
  <c r="O81" i="6"/>
  <c r="B84" i="6"/>
  <c r="J87" i="6"/>
  <c r="B87" i="6"/>
  <c r="I86" i="6"/>
  <c r="P85" i="6"/>
  <c r="H85" i="6"/>
  <c r="O84" i="6"/>
  <c r="G84" i="6"/>
  <c r="N83" i="6"/>
  <c r="F83" i="6"/>
  <c r="M82" i="6"/>
  <c r="E82" i="6"/>
  <c r="L81" i="6"/>
  <c r="D81" i="6"/>
  <c r="K80" i="6"/>
  <c r="C80" i="6"/>
  <c r="J79" i="6"/>
  <c r="B79" i="6"/>
  <c r="I78" i="6"/>
  <c r="P77" i="6"/>
  <c r="H77" i="6"/>
  <c r="O76" i="6"/>
  <c r="G76" i="6"/>
  <c r="N75" i="6"/>
  <c r="F75" i="6"/>
  <c r="M74" i="6"/>
  <c r="E74" i="6"/>
  <c r="L73" i="6"/>
  <c r="D73" i="6"/>
  <c r="I87" i="6"/>
  <c r="P86" i="6"/>
  <c r="H86" i="6"/>
  <c r="O85" i="6"/>
  <c r="G85" i="6"/>
  <c r="N84" i="6"/>
  <c r="F84" i="6"/>
  <c r="M83" i="6"/>
  <c r="E83" i="6"/>
  <c r="L82" i="6"/>
  <c r="D82" i="6"/>
  <c r="K81" i="6"/>
  <c r="C81" i="6"/>
  <c r="J80" i="6"/>
  <c r="B80" i="6"/>
  <c r="I79" i="6"/>
  <c r="P78" i="6"/>
  <c r="H78" i="6"/>
  <c r="O77" i="6"/>
  <c r="P87" i="6"/>
  <c r="H87" i="6"/>
  <c r="O86" i="6"/>
  <c r="G86" i="6"/>
  <c r="N85" i="6"/>
  <c r="F85" i="6"/>
  <c r="M84" i="6"/>
  <c r="E84" i="6"/>
  <c r="L83" i="6"/>
  <c r="D83" i="6"/>
  <c r="K82" i="6"/>
  <c r="C82" i="6"/>
  <c r="J81" i="6"/>
  <c r="B81" i="6"/>
  <c r="I80" i="6"/>
  <c r="P79" i="6"/>
  <c r="H79" i="6"/>
  <c r="O78" i="6"/>
  <c r="G78" i="6"/>
  <c r="N77" i="6"/>
  <c r="F77" i="6"/>
  <c r="M76" i="6"/>
  <c r="E76" i="6"/>
  <c r="L75" i="6"/>
  <c r="D75" i="6"/>
  <c r="K74" i="6"/>
  <c r="C74" i="6"/>
  <c r="J73" i="6"/>
  <c r="B73" i="6"/>
  <c r="O87" i="6"/>
  <c r="G87" i="6"/>
  <c r="N86" i="6"/>
  <c r="F86" i="6"/>
  <c r="M85" i="6"/>
  <c r="E85" i="6"/>
  <c r="L84" i="6"/>
  <c r="D84" i="6"/>
  <c r="K83" i="6"/>
  <c r="C83" i="6"/>
  <c r="J82" i="6"/>
  <c r="B82" i="6"/>
  <c r="I81" i="6"/>
  <c r="P80" i="6"/>
  <c r="H80" i="6"/>
  <c r="O79" i="6"/>
  <c r="G79" i="6"/>
  <c r="N78" i="6"/>
  <c r="F78" i="6"/>
  <c r="M77" i="6"/>
  <c r="E77" i="6"/>
  <c r="L76" i="6"/>
  <c r="D76" i="6"/>
  <c r="K75" i="6"/>
  <c r="C75" i="6"/>
  <c r="J74" i="6"/>
  <c r="B74" i="6"/>
  <c r="I73" i="6"/>
  <c r="N87" i="6"/>
  <c r="F87" i="6"/>
  <c r="M86" i="6"/>
  <c r="E86" i="6"/>
  <c r="L85" i="6"/>
  <c r="D85" i="6"/>
  <c r="K84" i="6"/>
  <c r="C84" i="6"/>
  <c r="J83" i="6"/>
  <c r="B83" i="6"/>
  <c r="I82" i="6"/>
  <c r="P81" i="6"/>
  <c r="H81" i="6"/>
  <c r="O80" i="6"/>
  <c r="G80" i="6"/>
  <c r="N79" i="6"/>
  <c r="F79" i="6"/>
  <c r="M78" i="6"/>
  <c r="E78" i="6"/>
  <c r="L77" i="6"/>
  <c r="D77" i="6"/>
  <c r="K76" i="6"/>
  <c r="C76" i="6"/>
  <c r="J75" i="6"/>
  <c r="B75" i="6"/>
  <c r="I74" i="6"/>
  <c r="P73" i="6"/>
  <c r="H73" i="6"/>
  <c r="L87" i="6"/>
  <c r="D87" i="6"/>
  <c r="K86" i="6"/>
  <c r="C86" i="6"/>
  <c r="J85" i="6"/>
  <c r="B85" i="6"/>
  <c r="I84" i="6"/>
  <c r="P83" i="6"/>
  <c r="H83" i="6"/>
  <c r="O82" i="6"/>
  <c r="G82" i="6"/>
  <c r="N81" i="6"/>
  <c r="F81" i="6"/>
  <c r="M80" i="6"/>
  <c r="E80" i="6"/>
  <c r="L79" i="6"/>
  <c r="D79" i="6"/>
  <c r="K78" i="6"/>
  <c r="C78" i="6"/>
  <c r="J77" i="6"/>
  <c r="B77" i="6"/>
  <c r="I76" i="6"/>
  <c r="P75" i="6"/>
  <c r="H75" i="6"/>
  <c r="O74" i="6"/>
  <c r="G74" i="6"/>
  <c r="N73" i="6"/>
  <c r="F73" i="6"/>
  <c r="C73" i="6"/>
  <c r="G77" i="6"/>
  <c r="I83" i="6"/>
  <c r="K73" i="6"/>
  <c r="P74" i="6"/>
  <c r="H76" i="6"/>
  <c r="B78" i="6"/>
  <c r="D80" i="6"/>
  <c r="F82" i="6"/>
  <c r="H84" i="6"/>
  <c r="J86" i="6"/>
  <c r="B93" i="6" l="1" a="1"/>
  <c r="P107" i="6" l="1"/>
  <c r="H107" i="6"/>
  <c r="O106" i="6"/>
  <c r="G106" i="6"/>
  <c r="N105" i="6"/>
  <c r="F105" i="6"/>
  <c r="M104" i="6"/>
  <c r="E104" i="6"/>
  <c r="L103" i="6"/>
  <c r="D103" i="6"/>
  <c r="K102" i="6"/>
  <c r="C102" i="6"/>
  <c r="J101" i="6"/>
  <c r="B101" i="6"/>
  <c r="I100" i="6"/>
  <c r="P99" i="6"/>
  <c r="H99" i="6"/>
  <c r="O98" i="6"/>
  <c r="G98" i="6"/>
  <c r="N97" i="6"/>
  <c r="F97" i="6"/>
  <c r="M96" i="6"/>
  <c r="E96" i="6"/>
  <c r="L95" i="6"/>
  <c r="D95" i="6"/>
  <c r="K94" i="6"/>
  <c r="C94" i="6"/>
  <c r="J93" i="6"/>
  <c r="B93" i="6"/>
  <c r="O107" i="6"/>
  <c r="G107" i="6"/>
  <c r="N106" i="6"/>
  <c r="F106" i="6"/>
  <c r="M105" i="6"/>
  <c r="E105" i="6"/>
  <c r="L104" i="6"/>
  <c r="D104" i="6"/>
  <c r="K103" i="6"/>
  <c r="C103" i="6"/>
  <c r="J102" i="6"/>
  <c r="B102" i="6"/>
  <c r="I101" i="6"/>
  <c r="P100" i="6"/>
  <c r="H100" i="6"/>
  <c r="O99" i="6"/>
  <c r="G99" i="6"/>
  <c r="N98" i="6"/>
  <c r="F98" i="6"/>
  <c r="M97" i="6"/>
  <c r="E97" i="6"/>
  <c r="L96" i="6"/>
  <c r="D96" i="6"/>
  <c r="K95" i="6"/>
  <c r="C95" i="6"/>
  <c r="J94" i="6"/>
  <c r="B94" i="6"/>
  <c r="I93" i="6"/>
  <c r="N107" i="6"/>
  <c r="F107" i="6"/>
  <c r="M106" i="6"/>
  <c r="E106" i="6"/>
  <c r="L105" i="6"/>
  <c r="D105" i="6"/>
  <c r="K104" i="6"/>
  <c r="C104" i="6"/>
  <c r="J103" i="6"/>
  <c r="B103" i="6"/>
  <c r="I102" i="6"/>
  <c r="P101" i="6"/>
  <c r="H101" i="6"/>
  <c r="O100" i="6"/>
  <c r="G100" i="6"/>
  <c r="N99" i="6"/>
  <c r="F99" i="6"/>
  <c r="M98" i="6"/>
  <c r="E98" i="6"/>
  <c r="L97" i="6"/>
  <c r="D97" i="6"/>
  <c r="K96" i="6"/>
  <c r="C96" i="6"/>
  <c r="J95" i="6"/>
  <c r="B95" i="6"/>
  <c r="I94" i="6"/>
  <c r="P93" i="6"/>
  <c r="H93" i="6"/>
  <c r="M107" i="6"/>
  <c r="E107" i="6"/>
  <c r="L106" i="6"/>
  <c r="D106" i="6"/>
  <c r="K105" i="6"/>
  <c r="C105" i="6"/>
  <c r="J104" i="6"/>
  <c r="B104" i="6"/>
  <c r="I103" i="6"/>
  <c r="P102" i="6"/>
  <c r="H102" i="6"/>
  <c r="O101" i="6"/>
  <c r="G101" i="6"/>
  <c r="N100" i="6"/>
  <c r="F100" i="6"/>
  <c r="M99" i="6"/>
  <c r="E99" i="6"/>
  <c r="L98" i="6"/>
  <c r="D98" i="6"/>
  <c r="K97" i="6"/>
  <c r="C97" i="6"/>
  <c r="J96" i="6"/>
  <c r="B96" i="6"/>
  <c r="I95" i="6"/>
  <c r="P94" i="6"/>
  <c r="H94" i="6"/>
  <c r="O93" i="6"/>
  <c r="G93" i="6"/>
  <c r="L107" i="6"/>
  <c r="D107" i="6"/>
  <c r="K106" i="6"/>
  <c r="C106" i="6"/>
  <c r="J105" i="6"/>
  <c r="B105" i="6"/>
  <c r="I104" i="6"/>
  <c r="P103" i="6"/>
  <c r="H103" i="6"/>
  <c r="O102" i="6"/>
  <c r="G102" i="6"/>
  <c r="N101" i="6"/>
  <c r="F101" i="6"/>
  <c r="M100" i="6"/>
  <c r="E100" i="6"/>
  <c r="L99" i="6"/>
  <c r="D99" i="6"/>
  <c r="K98" i="6"/>
  <c r="C98" i="6"/>
  <c r="J97" i="6"/>
  <c r="B97" i="6"/>
  <c r="I96" i="6"/>
  <c r="P95" i="6"/>
  <c r="H95" i="6"/>
  <c r="O94" i="6"/>
  <c r="G94" i="6"/>
  <c r="N93" i="6"/>
  <c r="F93" i="6"/>
  <c r="J107" i="6"/>
  <c r="B107" i="6"/>
  <c r="I106" i="6"/>
  <c r="P105" i="6"/>
  <c r="H105" i="6"/>
  <c r="O104" i="6"/>
  <c r="G104" i="6"/>
  <c r="N103" i="6"/>
  <c r="F103" i="6"/>
  <c r="M102" i="6"/>
  <c r="E102" i="6"/>
  <c r="L101" i="6"/>
  <c r="D101" i="6"/>
  <c r="K100" i="6"/>
  <c r="C100" i="6"/>
  <c r="J99" i="6"/>
  <c r="B99" i="6"/>
  <c r="I98" i="6"/>
  <c r="P97" i="6"/>
  <c r="H97" i="6"/>
  <c r="O96" i="6"/>
  <c r="G96" i="6"/>
  <c r="N95" i="6"/>
  <c r="F95" i="6"/>
  <c r="M94" i="6"/>
  <c r="E94" i="6"/>
  <c r="L93" i="6"/>
  <c r="D93" i="6"/>
  <c r="I107" i="6"/>
  <c r="P106" i="6"/>
  <c r="H106" i="6"/>
  <c r="O105" i="6"/>
  <c r="G105" i="6"/>
  <c r="N104" i="6"/>
  <c r="F104" i="6"/>
  <c r="M103" i="6"/>
  <c r="E103" i="6"/>
  <c r="L102" i="6"/>
  <c r="D102" i="6"/>
  <c r="K101" i="6"/>
  <c r="C101" i="6"/>
  <c r="J100" i="6"/>
  <c r="B100" i="6"/>
  <c r="I99" i="6"/>
  <c r="P98" i="6"/>
  <c r="I105" i="6"/>
  <c r="E101" i="6"/>
  <c r="O97" i="6"/>
  <c r="M95" i="6"/>
  <c r="K93" i="6"/>
  <c r="H104" i="6"/>
  <c r="P104" i="6"/>
  <c r="L100" i="6"/>
  <c r="I97" i="6"/>
  <c r="G95" i="6"/>
  <c r="E93" i="6"/>
  <c r="D100" i="6"/>
  <c r="G97" i="6"/>
  <c r="E95" i="6"/>
  <c r="C93" i="6"/>
  <c r="O103" i="6"/>
  <c r="K99" i="6"/>
  <c r="P96" i="6"/>
  <c r="N94" i="6"/>
  <c r="K107" i="6"/>
  <c r="G103" i="6"/>
  <c r="C99" i="6"/>
  <c r="N96" i="6"/>
  <c r="L94" i="6"/>
  <c r="C107" i="6"/>
  <c r="N102" i="6"/>
  <c r="J98" i="6"/>
  <c r="H96" i="6"/>
  <c r="F94" i="6"/>
  <c r="J106" i="6"/>
  <c r="F102" i="6"/>
  <c r="H98" i="6"/>
  <c r="F96" i="6"/>
  <c r="D94" i="6"/>
  <c r="B106" i="6"/>
  <c r="M101" i="6"/>
  <c r="B98" i="6"/>
  <c r="O95" i="6"/>
  <c r="M93" i="6"/>
  <c r="B136" i="6" l="1" a="1"/>
  <c r="E149" i="6" l="1"/>
  <c r="E147" i="6"/>
  <c r="E145" i="6"/>
  <c r="E143" i="6"/>
  <c r="E141" i="6"/>
  <c r="E139" i="6"/>
  <c r="E137" i="6"/>
  <c r="D149" i="6"/>
  <c r="D147" i="6"/>
  <c r="D145" i="6"/>
  <c r="D143" i="6"/>
  <c r="D141" i="6"/>
  <c r="D139" i="6"/>
  <c r="D137" i="6"/>
  <c r="C149" i="6"/>
  <c r="C147" i="6"/>
  <c r="C145" i="6"/>
  <c r="C143" i="6"/>
  <c r="C141" i="6"/>
  <c r="C139" i="6"/>
  <c r="C137" i="6"/>
  <c r="B149" i="6"/>
  <c r="B147" i="6"/>
  <c r="B145" i="6"/>
  <c r="B143" i="6"/>
  <c r="B141" i="6"/>
  <c r="B139" i="6"/>
  <c r="B137" i="6"/>
  <c r="E150" i="6"/>
  <c r="E148" i="6"/>
  <c r="E146" i="6"/>
  <c r="C176" i="6" s="1"/>
  <c r="E144" i="6"/>
  <c r="E142" i="6"/>
  <c r="E140" i="6"/>
  <c r="E138" i="6"/>
  <c r="E136" i="6"/>
  <c r="D150" i="6"/>
  <c r="D148" i="6"/>
  <c r="D146" i="6"/>
  <c r="C171" i="6" s="1"/>
  <c r="D144" i="6"/>
  <c r="D142" i="6"/>
  <c r="D140" i="6"/>
  <c r="D138" i="6"/>
  <c r="D136" i="6"/>
  <c r="C150" i="6"/>
  <c r="C148" i="6"/>
  <c r="B150" i="6"/>
  <c r="B148" i="6"/>
  <c r="B146" i="6"/>
  <c r="B144" i="6"/>
  <c r="B142" i="6"/>
  <c r="B140" i="6"/>
  <c r="B138" i="6"/>
  <c r="B136" i="6"/>
  <c r="C155" i="6" s="1"/>
  <c r="C142" i="6"/>
  <c r="C136" i="6"/>
  <c r="C162" i="6" s="1"/>
  <c r="C140" i="6"/>
  <c r="C138" i="6"/>
  <c r="C146" i="6"/>
  <c r="C144" i="6"/>
  <c r="C174" i="6" l="1"/>
  <c r="C170" i="6"/>
  <c r="C169" i="6"/>
  <c r="C175" i="6"/>
  <c r="C164" i="6"/>
  <c r="C163" i="6"/>
  <c r="C157" i="6"/>
  <c r="C156" i="6"/>
  <c r="M47" i="5" l="1"/>
  <c r="L47" i="5"/>
  <c r="K47" i="5"/>
  <c r="J47" i="5"/>
  <c r="I47" i="5"/>
  <c r="H47" i="5"/>
  <c r="G47" i="5"/>
  <c r="F47" i="5"/>
  <c r="E47" i="5"/>
  <c r="D47" i="5"/>
  <c r="C47" i="5"/>
  <c r="B47" i="5"/>
  <c r="M46" i="5"/>
  <c r="L46" i="5"/>
  <c r="K46" i="5"/>
  <c r="J46" i="5"/>
  <c r="I46" i="5"/>
  <c r="H46" i="5"/>
  <c r="G46" i="5"/>
  <c r="F46" i="5"/>
  <c r="E46" i="5"/>
  <c r="D46" i="5"/>
  <c r="C46" i="5"/>
  <c r="B46" i="5"/>
  <c r="M45" i="5"/>
  <c r="L45" i="5"/>
  <c r="K45" i="5"/>
  <c r="J45" i="5"/>
  <c r="I45" i="5"/>
  <c r="H45" i="5"/>
  <c r="G45" i="5"/>
  <c r="F45" i="5"/>
  <c r="E45" i="5"/>
  <c r="D45" i="5"/>
  <c r="C45" i="5"/>
  <c r="B45" i="5"/>
  <c r="M44" i="5"/>
  <c r="L44" i="5"/>
  <c r="K44" i="5"/>
  <c r="J44" i="5"/>
  <c r="I44" i="5"/>
  <c r="H44" i="5"/>
  <c r="G44" i="5"/>
  <c r="F44" i="5"/>
  <c r="E44" i="5"/>
  <c r="D44" i="5"/>
  <c r="C44" i="5"/>
  <c r="B44" i="5"/>
  <c r="M43" i="5"/>
  <c r="L43" i="5"/>
  <c r="K43" i="5"/>
  <c r="J43" i="5"/>
  <c r="I43" i="5"/>
  <c r="H43" i="5"/>
  <c r="G43" i="5"/>
  <c r="F43" i="5"/>
  <c r="E43" i="5"/>
  <c r="D43" i="5"/>
  <c r="C43" i="5"/>
  <c r="B43" i="5"/>
  <c r="M42" i="5"/>
  <c r="L42" i="5"/>
  <c r="K42" i="5"/>
  <c r="J42" i="5"/>
  <c r="I42" i="5"/>
  <c r="H42" i="5"/>
  <c r="G42" i="5"/>
  <c r="F42" i="5"/>
  <c r="E42" i="5"/>
  <c r="D42" i="5"/>
  <c r="C42" i="5"/>
  <c r="B42" i="5"/>
  <c r="M41" i="5"/>
  <c r="L41" i="5"/>
  <c r="K41" i="5"/>
  <c r="J41" i="5"/>
  <c r="I41" i="5"/>
  <c r="H41" i="5"/>
  <c r="G41" i="5"/>
  <c r="F41" i="5"/>
  <c r="E41" i="5"/>
  <c r="D41" i="5"/>
  <c r="C41" i="5"/>
  <c r="B41" i="5"/>
  <c r="M40" i="5"/>
  <c r="L40" i="5"/>
  <c r="K40" i="5"/>
  <c r="J40" i="5"/>
  <c r="I40" i="5"/>
  <c r="H40" i="5"/>
  <c r="G40" i="5"/>
  <c r="F40" i="5"/>
  <c r="E40" i="5"/>
  <c r="D40" i="5"/>
  <c r="C40" i="5"/>
  <c r="B40" i="5"/>
  <c r="M39" i="5"/>
  <c r="L39" i="5"/>
  <c r="K39" i="5"/>
  <c r="J39" i="5"/>
  <c r="I39" i="5"/>
  <c r="H39" i="5"/>
  <c r="G39" i="5"/>
  <c r="F39" i="5"/>
  <c r="E39" i="5"/>
  <c r="D39" i="5"/>
  <c r="C39" i="5"/>
  <c r="B39" i="5"/>
  <c r="M38" i="5"/>
  <c r="L38" i="5"/>
  <c r="K38" i="5"/>
  <c r="J38" i="5"/>
  <c r="I38" i="5"/>
  <c r="H38" i="5"/>
  <c r="G38" i="5"/>
  <c r="F38" i="5"/>
  <c r="E38" i="5"/>
  <c r="D38" i="5"/>
  <c r="C38" i="5"/>
  <c r="B38" i="5"/>
  <c r="M37" i="5"/>
  <c r="L37" i="5"/>
  <c r="K37" i="5"/>
  <c r="J37" i="5"/>
  <c r="I37" i="5"/>
  <c r="H37" i="5"/>
  <c r="G37" i="5"/>
  <c r="F37" i="5"/>
  <c r="E37" i="5"/>
  <c r="D37" i="5"/>
  <c r="C37" i="5"/>
  <c r="B37" i="5"/>
  <c r="M36" i="5"/>
  <c r="L36" i="5"/>
  <c r="K36" i="5"/>
  <c r="J36" i="5"/>
  <c r="I36" i="5"/>
  <c r="H36" i="5"/>
  <c r="G36" i="5"/>
  <c r="F36" i="5"/>
  <c r="E36" i="5"/>
  <c r="D36" i="5"/>
  <c r="C36" i="5"/>
  <c r="B36" i="5"/>
  <c r="M35" i="5"/>
  <c r="L35" i="5"/>
  <c r="K35" i="5"/>
  <c r="J35" i="5"/>
  <c r="I35" i="5"/>
  <c r="H35" i="5"/>
  <c r="G35" i="5"/>
  <c r="F35" i="5"/>
  <c r="E35" i="5"/>
  <c r="D35" i="5"/>
  <c r="C35" i="5"/>
  <c r="B35" i="5"/>
  <c r="M34" i="5"/>
  <c r="L34" i="5"/>
  <c r="K34" i="5"/>
  <c r="J34" i="5"/>
  <c r="I34" i="5"/>
  <c r="H34" i="5"/>
  <c r="G34" i="5"/>
  <c r="F34" i="5"/>
  <c r="E34" i="5"/>
  <c r="D34" i="5"/>
  <c r="C34" i="5"/>
  <c r="B34" i="5"/>
  <c r="M33" i="5"/>
  <c r="L33" i="5"/>
  <c r="K33" i="5"/>
  <c r="J33" i="5"/>
  <c r="I33" i="5"/>
  <c r="H33" i="5"/>
  <c r="G33" i="5"/>
  <c r="F33" i="5"/>
  <c r="E33" i="5"/>
  <c r="D33" i="5"/>
  <c r="C33" i="5"/>
  <c r="M32" i="5"/>
  <c r="L32" i="5"/>
  <c r="K32" i="5"/>
  <c r="J32" i="5"/>
  <c r="I32" i="5"/>
  <c r="H32" i="5"/>
  <c r="G32" i="5"/>
  <c r="F32" i="5"/>
  <c r="E32" i="5"/>
  <c r="D32" i="5"/>
  <c r="C32" i="5"/>
  <c r="B32" i="5"/>
  <c r="B73" i="5" l="1" a="1"/>
  <c r="B75" i="5" s="1"/>
  <c r="E80" i="5" l="1"/>
  <c r="L86" i="5"/>
  <c r="K73" i="5"/>
  <c r="J75" i="5"/>
  <c r="J74" i="5"/>
  <c r="I84" i="5"/>
  <c r="E86" i="5"/>
  <c r="F86" i="5"/>
  <c r="H86" i="5"/>
  <c r="I85" i="5"/>
  <c r="C87" i="5"/>
  <c r="M86" i="5"/>
  <c r="K75" i="5"/>
  <c r="D80" i="5"/>
  <c r="C84" i="5"/>
  <c r="F81" i="5"/>
  <c r="D77" i="5"/>
  <c r="I79" i="5"/>
  <c r="H79" i="5"/>
  <c r="G83" i="5"/>
  <c r="F87" i="5"/>
  <c r="L81" i="5"/>
  <c r="M83" i="5"/>
  <c r="D73" i="5"/>
  <c r="M78" i="5"/>
  <c r="B85" i="5"/>
  <c r="L78" i="5"/>
  <c r="J79" i="5"/>
  <c r="L87" i="5"/>
  <c r="B80" i="5"/>
  <c r="E83" i="5"/>
  <c r="M84" i="5"/>
  <c r="D81" i="5"/>
  <c r="L84" i="5"/>
  <c r="H78" i="5"/>
  <c r="H80" i="5"/>
  <c r="B78" i="5"/>
  <c r="E81" i="5"/>
  <c r="G82" i="5"/>
  <c r="E76" i="5"/>
  <c r="B79" i="5"/>
  <c r="D76" i="5"/>
  <c r="J73" i="5"/>
  <c r="H74" i="5"/>
  <c r="F77" i="5"/>
  <c r="F74" i="5"/>
  <c r="F84" i="5"/>
  <c r="I83" i="5"/>
  <c r="H76" i="5"/>
  <c r="F76" i="5"/>
  <c r="D82" i="5"/>
  <c r="H75" i="5"/>
  <c r="K87" i="5"/>
  <c r="C86" i="5"/>
  <c r="G79" i="5"/>
  <c r="K85" i="5"/>
  <c r="F83" i="5"/>
  <c r="J76" i="5"/>
  <c r="C83" i="5"/>
  <c r="I86" i="5"/>
  <c r="M79" i="5"/>
  <c r="E73" i="5"/>
  <c r="J81" i="5"/>
  <c r="H81" i="5"/>
  <c r="L74" i="5"/>
  <c r="C85" i="5"/>
  <c r="G85" i="5"/>
  <c r="K78" i="5"/>
  <c r="K79" i="5"/>
  <c r="J82" i="5"/>
  <c r="B76" i="5"/>
  <c r="C81" i="5"/>
  <c r="M85" i="5"/>
  <c r="E79" i="5"/>
  <c r="D85" i="5"/>
  <c r="F78" i="5"/>
  <c r="I73" i="5"/>
  <c r="H73" i="5"/>
  <c r="G77" i="5"/>
  <c r="J87" i="5"/>
  <c r="M77" i="5"/>
  <c r="G75" i="5"/>
  <c r="D86" i="5"/>
  <c r="B83" i="5"/>
  <c r="K74" i="5"/>
  <c r="J80" i="5"/>
  <c r="J83" i="5"/>
  <c r="M75" i="5"/>
  <c r="L83" i="5"/>
  <c r="H85" i="5"/>
  <c r="H82" i="5"/>
  <c r="K82" i="5"/>
  <c r="J86" i="5"/>
  <c r="L77" i="5"/>
  <c r="F80" i="5"/>
  <c r="E75" i="5"/>
  <c r="E78" i="5"/>
  <c r="F82" i="5"/>
  <c r="L76" i="5"/>
  <c r="B77" i="5"/>
  <c r="K80" i="5"/>
  <c r="B86" i="5"/>
  <c r="D75" i="5"/>
  <c r="J77" i="5"/>
  <c r="I74" i="5"/>
  <c r="E84" i="5"/>
  <c r="D79" i="5"/>
  <c r="D84" i="5"/>
  <c r="L75" i="5"/>
  <c r="C80" i="5"/>
  <c r="F85" i="5"/>
  <c r="G84" i="5"/>
  <c r="I80" i="5"/>
  <c r="M73" i="5"/>
  <c r="I75" i="5"/>
  <c r="I81" i="5"/>
  <c r="M74" i="5"/>
  <c r="L73" i="5"/>
  <c r="M80" i="5"/>
  <c r="E74" i="5"/>
  <c r="G86" i="5"/>
  <c r="H87" i="5"/>
  <c r="L80" i="5"/>
  <c r="D74" i="5"/>
  <c r="C77" i="5"/>
  <c r="K84" i="5"/>
  <c r="C78" i="5"/>
  <c r="B81" i="5"/>
  <c r="B82" i="5"/>
  <c r="F75" i="5"/>
  <c r="C73" i="5"/>
  <c r="E85" i="5"/>
  <c r="I78" i="5"/>
  <c r="L79" i="5"/>
  <c r="P87" i="5"/>
  <c r="N83" i="5"/>
  <c r="P84" i="5"/>
  <c r="N75" i="5"/>
  <c r="O82" i="5"/>
  <c r="N79" i="5"/>
  <c r="O78" i="5"/>
  <c r="P79" i="5"/>
  <c r="P76" i="5"/>
  <c r="N86" i="5"/>
  <c r="O83" i="5"/>
  <c r="P75" i="5"/>
  <c r="O84" i="5"/>
  <c r="N78" i="5"/>
  <c r="N81" i="5"/>
  <c r="P83" i="5"/>
  <c r="O80" i="5"/>
  <c r="N84" i="5"/>
  <c r="O74" i="5"/>
  <c r="N77" i="5"/>
  <c r="P85" i="5"/>
  <c r="N76" i="5"/>
  <c r="O79" i="5"/>
  <c r="O73" i="5"/>
  <c r="P81" i="5"/>
  <c r="N85" i="5"/>
  <c r="O75" i="5"/>
  <c r="P77" i="5"/>
  <c r="O81" i="5"/>
  <c r="O85" i="5"/>
  <c r="O87" i="5"/>
  <c r="P86" i="5"/>
  <c r="N74" i="5"/>
  <c r="O77" i="5"/>
  <c r="O76" i="5"/>
  <c r="P74" i="5"/>
  <c r="N87" i="5"/>
  <c r="O86" i="5"/>
  <c r="P78" i="5"/>
  <c r="N80" i="5"/>
  <c r="P80" i="5"/>
  <c r="N73" i="5"/>
  <c r="N82" i="5"/>
  <c r="P82" i="5"/>
  <c r="P73" i="5"/>
  <c r="H83" i="5"/>
  <c r="D78" i="5"/>
  <c r="C74" i="5"/>
  <c r="K83" i="5"/>
  <c r="G87" i="5"/>
  <c r="C82" i="5"/>
  <c r="K76" i="5"/>
  <c r="G74" i="5"/>
  <c r="J84" i="5"/>
  <c r="F79" i="5"/>
  <c r="F73" i="5"/>
  <c r="G78" i="5"/>
  <c r="M87" i="5"/>
  <c r="I82" i="5"/>
  <c r="E77" i="5"/>
  <c r="H84" i="5"/>
  <c r="C75" i="5"/>
  <c r="C79" i="5"/>
  <c r="M82" i="5"/>
  <c r="I77" i="5"/>
  <c r="G73" i="5"/>
  <c r="K81" i="5"/>
  <c r="I87" i="5"/>
  <c r="E82" i="5"/>
  <c r="M76" i="5"/>
  <c r="D87" i="5"/>
  <c r="K77" i="5"/>
  <c r="B73" i="5"/>
  <c r="L82" i="5"/>
  <c r="H77" i="5"/>
  <c r="B74" i="5"/>
  <c r="G80" i="5"/>
  <c r="K86" i="5"/>
  <c r="G81" i="5"/>
  <c r="C76" i="5"/>
  <c r="J85" i="5"/>
  <c r="B84" i="5"/>
  <c r="J78" i="5"/>
  <c r="L85" i="5"/>
  <c r="G76" i="5"/>
  <c r="E87" i="5"/>
  <c r="M81" i="5"/>
  <c r="I76" i="5"/>
  <c r="D83" i="5"/>
  <c r="B87" i="5"/>
  <c r="B93" i="5" l="1" a="1"/>
  <c r="B102" i="5" l="1"/>
  <c r="B93" i="5"/>
  <c r="K94" i="5"/>
  <c r="M102" i="5"/>
  <c r="C98" i="5"/>
  <c r="I102" i="5"/>
  <c r="G105" i="5"/>
  <c r="E101" i="5"/>
  <c r="C105" i="5"/>
  <c r="G97" i="5"/>
  <c r="E93" i="5"/>
  <c r="C97" i="5"/>
  <c r="K93" i="5"/>
  <c r="E96" i="5"/>
  <c r="G93" i="5"/>
  <c r="O98" i="5"/>
  <c r="O104" i="5"/>
  <c r="E100" i="5"/>
  <c r="N105" i="5"/>
  <c r="F106" i="5"/>
  <c r="B105" i="5"/>
  <c r="B101" i="5"/>
  <c r="P105" i="5"/>
  <c r="F101" i="5"/>
  <c r="L105" i="5"/>
  <c r="E102" i="5"/>
  <c r="B100" i="5"/>
  <c r="F93" i="5"/>
  <c r="N107" i="5"/>
  <c r="M97" i="5"/>
  <c r="D96" i="5"/>
  <c r="K102" i="5"/>
  <c r="B107" i="5"/>
  <c r="G102" i="5"/>
  <c r="M106" i="5"/>
  <c r="M94" i="5"/>
  <c r="I105" i="5"/>
  <c r="I94" i="5"/>
  <c r="K101" i="5"/>
  <c r="I97" i="5"/>
  <c r="G101" i="5"/>
  <c r="O97" i="5"/>
  <c r="M93" i="5"/>
  <c r="K97" i="5"/>
  <c r="M104" i="5"/>
  <c r="M105" i="5"/>
  <c r="I104" i="5"/>
  <c r="L94" i="5"/>
  <c r="G98" i="5"/>
  <c r="H94" i="5"/>
  <c r="G106" i="5"/>
  <c r="N106" i="5"/>
  <c r="J105" i="5"/>
  <c r="J101" i="5"/>
  <c r="O106" i="5"/>
  <c r="O95" i="5"/>
  <c r="J97" i="5"/>
  <c r="C103" i="5"/>
  <c r="I101" i="5"/>
  <c r="G99" i="5"/>
  <c r="J93" i="5"/>
  <c r="F100" i="5"/>
  <c r="N96" i="5"/>
  <c r="G94" i="5"/>
  <c r="F107" i="5"/>
  <c r="D104" i="5"/>
  <c r="K105" i="5"/>
  <c r="N95" i="5"/>
  <c r="L99" i="5"/>
  <c r="D94" i="5"/>
  <c r="J98" i="5"/>
  <c r="G100" i="5"/>
  <c r="N94" i="5"/>
  <c r="E107" i="5"/>
  <c r="H97" i="5"/>
  <c r="P94" i="5"/>
  <c r="E106" i="5"/>
  <c r="I95" i="5"/>
  <c r="K98" i="5"/>
  <c r="D95" i="5"/>
  <c r="C100" i="5"/>
  <c r="H98" i="5"/>
  <c r="N102" i="5"/>
  <c r="C99" i="5"/>
  <c r="L101" i="5"/>
  <c r="B104" i="5"/>
  <c r="J102" i="5"/>
  <c r="F96" i="5"/>
  <c r="E98" i="5"/>
  <c r="D107" i="5"/>
  <c r="B106" i="5"/>
  <c r="E105" i="5"/>
  <c r="P106" i="5"/>
  <c r="E103" i="5"/>
  <c r="M107" i="5"/>
  <c r="H93" i="5"/>
  <c r="B94" i="5"/>
  <c r="F95" i="5"/>
  <c r="D98" i="5"/>
  <c r="O103" i="5"/>
  <c r="E94" i="5"/>
  <c r="M98" i="5"/>
  <c r="F97" i="5"/>
  <c r="M103" i="5"/>
  <c r="D100" i="5"/>
  <c r="K103" i="5"/>
  <c r="P107" i="5"/>
  <c r="P96" i="5"/>
  <c r="H106" i="5"/>
  <c r="L106" i="5"/>
  <c r="B97" i="5"/>
  <c r="N98" i="5"/>
  <c r="L96" i="5"/>
  <c r="C95" i="5"/>
  <c r="C102" i="5"/>
  <c r="J104" i="5"/>
  <c r="C101" i="5"/>
  <c r="M96" i="5"/>
  <c r="B95" i="5"/>
  <c r="P103" i="5"/>
  <c r="P99" i="5"/>
  <c r="K96" i="5"/>
  <c r="E99" i="5"/>
  <c r="F104" i="5"/>
  <c r="J103" i="5"/>
  <c r="D105" i="5"/>
  <c r="N93" i="5"/>
  <c r="L95" i="5"/>
  <c r="C94" i="5"/>
  <c r="D99" i="5"/>
  <c r="K100" i="5"/>
  <c r="M100" i="5"/>
  <c r="P101" i="5"/>
  <c r="K95" i="5"/>
  <c r="F105" i="5"/>
  <c r="J106" i="5"/>
  <c r="L98" i="5"/>
  <c r="M95" i="5"/>
  <c r="B96" i="5"/>
  <c r="N103" i="5"/>
  <c r="H95" i="5"/>
  <c r="H105" i="5"/>
  <c r="H104" i="5"/>
  <c r="J94" i="5"/>
  <c r="H100" i="5"/>
  <c r="H107" i="5"/>
  <c r="H96" i="5"/>
  <c r="P93" i="5"/>
  <c r="B99" i="5"/>
  <c r="O102" i="5"/>
  <c r="L103" i="5"/>
  <c r="M101" i="5"/>
  <c r="F99" i="5"/>
  <c r="G104" i="5"/>
  <c r="O101" i="5"/>
  <c r="L102" i="5"/>
  <c r="C107" i="5"/>
  <c r="P98" i="5"/>
  <c r="G103" i="5"/>
  <c r="O100" i="5"/>
  <c r="H99" i="5"/>
  <c r="I103" i="5"/>
  <c r="L93" i="5"/>
  <c r="M99" i="5"/>
  <c r="P100" i="5"/>
  <c r="L100" i="5"/>
  <c r="F103" i="5"/>
  <c r="C93" i="5"/>
  <c r="D106" i="5"/>
  <c r="P95" i="5"/>
  <c r="K107" i="5"/>
  <c r="G95" i="5"/>
  <c r="P97" i="5"/>
  <c r="N100" i="5"/>
  <c r="F102" i="5"/>
  <c r="O96" i="5"/>
  <c r="H101" i="5"/>
  <c r="I93" i="5"/>
  <c r="D103" i="5"/>
  <c r="J99" i="5"/>
  <c r="C104" i="5"/>
  <c r="D101" i="5"/>
  <c r="I106" i="5"/>
  <c r="I98" i="5"/>
  <c r="L107" i="5"/>
  <c r="F94" i="5"/>
  <c r="N101" i="5"/>
  <c r="F98" i="5"/>
  <c r="L104" i="5"/>
  <c r="J100" i="5"/>
  <c r="P104" i="5"/>
  <c r="C96" i="5"/>
  <c r="J107" i="5"/>
  <c r="J96" i="5"/>
  <c r="O105" i="5"/>
  <c r="O94" i="5"/>
  <c r="N97" i="5"/>
  <c r="B98" i="5"/>
  <c r="J95" i="5"/>
  <c r="G96" i="5"/>
  <c r="O93" i="5"/>
  <c r="I107" i="5"/>
  <c r="I96" i="5"/>
  <c r="E95" i="5"/>
  <c r="K99" i="5"/>
  <c r="D97" i="5"/>
  <c r="O107" i="5"/>
  <c r="L97" i="5"/>
  <c r="N104" i="5"/>
  <c r="N99" i="5"/>
  <c r="I99" i="5"/>
  <c r="C106" i="5"/>
  <c r="K106" i="5"/>
  <c r="H103" i="5"/>
  <c r="H102" i="5"/>
  <c r="G107" i="5"/>
  <c r="E97" i="5"/>
  <c r="B103" i="5"/>
  <c r="K104" i="5"/>
  <c r="P102" i="5"/>
  <c r="I100" i="5"/>
  <c r="O99" i="5"/>
  <c r="E104" i="5"/>
  <c r="D102" i="5"/>
  <c r="D93" i="5"/>
  <c r="B136" i="5" l="1" a="1"/>
  <c r="E149" i="5" l="1"/>
  <c r="D147" i="5"/>
  <c r="C145" i="5"/>
  <c r="B143" i="5"/>
  <c r="E142" i="5"/>
  <c r="D142" i="5"/>
  <c r="B142" i="5"/>
  <c r="C140" i="5"/>
  <c r="E147" i="5"/>
  <c r="D145" i="5"/>
  <c r="C143" i="5"/>
  <c r="B141" i="5"/>
  <c r="E140" i="5"/>
  <c r="D140" i="5"/>
  <c r="B140" i="5"/>
  <c r="C138" i="5"/>
  <c r="E145" i="5"/>
  <c r="D143" i="5"/>
  <c r="C141" i="5"/>
  <c r="B139" i="5"/>
  <c r="E138" i="5"/>
  <c r="D138" i="5"/>
  <c r="B136" i="5"/>
  <c r="C136" i="5"/>
  <c r="D141" i="5"/>
  <c r="C139" i="5"/>
  <c r="B137" i="5"/>
  <c r="E136" i="5"/>
  <c r="D136" i="5"/>
  <c r="C150" i="5"/>
  <c r="B138" i="5"/>
  <c r="E141" i="5"/>
  <c r="D139" i="5"/>
  <c r="E150" i="5"/>
  <c r="B150" i="5"/>
  <c r="D137" i="5"/>
  <c r="E148" i="5"/>
  <c r="C146" i="5"/>
  <c r="B147" i="5"/>
  <c r="D146" i="5"/>
  <c r="C144" i="5"/>
  <c r="B145" i="5"/>
  <c r="D144" i="5"/>
  <c r="E143" i="5"/>
  <c r="D150" i="5"/>
  <c r="E139" i="5"/>
  <c r="B149" i="5"/>
  <c r="B148" i="5"/>
  <c r="C149" i="5"/>
  <c r="B146" i="5"/>
  <c r="C147" i="5"/>
  <c r="E144" i="5"/>
  <c r="C142" i="5"/>
  <c r="C137" i="5"/>
  <c r="C148" i="5"/>
  <c r="D148" i="5"/>
  <c r="E137" i="5"/>
  <c r="E146" i="5"/>
  <c r="D149" i="5"/>
  <c r="B144" i="5"/>
  <c r="C163" i="5" l="1"/>
  <c r="C164" i="5"/>
</calcChain>
</file>

<file path=xl/sharedStrings.xml><?xml version="1.0" encoding="utf-8"?>
<sst xmlns="http://schemas.openxmlformats.org/spreadsheetml/2006/main" count="584" uniqueCount="99">
  <si>
    <t>aagr</t>
  </si>
  <si>
    <t>aind</t>
  </si>
  <si>
    <t>asrv</t>
  </si>
  <si>
    <t>cagr</t>
  </si>
  <si>
    <t>cind</t>
  </si>
  <si>
    <t>csrv</t>
  </si>
  <si>
    <t>lab</t>
  </si>
  <si>
    <t>cap</t>
  </si>
  <si>
    <t>hrur</t>
  </si>
  <si>
    <t>hurb</t>
  </si>
  <si>
    <t>gov</t>
  </si>
  <si>
    <t>s-i</t>
  </si>
  <si>
    <t>row</t>
  </si>
  <si>
    <t>tot</t>
  </si>
  <si>
    <t>SAM legend</t>
  </si>
  <si>
    <t>Activity - agriculture</t>
  </si>
  <si>
    <t>Commodity - agriculture</t>
  </si>
  <si>
    <t>Factor - labor</t>
  </si>
  <si>
    <t>Factor - capital</t>
  </si>
  <si>
    <t>Households - rural</t>
  </si>
  <si>
    <t>Households - urban</t>
  </si>
  <si>
    <t>Government</t>
  </si>
  <si>
    <t>Saving/investment</t>
  </si>
  <si>
    <t>Rest of the world</t>
  </si>
  <si>
    <t>Column and row total</t>
  </si>
  <si>
    <t>Activity - industry</t>
  </si>
  <si>
    <t>Activity - services</t>
  </si>
  <si>
    <t>Commodity - industry</t>
  </si>
  <si>
    <t>Commodity - services</t>
  </si>
  <si>
    <t>Create an identity matrix by placing the value 1 in the diagonal cell entries</t>
  </si>
  <si>
    <r>
      <t>Indentity matrix</t>
    </r>
    <r>
      <rPr>
        <sz val="11"/>
        <color theme="1"/>
        <rFont val="Calibri"/>
        <family val="2"/>
        <scheme val="minor"/>
      </rPr>
      <t xml:space="preserve"> (I)</t>
    </r>
  </si>
  <si>
    <t>Coefficient matrix (M)</t>
  </si>
  <si>
    <t>Subtract the matrix from the identity matrix</t>
  </si>
  <si>
    <r>
      <rPr>
        <u/>
        <sz val="11"/>
        <color indexed="8"/>
        <rFont val="Calibri"/>
        <family val="2"/>
      </rPr>
      <t>Intermediate step</t>
    </r>
    <r>
      <rPr>
        <sz val="11"/>
        <color theme="1"/>
        <rFont val="Calibri"/>
        <family val="2"/>
        <scheme val="minor"/>
      </rPr>
      <t xml:space="preserve"> (I-M) </t>
    </r>
  </si>
  <si>
    <t>To do this, do the following four steps when entering the formula:</t>
  </si>
  <si>
    <t>4. Finally, hold down the control (CTRL) and SHIFT keys, and then press enter</t>
  </si>
  <si>
    <t xml:space="preserve">has "curly" parentheses or brackets around it (i.e., { and }). This is how Excel shows that </t>
  </si>
  <si>
    <t>a formula is matrix algebra.</t>
  </si>
  <si>
    <t xml:space="preserve">You must use Excel matrix algebra commands for this exercise. </t>
  </si>
  <si>
    <t xml:space="preserve">Now if you move your cursor over the matrix to the left you should see that your formula </t>
  </si>
  <si>
    <t>Invert the above matrix using the Excel "MINVERSE" formula.</t>
  </si>
  <si>
    <t>0.00</t>
  </si>
  <si>
    <t>The final three columns in the coefficient matrix are exogenous accounts in our model.</t>
  </si>
  <si>
    <t>This means that we must leave these accounts as zero, since they do not generate</t>
  </si>
  <si>
    <t>Hint</t>
  </si>
  <si>
    <t>round-by-round indirect linkage effects. All other columns should sum to one.</t>
  </si>
  <si>
    <r>
      <rPr>
        <u/>
        <sz val="11"/>
        <color indexed="8"/>
        <rFont val="Calibri"/>
        <family val="2"/>
      </rPr>
      <t>Exogenous demand shock matrix</t>
    </r>
    <r>
      <rPr>
        <sz val="11"/>
        <color theme="1"/>
        <rFont val="Calibri"/>
        <family val="2"/>
        <scheme val="minor"/>
      </rPr>
      <t xml:space="preserve"> (E) </t>
    </r>
  </si>
  <si>
    <t>PART 1: Calculating the inverted coefficient matrix</t>
  </si>
  <si>
    <r>
      <rPr>
        <u/>
        <sz val="11"/>
        <color indexed="8"/>
        <rFont val="Calibri"/>
        <family val="2"/>
      </rPr>
      <t>Inverted coefficient matrix</t>
    </r>
    <r>
      <rPr>
        <sz val="11"/>
        <color theme="1"/>
        <rFont val="Calibri"/>
        <family val="2"/>
        <scheme val="minor"/>
      </rPr>
      <t xml:space="preserve"> (I-M)-1 </t>
    </r>
  </si>
  <si>
    <t>PART 2: The exgenous shock vector</t>
  </si>
  <si>
    <t>PART 3: The multiplier effects</t>
  </si>
  <si>
    <t>Output</t>
  </si>
  <si>
    <t>GDP</t>
  </si>
  <si>
    <t>Income</t>
  </si>
  <si>
    <t>Use the Excel "MMULT" formula to calculate the multiplier effects</t>
  </si>
  <si>
    <t>Output multipliers</t>
  </si>
  <si>
    <t>GDP or value-added multipliers</t>
  </si>
  <si>
    <t>Income multipliers</t>
  </si>
  <si>
    <t>Q1:</t>
  </si>
  <si>
    <t>A1:</t>
  </si>
  <si>
    <t>Q2:</t>
  </si>
  <si>
    <t>A2:</t>
  </si>
  <si>
    <t>Q3:</t>
  </si>
  <si>
    <t>A3:</t>
  </si>
  <si>
    <t>Q4:</t>
  </si>
  <si>
    <t>A4:</t>
  </si>
  <si>
    <t>Q5:</t>
  </si>
  <si>
    <t>A5:</t>
  </si>
  <si>
    <t>trc</t>
  </si>
  <si>
    <t>ent</t>
  </si>
  <si>
    <t>total</t>
  </si>
  <si>
    <t>MINVERSE, Ctrl +Shift and Enter</t>
  </si>
  <si>
    <r>
      <rPr>
        <u/>
        <sz val="11"/>
        <color indexed="8"/>
        <rFont val="Calibri"/>
        <family val="2"/>
      </rPr>
      <t>Multiplier effects</t>
    </r>
    <r>
      <rPr>
        <sz val="11"/>
        <color theme="1"/>
        <rFont val="Calibri"/>
        <family val="2"/>
        <scheme val="minor"/>
      </rPr>
      <t xml:space="preserve"> Z = (I-M)-1*E</t>
    </r>
  </si>
  <si>
    <t>Calculate coefficients by dividing each column through by its column total.</t>
  </si>
  <si>
    <t>scen1</t>
  </si>
  <si>
    <t>scen2</t>
  </si>
  <si>
    <t>scen3</t>
  </si>
  <si>
    <t>scen4</t>
  </si>
  <si>
    <t>What is the multiplier effect under scenario 1? Is it beneficiary at the economy level?</t>
  </si>
  <si>
    <t>What is the multiplier effect under scenario 2? Is it beneficiary at the economy level?</t>
  </si>
  <si>
    <t>Interdepedence, linkages, input ratios, domestic commodity shares, and consumption shares.</t>
  </si>
  <si>
    <r>
      <rPr>
        <u/>
        <sz val="11"/>
        <color rgb="FF0070C0"/>
        <rFont val="Calibri"/>
        <family val="2"/>
        <scheme val="minor"/>
      </rPr>
      <t>Scenario 1</t>
    </r>
    <r>
      <rPr>
        <sz val="11"/>
        <color rgb="FF0070C0"/>
        <rFont val="Calibri"/>
        <family val="2"/>
        <scheme val="minor"/>
      </rPr>
      <t xml:space="preserve">: Distribute 1% of disposable income of rural households to urban households. </t>
    </r>
  </si>
  <si>
    <r>
      <rPr>
        <u/>
        <sz val="11"/>
        <color rgb="FF0070C0"/>
        <rFont val="Calibri"/>
        <family val="2"/>
        <scheme val="minor"/>
      </rPr>
      <t>Scenario 2</t>
    </r>
    <r>
      <rPr>
        <sz val="11"/>
        <color rgb="FF0070C0"/>
        <rFont val="Calibri"/>
        <family val="2"/>
        <scheme val="minor"/>
      </rPr>
      <t xml:space="preserve">: Distribute 1% of disposable income of urban households to rural households. </t>
    </r>
  </si>
  <si>
    <t>What do you think is behined these contrasting multiplier effects?</t>
  </si>
  <si>
    <t>Transaction cost</t>
  </si>
  <si>
    <t>Enterprise</t>
  </si>
  <si>
    <t>1. Highlight the block where you want your answer to be (B73:P87).</t>
  </si>
  <si>
    <t>2. Then types equals (=) followed by the coordinates for the entire identity matrix (B53:P67).</t>
  </si>
  <si>
    <t>3. Then subtract (-) the coordinates for the entire coefficient matrix (B32:P46) (leave out the total row)</t>
  </si>
  <si>
    <t xml:space="preserve">How can scenario 3 affect gross output, GDP and incomes in Bangladesh? </t>
  </si>
  <si>
    <t xml:space="preserve">How can scenario 4 affect gross output, GDP and incomes in Bangladesha? </t>
  </si>
  <si>
    <t>Yes, given we observe positive spillover effect</t>
  </si>
  <si>
    <t>National SAM with 3 sectors</t>
  </si>
  <si>
    <r>
      <rPr>
        <u/>
        <sz val="11"/>
        <color rgb="FF0070C0"/>
        <rFont val="Calibri"/>
        <family val="2"/>
        <scheme val="minor"/>
      </rPr>
      <t>Scenario 3</t>
    </r>
    <r>
      <rPr>
        <sz val="11"/>
        <color rgb="FF0070C0"/>
        <rFont val="Calibri"/>
        <family val="2"/>
        <scheme val="minor"/>
      </rPr>
      <t xml:space="preserve">: Assume export demand for agricultural commodities increase by 8 billion Taka whereas the demand for industrial exports decline by 5 billion Taka. </t>
    </r>
  </si>
  <si>
    <r>
      <rPr>
        <u/>
        <sz val="11"/>
        <color rgb="FF0070C0"/>
        <rFont val="Calibri"/>
        <family val="2"/>
        <scheme val="minor"/>
      </rPr>
      <t>Scenario 4</t>
    </r>
    <r>
      <rPr>
        <sz val="11"/>
        <color rgb="FF0070C0"/>
        <rFont val="Calibri"/>
        <family val="2"/>
        <scheme val="minor"/>
      </rPr>
      <t xml:space="preserve">: Assume export demand for agricultural commodities decrease by 5 billion Taka whereas the demand for industrial exports increase by 8 billion Taka. </t>
    </r>
  </si>
  <si>
    <t>What do you think is behind these contrasting multiplier effects?</t>
  </si>
  <si>
    <t>Exercise 4x: Multiplier Scenarios</t>
  </si>
  <si>
    <t xml:space="preserve">No, given we observe negative spillover effect </t>
  </si>
  <si>
    <t>disposible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</si>
</sst>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3" x14ac:knownFonts="1">
    <font>
      <sz val="11"/>
      <color theme="1"/>
      <name val="Calibri"/>
      <family val="2"/>
      <scheme val="minor"/>
    </font>
    <font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0" xfId="0" applyNumberFormat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7" fillId="0" borderId="0" xfId="0" applyNumberFormat="1" applyFont="1"/>
    <xf numFmtId="4" fontId="0" fillId="0" borderId="0" xfId="0" applyNumberFormat="1"/>
    <xf numFmtId="4" fontId="0" fillId="0" borderId="6" xfId="0" applyNumberFormat="1" applyBorder="1"/>
    <xf numFmtId="4" fontId="0" fillId="0" borderId="7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8" fillId="0" borderId="0" xfId="0" applyNumberFormat="1" applyFont="1"/>
    <xf numFmtId="4" fontId="8" fillId="0" borderId="0" xfId="0" quotePrefix="1" applyNumberFormat="1" applyFont="1" applyAlignment="1">
      <alignment horizontal="right"/>
    </xf>
    <xf numFmtId="4" fontId="9" fillId="0" borderId="0" xfId="0" applyNumberFormat="1" applyFont="1"/>
    <xf numFmtId="3" fontId="10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0" fillId="0" borderId="5" xfId="0" applyBorder="1"/>
    <xf numFmtId="0" fontId="0" fillId="0" borderId="1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1" xfId="0" applyBorder="1"/>
    <xf numFmtId="4" fontId="0" fillId="0" borderId="5" xfId="0" applyNumberFormat="1" applyBorder="1"/>
    <xf numFmtId="0" fontId="0" fillId="0" borderId="7" xfId="0" applyBorder="1"/>
    <xf numFmtId="4" fontId="0" fillId="0" borderId="8" xfId="0" applyNumberFormat="1" applyBorder="1"/>
    <xf numFmtId="4" fontId="0" fillId="0" borderId="12" xfId="0" applyNumberFormat="1" applyBorder="1"/>
    <xf numFmtId="4" fontId="0" fillId="0" borderId="1" xfId="0" applyNumberFormat="1" applyBorder="1"/>
    <xf numFmtId="0" fontId="0" fillId="0" borderId="2" xfId="0" applyBorder="1"/>
    <xf numFmtId="0" fontId="0" fillId="0" borderId="4" xfId="0" applyBorder="1"/>
    <xf numFmtId="2" fontId="3" fillId="0" borderId="0" xfId="0" applyNumberFormat="1" applyFont="1" applyAlignment="1">
      <alignment horizontal="left"/>
    </xf>
    <xf numFmtId="0" fontId="11" fillId="0" borderId="0" xfId="0" applyFont="1"/>
    <xf numFmtId="2" fontId="0" fillId="0" borderId="0" xfId="0" applyNumberFormat="1"/>
    <xf numFmtId="165" fontId="0" fillId="0" borderId="0" xfId="0" applyNumberFormat="1"/>
    <xf numFmtId="165" fontId="0" fillId="0" borderId="6" xfId="0" applyNumberFormat="1" applyBorder="1"/>
    <xf numFmtId="165" fontId="0" fillId="0" borderId="7" xfId="0" applyNumberFormat="1" applyBorder="1"/>
    <xf numFmtId="165" fontId="0" fillId="0" borderId="5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8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2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1" xfId="0" applyNumberForma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3" fontId="3" fillId="0" borderId="8" xfId="0" applyNumberFormat="1" applyFont="1" applyBorder="1"/>
    <xf numFmtId="4" fontId="3" fillId="0" borderId="8" xfId="0" applyNumberFormat="1" applyFont="1" applyBorder="1"/>
    <xf numFmtId="3" fontId="3" fillId="0" borderId="2" xfId="0" applyNumberFormat="1" applyFont="1" applyBorder="1"/>
    <xf numFmtId="0" fontId="3" fillId="0" borderId="9" xfId="0" applyFont="1" applyBorder="1"/>
    <xf numFmtId="164" fontId="3" fillId="0" borderId="3" xfId="1" applyNumberFormat="1" applyFont="1" applyBorder="1"/>
    <xf numFmtId="0" fontId="12" fillId="0" borderId="0" xfId="0" applyFont="1"/>
    <xf numFmtId="1" fontId="0" fillId="0" borderId="8" xfId="0" applyNumberFormat="1" applyBorder="1"/>
    <xf numFmtId="1" fontId="0" fillId="0" borderId="12" xfId="0" applyNumberFormat="1" applyBorder="1"/>
    <xf numFmtId="1" fontId="0" fillId="0" borderId="5" xfId="0" applyNumberFormat="1" applyBorder="1"/>
    <xf numFmtId="1" fontId="0" fillId="0" borderId="1" xfId="0" applyNumberFormat="1" applyBorder="1"/>
    <xf numFmtId="4" fontId="0" fillId="2" borderId="9" xfId="0" applyNumberFormat="1" applyFill="1" applyBorder="1"/>
    <xf numFmtId="4" fontId="0" fillId="2" borderId="11" xfId="0" applyNumberFormat="1" applyFill="1" applyBorder="1"/>
    <xf numFmtId="4" fontId="0" fillId="2" borderId="0" xfId="0" applyNumberFormat="1" applyFill="1"/>
    <xf numFmtId="4" fontId="0" fillId="2" borderId="7" xfId="0" applyNumberFormat="1" applyFill="1" applyBorder="1"/>
    <xf numFmtId="4" fontId="0" fillId="2" borderId="10" xfId="0" applyNumberFormat="1" applyFill="1" applyBorder="1"/>
    <xf numFmtId="4" fontId="0" fillId="2" borderId="14" xfId="0" applyNumberFormat="1" applyFill="1" applyBorder="1"/>
    <xf numFmtId="4" fontId="0" fillId="2" borderId="13" xfId="0" applyNumberFormat="1" applyFill="1" applyBorder="1"/>
    <xf numFmtId="9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EEAD-02A5-4F53-AC8E-5BE4E4B848AD}">
  <dimension ref="A1:W187"/>
  <sheetViews>
    <sheetView showZeros="0" tabSelected="1" topLeftCell="A109" zoomScaleNormal="100" workbookViewId="0">
      <selection activeCell="I171" sqref="I171"/>
    </sheetView>
  </sheetViews>
  <sheetFormatPr defaultRowHeight="14.5" x14ac:dyDescent="0.35"/>
  <sheetData>
    <row r="1" spans="1:20" ht="18.5" x14ac:dyDescent="0.45">
      <c r="A1" s="1" t="s">
        <v>96</v>
      </c>
    </row>
    <row r="2" spans="1:20" x14ac:dyDescent="0.35">
      <c r="L2" s="56"/>
      <c r="M2" s="56"/>
    </row>
    <row r="5" spans="1:20" x14ac:dyDescent="0.35">
      <c r="K5" s="92">
        <v>0.01</v>
      </c>
      <c r="L5" s="93">
        <f>L6*0.01</f>
        <v>85.77682679982739</v>
      </c>
      <c r="M5" s="93">
        <f>M6*0.01</f>
        <v>56.632482156035877</v>
      </c>
    </row>
    <row r="6" spans="1:20" ht="15.5" x14ac:dyDescent="0.35">
      <c r="A6" s="2" t="s">
        <v>92</v>
      </c>
      <c r="K6" t="s">
        <v>98</v>
      </c>
      <c r="L6" s="9">
        <f>L24-L21</f>
        <v>8577.6826799827395</v>
      </c>
      <c r="M6" s="9">
        <f>M24-M21</f>
        <v>5663.2482156035876</v>
      </c>
    </row>
    <row r="7" spans="1:20" x14ac:dyDescent="0.35">
      <c r="A7" s="55"/>
    </row>
    <row r="8" spans="1:20" x14ac:dyDescent="0.3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2" t="s">
        <v>68</v>
      </c>
      <c r="I8" s="5" t="s">
        <v>6</v>
      </c>
      <c r="J8" s="5" t="s">
        <v>7</v>
      </c>
      <c r="K8" s="42" t="s">
        <v>69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70</v>
      </c>
      <c r="S8" s="3" t="s">
        <v>14</v>
      </c>
    </row>
    <row r="9" spans="1:20" x14ac:dyDescent="0.35">
      <c r="A9" s="8" t="s">
        <v>0</v>
      </c>
      <c r="B9" s="9">
        <v>0</v>
      </c>
      <c r="C9" s="9">
        <v>0</v>
      </c>
      <c r="D9" s="9">
        <v>0</v>
      </c>
      <c r="E9" s="10">
        <v>4194.0968276820686</v>
      </c>
      <c r="F9" s="9">
        <v>0</v>
      </c>
      <c r="G9" s="11">
        <v>0</v>
      </c>
      <c r="H9" s="41">
        <v>0</v>
      </c>
      <c r="I9" s="9">
        <v>0</v>
      </c>
      <c r="J9" s="9">
        <v>0</v>
      </c>
      <c r="K9" s="41">
        <v>0</v>
      </c>
      <c r="L9" s="10">
        <v>230.11137326276418</v>
      </c>
      <c r="M9" s="11">
        <v>27.444965974600965</v>
      </c>
      <c r="N9" s="9">
        <v>0</v>
      </c>
      <c r="O9" s="9">
        <v>0</v>
      </c>
      <c r="P9" s="9">
        <v>0</v>
      </c>
      <c r="Q9" s="8">
        <v>4451.6531669194337</v>
      </c>
      <c r="S9" t="s">
        <v>0</v>
      </c>
      <c r="T9" t="s">
        <v>15</v>
      </c>
    </row>
    <row r="10" spans="1:20" x14ac:dyDescent="0.3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14797.632030029912</v>
      </c>
      <c r="G10" s="11">
        <v>0</v>
      </c>
      <c r="H10" s="41">
        <v>0</v>
      </c>
      <c r="I10" s="9">
        <v>0</v>
      </c>
      <c r="J10" s="9">
        <v>0</v>
      </c>
      <c r="K10" s="41">
        <v>0</v>
      </c>
      <c r="L10" s="10">
        <v>143.27119977087429</v>
      </c>
      <c r="M10" s="11">
        <v>11.995903721762755</v>
      </c>
      <c r="N10" s="9">
        <v>0</v>
      </c>
      <c r="O10" s="9">
        <v>0</v>
      </c>
      <c r="P10" s="9">
        <v>0</v>
      </c>
      <c r="Q10" s="8">
        <v>14952.899133522549</v>
      </c>
      <c r="S10" t="s">
        <v>1</v>
      </c>
      <c r="T10" t="s">
        <v>25</v>
      </c>
    </row>
    <row r="11" spans="1:20" x14ac:dyDescent="0.3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12849.064657937404</v>
      </c>
      <c r="H11" s="41">
        <v>0</v>
      </c>
      <c r="I11" s="9">
        <v>0</v>
      </c>
      <c r="J11" s="9">
        <v>0</v>
      </c>
      <c r="K11" s="41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12849.064657937404</v>
      </c>
      <c r="S11" t="s">
        <v>2</v>
      </c>
      <c r="T11" t="s">
        <v>26</v>
      </c>
    </row>
    <row r="12" spans="1:20" x14ac:dyDescent="0.35">
      <c r="A12" s="12" t="s">
        <v>3</v>
      </c>
      <c r="B12" s="13">
        <v>934.35727595647836</v>
      </c>
      <c r="C12" s="13">
        <v>1710.9976088997507</v>
      </c>
      <c r="D12" s="13">
        <v>215.44314277996176</v>
      </c>
      <c r="E12" s="14">
        <v>0</v>
      </c>
      <c r="F12" s="13">
        <v>0</v>
      </c>
      <c r="G12" s="15">
        <v>0</v>
      </c>
      <c r="H12" s="43">
        <v>0</v>
      </c>
      <c r="I12" s="13">
        <v>0</v>
      </c>
      <c r="J12" s="13">
        <v>0</v>
      </c>
      <c r="K12" s="43">
        <v>0</v>
      </c>
      <c r="L12" s="14">
        <v>2159.7057900374903</v>
      </c>
      <c r="M12" s="15">
        <v>1123.1739632457229</v>
      </c>
      <c r="N12" s="13">
        <v>0</v>
      </c>
      <c r="O12" s="13">
        <v>0</v>
      </c>
      <c r="P12" s="13">
        <v>27.336233064363579</v>
      </c>
      <c r="Q12" s="12">
        <v>6171.0140139837686</v>
      </c>
      <c r="S12" t="s">
        <v>3</v>
      </c>
      <c r="T12" t="s">
        <v>16</v>
      </c>
    </row>
    <row r="13" spans="1:20" x14ac:dyDescent="0.35">
      <c r="A13" s="8" t="s">
        <v>4</v>
      </c>
      <c r="B13" s="9">
        <v>500.26181547765924</v>
      </c>
      <c r="C13" s="9">
        <v>6138.9975670118674</v>
      </c>
      <c r="D13" s="9">
        <v>1804.7899593901088</v>
      </c>
      <c r="E13" s="10">
        <v>0</v>
      </c>
      <c r="F13" s="9">
        <v>0</v>
      </c>
      <c r="G13" s="11">
        <v>0</v>
      </c>
      <c r="H13" s="41">
        <v>0</v>
      </c>
      <c r="I13" s="9">
        <v>0</v>
      </c>
      <c r="J13" s="9">
        <v>0</v>
      </c>
      <c r="K13" s="41">
        <v>0</v>
      </c>
      <c r="L13" s="10">
        <v>2597.2964846458281</v>
      </c>
      <c r="M13" s="11">
        <v>1367.5433537414501</v>
      </c>
      <c r="N13" s="9">
        <v>0</v>
      </c>
      <c r="O13" s="9">
        <v>5218.0019059164124</v>
      </c>
      <c r="P13" s="9">
        <v>2984.4144407126687</v>
      </c>
      <c r="Q13" s="8">
        <v>20611.305526895994</v>
      </c>
      <c r="S13" t="s">
        <v>4</v>
      </c>
      <c r="T13" t="s">
        <v>27</v>
      </c>
    </row>
    <row r="14" spans="1:20" x14ac:dyDescent="0.35">
      <c r="A14" s="16" t="s">
        <v>5</v>
      </c>
      <c r="B14" s="17">
        <v>369.72694171662971</v>
      </c>
      <c r="C14" s="17">
        <v>2536.9201473805174</v>
      </c>
      <c r="D14" s="17">
        <v>1788.2765118604575</v>
      </c>
      <c r="E14" s="18">
        <v>0</v>
      </c>
      <c r="F14" s="17">
        <v>0</v>
      </c>
      <c r="G14" s="19">
        <v>0</v>
      </c>
      <c r="H14" s="44">
        <v>3767.5246943037455</v>
      </c>
      <c r="I14" s="17">
        <v>0</v>
      </c>
      <c r="J14" s="17">
        <v>0</v>
      </c>
      <c r="K14" s="44">
        <v>0</v>
      </c>
      <c r="L14" s="18">
        <v>2090.721155414848</v>
      </c>
      <c r="M14" s="19">
        <v>1602.4920247074047</v>
      </c>
      <c r="N14" s="17">
        <v>1028.2672427692576</v>
      </c>
      <c r="O14" s="17">
        <v>0</v>
      </c>
      <c r="P14" s="17">
        <v>251.6152317434952</v>
      </c>
      <c r="Q14" s="16">
        <v>13435.543949896357</v>
      </c>
      <c r="S14" t="s">
        <v>5</v>
      </c>
      <c r="T14" t="s">
        <v>28</v>
      </c>
    </row>
    <row r="15" spans="1:20" x14ac:dyDescent="0.35">
      <c r="A15" s="4" t="s">
        <v>68</v>
      </c>
      <c r="B15" s="5">
        <v>0</v>
      </c>
      <c r="C15" s="5">
        <v>0</v>
      </c>
      <c r="D15" s="5">
        <v>0</v>
      </c>
      <c r="E15" s="6">
        <v>1632.2949481500727</v>
      </c>
      <c r="F15" s="5">
        <v>2135.2297461536755</v>
      </c>
      <c r="G15" s="7">
        <v>0</v>
      </c>
      <c r="H15" s="42">
        <v>0</v>
      </c>
      <c r="I15" s="5">
        <v>0</v>
      </c>
      <c r="J15" s="5">
        <v>0</v>
      </c>
      <c r="K15" s="42">
        <v>0</v>
      </c>
      <c r="L15" s="6">
        <v>0</v>
      </c>
      <c r="M15" s="7">
        <v>0</v>
      </c>
      <c r="N15" s="5">
        <v>0</v>
      </c>
      <c r="O15" s="5">
        <v>0</v>
      </c>
      <c r="P15" s="5">
        <v>0</v>
      </c>
      <c r="Q15" s="4">
        <v>3767.5246943037482</v>
      </c>
      <c r="S15" t="s">
        <v>68</v>
      </c>
      <c r="T15" t="s">
        <v>84</v>
      </c>
    </row>
    <row r="16" spans="1:20" x14ac:dyDescent="0.35">
      <c r="A16" s="8" t="s">
        <v>6</v>
      </c>
      <c r="B16" s="9">
        <v>1739.6983760265716</v>
      </c>
      <c r="C16" s="9">
        <v>2291.1944088875421</v>
      </c>
      <c r="D16" s="9">
        <v>2046.5443077644873</v>
      </c>
      <c r="E16" s="10">
        <v>0</v>
      </c>
      <c r="F16" s="9">
        <v>0</v>
      </c>
      <c r="G16" s="11">
        <v>0</v>
      </c>
      <c r="H16" s="41">
        <v>0</v>
      </c>
      <c r="I16" s="9">
        <v>0</v>
      </c>
      <c r="J16" s="9">
        <v>0</v>
      </c>
      <c r="K16" s="41">
        <v>0</v>
      </c>
      <c r="L16" s="10">
        <v>0</v>
      </c>
      <c r="M16" s="11">
        <v>0</v>
      </c>
      <c r="N16" s="9">
        <v>0</v>
      </c>
      <c r="O16" s="9">
        <v>0</v>
      </c>
      <c r="P16" s="9">
        <v>1.9845959073865265</v>
      </c>
      <c r="Q16" s="8">
        <v>6079.4216885859878</v>
      </c>
      <c r="S16" t="s">
        <v>6</v>
      </c>
      <c r="T16" t="s">
        <v>17</v>
      </c>
    </row>
    <row r="17" spans="1:23" x14ac:dyDescent="0.35">
      <c r="A17" s="8" t="s">
        <v>7</v>
      </c>
      <c r="B17" s="9">
        <v>907.60875774209296</v>
      </c>
      <c r="C17" s="9">
        <v>2274.7894013428663</v>
      </c>
      <c r="D17" s="9">
        <v>6994.0107361423889</v>
      </c>
      <c r="E17" s="10">
        <v>0</v>
      </c>
      <c r="F17" s="9">
        <v>0</v>
      </c>
      <c r="G17" s="11">
        <v>0</v>
      </c>
      <c r="H17" s="41">
        <v>0</v>
      </c>
      <c r="I17" s="9">
        <v>0</v>
      </c>
      <c r="J17" s="9">
        <v>0</v>
      </c>
      <c r="K17" s="41">
        <v>0</v>
      </c>
      <c r="L17" s="10">
        <v>0</v>
      </c>
      <c r="M17" s="11">
        <v>0</v>
      </c>
      <c r="N17" s="9">
        <v>0</v>
      </c>
      <c r="O17" s="9">
        <v>0</v>
      </c>
      <c r="P17" s="9">
        <v>5.3979776206701402</v>
      </c>
      <c r="Q17" s="8">
        <v>10181.806872848019</v>
      </c>
      <c r="S17" t="s">
        <v>7</v>
      </c>
      <c r="T17" t="s">
        <v>18</v>
      </c>
    </row>
    <row r="18" spans="1:23" x14ac:dyDescent="0.35">
      <c r="A18" s="4" t="s">
        <v>69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2">
        <v>0</v>
      </c>
      <c r="I18" s="5">
        <v>0</v>
      </c>
      <c r="J18" s="5">
        <v>9681.3545146988636</v>
      </c>
      <c r="K18" s="42">
        <v>0</v>
      </c>
      <c r="L18" s="6">
        <v>0</v>
      </c>
      <c r="M18" s="7">
        <v>0</v>
      </c>
      <c r="N18" s="5">
        <v>459.80080278812255</v>
      </c>
      <c r="O18" s="5">
        <v>0</v>
      </c>
      <c r="P18" s="5">
        <v>48.729247824616316</v>
      </c>
      <c r="Q18" s="4">
        <v>10189.884565311602</v>
      </c>
      <c r="S18" t="s">
        <v>69</v>
      </c>
      <c r="T18" t="s">
        <v>85</v>
      </c>
    </row>
    <row r="19" spans="1:23" x14ac:dyDescent="0.3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3">
        <v>0</v>
      </c>
      <c r="I19" s="13">
        <v>3875.9851679290277</v>
      </c>
      <c r="J19" s="13">
        <v>257.22629258193376</v>
      </c>
      <c r="K19" s="81">
        <v>3792.8106428235851</v>
      </c>
      <c r="L19" s="14">
        <v>0</v>
      </c>
      <c r="M19" s="15">
        <v>0</v>
      </c>
      <c r="N19" s="13">
        <v>145.32560292431208</v>
      </c>
      <c r="O19" s="13">
        <v>0</v>
      </c>
      <c r="P19" s="13">
        <v>545.33287619288387</v>
      </c>
      <c r="Q19" s="12">
        <v>8616.6805824517432</v>
      </c>
      <c r="S19" t="s">
        <v>8</v>
      </c>
      <c r="T19" t="s">
        <v>19</v>
      </c>
      <c r="W19" s="9"/>
    </row>
    <row r="20" spans="1:23" x14ac:dyDescent="0.3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4">
        <v>0</v>
      </c>
      <c r="I20" s="17">
        <v>2203.2535118372534</v>
      </c>
      <c r="J20" s="17">
        <v>25.057628249654258</v>
      </c>
      <c r="K20" s="82">
        <v>3333.8548263374014</v>
      </c>
      <c r="L20" s="18">
        <v>0</v>
      </c>
      <c r="M20" s="19">
        <v>0</v>
      </c>
      <c r="N20" s="17">
        <v>18.847655017626018</v>
      </c>
      <c r="O20" s="17">
        <v>0</v>
      </c>
      <c r="P20" s="17">
        <v>194.38611785013975</v>
      </c>
      <c r="Q20" s="16">
        <v>5775.3997392920746</v>
      </c>
      <c r="S20" t="s">
        <v>9</v>
      </c>
      <c r="T20" t="s">
        <v>20</v>
      </c>
    </row>
    <row r="21" spans="1:23" x14ac:dyDescent="0.35">
      <c r="A21" s="8" t="s">
        <v>10</v>
      </c>
      <c r="B21" s="9">
        <v>0</v>
      </c>
      <c r="C21" s="9">
        <v>0</v>
      </c>
      <c r="D21" s="9">
        <v>0</v>
      </c>
      <c r="E21" s="10">
        <v>15.809622701426436</v>
      </c>
      <c r="F21" s="9">
        <v>844.71739607100312</v>
      </c>
      <c r="G21" s="11">
        <v>0</v>
      </c>
      <c r="H21" s="41">
        <v>0</v>
      </c>
      <c r="I21" s="9">
        <v>0</v>
      </c>
      <c r="J21" s="9">
        <v>0</v>
      </c>
      <c r="K21" s="83">
        <v>600.77143808281619</v>
      </c>
      <c r="L21" s="10">
        <v>38.997902469003527</v>
      </c>
      <c r="M21" s="11">
        <v>112.15152368848706</v>
      </c>
      <c r="N21" s="9">
        <v>1362.1582558222403</v>
      </c>
      <c r="O21" s="9">
        <v>0</v>
      </c>
      <c r="P21" s="9">
        <v>21.632157521429448</v>
      </c>
      <c r="Q21" s="8">
        <v>2996.2382963564055</v>
      </c>
      <c r="S21" t="s">
        <v>10</v>
      </c>
      <c r="T21" t="s">
        <v>21</v>
      </c>
    </row>
    <row r="22" spans="1:23" x14ac:dyDescent="0.3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1">
        <v>0</v>
      </c>
      <c r="I22" s="9">
        <v>0</v>
      </c>
      <c r="J22" s="9">
        <v>0</v>
      </c>
      <c r="K22" s="83">
        <v>2456.4244485544327</v>
      </c>
      <c r="L22" s="10">
        <v>1354.5511285622044</v>
      </c>
      <c r="M22" s="11">
        <v>1529.5725700363889</v>
      </c>
      <c r="N22" s="9">
        <v>-34.256569842259047</v>
      </c>
      <c r="O22" s="9">
        <v>0</v>
      </c>
      <c r="P22" s="9">
        <v>-88.289671394354244</v>
      </c>
      <c r="Q22" s="8">
        <v>5218.0019059164133</v>
      </c>
      <c r="S22" t="s">
        <v>11</v>
      </c>
      <c r="T22" t="s">
        <v>22</v>
      </c>
    </row>
    <row r="23" spans="1:23" x14ac:dyDescent="0.35">
      <c r="A23" s="8" t="s">
        <v>12</v>
      </c>
      <c r="B23" s="9">
        <v>0</v>
      </c>
      <c r="C23" s="9">
        <v>0</v>
      </c>
      <c r="D23" s="9">
        <v>0</v>
      </c>
      <c r="E23" s="10">
        <v>328.81261545020141</v>
      </c>
      <c r="F23" s="9">
        <v>2833.7263546414074</v>
      </c>
      <c r="G23" s="11">
        <v>586.47929195894653</v>
      </c>
      <c r="H23" s="41">
        <v>0</v>
      </c>
      <c r="I23" s="9">
        <v>0.18300881970842275</v>
      </c>
      <c r="J23" s="9">
        <v>218.168437317567</v>
      </c>
      <c r="K23" s="83">
        <v>6.0232095133695571</v>
      </c>
      <c r="L23" s="10">
        <v>2.0255482887304761</v>
      </c>
      <c r="M23" s="11">
        <v>1.0254341762577779</v>
      </c>
      <c r="N23" s="9">
        <v>16.095306877107852</v>
      </c>
      <c r="O23" s="9">
        <v>0</v>
      </c>
      <c r="P23" s="9">
        <v>0</v>
      </c>
      <c r="Q23" s="8">
        <v>3992.5392070432972</v>
      </c>
      <c r="S23" t="s">
        <v>12</v>
      </c>
      <c r="T23" t="s">
        <v>23</v>
      </c>
    </row>
    <row r="24" spans="1:23" x14ac:dyDescent="0.35">
      <c r="A24" s="4" t="s">
        <v>70</v>
      </c>
      <c r="B24" s="5">
        <v>4451.6531669194319</v>
      </c>
      <c r="C24" s="5">
        <v>14952.899133522546</v>
      </c>
      <c r="D24" s="5">
        <v>12849.064657937404</v>
      </c>
      <c r="E24" s="6">
        <v>6171.0140139837695</v>
      </c>
      <c r="F24" s="5">
        <v>20611.305526895998</v>
      </c>
      <c r="G24" s="7">
        <v>13435.543949896351</v>
      </c>
      <c r="H24" s="42">
        <v>3767.5246943037455</v>
      </c>
      <c r="I24" s="5">
        <v>6079.4216885859896</v>
      </c>
      <c r="J24" s="5">
        <v>10181.806872848019</v>
      </c>
      <c r="K24" s="84">
        <v>10189.884565311604</v>
      </c>
      <c r="L24" s="6">
        <v>8616.6805824517432</v>
      </c>
      <c r="M24" s="7">
        <v>5775.3997392920746</v>
      </c>
      <c r="N24" s="5">
        <v>2996.2382963564073</v>
      </c>
      <c r="O24" s="5">
        <v>5218.0019059164124</v>
      </c>
      <c r="P24" s="5">
        <v>3992.539207043299</v>
      </c>
      <c r="Q24" s="4"/>
      <c r="S24" t="s">
        <v>70</v>
      </c>
      <c r="T24" t="s">
        <v>24</v>
      </c>
    </row>
    <row r="27" spans="1:23" ht="18.5" x14ac:dyDescent="0.45">
      <c r="A27" s="36" t="s">
        <v>47</v>
      </c>
    </row>
    <row r="29" spans="1:23" x14ac:dyDescent="0.35">
      <c r="A29" s="20" t="s">
        <v>31</v>
      </c>
    </row>
    <row r="30" spans="1:23" x14ac:dyDescent="0.35">
      <c r="A30" s="9" t="s">
        <v>73</v>
      </c>
    </row>
    <row r="31" spans="1:23" x14ac:dyDescent="0.3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68</v>
      </c>
      <c r="I31" s="6" t="s">
        <v>6</v>
      </c>
      <c r="J31" s="5" t="s">
        <v>7</v>
      </c>
      <c r="K31" s="4" t="s">
        <v>69</v>
      </c>
      <c r="L31" s="5" t="s">
        <v>8</v>
      </c>
      <c r="M31" s="5" t="s">
        <v>9</v>
      </c>
      <c r="N31" s="6" t="s">
        <v>10</v>
      </c>
      <c r="O31" s="45" t="s">
        <v>11</v>
      </c>
      <c r="P31" s="46" t="s">
        <v>12</v>
      </c>
      <c r="R31" s="35" t="s">
        <v>44</v>
      </c>
    </row>
    <row r="32" spans="1:23" x14ac:dyDescent="0.35">
      <c r="A32" s="8" t="s">
        <v>0</v>
      </c>
      <c r="B32" s="57">
        <f>B9/B$24</f>
        <v>0</v>
      </c>
      <c r="C32" s="57">
        <f t="shared" ref="C32:M32" si="0">C9/C$24</f>
        <v>0</v>
      </c>
      <c r="D32" s="57">
        <f t="shared" si="0"/>
        <v>0</v>
      </c>
      <c r="E32" s="58">
        <f t="shared" si="0"/>
        <v>0.67964467722453292</v>
      </c>
      <c r="F32" s="57">
        <f t="shared" si="0"/>
        <v>0</v>
      </c>
      <c r="G32" s="59">
        <f t="shared" si="0"/>
        <v>0</v>
      </c>
      <c r="H32" s="60">
        <f t="shared" si="0"/>
        <v>0</v>
      </c>
      <c r="I32" s="57">
        <f t="shared" si="0"/>
        <v>0</v>
      </c>
      <c r="J32" s="57">
        <f t="shared" si="0"/>
        <v>0</v>
      </c>
      <c r="K32" s="60">
        <f t="shared" si="0"/>
        <v>0</v>
      </c>
      <c r="L32" s="58">
        <f t="shared" si="0"/>
        <v>2.6705338681277835E-2</v>
      </c>
      <c r="M32" s="59">
        <f t="shared" si="0"/>
        <v>4.7520461290121987E-3</v>
      </c>
      <c r="N32" s="22"/>
      <c r="O32" s="24"/>
      <c r="P32" s="26"/>
      <c r="R32" s="33" t="s">
        <v>42</v>
      </c>
    </row>
    <row r="33" spans="1:18" x14ac:dyDescent="0.35">
      <c r="A33" s="8" t="s">
        <v>1</v>
      </c>
      <c r="B33" s="57">
        <f>B10/B$24</f>
        <v>0</v>
      </c>
      <c r="C33" s="57">
        <f t="shared" ref="B33:M47" si="1">C10/C$24</f>
        <v>0</v>
      </c>
      <c r="D33" s="57">
        <f t="shared" si="1"/>
        <v>0</v>
      </c>
      <c r="E33" s="58">
        <f t="shared" si="1"/>
        <v>0</v>
      </c>
      <c r="F33" s="57">
        <f t="shared" si="1"/>
        <v>0.71793763916217068</v>
      </c>
      <c r="G33" s="59">
        <f t="shared" si="1"/>
        <v>0</v>
      </c>
      <c r="H33" s="60">
        <f t="shared" si="1"/>
        <v>0</v>
      </c>
      <c r="I33" s="57">
        <f t="shared" si="1"/>
        <v>0</v>
      </c>
      <c r="J33" s="57">
        <f t="shared" si="1"/>
        <v>0</v>
      </c>
      <c r="K33" s="60">
        <f t="shared" si="1"/>
        <v>0</v>
      </c>
      <c r="L33" s="58">
        <f t="shared" si="1"/>
        <v>1.662719168941373E-2</v>
      </c>
      <c r="M33" s="59">
        <f t="shared" si="1"/>
        <v>2.0770689931902731E-3</v>
      </c>
      <c r="N33" s="22"/>
      <c r="O33" s="21"/>
      <c r="P33" s="23"/>
      <c r="R33" s="33" t="s">
        <v>43</v>
      </c>
    </row>
    <row r="34" spans="1:18" x14ac:dyDescent="0.35">
      <c r="A34" s="8" t="s">
        <v>2</v>
      </c>
      <c r="B34" s="57">
        <f t="shared" si="1"/>
        <v>0</v>
      </c>
      <c r="C34" s="57">
        <f t="shared" si="1"/>
        <v>0</v>
      </c>
      <c r="D34" s="57">
        <f t="shared" si="1"/>
        <v>0</v>
      </c>
      <c r="E34" s="58">
        <f t="shared" si="1"/>
        <v>0</v>
      </c>
      <c r="F34" s="57">
        <f t="shared" si="1"/>
        <v>0</v>
      </c>
      <c r="G34" s="59">
        <f t="shared" si="1"/>
        <v>0.95634867526420686</v>
      </c>
      <c r="H34" s="60">
        <f t="shared" si="1"/>
        <v>0</v>
      </c>
      <c r="I34" s="57">
        <f t="shared" si="1"/>
        <v>0</v>
      </c>
      <c r="J34" s="57">
        <f t="shared" si="1"/>
        <v>0</v>
      </c>
      <c r="K34" s="60">
        <f t="shared" si="1"/>
        <v>0</v>
      </c>
      <c r="L34" s="58">
        <f t="shared" si="1"/>
        <v>0</v>
      </c>
      <c r="M34" s="59">
        <f t="shared" si="1"/>
        <v>0</v>
      </c>
      <c r="N34" s="22"/>
      <c r="O34" s="27"/>
      <c r="P34" s="29"/>
      <c r="R34" s="33" t="s">
        <v>45</v>
      </c>
    </row>
    <row r="35" spans="1:18" x14ac:dyDescent="0.35">
      <c r="A35" s="12" t="s">
        <v>3</v>
      </c>
      <c r="B35" s="61">
        <f t="shared" si="1"/>
        <v>0.20988995344465675</v>
      </c>
      <c r="C35" s="61">
        <f t="shared" si="1"/>
        <v>0.11442581091608559</v>
      </c>
      <c r="D35" s="61">
        <f t="shared" si="1"/>
        <v>1.6767223803086206E-2</v>
      </c>
      <c r="E35" s="62">
        <f t="shared" si="1"/>
        <v>0</v>
      </c>
      <c r="F35" s="61">
        <f t="shared" si="1"/>
        <v>0</v>
      </c>
      <c r="G35" s="63">
        <f t="shared" si="1"/>
        <v>0</v>
      </c>
      <c r="H35" s="64">
        <f t="shared" si="1"/>
        <v>0</v>
      </c>
      <c r="I35" s="61">
        <f t="shared" si="1"/>
        <v>0</v>
      </c>
      <c r="J35" s="61">
        <f t="shared" si="1"/>
        <v>0</v>
      </c>
      <c r="K35" s="64">
        <f t="shared" si="1"/>
        <v>0</v>
      </c>
      <c r="L35" s="62">
        <f t="shared" si="1"/>
        <v>0.25064243351852084</v>
      </c>
      <c r="M35" s="63">
        <f t="shared" si="1"/>
        <v>0.19447553657703995</v>
      </c>
      <c r="N35" s="25"/>
      <c r="O35" s="24"/>
      <c r="P35" s="26"/>
    </row>
    <row r="36" spans="1:18" x14ac:dyDescent="0.35">
      <c r="A36" s="8" t="s">
        <v>4</v>
      </c>
      <c r="B36" s="57">
        <f t="shared" si="1"/>
        <v>0.11237663778372095</v>
      </c>
      <c r="C36" s="57">
        <f t="shared" si="1"/>
        <v>0.41055567299648243</v>
      </c>
      <c r="D36" s="57">
        <f t="shared" si="1"/>
        <v>0.14046080453608853</v>
      </c>
      <c r="E36" s="58">
        <f t="shared" si="1"/>
        <v>0</v>
      </c>
      <c r="F36" s="57">
        <f t="shared" si="1"/>
        <v>0</v>
      </c>
      <c r="G36" s="59">
        <f t="shared" si="1"/>
        <v>0</v>
      </c>
      <c r="H36" s="60">
        <f t="shared" si="1"/>
        <v>0</v>
      </c>
      <c r="I36" s="57">
        <f t="shared" si="1"/>
        <v>0</v>
      </c>
      <c r="J36" s="57">
        <f t="shared" si="1"/>
        <v>0</v>
      </c>
      <c r="K36" s="60">
        <f t="shared" si="1"/>
        <v>0</v>
      </c>
      <c r="L36" s="58">
        <f t="shared" si="1"/>
        <v>0.30142657138009027</v>
      </c>
      <c r="M36" s="59">
        <f t="shared" si="1"/>
        <v>0.23678765375105934</v>
      </c>
      <c r="N36" s="22"/>
      <c r="O36" s="21"/>
      <c r="P36" s="23"/>
    </row>
    <row r="37" spans="1:18" x14ac:dyDescent="0.35">
      <c r="A37" s="16" t="s">
        <v>5</v>
      </c>
      <c r="B37" s="65">
        <f t="shared" si="1"/>
        <v>8.3053851648663538E-2</v>
      </c>
      <c r="C37" s="65">
        <f t="shared" si="1"/>
        <v>0.16966075439464826</v>
      </c>
      <c r="D37" s="65">
        <f t="shared" si="1"/>
        <v>0.13917561779532056</v>
      </c>
      <c r="E37" s="66">
        <f t="shared" si="1"/>
        <v>0</v>
      </c>
      <c r="F37" s="65">
        <f t="shared" si="1"/>
        <v>0</v>
      </c>
      <c r="G37" s="67">
        <f t="shared" si="1"/>
        <v>0</v>
      </c>
      <c r="H37" s="68">
        <f t="shared" si="1"/>
        <v>1</v>
      </c>
      <c r="I37" s="65">
        <f t="shared" si="1"/>
        <v>0</v>
      </c>
      <c r="J37" s="65">
        <f t="shared" si="1"/>
        <v>0</v>
      </c>
      <c r="K37" s="68">
        <f t="shared" si="1"/>
        <v>0</v>
      </c>
      <c r="L37" s="66">
        <f t="shared" si="1"/>
        <v>0.24263649272002671</v>
      </c>
      <c r="M37" s="67">
        <f t="shared" si="1"/>
        <v>0.27746859040857175</v>
      </c>
      <c r="N37" s="28"/>
      <c r="O37" s="27"/>
      <c r="P37" s="29"/>
    </row>
    <row r="38" spans="1:18" x14ac:dyDescent="0.35">
      <c r="A38" s="4" t="s">
        <v>68</v>
      </c>
      <c r="B38" s="69">
        <f t="shared" si="1"/>
        <v>0</v>
      </c>
      <c r="C38" s="69">
        <f t="shared" si="1"/>
        <v>0</v>
      </c>
      <c r="D38" s="69">
        <f t="shared" si="1"/>
        <v>0</v>
      </c>
      <c r="E38" s="70">
        <f t="shared" si="1"/>
        <v>0.26451000507391909</v>
      </c>
      <c r="F38" s="69">
        <f t="shared" si="1"/>
        <v>0.10359507520605052</v>
      </c>
      <c r="G38" s="71">
        <f t="shared" si="1"/>
        <v>0</v>
      </c>
      <c r="H38" s="72">
        <f t="shared" si="1"/>
        <v>0</v>
      </c>
      <c r="I38" s="69">
        <f t="shared" si="1"/>
        <v>0</v>
      </c>
      <c r="J38" s="69">
        <f t="shared" si="1"/>
        <v>0</v>
      </c>
      <c r="K38" s="72">
        <f t="shared" si="1"/>
        <v>0</v>
      </c>
      <c r="L38" s="70">
        <f t="shared" si="1"/>
        <v>0</v>
      </c>
      <c r="M38" s="71">
        <f t="shared" si="1"/>
        <v>0</v>
      </c>
      <c r="N38" s="31"/>
      <c r="O38" s="30"/>
      <c r="P38" s="32"/>
    </row>
    <row r="39" spans="1:18" x14ac:dyDescent="0.35">
      <c r="A39" s="8" t="s">
        <v>6</v>
      </c>
      <c r="B39" s="57">
        <f t="shared" si="1"/>
        <v>0.39079827443755066</v>
      </c>
      <c r="C39" s="57">
        <f t="shared" si="1"/>
        <v>0.15322743692900118</v>
      </c>
      <c r="D39" s="57">
        <f t="shared" si="1"/>
        <v>0.15927574202844808</v>
      </c>
      <c r="E39" s="58">
        <f t="shared" si="1"/>
        <v>0</v>
      </c>
      <c r="F39" s="57">
        <f t="shared" si="1"/>
        <v>0</v>
      </c>
      <c r="G39" s="59">
        <f t="shared" si="1"/>
        <v>0</v>
      </c>
      <c r="H39" s="60">
        <f t="shared" si="1"/>
        <v>0</v>
      </c>
      <c r="I39" s="57">
        <f t="shared" si="1"/>
        <v>0</v>
      </c>
      <c r="J39" s="57">
        <f t="shared" si="1"/>
        <v>0</v>
      </c>
      <c r="K39" s="60">
        <f t="shared" si="1"/>
        <v>0</v>
      </c>
      <c r="L39" s="58">
        <f t="shared" si="1"/>
        <v>0</v>
      </c>
      <c r="M39" s="59">
        <f t="shared" si="1"/>
        <v>0</v>
      </c>
      <c r="N39" s="22"/>
      <c r="O39" s="21"/>
      <c r="P39" s="23"/>
    </row>
    <row r="40" spans="1:18" x14ac:dyDescent="0.35">
      <c r="A40" s="8" t="s">
        <v>7</v>
      </c>
      <c r="B40" s="57">
        <f t="shared" si="1"/>
        <v>0.20388128268540812</v>
      </c>
      <c r="C40" s="57">
        <f t="shared" si="1"/>
        <v>0.15213032476378247</v>
      </c>
      <c r="D40" s="57">
        <f t="shared" si="1"/>
        <v>0.5443206118370566</v>
      </c>
      <c r="E40" s="58">
        <f t="shared" si="1"/>
        <v>0</v>
      </c>
      <c r="F40" s="57">
        <f t="shared" si="1"/>
        <v>0</v>
      </c>
      <c r="G40" s="59">
        <f t="shared" si="1"/>
        <v>0</v>
      </c>
      <c r="H40" s="60">
        <f t="shared" si="1"/>
        <v>0</v>
      </c>
      <c r="I40" s="57">
        <f t="shared" si="1"/>
        <v>0</v>
      </c>
      <c r="J40" s="57">
        <f t="shared" si="1"/>
        <v>0</v>
      </c>
      <c r="K40" s="60">
        <f t="shared" si="1"/>
        <v>0</v>
      </c>
      <c r="L40" s="58">
        <f t="shared" si="1"/>
        <v>0</v>
      </c>
      <c r="M40" s="59">
        <f t="shared" si="1"/>
        <v>0</v>
      </c>
      <c r="N40" s="22"/>
      <c r="O40" s="21"/>
      <c r="P40" s="23"/>
    </row>
    <row r="41" spans="1:18" x14ac:dyDescent="0.35">
      <c r="A41" s="4" t="s">
        <v>69</v>
      </c>
      <c r="B41" s="69">
        <f t="shared" si="1"/>
        <v>0</v>
      </c>
      <c r="C41" s="69">
        <f t="shared" si="1"/>
        <v>0</v>
      </c>
      <c r="D41" s="69">
        <f t="shared" si="1"/>
        <v>0</v>
      </c>
      <c r="E41" s="70">
        <f t="shared" si="1"/>
        <v>0</v>
      </c>
      <c r="F41" s="69">
        <f t="shared" si="1"/>
        <v>0</v>
      </c>
      <c r="G41" s="71">
        <f t="shared" si="1"/>
        <v>0</v>
      </c>
      <c r="H41" s="72">
        <f t="shared" si="1"/>
        <v>0</v>
      </c>
      <c r="I41" s="69">
        <f t="shared" si="1"/>
        <v>0</v>
      </c>
      <c r="J41" s="69">
        <f t="shared" si="1"/>
        <v>0.95084837451752102</v>
      </c>
      <c r="K41" s="72">
        <f t="shared" si="1"/>
        <v>0</v>
      </c>
      <c r="L41" s="70">
        <f t="shared" si="1"/>
        <v>0</v>
      </c>
      <c r="M41" s="71">
        <f t="shared" si="1"/>
        <v>0</v>
      </c>
      <c r="N41" s="31"/>
      <c r="O41" s="30"/>
      <c r="P41" s="32"/>
    </row>
    <row r="42" spans="1:18" x14ac:dyDescent="0.35">
      <c r="A42" s="8" t="s">
        <v>8</v>
      </c>
      <c r="B42" s="61">
        <f t="shared" si="1"/>
        <v>0</v>
      </c>
      <c r="C42" s="61">
        <f t="shared" si="1"/>
        <v>0</v>
      </c>
      <c r="D42" s="61">
        <f t="shared" si="1"/>
        <v>0</v>
      </c>
      <c r="E42" s="62">
        <f t="shared" si="1"/>
        <v>0</v>
      </c>
      <c r="F42" s="61">
        <f t="shared" si="1"/>
        <v>0</v>
      </c>
      <c r="G42" s="63">
        <f t="shared" si="1"/>
        <v>0</v>
      </c>
      <c r="H42" s="64">
        <f t="shared" si="1"/>
        <v>0</v>
      </c>
      <c r="I42" s="61">
        <f t="shared" si="1"/>
        <v>0.63755820314391476</v>
      </c>
      <c r="J42" s="61">
        <f t="shared" si="1"/>
        <v>2.5263324652904491E-2</v>
      </c>
      <c r="K42" s="64">
        <f t="shared" si="1"/>
        <v>0.37221330806190561</v>
      </c>
      <c r="L42" s="62">
        <f t="shared" si="1"/>
        <v>0</v>
      </c>
      <c r="M42" s="63">
        <f t="shared" si="1"/>
        <v>0</v>
      </c>
      <c r="N42" s="22"/>
      <c r="O42" s="21"/>
      <c r="P42" s="23"/>
    </row>
    <row r="43" spans="1:18" x14ac:dyDescent="0.35">
      <c r="A43" s="16" t="s">
        <v>9</v>
      </c>
      <c r="B43" s="65">
        <f t="shared" si="1"/>
        <v>0</v>
      </c>
      <c r="C43" s="65">
        <f t="shared" si="1"/>
        <v>0</v>
      </c>
      <c r="D43" s="65">
        <f t="shared" si="1"/>
        <v>0</v>
      </c>
      <c r="E43" s="66">
        <f t="shared" si="1"/>
        <v>0</v>
      </c>
      <c r="F43" s="65">
        <f t="shared" si="1"/>
        <v>0</v>
      </c>
      <c r="G43" s="67">
        <f t="shared" si="1"/>
        <v>0</v>
      </c>
      <c r="H43" s="68">
        <f t="shared" si="1"/>
        <v>0</v>
      </c>
      <c r="I43" s="65">
        <f t="shared" si="1"/>
        <v>0.36241169385795763</v>
      </c>
      <c r="J43" s="65">
        <f t="shared" si="1"/>
        <v>2.4610197936945572E-3</v>
      </c>
      <c r="K43" s="68">
        <f t="shared" si="1"/>
        <v>0.32717297286040975</v>
      </c>
      <c r="L43" s="66">
        <f t="shared" si="1"/>
        <v>0</v>
      </c>
      <c r="M43" s="67">
        <f t="shared" si="1"/>
        <v>0</v>
      </c>
      <c r="N43" s="28"/>
      <c r="O43" s="21"/>
      <c r="P43" s="23"/>
    </row>
    <row r="44" spans="1:18" x14ac:dyDescent="0.35">
      <c r="A44" s="8" t="s">
        <v>10</v>
      </c>
      <c r="B44" s="57">
        <f t="shared" si="1"/>
        <v>0</v>
      </c>
      <c r="C44" s="57">
        <f t="shared" si="1"/>
        <v>0</v>
      </c>
      <c r="D44" s="57">
        <f t="shared" si="1"/>
        <v>0</v>
      </c>
      <c r="E44" s="58">
        <f t="shared" si="1"/>
        <v>2.5619165125214732E-3</v>
      </c>
      <c r="F44" s="57">
        <f t="shared" si="1"/>
        <v>4.0983206763332815E-2</v>
      </c>
      <c r="G44" s="59">
        <f t="shared" si="1"/>
        <v>0</v>
      </c>
      <c r="H44" s="60">
        <f t="shared" si="1"/>
        <v>0</v>
      </c>
      <c r="I44" s="57">
        <f t="shared" si="1"/>
        <v>0</v>
      </c>
      <c r="J44" s="57">
        <f t="shared" si="1"/>
        <v>0</v>
      </c>
      <c r="K44" s="60">
        <f t="shared" si="1"/>
        <v>5.8957629424769127E-2</v>
      </c>
      <c r="L44" s="58">
        <f t="shared" si="1"/>
        <v>4.5258614492945815E-3</v>
      </c>
      <c r="M44" s="59">
        <f t="shared" si="1"/>
        <v>1.9418833111322292E-2</v>
      </c>
      <c r="N44" s="22"/>
      <c r="O44" s="24"/>
      <c r="P44" s="26"/>
    </row>
    <row r="45" spans="1:18" x14ac:dyDescent="0.35">
      <c r="A45" s="8" t="s">
        <v>11</v>
      </c>
      <c r="B45" s="57">
        <f t="shared" si="1"/>
        <v>0</v>
      </c>
      <c r="C45" s="57">
        <f t="shared" si="1"/>
        <v>0</v>
      </c>
      <c r="D45" s="57">
        <f t="shared" si="1"/>
        <v>0</v>
      </c>
      <c r="E45" s="58">
        <f t="shared" si="1"/>
        <v>0</v>
      </c>
      <c r="F45" s="57">
        <f t="shared" si="1"/>
        <v>0</v>
      </c>
      <c r="G45" s="59">
        <f t="shared" si="1"/>
        <v>0</v>
      </c>
      <c r="H45" s="60">
        <f t="shared" si="1"/>
        <v>0</v>
      </c>
      <c r="I45" s="57">
        <f t="shared" si="1"/>
        <v>0</v>
      </c>
      <c r="J45" s="57">
        <f t="shared" si="1"/>
        <v>0</v>
      </c>
      <c r="K45" s="60">
        <f t="shared" si="1"/>
        <v>0.24106499271999515</v>
      </c>
      <c r="L45" s="58">
        <f t="shared" si="1"/>
        <v>0.15720103763864807</v>
      </c>
      <c r="M45" s="59">
        <f t="shared" si="1"/>
        <v>0.26484271896024253</v>
      </c>
      <c r="N45" s="22"/>
      <c r="O45" s="21"/>
      <c r="P45" s="23"/>
    </row>
    <row r="46" spans="1:18" x14ac:dyDescent="0.35">
      <c r="A46" s="8" t="s">
        <v>12</v>
      </c>
      <c r="B46" s="57">
        <f t="shared" si="1"/>
        <v>0</v>
      </c>
      <c r="C46" s="57">
        <f t="shared" si="1"/>
        <v>0</v>
      </c>
      <c r="D46" s="57">
        <f t="shared" si="1"/>
        <v>0</v>
      </c>
      <c r="E46" s="58">
        <f t="shared" si="1"/>
        <v>5.3283401189026407E-2</v>
      </c>
      <c r="F46" s="57">
        <f t="shared" si="1"/>
        <v>0.13748407886844605</v>
      </c>
      <c r="G46" s="59">
        <f t="shared" si="1"/>
        <v>4.3651324735793147E-2</v>
      </c>
      <c r="H46" s="60">
        <f t="shared" si="1"/>
        <v>0</v>
      </c>
      <c r="I46" s="57">
        <f t="shared" si="1"/>
        <v>3.0102998127604586E-5</v>
      </c>
      <c r="J46" s="57">
        <f t="shared" si="1"/>
        <v>2.1427281035879802E-2</v>
      </c>
      <c r="K46" s="60">
        <f t="shared" si="1"/>
        <v>5.9109693292049275E-4</v>
      </c>
      <c r="L46" s="58">
        <f t="shared" si="1"/>
        <v>2.3507292272799296E-4</v>
      </c>
      <c r="M46" s="59">
        <f t="shared" si="1"/>
        <v>1.7755206956176361E-4</v>
      </c>
      <c r="N46" s="22"/>
      <c r="O46" s="27"/>
      <c r="P46" s="29"/>
    </row>
    <row r="47" spans="1:18" x14ac:dyDescent="0.35">
      <c r="A47" s="4" t="s">
        <v>13</v>
      </c>
      <c r="B47" s="69">
        <f t="shared" si="1"/>
        <v>1</v>
      </c>
      <c r="C47" s="69">
        <f t="shared" si="1"/>
        <v>1</v>
      </c>
      <c r="D47" s="69">
        <f t="shared" si="1"/>
        <v>1</v>
      </c>
      <c r="E47" s="70">
        <f t="shared" si="1"/>
        <v>1</v>
      </c>
      <c r="F47" s="69">
        <f t="shared" si="1"/>
        <v>1</v>
      </c>
      <c r="G47" s="71">
        <f t="shared" si="1"/>
        <v>1</v>
      </c>
      <c r="H47" s="72">
        <f t="shared" si="1"/>
        <v>1</v>
      </c>
      <c r="I47" s="69">
        <f t="shared" si="1"/>
        <v>1</v>
      </c>
      <c r="J47" s="69">
        <f t="shared" si="1"/>
        <v>1</v>
      </c>
      <c r="K47" s="72">
        <f t="shared" si="1"/>
        <v>1</v>
      </c>
      <c r="L47" s="70">
        <f t="shared" si="1"/>
        <v>1</v>
      </c>
      <c r="M47" s="71">
        <f t="shared" si="1"/>
        <v>1</v>
      </c>
      <c r="N47" s="31"/>
      <c r="O47" s="27"/>
      <c r="P47" s="29"/>
    </row>
    <row r="48" spans="1:18" x14ac:dyDescent="0.3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3">
        <v>1</v>
      </c>
      <c r="P48" s="34" t="s">
        <v>41</v>
      </c>
    </row>
    <row r="50" spans="1:16" x14ac:dyDescent="0.35">
      <c r="A50" s="20" t="s">
        <v>30</v>
      </c>
    </row>
    <row r="51" spans="1:16" x14ac:dyDescent="0.35">
      <c r="A51" s="9" t="s">
        <v>29</v>
      </c>
    </row>
    <row r="52" spans="1:16" x14ac:dyDescent="0.3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68</v>
      </c>
      <c r="I52" s="6" t="s">
        <v>6</v>
      </c>
      <c r="J52" s="5" t="s">
        <v>7</v>
      </c>
      <c r="K52" s="4" t="s">
        <v>69</v>
      </c>
      <c r="L52" s="5" t="s">
        <v>8</v>
      </c>
      <c r="M52" s="5" t="s">
        <v>9</v>
      </c>
      <c r="N52" s="6" t="s">
        <v>10</v>
      </c>
      <c r="O52" s="45" t="s">
        <v>11</v>
      </c>
      <c r="P52" s="46" t="s">
        <v>12</v>
      </c>
    </row>
    <row r="53" spans="1:16" x14ac:dyDescent="0.35">
      <c r="A53" s="8" t="s">
        <v>0</v>
      </c>
      <c r="B53" s="21">
        <v>1</v>
      </c>
      <c r="C53" s="21"/>
      <c r="D53" s="21"/>
      <c r="E53" s="22"/>
      <c r="F53" s="21"/>
      <c r="G53" s="23"/>
      <c r="H53" s="21"/>
      <c r="I53" s="22"/>
      <c r="J53" s="21"/>
      <c r="K53" s="47"/>
      <c r="L53" s="21"/>
      <c r="M53" s="21"/>
      <c r="N53" s="22"/>
      <c r="O53" s="24"/>
      <c r="P53" s="26"/>
    </row>
    <row r="54" spans="1:16" x14ac:dyDescent="0.35">
      <c r="A54" s="8" t="s">
        <v>1</v>
      </c>
      <c r="B54" s="21"/>
      <c r="C54" s="21">
        <v>1</v>
      </c>
      <c r="D54" s="21"/>
      <c r="E54" s="22"/>
      <c r="F54" s="21"/>
      <c r="G54" s="23"/>
      <c r="H54" s="21"/>
      <c r="I54" s="22"/>
      <c r="J54" s="21"/>
      <c r="K54" s="47"/>
      <c r="L54" s="21"/>
      <c r="M54" s="21"/>
      <c r="N54" s="22"/>
      <c r="O54" s="21"/>
      <c r="P54" s="23"/>
    </row>
    <row r="55" spans="1:16" x14ac:dyDescent="0.35">
      <c r="A55" s="8" t="s">
        <v>2</v>
      </c>
      <c r="B55" s="21"/>
      <c r="C55" s="21"/>
      <c r="D55" s="21">
        <v>1</v>
      </c>
      <c r="E55" s="22"/>
      <c r="F55" s="21"/>
      <c r="G55" s="23"/>
      <c r="H55" s="21"/>
      <c r="I55" s="22"/>
      <c r="J55" s="21"/>
      <c r="K55" s="47"/>
      <c r="L55" s="21"/>
      <c r="M55" s="21"/>
      <c r="N55" s="22"/>
      <c r="O55" s="27"/>
      <c r="P55" s="29"/>
    </row>
    <row r="56" spans="1:16" x14ac:dyDescent="0.35">
      <c r="A56" s="12" t="s">
        <v>3</v>
      </c>
      <c r="B56" s="24"/>
      <c r="C56" s="24"/>
      <c r="D56" s="24"/>
      <c r="E56" s="25">
        <v>1</v>
      </c>
      <c r="F56" s="24"/>
      <c r="G56" s="26"/>
      <c r="H56" s="24"/>
      <c r="I56" s="25"/>
      <c r="J56" s="24"/>
      <c r="K56" s="49"/>
      <c r="L56" s="24"/>
      <c r="M56" s="24"/>
      <c r="N56" s="25"/>
      <c r="O56" s="24"/>
      <c r="P56" s="26"/>
    </row>
    <row r="57" spans="1:16" x14ac:dyDescent="0.35">
      <c r="A57" s="8" t="s">
        <v>4</v>
      </c>
      <c r="B57" s="21"/>
      <c r="C57" s="21"/>
      <c r="D57" s="21"/>
      <c r="E57" s="22"/>
      <c r="F57" s="21">
        <v>1</v>
      </c>
      <c r="G57" s="23"/>
      <c r="H57" s="21"/>
      <c r="I57" s="22"/>
      <c r="J57" s="21"/>
      <c r="K57" s="47"/>
      <c r="L57" s="21"/>
      <c r="M57" s="21"/>
      <c r="N57" s="22"/>
      <c r="O57" s="21"/>
      <c r="P57" s="23"/>
    </row>
    <row r="58" spans="1:16" x14ac:dyDescent="0.35">
      <c r="A58" s="16" t="s">
        <v>5</v>
      </c>
      <c r="B58" s="27"/>
      <c r="C58" s="27"/>
      <c r="D58" s="27"/>
      <c r="E58" s="28"/>
      <c r="F58" s="27"/>
      <c r="G58" s="29">
        <v>1</v>
      </c>
      <c r="H58" s="27"/>
      <c r="I58" s="28"/>
      <c r="J58" s="27"/>
      <c r="K58" s="50"/>
      <c r="L58" s="27"/>
      <c r="M58" s="27"/>
      <c r="N58" s="28"/>
      <c r="O58" s="27"/>
      <c r="P58" s="29"/>
    </row>
    <row r="59" spans="1:16" x14ac:dyDescent="0.35">
      <c r="A59" s="8" t="s">
        <v>68</v>
      </c>
      <c r="B59" s="21"/>
      <c r="C59" s="21"/>
      <c r="D59" s="21"/>
      <c r="E59" s="22"/>
      <c r="F59" s="21"/>
      <c r="G59" s="23"/>
      <c r="H59" s="21">
        <v>1</v>
      </c>
      <c r="I59" s="22"/>
      <c r="J59" s="21"/>
      <c r="K59" s="47"/>
      <c r="L59" s="21"/>
      <c r="M59" s="21"/>
      <c r="N59" s="22"/>
      <c r="O59" s="21"/>
      <c r="P59" s="23"/>
    </row>
    <row r="60" spans="1:16" x14ac:dyDescent="0.35">
      <c r="A60" s="8" t="s">
        <v>6</v>
      </c>
      <c r="B60" s="21"/>
      <c r="C60" s="21"/>
      <c r="D60" s="21"/>
      <c r="E60" s="22"/>
      <c r="F60" s="21"/>
      <c r="G60" s="23"/>
      <c r="H60" s="21"/>
      <c r="I60" s="22">
        <v>1</v>
      </c>
      <c r="J60" s="21"/>
      <c r="K60" s="47"/>
      <c r="L60" s="21"/>
      <c r="M60" s="21"/>
      <c r="N60" s="22"/>
      <c r="P60" s="48"/>
    </row>
    <row r="61" spans="1:16" x14ac:dyDescent="0.35">
      <c r="A61" s="8" t="s">
        <v>7</v>
      </c>
      <c r="B61" s="21"/>
      <c r="C61" s="21"/>
      <c r="D61" s="21"/>
      <c r="E61" s="22"/>
      <c r="F61" s="21"/>
      <c r="G61" s="23"/>
      <c r="H61" s="21"/>
      <c r="I61" s="22"/>
      <c r="J61" s="21">
        <v>1</v>
      </c>
      <c r="K61" s="47"/>
      <c r="L61" s="21"/>
      <c r="M61" s="21"/>
      <c r="N61" s="22"/>
      <c r="P61" s="48"/>
    </row>
    <row r="62" spans="1:16" x14ac:dyDescent="0.35">
      <c r="A62" s="4" t="s">
        <v>69</v>
      </c>
      <c r="B62" s="30"/>
      <c r="C62" s="30"/>
      <c r="D62" s="30"/>
      <c r="E62" s="31"/>
      <c r="F62" s="30"/>
      <c r="G62" s="32"/>
      <c r="H62" s="30"/>
      <c r="I62" s="31"/>
      <c r="J62" s="30"/>
      <c r="K62" s="51">
        <v>1</v>
      </c>
      <c r="L62" s="30"/>
      <c r="M62" s="30"/>
      <c r="N62" s="31"/>
      <c r="O62" s="52"/>
      <c r="P62" s="53"/>
    </row>
    <row r="63" spans="1:16" x14ac:dyDescent="0.35">
      <c r="A63" s="8" t="s">
        <v>8</v>
      </c>
      <c r="B63" s="21"/>
      <c r="C63" s="21"/>
      <c r="D63" s="21"/>
      <c r="E63" s="22"/>
      <c r="F63" s="21"/>
      <c r="G63" s="23"/>
      <c r="H63" s="21"/>
      <c r="I63" s="22"/>
      <c r="J63" s="21"/>
      <c r="K63" s="47"/>
      <c r="L63" s="21">
        <v>1</v>
      </c>
      <c r="M63" s="21"/>
      <c r="N63" s="22"/>
      <c r="P63" s="48"/>
    </row>
    <row r="64" spans="1:16" x14ac:dyDescent="0.35">
      <c r="A64" s="16" t="s">
        <v>9</v>
      </c>
      <c r="B64" s="27"/>
      <c r="C64" s="27"/>
      <c r="D64" s="27"/>
      <c r="E64" s="28"/>
      <c r="F64" s="27"/>
      <c r="G64" s="29"/>
      <c r="H64" s="27"/>
      <c r="I64" s="28"/>
      <c r="J64" s="27"/>
      <c r="K64" s="50"/>
      <c r="L64" s="27"/>
      <c r="M64" s="27">
        <v>1</v>
      </c>
      <c r="N64" s="28"/>
      <c r="P64" s="48"/>
    </row>
    <row r="65" spans="1:18" x14ac:dyDescent="0.35">
      <c r="A65" s="8" t="s">
        <v>10</v>
      </c>
      <c r="B65" s="21"/>
      <c r="C65" s="21"/>
      <c r="D65" s="21"/>
      <c r="E65" s="22"/>
      <c r="F65" s="21"/>
      <c r="G65" s="23"/>
      <c r="H65" s="21"/>
      <c r="I65" s="22"/>
      <c r="J65" s="21"/>
      <c r="K65" s="47"/>
      <c r="L65" s="21"/>
      <c r="M65" s="21"/>
      <c r="N65" s="22">
        <v>1</v>
      </c>
      <c r="O65" s="24"/>
      <c r="P65" s="26"/>
    </row>
    <row r="66" spans="1:18" x14ac:dyDescent="0.35">
      <c r="A66" s="8" t="s">
        <v>11</v>
      </c>
      <c r="B66" s="21"/>
      <c r="C66" s="21"/>
      <c r="D66" s="21"/>
      <c r="E66" s="22"/>
      <c r="F66" s="21"/>
      <c r="G66" s="23"/>
      <c r="H66" s="21"/>
      <c r="I66" s="22"/>
      <c r="J66" s="21"/>
      <c r="K66" s="47"/>
      <c r="L66" s="21"/>
      <c r="M66" s="21"/>
      <c r="N66" s="22"/>
      <c r="O66" s="21">
        <v>1</v>
      </c>
      <c r="P66" s="23"/>
    </row>
    <row r="67" spans="1:18" x14ac:dyDescent="0.35">
      <c r="A67" s="8" t="s">
        <v>12</v>
      </c>
      <c r="B67" s="21"/>
      <c r="C67" s="21"/>
      <c r="D67" s="21"/>
      <c r="E67" s="22"/>
      <c r="F67" s="21"/>
      <c r="G67" s="23"/>
      <c r="H67" s="21"/>
      <c r="I67" s="22"/>
      <c r="J67" s="21"/>
      <c r="K67" s="47"/>
      <c r="L67" s="21"/>
      <c r="M67" s="21"/>
      <c r="N67" s="22"/>
      <c r="O67" s="27"/>
      <c r="P67" s="29">
        <v>1</v>
      </c>
    </row>
    <row r="68" spans="1:18" x14ac:dyDescent="0.35">
      <c r="A68" s="1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45"/>
      <c r="P68" s="33">
        <v>1</v>
      </c>
    </row>
    <row r="70" spans="1:18" x14ac:dyDescent="0.35">
      <c r="A70" s="9" t="s">
        <v>33</v>
      </c>
    </row>
    <row r="71" spans="1:18" x14ac:dyDescent="0.35">
      <c r="A71" s="9" t="s">
        <v>32</v>
      </c>
    </row>
    <row r="72" spans="1:18" x14ac:dyDescent="0.3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68</v>
      </c>
      <c r="I72" s="6" t="s">
        <v>6</v>
      </c>
      <c r="J72" s="5" t="s">
        <v>7</v>
      </c>
      <c r="K72" s="4" t="s">
        <v>69</v>
      </c>
      <c r="L72" s="5" t="s">
        <v>8</v>
      </c>
      <c r="M72" s="5" t="s">
        <v>9</v>
      </c>
      <c r="N72" s="6" t="s">
        <v>10</v>
      </c>
      <c r="O72" s="45" t="s">
        <v>11</v>
      </c>
      <c r="P72" s="46" t="s">
        <v>12</v>
      </c>
      <c r="R72" s="35" t="s">
        <v>44</v>
      </c>
    </row>
    <row r="73" spans="1:18" x14ac:dyDescent="0.35">
      <c r="A73" s="8" t="s">
        <v>0</v>
      </c>
      <c r="B73" s="21">
        <f t="array" ref="B73:P87">(B53:P67)-B32:P46</f>
        <v>1</v>
      </c>
      <c r="C73" s="21">
        <v>0</v>
      </c>
      <c r="D73" s="21">
        <v>0</v>
      </c>
      <c r="E73" s="22">
        <v>-0.67964467722453292</v>
      </c>
      <c r="F73" s="21">
        <v>0</v>
      </c>
      <c r="G73" s="23">
        <v>0</v>
      </c>
      <c r="H73" s="21">
        <v>0</v>
      </c>
      <c r="I73" s="22">
        <v>0</v>
      </c>
      <c r="J73" s="21">
        <v>0</v>
      </c>
      <c r="K73" s="47">
        <v>0</v>
      </c>
      <c r="L73" s="21">
        <v>-2.6705338681277835E-2</v>
      </c>
      <c r="M73" s="21">
        <v>-4.7520461290121987E-3</v>
      </c>
      <c r="N73" s="22">
        <v>0</v>
      </c>
      <c r="O73" s="24">
        <v>0</v>
      </c>
      <c r="P73" s="26">
        <v>0</v>
      </c>
      <c r="R73" s="33" t="s">
        <v>38</v>
      </c>
    </row>
    <row r="74" spans="1:18" x14ac:dyDescent="0.35">
      <c r="A74" s="8" t="s">
        <v>1</v>
      </c>
      <c r="B74" s="21">
        <v>0</v>
      </c>
      <c r="C74" s="21">
        <v>1</v>
      </c>
      <c r="D74" s="21">
        <v>0</v>
      </c>
      <c r="E74" s="22">
        <v>0</v>
      </c>
      <c r="F74" s="21">
        <v>-0.71793763916217068</v>
      </c>
      <c r="G74" s="23">
        <v>0</v>
      </c>
      <c r="H74" s="21">
        <v>0</v>
      </c>
      <c r="I74" s="22">
        <v>0</v>
      </c>
      <c r="J74" s="21">
        <v>0</v>
      </c>
      <c r="K74" s="47">
        <v>0</v>
      </c>
      <c r="L74" s="21">
        <v>-1.662719168941373E-2</v>
      </c>
      <c r="M74" s="21">
        <v>-2.0770689931902731E-3</v>
      </c>
      <c r="N74" s="22">
        <v>0</v>
      </c>
      <c r="O74" s="21">
        <v>0</v>
      </c>
      <c r="P74" s="23">
        <v>0</v>
      </c>
      <c r="R74" s="33" t="s">
        <v>34</v>
      </c>
    </row>
    <row r="75" spans="1:18" x14ac:dyDescent="0.35">
      <c r="A75" s="8" t="s">
        <v>2</v>
      </c>
      <c r="B75" s="21">
        <v>0</v>
      </c>
      <c r="C75" s="21">
        <v>0</v>
      </c>
      <c r="D75" s="21">
        <v>1</v>
      </c>
      <c r="E75" s="22">
        <v>0</v>
      </c>
      <c r="F75" s="21">
        <v>0</v>
      </c>
      <c r="G75" s="23">
        <v>-0.95634867526420686</v>
      </c>
      <c r="H75" s="21">
        <v>0</v>
      </c>
      <c r="I75" s="22">
        <v>0</v>
      </c>
      <c r="J75" s="21">
        <v>0</v>
      </c>
      <c r="K75" s="47">
        <v>0</v>
      </c>
      <c r="L75" s="21">
        <v>0</v>
      </c>
      <c r="M75" s="21">
        <v>0</v>
      </c>
      <c r="N75" s="22">
        <v>0</v>
      </c>
      <c r="O75" s="27">
        <v>0</v>
      </c>
      <c r="P75" s="29">
        <v>0</v>
      </c>
    </row>
    <row r="76" spans="1:18" x14ac:dyDescent="0.35">
      <c r="A76" s="12" t="s">
        <v>3</v>
      </c>
      <c r="B76" s="24">
        <v>-0.20988995344465675</v>
      </c>
      <c r="C76" s="24">
        <v>-0.11442581091608559</v>
      </c>
      <c r="D76" s="24">
        <v>-1.6767223803086206E-2</v>
      </c>
      <c r="E76" s="25">
        <v>1</v>
      </c>
      <c r="F76" s="24">
        <v>0</v>
      </c>
      <c r="G76" s="26">
        <v>0</v>
      </c>
      <c r="H76" s="24">
        <v>0</v>
      </c>
      <c r="I76" s="25">
        <v>0</v>
      </c>
      <c r="J76" s="24">
        <v>0</v>
      </c>
      <c r="K76" s="49">
        <v>0</v>
      </c>
      <c r="L76" s="24">
        <v>-0.25064243351852084</v>
      </c>
      <c r="M76" s="24">
        <v>-0.19447553657703995</v>
      </c>
      <c r="N76" s="25">
        <v>0</v>
      </c>
      <c r="O76" s="24">
        <v>0</v>
      </c>
      <c r="P76" s="26">
        <v>0</v>
      </c>
      <c r="R76" s="33" t="s">
        <v>86</v>
      </c>
    </row>
    <row r="77" spans="1:18" x14ac:dyDescent="0.35">
      <c r="A77" s="8" t="s">
        <v>4</v>
      </c>
      <c r="B77" s="21">
        <v>-0.11237663778372095</v>
      </c>
      <c r="C77" s="21">
        <v>-0.41055567299648243</v>
      </c>
      <c r="D77" s="21">
        <v>-0.14046080453608853</v>
      </c>
      <c r="E77" s="22">
        <v>0</v>
      </c>
      <c r="F77" s="21">
        <v>1</v>
      </c>
      <c r="G77" s="23">
        <v>0</v>
      </c>
      <c r="H77" s="21">
        <v>0</v>
      </c>
      <c r="I77" s="22">
        <v>0</v>
      </c>
      <c r="J77" s="21">
        <v>0</v>
      </c>
      <c r="K77" s="47">
        <v>0</v>
      </c>
      <c r="L77" s="21">
        <v>-0.30142657138009027</v>
      </c>
      <c r="M77" s="21">
        <v>-0.23678765375105934</v>
      </c>
      <c r="N77" s="22">
        <v>0</v>
      </c>
      <c r="O77" s="21">
        <v>0</v>
      </c>
      <c r="P77" s="23">
        <v>0</v>
      </c>
      <c r="R77" s="33" t="s">
        <v>87</v>
      </c>
    </row>
    <row r="78" spans="1:18" x14ac:dyDescent="0.35">
      <c r="A78" s="16" t="s">
        <v>5</v>
      </c>
      <c r="B78" s="27">
        <v>-8.3053851648663538E-2</v>
      </c>
      <c r="C78" s="27">
        <v>-0.16966075439464826</v>
      </c>
      <c r="D78" s="27">
        <v>-0.13917561779532056</v>
      </c>
      <c r="E78" s="28">
        <v>0</v>
      </c>
      <c r="F78" s="27">
        <v>0</v>
      </c>
      <c r="G78" s="29">
        <v>1</v>
      </c>
      <c r="H78" s="27">
        <v>-1</v>
      </c>
      <c r="I78" s="28">
        <v>0</v>
      </c>
      <c r="J78" s="27">
        <v>0</v>
      </c>
      <c r="K78" s="50">
        <v>0</v>
      </c>
      <c r="L78" s="27">
        <v>-0.24263649272002671</v>
      </c>
      <c r="M78" s="27">
        <v>-0.27746859040857175</v>
      </c>
      <c r="N78" s="28">
        <v>0</v>
      </c>
      <c r="O78" s="27">
        <v>0</v>
      </c>
      <c r="P78" s="29">
        <v>0</v>
      </c>
      <c r="R78" s="33" t="s">
        <v>88</v>
      </c>
    </row>
    <row r="79" spans="1:18" x14ac:dyDescent="0.35">
      <c r="A79" s="8" t="s">
        <v>68</v>
      </c>
      <c r="B79" s="21">
        <v>0</v>
      </c>
      <c r="C79" s="21">
        <v>0</v>
      </c>
      <c r="D79" s="21">
        <v>0</v>
      </c>
      <c r="E79" s="22">
        <v>-0.26451000507391909</v>
      </c>
      <c r="F79" s="21">
        <v>-0.10359507520605052</v>
      </c>
      <c r="G79" s="23">
        <v>0</v>
      </c>
      <c r="H79" s="21">
        <v>1</v>
      </c>
      <c r="I79" s="22">
        <v>0</v>
      </c>
      <c r="J79" s="21">
        <v>0</v>
      </c>
      <c r="K79" s="47">
        <v>0</v>
      </c>
      <c r="L79" s="21">
        <v>0</v>
      </c>
      <c r="M79" s="21">
        <v>0</v>
      </c>
      <c r="N79" s="22">
        <v>0</v>
      </c>
      <c r="O79" s="21">
        <v>0</v>
      </c>
      <c r="P79" s="23">
        <v>0</v>
      </c>
      <c r="R79" s="33" t="s">
        <v>35</v>
      </c>
    </row>
    <row r="80" spans="1:18" x14ac:dyDescent="0.35">
      <c r="A80" s="8" t="s">
        <v>6</v>
      </c>
      <c r="B80" s="21">
        <v>-0.39079827443755066</v>
      </c>
      <c r="C80" s="21">
        <v>-0.15322743692900118</v>
      </c>
      <c r="D80" s="21">
        <v>-0.15927574202844808</v>
      </c>
      <c r="E80" s="22">
        <v>0</v>
      </c>
      <c r="F80" s="21">
        <v>0</v>
      </c>
      <c r="G80" s="23">
        <v>0</v>
      </c>
      <c r="H80" s="21">
        <v>0</v>
      </c>
      <c r="I80" s="22">
        <v>1</v>
      </c>
      <c r="J80" s="21">
        <v>0</v>
      </c>
      <c r="K80" s="47">
        <v>0</v>
      </c>
      <c r="L80" s="21">
        <v>0</v>
      </c>
      <c r="M80" s="21">
        <v>0</v>
      </c>
      <c r="N80" s="22">
        <v>0</v>
      </c>
      <c r="O80">
        <v>0</v>
      </c>
      <c r="P80" s="48">
        <v>0</v>
      </c>
    </row>
    <row r="81" spans="1:18" x14ac:dyDescent="0.35">
      <c r="A81" s="8" t="s">
        <v>7</v>
      </c>
      <c r="B81" s="21">
        <v>-0.20388128268540812</v>
      </c>
      <c r="C81" s="21">
        <v>-0.15213032476378247</v>
      </c>
      <c r="D81" s="21">
        <v>-0.5443206118370566</v>
      </c>
      <c r="E81" s="22">
        <v>0</v>
      </c>
      <c r="F81" s="21">
        <v>0</v>
      </c>
      <c r="G81" s="23">
        <v>0</v>
      </c>
      <c r="H81" s="21">
        <v>0</v>
      </c>
      <c r="I81" s="22">
        <v>0</v>
      </c>
      <c r="J81" s="21">
        <v>1</v>
      </c>
      <c r="K81" s="47">
        <v>0</v>
      </c>
      <c r="L81" s="21">
        <v>0</v>
      </c>
      <c r="M81" s="21">
        <v>0</v>
      </c>
      <c r="N81" s="22">
        <v>0</v>
      </c>
      <c r="O81">
        <v>0</v>
      </c>
      <c r="P81" s="48">
        <v>0</v>
      </c>
    </row>
    <row r="82" spans="1:18" x14ac:dyDescent="0.35">
      <c r="A82" s="4" t="s">
        <v>69</v>
      </c>
      <c r="B82" s="30">
        <v>0</v>
      </c>
      <c r="C82" s="30">
        <v>0</v>
      </c>
      <c r="D82" s="30">
        <v>0</v>
      </c>
      <c r="E82" s="31">
        <v>0</v>
      </c>
      <c r="F82" s="30">
        <v>0</v>
      </c>
      <c r="G82" s="32">
        <v>0</v>
      </c>
      <c r="H82" s="30">
        <v>0</v>
      </c>
      <c r="I82" s="31">
        <v>0</v>
      </c>
      <c r="J82" s="30">
        <v>-0.95084837451752102</v>
      </c>
      <c r="K82" s="51">
        <v>1</v>
      </c>
      <c r="L82" s="30">
        <v>0</v>
      </c>
      <c r="M82" s="30">
        <v>0</v>
      </c>
      <c r="N82" s="31">
        <v>0</v>
      </c>
      <c r="O82" s="52">
        <v>0</v>
      </c>
      <c r="P82" s="53">
        <v>0</v>
      </c>
    </row>
    <row r="83" spans="1:18" x14ac:dyDescent="0.35">
      <c r="A83" s="8" t="s">
        <v>8</v>
      </c>
      <c r="B83" s="21">
        <v>0</v>
      </c>
      <c r="C83" s="21">
        <v>0</v>
      </c>
      <c r="D83" s="21">
        <v>0</v>
      </c>
      <c r="E83" s="22">
        <v>0</v>
      </c>
      <c r="F83" s="21">
        <v>0</v>
      </c>
      <c r="G83" s="23">
        <v>0</v>
      </c>
      <c r="H83" s="21">
        <v>0</v>
      </c>
      <c r="I83" s="22">
        <v>-0.63755820314391476</v>
      </c>
      <c r="J83" s="21">
        <v>-2.5263324652904491E-2</v>
      </c>
      <c r="K83" s="47">
        <v>-0.37221330806190561</v>
      </c>
      <c r="L83" s="21">
        <v>1</v>
      </c>
      <c r="M83" s="21">
        <v>0</v>
      </c>
      <c r="N83" s="22">
        <v>0</v>
      </c>
      <c r="O83">
        <v>0</v>
      </c>
      <c r="P83" s="48">
        <v>0</v>
      </c>
      <c r="R83" s="33" t="s">
        <v>39</v>
      </c>
    </row>
    <row r="84" spans="1:18" x14ac:dyDescent="0.35">
      <c r="A84" s="16" t="s">
        <v>9</v>
      </c>
      <c r="B84" s="27">
        <v>0</v>
      </c>
      <c r="C84" s="27">
        <v>0</v>
      </c>
      <c r="D84" s="27">
        <v>0</v>
      </c>
      <c r="E84" s="28">
        <v>0</v>
      </c>
      <c r="F84" s="27">
        <v>0</v>
      </c>
      <c r="G84" s="29">
        <v>0</v>
      </c>
      <c r="H84" s="27">
        <v>0</v>
      </c>
      <c r="I84" s="28">
        <v>-0.36241169385795763</v>
      </c>
      <c r="J84" s="27">
        <v>-2.4610197936945572E-3</v>
      </c>
      <c r="K84" s="50">
        <v>-0.32717297286040975</v>
      </c>
      <c r="L84" s="27">
        <v>0</v>
      </c>
      <c r="M84" s="27">
        <v>1</v>
      </c>
      <c r="N84" s="28">
        <v>0</v>
      </c>
      <c r="O84">
        <v>0</v>
      </c>
      <c r="P84" s="48">
        <v>0</v>
      </c>
      <c r="R84" s="33" t="s">
        <v>36</v>
      </c>
    </row>
    <row r="85" spans="1:18" x14ac:dyDescent="0.35">
      <c r="A85" s="8" t="s">
        <v>10</v>
      </c>
      <c r="B85" s="21">
        <v>0</v>
      </c>
      <c r="C85" s="21">
        <v>0</v>
      </c>
      <c r="D85" s="21">
        <v>0</v>
      </c>
      <c r="E85" s="22">
        <v>-2.5619165125214732E-3</v>
      </c>
      <c r="F85" s="21">
        <v>-4.0983206763332815E-2</v>
      </c>
      <c r="G85" s="23">
        <v>0</v>
      </c>
      <c r="H85" s="21">
        <v>0</v>
      </c>
      <c r="I85" s="22">
        <v>0</v>
      </c>
      <c r="J85" s="21">
        <v>0</v>
      </c>
      <c r="K85" s="47">
        <v>-5.8957629424769127E-2</v>
      </c>
      <c r="L85" s="21">
        <v>-4.5258614492945815E-3</v>
      </c>
      <c r="M85" s="21">
        <v>-1.9418833111322292E-2</v>
      </c>
      <c r="N85" s="22">
        <v>1</v>
      </c>
      <c r="O85" s="24">
        <v>0</v>
      </c>
      <c r="P85" s="26">
        <v>0</v>
      </c>
      <c r="R85" s="33" t="s">
        <v>37</v>
      </c>
    </row>
    <row r="86" spans="1:18" x14ac:dyDescent="0.35">
      <c r="A86" s="8" t="s">
        <v>11</v>
      </c>
      <c r="B86" s="21">
        <v>0</v>
      </c>
      <c r="C86" s="21">
        <v>0</v>
      </c>
      <c r="D86" s="21">
        <v>0</v>
      </c>
      <c r="E86" s="22">
        <v>0</v>
      </c>
      <c r="F86" s="21">
        <v>0</v>
      </c>
      <c r="G86" s="23">
        <v>0</v>
      </c>
      <c r="H86" s="21">
        <v>0</v>
      </c>
      <c r="I86" s="22">
        <v>0</v>
      </c>
      <c r="J86" s="21">
        <v>0</v>
      </c>
      <c r="K86" s="47">
        <v>-0.24106499271999515</v>
      </c>
      <c r="L86" s="21">
        <v>-0.15720103763864807</v>
      </c>
      <c r="M86" s="21">
        <v>-0.26484271896024253</v>
      </c>
      <c r="N86" s="22">
        <v>0</v>
      </c>
      <c r="O86" s="21">
        <v>1</v>
      </c>
      <c r="P86" s="23">
        <v>0</v>
      </c>
    </row>
    <row r="87" spans="1:18" x14ac:dyDescent="0.35">
      <c r="A87" s="16" t="s">
        <v>12</v>
      </c>
      <c r="B87" s="28">
        <v>0</v>
      </c>
      <c r="C87" s="27">
        <v>0</v>
      </c>
      <c r="D87" s="27">
        <v>0</v>
      </c>
      <c r="E87" s="28">
        <v>-5.3283401189026407E-2</v>
      </c>
      <c r="F87" s="27">
        <v>-0.13748407886844605</v>
      </c>
      <c r="G87" s="29">
        <v>-4.3651324735793147E-2</v>
      </c>
      <c r="H87" s="27">
        <v>0</v>
      </c>
      <c r="I87" s="28">
        <v>-3.0102998127604586E-5</v>
      </c>
      <c r="J87" s="27">
        <v>-2.1427281035879802E-2</v>
      </c>
      <c r="K87" s="50">
        <v>-5.9109693292049275E-4</v>
      </c>
      <c r="L87" s="27">
        <v>-2.3507292272799296E-4</v>
      </c>
      <c r="M87" s="27">
        <v>-1.7755206956176361E-4</v>
      </c>
      <c r="N87" s="28">
        <v>0</v>
      </c>
      <c r="O87" s="27">
        <v>0</v>
      </c>
      <c r="P87" s="29">
        <v>1</v>
      </c>
    </row>
    <row r="88" spans="1:18" x14ac:dyDescent="0.35">
      <c r="G88" s="33">
        <v>-4.3614170884191721E-2</v>
      </c>
      <c r="P88" s="33">
        <v>1</v>
      </c>
    </row>
    <row r="90" spans="1:18" x14ac:dyDescent="0.35">
      <c r="A90" s="9" t="s">
        <v>48</v>
      </c>
    </row>
    <row r="91" spans="1:18" x14ac:dyDescent="0.35">
      <c r="A91" s="9" t="s">
        <v>40</v>
      </c>
    </row>
    <row r="92" spans="1:18" x14ac:dyDescent="0.3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68</v>
      </c>
      <c r="I92" s="6" t="s">
        <v>6</v>
      </c>
      <c r="J92" s="5" t="s">
        <v>7</v>
      </c>
      <c r="K92" s="4" t="s">
        <v>69</v>
      </c>
      <c r="L92" s="5" t="s">
        <v>8</v>
      </c>
      <c r="M92" s="5" t="s">
        <v>9</v>
      </c>
      <c r="N92" s="6" t="s">
        <v>10</v>
      </c>
      <c r="O92" s="45" t="s">
        <v>11</v>
      </c>
      <c r="P92" s="46" t="s">
        <v>12</v>
      </c>
    </row>
    <row r="93" spans="1:18" x14ac:dyDescent="0.35">
      <c r="A93" s="8" t="s">
        <v>0</v>
      </c>
      <c r="B93" s="21">
        <f t="array" ref="B93:P107">MINVERSE(B73:P87)</f>
        <v>1.6009496597686732</v>
      </c>
      <c r="C93" s="21">
        <v>0.49781136701996043</v>
      </c>
      <c r="D93" s="21">
        <v>0.40357803833571271</v>
      </c>
      <c r="E93" s="22">
        <v>1.1901675460935444</v>
      </c>
      <c r="F93" s="21">
        <v>0.39738120979960817</v>
      </c>
      <c r="G93" s="23">
        <v>0.38596132232808611</v>
      </c>
      <c r="H93" s="21">
        <v>0.38596132232808611</v>
      </c>
      <c r="I93" s="22">
        <v>0.51872451426785571</v>
      </c>
      <c r="J93" s="21">
        <v>0.35175796530384279</v>
      </c>
      <c r="K93" s="47">
        <v>0.35384672052847743</v>
      </c>
      <c r="L93" s="21">
        <v>0.5627671551240998</v>
      </c>
      <c r="M93" s="21">
        <v>0.4412873557032721</v>
      </c>
      <c r="N93" s="22">
        <v>0</v>
      </c>
      <c r="O93" s="24">
        <v>0</v>
      </c>
      <c r="P93" s="26">
        <v>0</v>
      </c>
    </row>
    <row r="94" spans="1:18" x14ac:dyDescent="0.35">
      <c r="A94" s="8" t="s">
        <v>1</v>
      </c>
      <c r="B94" s="21">
        <v>0.85091021683933932</v>
      </c>
      <c r="C94" s="21">
        <v>2.0790754797731035</v>
      </c>
      <c r="D94" s="21">
        <v>0.78721540041542837</v>
      </c>
      <c r="E94" s="22">
        <v>0.7774535932258706</v>
      </c>
      <c r="F94" s="21">
        <v>1.5706383431379818</v>
      </c>
      <c r="G94" s="23">
        <v>0.75285240533487696</v>
      </c>
      <c r="H94" s="21">
        <v>0.75285240533487696</v>
      </c>
      <c r="I94" s="22">
        <v>0.84738152509597209</v>
      </c>
      <c r="J94" s="21">
        <v>0.57653616282827036</v>
      </c>
      <c r="K94" s="47">
        <v>0.58029075643933525</v>
      </c>
      <c r="L94" s="21">
        <v>0.90825749043732973</v>
      </c>
      <c r="M94" s="21">
        <v>0.74035831637902128</v>
      </c>
      <c r="N94" s="22">
        <v>0</v>
      </c>
      <c r="O94" s="21">
        <v>0</v>
      </c>
      <c r="P94" s="23">
        <v>0</v>
      </c>
    </row>
    <row r="95" spans="1:18" x14ac:dyDescent="0.35">
      <c r="A95" s="8" t="s">
        <v>2</v>
      </c>
      <c r="B95" s="21">
        <v>1.163681855838969</v>
      </c>
      <c r="C95" s="21">
        <v>1.2194473101781904</v>
      </c>
      <c r="D95" s="21">
        <v>2.0535422339552891</v>
      </c>
      <c r="E95" s="22">
        <v>1.3103620117810264</v>
      </c>
      <c r="F95" s="21">
        <v>1.0789377392637332</v>
      </c>
      <c r="G95" s="23">
        <v>1.9639023950422407</v>
      </c>
      <c r="H95" s="21">
        <v>1.9639023950422407</v>
      </c>
      <c r="I95" s="22">
        <v>1.1386386620940243</v>
      </c>
      <c r="J95" s="21">
        <v>0.78141040732749079</v>
      </c>
      <c r="K95" s="47">
        <v>0.78765922887416373</v>
      </c>
      <c r="L95" s="21">
        <v>1.1815197183382942</v>
      </c>
      <c r="M95" s="21">
        <v>1.0632964664826465</v>
      </c>
      <c r="N95" s="22">
        <v>0</v>
      </c>
      <c r="O95" s="27">
        <v>0</v>
      </c>
      <c r="P95" s="29">
        <v>0</v>
      </c>
    </row>
    <row r="96" spans="1:18" x14ac:dyDescent="0.35">
      <c r="A96" s="12" t="s">
        <v>3</v>
      </c>
      <c r="B96" s="24">
        <v>0.83962575338991374</v>
      </c>
      <c r="C96" s="24">
        <v>0.69446030145214344</v>
      </c>
      <c r="D96" s="24">
        <v>0.55454861406519385</v>
      </c>
      <c r="E96" s="25">
        <v>1.710927894939289</v>
      </c>
      <c r="F96" s="24">
        <v>0.55351999133198992</v>
      </c>
      <c r="G96" s="26">
        <v>0.53034183243085009</v>
      </c>
      <c r="H96" s="24">
        <v>0.53034183243085009</v>
      </c>
      <c r="I96" s="25">
        <v>0.70686271530425704</v>
      </c>
      <c r="J96" s="24">
        <v>0.48081314298135336</v>
      </c>
      <c r="K96" s="49">
        <v>0.48392400915092981</v>
      </c>
      <c r="L96" s="24">
        <v>0.75832646116630964</v>
      </c>
      <c r="M96" s="24">
        <v>0.61638590341440258</v>
      </c>
      <c r="N96" s="25">
        <v>0</v>
      </c>
      <c r="O96" s="24">
        <v>0</v>
      </c>
      <c r="P96" s="26">
        <v>0</v>
      </c>
      <c r="R96" s="33" t="s">
        <v>71</v>
      </c>
    </row>
    <row r="97" spans="1:16" x14ac:dyDescent="0.35">
      <c r="A97" s="8" t="s">
        <v>4</v>
      </c>
      <c r="B97" s="21">
        <v>1.1597738246018316</v>
      </c>
      <c r="C97" s="21">
        <v>1.4813561234874071</v>
      </c>
      <c r="D97" s="21">
        <v>1.0741337057103681</v>
      </c>
      <c r="E97" s="22">
        <v>1.0599510430032246</v>
      </c>
      <c r="F97" s="21">
        <v>2.1699389805771023</v>
      </c>
      <c r="G97" s="23">
        <v>1.0272463465127439</v>
      </c>
      <c r="H97" s="21">
        <v>1.0272463465127439</v>
      </c>
      <c r="I97" s="22">
        <v>1.1480796625278771</v>
      </c>
      <c r="J97" s="21">
        <v>0.7821511808055327</v>
      </c>
      <c r="K97" s="47">
        <v>0.78742249445890045</v>
      </c>
      <c r="L97" s="21">
        <v>1.2245963715306851</v>
      </c>
      <c r="M97" s="21">
        <v>1.0135660811822065</v>
      </c>
      <c r="N97" s="22">
        <v>0</v>
      </c>
      <c r="O97" s="21">
        <v>0</v>
      </c>
      <c r="P97" s="23">
        <v>0</v>
      </c>
    </row>
    <row r="98" spans="1:16" x14ac:dyDescent="0.35">
      <c r="A98" s="16" t="s">
        <v>5</v>
      </c>
      <c r="B98" s="27">
        <v>1.2167966411596514</v>
      </c>
      <c r="C98" s="27">
        <v>1.2751074390742458</v>
      </c>
      <c r="D98" s="27">
        <v>1.1016298356498804</v>
      </c>
      <c r="E98" s="28">
        <v>1.3701718271518677</v>
      </c>
      <c r="F98" s="27">
        <v>1.1281844866524848</v>
      </c>
      <c r="G98" s="29">
        <v>2.0535422339552891</v>
      </c>
      <c r="H98" s="27">
        <v>2.0535422339552891</v>
      </c>
      <c r="I98" s="28">
        <v>1.190610382535906</v>
      </c>
      <c r="J98" s="27">
        <v>0.81707689626026148</v>
      </c>
      <c r="K98" s="50">
        <v>0.82361093735667079</v>
      </c>
      <c r="L98" s="27">
        <v>1.2354486903135826</v>
      </c>
      <c r="M98" s="27">
        <v>1.1118292877740366</v>
      </c>
      <c r="N98" s="28">
        <v>0</v>
      </c>
      <c r="O98" s="27">
        <v>0</v>
      </c>
      <c r="P98" s="29">
        <v>0</v>
      </c>
    </row>
    <row r="99" spans="1:16" x14ac:dyDescent="0.35">
      <c r="A99" s="8" t="s">
        <v>68</v>
      </c>
      <c r="B99" s="21">
        <v>0.34223626887099473</v>
      </c>
      <c r="C99" s="21">
        <v>0.33715289688036326</v>
      </c>
      <c r="D99" s="21">
        <v>0.25795861874453851</v>
      </c>
      <c r="E99" s="22">
        <v>0.56236325418615174</v>
      </c>
      <c r="F99" s="21">
        <v>0.37120656760116583</v>
      </c>
      <c r="G99" s="23">
        <v>0.24669838330932403</v>
      </c>
      <c r="H99" s="21">
        <v>1.2466983833093241</v>
      </c>
      <c r="I99" s="22">
        <v>0.30590765939380576</v>
      </c>
      <c r="J99" s="21">
        <v>0.20820689728765518</v>
      </c>
      <c r="K99" s="47">
        <v>0.20957583464830939</v>
      </c>
      <c r="L99" s="21">
        <v>0.32744708929656563</v>
      </c>
      <c r="M99" s="21">
        <v>0.26804069284600834</v>
      </c>
      <c r="N99" s="22">
        <v>0</v>
      </c>
      <c r="O99" s="21">
        <v>0</v>
      </c>
      <c r="P99" s="23">
        <v>0</v>
      </c>
    </row>
    <row r="100" spans="1:16" x14ac:dyDescent="0.35">
      <c r="A100" s="8" t="s">
        <v>6</v>
      </c>
      <c r="B100" s="21">
        <v>0.94137744715576732</v>
      </c>
      <c r="C100" s="21">
        <v>0.70734360536759122</v>
      </c>
      <c r="D100" s="21">
        <v>0.60542006219916722</v>
      </c>
      <c r="E100" s="22">
        <v>0.79295152647848655</v>
      </c>
      <c r="F100" s="21">
        <v>0.56780938776876655</v>
      </c>
      <c r="G100" s="23">
        <v>0.57899267446254732</v>
      </c>
      <c r="H100" s="21">
        <v>0.57899267446254732</v>
      </c>
      <c r="I100" s="22">
        <v>1.5139162620830835</v>
      </c>
      <c r="J100" s="21">
        <v>0.35026728684330077</v>
      </c>
      <c r="K100" s="47">
        <v>0.35265416122519355</v>
      </c>
      <c r="L100" s="21">
        <v>0.54728583032348133</v>
      </c>
      <c r="M100" s="21">
        <v>0.45525487806302678</v>
      </c>
      <c r="N100" s="22">
        <v>0</v>
      </c>
      <c r="O100">
        <v>0</v>
      </c>
      <c r="P100" s="48">
        <v>0</v>
      </c>
    </row>
    <row r="101" spans="1:16" x14ac:dyDescent="0.35">
      <c r="A101" s="8" t="s">
        <v>7</v>
      </c>
      <c r="B101" s="21">
        <v>1.0892689375349431</v>
      </c>
      <c r="C101" s="21">
        <v>1.0815551539689507</v>
      </c>
      <c r="D101" s="21">
        <v>1.3198267078635753</v>
      </c>
      <c r="E101" s="22">
        <v>1.0741842055150024</v>
      </c>
      <c r="F101" s="21">
        <v>0.90724836236717954</v>
      </c>
      <c r="G101" s="23">
        <v>1.2622145236436497</v>
      </c>
      <c r="H101" s="21">
        <v>1.2622145236436497</v>
      </c>
      <c r="I101" s="22">
        <v>0.85445513915332216</v>
      </c>
      <c r="J101" s="21">
        <v>1.58476328986243</v>
      </c>
      <c r="K101" s="47">
        <v>0.58916169786979733</v>
      </c>
      <c r="L101" s="21">
        <v>0.89603673241273574</v>
      </c>
      <c r="M101" s="21">
        <v>0.7813753664259574</v>
      </c>
      <c r="N101" s="22">
        <v>0</v>
      </c>
      <c r="O101">
        <v>0</v>
      </c>
      <c r="P101" s="48">
        <v>0</v>
      </c>
    </row>
    <row r="102" spans="1:16" x14ac:dyDescent="0.35">
      <c r="A102" s="4" t="s">
        <v>69</v>
      </c>
      <c r="B102" s="30">
        <v>1.0357295986675279</v>
      </c>
      <c r="C102" s="30">
        <v>1.0283949601024238</v>
      </c>
      <c r="D102" s="30">
        <v>1.2549550798168918</v>
      </c>
      <c r="E102" s="31">
        <v>1.0213863057463348</v>
      </c>
      <c r="F102" s="30">
        <v>0.86265563064051565</v>
      </c>
      <c r="G102" s="32">
        <v>1.2001746280989711</v>
      </c>
      <c r="H102" s="30">
        <v>1.2001746280989711</v>
      </c>
      <c r="I102" s="31">
        <v>0.81245728016207852</v>
      </c>
      <c r="J102" s="30">
        <v>1.5068695981607305</v>
      </c>
      <c r="K102" s="51">
        <v>1.5602034427474796</v>
      </c>
      <c r="L102" s="30">
        <v>0.85199507052264067</v>
      </c>
      <c r="M102" s="30">
        <v>0.74296949705415405</v>
      </c>
      <c r="N102" s="31">
        <v>0</v>
      </c>
      <c r="O102" s="52">
        <v>0</v>
      </c>
      <c r="P102" s="53">
        <v>0</v>
      </c>
    </row>
    <row r="103" spans="1:16" x14ac:dyDescent="0.35">
      <c r="A103" s="8" t="s">
        <v>8</v>
      </c>
      <c r="B103" s="21">
        <v>1.0132138086697766</v>
      </c>
      <c r="C103" s="21">
        <v>0.86107868712215407</v>
      </c>
      <c r="D103" s="21">
        <v>0.88644471933704783</v>
      </c>
      <c r="E103" s="22">
        <v>0.91286379039376819</v>
      </c>
      <c r="F103" s="21">
        <v>0.70602354891233476</v>
      </c>
      <c r="G103" s="23">
        <v>0.84775023303293739</v>
      </c>
      <c r="H103" s="21">
        <v>0.84775023303293739</v>
      </c>
      <c r="I103" s="22">
        <v>1.2892035212539215</v>
      </c>
      <c r="J103" s="21">
        <v>0.82422908945902851</v>
      </c>
      <c r="K103" s="47">
        <v>0.82045022128291323</v>
      </c>
      <c r="L103" s="21">
        <v>1.6886873411107035</v>
      </c>
      <c r="M103" s="21">
        <v>0.58653475587578341</v>
      </c>
      <c r="N103" s="22">
        <v>0</v>
      </c>
      <c r="O103">
        <v>0</v>
      </c>
      <c r="P103" s="48">
        <v>0</v>
      </c>
    </row>
    <row r="104" spans="1:16" x14ac:dyDescent="0.35">
      <c r="A104" s="16" t="s">
        <v>9</v>
      </c>
      <c r="B104" s="27">
        <v>0.68270963947490593</v>
      </c>
      <c r="C104" s="27">
        <v>0.59547435917412594</v>
      </c>
      <c r="D104" s="27">
        <v>0.6332468141594545</v>
      </c>
      <c r="E104" s="28">
        <v>0.62418848854010767</v>
      </c>
      <c r="F104" s="27">
        <v>0.49025112541874022</v>
      </c>
      <c r="G104" s="29">
        <v>0.60560475183667373</v>
      </c>
      <c r="H104" s="27">
        <v>0.60560475183667373</v>
      </c>
      <c r="I104" s="28">
        <v>0.8165778515836285</v>
      </c>
      <c r="J104" s="27">
        <v>0.62384810069580099</v>
      </c>
      <c r="K104" s="50">
        <v>0.63971232914656295</v>
      </c>
      <c r="L104" s="27">
        <v>0.47929770901164359</v>
      </c>
      <c r="M104" s="27">
        <v>1.4099922108348102</v>
      </c>
      <c r="N104" s="28">
        <v>0</v>
      </c>
      <c r="O104">
        <v>0</v>
      </c>
      <c r="P104" s="48">
        <v>0</v>
      </c>
    </row>
    <row r="105" spans="1:16" x14ac:dyDescent="0.35">
      <c r="A105" s="8" t="s">
        <v>10</v>
      </c>
      <c r="B105" s="21">
        <v>0.1285895532658167</v>
      </c>
      <c r="C105" s="21">
        <v>0.13858214261034271</v>
      </c>
      <c r="D105" s="21">
        <v>0.13574016772915554</v>
      </c>
      <c r="E105" s="22">
        <v>0.12429446962028529</v>
      </c>
      <c r="F105" s="21">
        <v>0.15392473045256616</v>
      </c>
      <c r="G105" s="23">
        <v>0.12981492958791915</v>
      </c>
      <c r="H105" s="21">
        <v>0.12981492958791915</v>
      </c>
      <c r="I105" s="22">
        <v>0.11845521023927529</v>
      </c>
      <c r="J105" s="21">
        <v>0.13797307486898738</v>
      </c>
      <c r="K105" s="47">
        <v>0.1416324792016346</v>
      </c>
      <c r="L105" s="21">
        <v>0.11931243217739795</v>
      </c>
      <c r="M105" s="21">
        <v>0.11695701624941522</v>
      </c>
      <c r="N105" s="22">
        <v>1</v>
      </c>
      <c r="O105" s="24">
        <v>0</v>
      </c>
      <c r="P105" s="26">
        <v>0</v>
      </c>
    </row>
    <row r="106" spans="1:16" x14ac:dyDescent="0.35">
      <c r="A106" s="8" t="s">
        <v>11</v>
      </c>
      <c r="B106" s="21">
        <v>0.58976708741426764</v>
      </c>
      <c r="C106" s="21">
        <v>0.54097953502928142</v>
      </c>
      <c r="D106" s="21">
        <v>0.60958657490396528</v>
      </c>
      <c r="E106" s="22">
        <v>0.55503539388033896</v>
      </c>
      <c r="F106" s="21">
        <v>0.44878314883577664</v>
      </c>
      <c r="G106" s="23">
        <v>0.58297731336825243</v>
      </c>
      <c r="H106" s="21">
        <v>0.58297731336825243</v>
      </c>
      <c r="I106" s="22">
        <v>0.61478383805221548</v>
      </c>
      <c r="J106" s="21">
        <v>0.65804480403197496</v>
      </c>
      <c r="K106" s="47">
        <v>0.67450921028773037</v>
      </c>
      <c r="L106" s="21">
        <v>0.59778809618892326</v>
      </c>
      <c r="M106" s="21">
        <v>0.64473397946359701</v>
      </c>
      <c r="N106" s="22">
        <v>0</v>
      </c>
      <c r="O106" s="21">
        <v>1</v>
      </c>
      <c r="P106" s="23">
        <v>0</v>
      </c>
    </row>
    <row r="107" spans="1:16" x14ac:dyDescent="0.35">
      <c r="A107" s="16" t="s">
        <v>12</v>
      </c>
      <c r="B107" s="27">
        <v>0.28164335931991596</v>
      </c>
      <c r="C107" s="27">
        <v>0.32043832236037573</v>
      </c>
      <c r="D107" s="27">
        <v>0.25467325736687935</v>
      </c>
      <c r="E107" s="28">
        <v>0.32067013649937581</v>
      </c>
      <c r="F107" s="27">
        <v>0.39729212071165732</v>
      </c>
      <c r="G107" s="29">
        <v>0.28720775704382862</v>
      </c>
      <c r="H107" s="27">
        <v>0.28720775704382862</v>
      </c>
      <c r="I107" s="28">
        <v>0.26676095170850955</v>
      </c>
      <c r="J107" s="27">
        <v>0.20398212109903785</v>
      </c>
      <c r="K107" s="50">
        <v>0.18385831051063542</v>
      </c>
      <c r="L107" s="27">
        <v>0.28289947163367907</v>
      </c>
      <c r="M107" s="27">
        <v>0.23830900428698806</v>
      </c>
      <c r="N107" s="28">
        <v>0</v>
      </c>
      <c r="O107" s="27">
        <v>0</v>
      </c>
      <c r="P107" s="29">
        <v>1</v>
      </c>
    </row>
    <row r="108" spans="1:16" x14ac:dyDescent="0.35">
      <c r="M108" s="33">
        <v>0.2383674398924418</v>
      </c>
      <c r="P108" s="33">
        <v>1</v>
      </c>
    </row>
    <row r="109" spans="1:16" x14ac:dyDescent="0.35">
      <c r="K109" s="33"/>
      <c r="N109" s="33"/>
    </row>
    <row r="110" spans="1:16" ht="18.5" x14ac:dyDescent="0.45">
      <c r="A110" s="36" t="s">
        <v>49</v>
      </c>
      <c r="K110" s="33"/>
      <c r="N110" s="33"/>
    </row>
    <row r="112" spans="1:16" x14ac:dyDescent="0.35">
      <c r="A112" s="9" t="s">
        <v>46</v>
      </c>
    </row>
    <row r="113" spans="1:8" x14ac:dyDescent="0.35">
      <c r="A113" s="4"/>
      <c r="B113" s="5" t="s">
        <v>74</v>
      </c>
      <c r="C113" s="5" t="s">
        <v>75</v>
      </c>
      <c r="D113" s="5" t="s">
        <v>76</v>
      </c>
      <c r="E113" s="7" t="s">
        <v>77</v>
      </c>
      <c r="F113" s="35"/>
      <c r="G113" s="33" t="s">
        <v>81</v>
      </c>
    </row>
    <row r="114" spans="1:8" x14ac:dyDescent="0.35">
      <c r="A114" s="8" t="s">
        <v>0</v>
      </c>
      <c r="B114" s="25">
        <v>0</v>
      </c>
      <c r="C114" s="24">
        <v>0</v>
      </c>
      <c r="D114" s="24">
        <v>0</v>
      </c>
      <c r="E114" s="26">
        <v>0</v>
      </c>
      <c r="F114" s="33"/>
      <c r="G114" s="33"/>
    </row>
    <row r="115" spans="1:8" x14ac:dyDescent="0.35">
      <c r="A115" s="8" t="s">
        <v>1</v>
      </c>
      <c r="B115" s="22">
        <v>0</v>
      </c>
      <c r="C115" s="21">
        <v>0</v>
      </c>
      <c r="D115" s="21">
        <v>0</v>
      </c>
      <c r="E115" s="23">
        <v>0</v>
      </c>
      <c r="F115" s="33"/>
      <c r="G115" s="33" t="s">
        <v>82</v>
      </c>
    </row>
    <row r="116" spans="1:8" x14ac:dyDescent="0.35">
      <c r="A116" s="8" t="s">
        <v>2</v>
      </c>
      <c r="B116" s="22">
        <v>0</v>
      </c>
      <c r="C116" s="21">
        <v>0</v>
      </c>
      <c r="D116" s="21">
        <v>0</v>
      </c>
      <c r="E116" s="23">
        <v>0</v>
      </c>
      <c r="F116" s="33"/>
      <c r="G116" s="33"/>
    </row>
    <row r="117" spans="1:8" x14ac:dyDescent="0.35">
      <c r="A117" s="12" t="s">
        <v>3</v>
      </c>
      <c r="B117" s="25">
        <v>0</v>
      </c>
      <c r="C117" s="24">
        <v>0</v>
      </c>
      <c r="D117" s="85">
        <v>0</v>
      </c>
      <c r="E117" s="86">
        <v>0</v>
      </c>
      <c r="F117" s="33"/>
      <c r="G117" s="33" t="s">
        <v>93</v>
      </c>
    </row>
    <row r="118" spans="1:8" x14ac:dyDescent="0.35">
      <c r="A118" s="8" t="s">
        <v>4</v>
      </c>
      <c r="B118" s="22">
        <v>0</v>
      </c>
      <c r="C118" s="21">
        <v>0</v>
      </c>
      <c r="D118" s="87">
        <v>0</v>
      </c>
      <c r="E118" s="88">
        <v>0</v>
      </c>
      <c r="F118" s="33"/>
      <c r="G118" s="80"/>
    </row>
    <row r="119" spans="1:8" x14ac:dyDescent="0.35">
      <c r="A119" s="16" t="s">
        <v>5</v>
      </c>
      <c r="B119" s="28">
        <v>0</v>
      </c>
      <c r="C119" s="27">
        <v>0</v>
      </c>
      <c r="D119" s="27">
        <v>0</v>
      </c>
      <c r="E119" s="29">
        <v>0</v>
      </c>
      <c r="F119" s="33"/>
      <c r="G119" s="33" t="s">
        <v>94</v>
      </c>
    </row>
    <row r="120" spans="1:8" x14ac:dyDescent="0.35">
      <c r="A120" s="4" t="s">
        <v>68</v>
      </c>
      <c r="B120" s="31">
        <v>0</v>
      </c>
      <c r="C120" s="30">
        <v>0</v>
      </c>
      <c r="D120" s="30">
        <v>0</v>
      </c>
      <c r="E120" s="32">
        <v>0</v>
      </c>
      <c r="F120" s="33"/>
      <c r="G120" s="33"/>
    </row>
    <row r="121" spans="1:8" x14ac:dyDescent="0.35">
      <c r="A121" s="8" t="s">
        <v>6</v>
      </c>
      <c r="B121" s="22">
        <v>0</v>
      </c>
      <c r="C121" s="21">
        <v>0</v>
      </c>
      <c r="D121" s="21">
        <v>0</v>
      </c>
      <c r="E121" s="23">
        <v>0</v>
      </c>
      <c r="F121" s="33"/>
    </row>
    <row r="122" spans="1:8" x14ac:dyDescent="0.35">
      <c r="A122" s="8" t="s">
        <v>7</v>
      </c>
      <c r="B122" s="22">
        <v>0</v>
      </c>
      <c r="C122" s="21">
        <v>0</v>
      </c>
      <c r="D122" s="21">
        <v>0</v>
      </c>
      <c r="E122" s="23">
        <v>0</v>
      </c>
      <c r="F122" s="33"/>
    </row>
    <row r="123" spans="1:8" x14ac:dyDescent="0.35">
      <c r="A123" s="4" t="s">
        <v>69</v>
      </c>
      <c r="B123" s="31">
        <v>0</v>
      </c>
      <c r="C123" s="30">
        <v>0</v>
      </c>
      <c r="D123" s="30">
        <v>0</v>
      </c>
      <c r="E123" s="32">
        <v>0</v>
      </c>
      <c r="F123" s="33"/>
    </row>
    <row r="124" spans="1:8" x14ac:dyDescent="0.35">
      <c r="A124" s="8" t="s">
        <v>8</v>
      </c>
      <c r="B124" s="89">
        <f>-L5</f>
        <v>-85.77682679982739</v>
      </c>
      <c r="C124" s="85">
        <f>-C125</f>
        <v>56.632482156035877</v>
      </c>
      <c r="D124" s="24">
        <v>0</v>
      </c>
      <c r="E124" s="26">
        <v>0</v>
      </c>
      <c r="H124" s="9"/>
    </row>
    <row r="125" spans="1:8" x14ac:dyDescent="0.35">
      <c r="A125" s="16" t="s">
        <v>9</v>
      </c>
      <c r="B125" s="90">
        <f>-B124</f>
        <v>85.77682679982739</v>
      </c>
      <c r="C125" s="91">
        <f>-M5</f>
        <v>-56.632482156035877</v>
      </c>
      <c r="D125" s="27">
        <v>0</v>
      </c>
      <c r="E125" s="29">
        <v>0</v>
      </c>
      <c r="F125" s="33"/>
      <c r="H125" s="9"/>
    </row>
    <row r="126" spans="1:8" x14ac:dyDescent="0.35">
      <c r="A126" s="8" t="s">
        <v>10</v>
      </c>
      <c r="B126" s="22">
        <v>0</v>
      </c>
      <c r="C126" s="21">
        <v>0</v>
      </c>
      <c r="D126" s="21">
        <v>0</v>
      </c>
      <c r="E126" s="23">
        <v>0</v>
      </c>
    </row>
    <row r="127" spans="1:8" x14ac:dyDescent="0.35">
      <c r="A127" s="8" t="s">
        <v>11</v>
      </c>
      <c r="B127" s="22">
        <v>0</v>
      </c>
      <c r="C127" s="21">
        <v>0</v>
      </c>
      <c r="D127" s="21">
        <v>0</v>
      </c>
      <c r="E127" s="23">
        <v>0</v>
      </c>
    </row>
    <row r="128" spans="1:8" x14ac:dyDescent="0.35">
      <c r="A128" s="16" t="s">
        <v>12</v>
      </c>
      <c r="B128" s="28">
        <v>0</v>
      </c>
      <c r="C128" s="27">
        <v>0</v>
      </c>
      <c r="D128" s="27">
        <v>0</v>
      </c>
      <c r="E128" s="29">
        <v>0</v>
      </c>
    </row>
    <row r="131" spans="1:7" ht="18.5" x14ac:dyDescent="0.45">
      <c r="A131" s="36" t="s">
        <v>50</v>
      </c>
    </row>
    <row r="133" spans="1:7" x14ac:dyDescent="0.35">
      <c r="A133" s="9" t="s">
        <v>72</v>
      </c>
    </row>
    <row r="134" spans="1:7" x14ac:dyDescent="0.35">
      <c r="A134" t="s">
        <v>54</v>
      </c>
    </row>
    <row r="135" spans="1:7" x14ac:dyDescent="0.35">
      <c r="A135" s="4"/>
      <c r="B135" s="5" t="s">
        <v>74</v>
      </c>
      <c r="C135" s="5" t="s">
        <v>75</v>
      </c>
      <c r="D135" s="5" t="s">
        <v>76</v>
      </c>
      <c r="E135" s="7" t="s">
        <v>77</v>
      </c>
    </row>
    <row r="136" spans="1:7" x14ac:dyDescent="0.35">
      <c r="A136" s="12" t="s">
        <v>0</v>
      </c>
      <c r="B136" s="25">
        <f t="array" ref="B136:E150">MMULT(B93:P107,B114:E128)</f>
        <v>-10.420151714598113</v>
      </c>
      <c r="C136" s="24">
        <v>6.879702573018843</v>
      </c>
      <c r="D136" s="24">
        <v>0</v>
      </c>
      <c r="E136" s="26">
        <v>0</v>
      </c>
      <c r="G136" s="33" t="s">
        <v>55</v>
      </c>
    </row>
    <row r="137" spans="1:7" x14ac:dyDescent="0.35">
      <c r="A137" s="8" t="s">
        <v>1</v>
      </c>
      <c r="B137" s="22">
        <v>-14.401858373033598</v>
      </c>
      <c r="C137" s="21">
        <v>9.5085469788703136</v>
      </c>
      <c r="D137" s="21">
        <v>0</v>
      </c>
      <c r="E137" s="23">
        <v>0</v>
      </c>
      <c r="G137" s="33"/>
    </row>
    <row r="138" spans="1:7" x14ac:dyDescent="0.35">
      <c r="A138" s="8" t="s">
        <v>2</v>
      </c>
      <c r="B138" s="22">
        <v>-10.140815398134265</v>
      </c>
      <c r="C138" s="21">
        <v>6.6952762011434999</v>
      </c>
      <c r="D138" s="21">
        <v>0</v>
      </c>
      <c r="E138" s="23">
        <v>0</v>
      </c>
      <c r="G138" s="33"/>
    </row>
    <row r="139" spans="1:7" x14ac:dyDescent="0.35">
      <c r="A139" s="12" t="s">
        <v>3</v>
      </c>
      <c r="B139" s="25">
        <v>-12.175210638156237</v>
      </c>
      <c r="C139" s="24">
        <v>8.038446104102654</v>
      </c>
      <c r="D139" s="24">
        <v>0</v>
      </c>
      <c r="E139" s="26">
        <v>0</v>
      </c>
      <c r="G139" s="33"/>
    </row>
    <row r="140" spans="1:7" x14ac:dyDescent="0.35">
      <c r="A140" s="8" t="s">
        <v>4</v>
      </c>
      <c r="B140" s="22">
        <v>-18.101508664738731</v>
      </c>
      <c r="C140" s="21">
        <v>11.951169152543294</v>
      </c>
      <c r="D140" s="21">
        <v>0</v>
      </c>
      <c r="E140" s="23">
        <v>0</v>
      </c>
      <c r="G140" s="33"/>
    </row>
    <row r="141" spans="1:7" x14ac:dyDescent="0.35">
      <c r="A141" s="16" t="s">
        <v>5</v>
      </c>
      <c r="B141" s="28">
        <v>-10.603680080732772</v>
      </c>
      <c r="C141" s="27">
        <v>7.0008736084606582</v>
      </c>
      <c r="D141" s="27">
        <v>0</v>
      </c>
      <c r="E141" s="29">
        <v>0</v>
      </c>
      <c r="G141" s="33"/>
    </row>
    <row r="142" spans="1:7" x14ac:dyDescent="0.35">
      <c r="A142" s="4" t="s">
        <v>68</v>
      </c>
      <c r="B142" s="31">
        <v>-5.0956921791413343</v>
      </c>
      <c r="C142" s="30">
        <v>3.3643316869405773</v>
      </c>
      <c r="D142" s="30">
        <v>0</v>
      </c>
      <c r="E142" s="32">
        <v>0</v>
      </c>
      <c r="G142" s="33"/>
    </row>
    <row r="143" spans="1:7" x14ac:dyDescent="0.35">
      <c r="A143" s="8" t="s">
        <v>6</v>
      </c>
      <c r="B143" s="22">
        <v>-7.894123052268192</v>
      </c>
      <c r="C143" s="21">
        <v>5.2119412616931804</v>
      </c>
      <c r="D143" s="21">
        <v>0</v>
      </c>
      <c r="E143" s="23">
        <v>0</v>
      </c>
      <c r="G143" s="33" t="s">
        <v>56</v>
      </c>
    </row>
    <row r="144" spans="1:7" x14ac:dyDescent="0.35">
      <c r="A144" s="8" t="s">
        <v>7</v>
      </c>
      <c r="B144" s="22">
        <v>-9.8352881308795048</v>
      </c>
      <c r="C144" s="21">
        <v>6.4935577632329213</v>
      </c>
      <c r="D144" s="21">
        <v>0</v>
      </c>
      <c r="E144" s="23">
        <v>0</v>
      </c>
      <c r="G144" s="33"/>
    </row>
    <row r="145" spans="1:11" x14ac:dyDescent="0.35">
      <c r="A145" s="4" t="s">
        <v>69</v>
      </c>
      <c r="B145" s="31">
        <v>-9.3518677321582331</v>
      </c>
      <c r="C145" s="30">
        <v>6.174388844005648</v>
      </c>
      <c r="D145" s="30">
        <v>0</v>
      </c>
      <c r="E145" s="32">
        <v>0</v>
      </c>
      <c r="G145" s="33"/>
    </row>
    <row r="146" spans="1:11" x14ac:dyDescent="0.35">
      <c r="A146" s="12" t="s">
        <v>8</v>
      </c>
      <c r="B146" s="25">
        <v>-94.539151410677732</v>
      </c>
      <c r="C146" s="24">
        <v>62.41763661654543</v>
      </c>
      <c r="D146" s="24">
        <v>0</v>
      </c>
      <c r="E146" s="26">
        <v>0</v>
      </c>
      <c r="G146" s="33" t="s">
        <v>57</v>
      </c>
    </row>
    <row r="147" spans="1:11" x14ac:dyDescent="0.35">
      <c r="A147" s="16" t="s">
        <v>9</v>
      </c>
      <c r="B147" s="28">
        <v>79.832021086437393</v>
      </c>
      <c r="C147" s="27">
        <v>-52.707539767221185</v>
      </c>
      <c r="D147" s="27">
        <v>0</v>
      </c>
      <c r="E147" s="29">
        <v>0</v>
      </c>
      <c r="G147" s="33"/>
    </row>
    <row r="148" spans="1:11" x14ac:dyDescent="0.35">
      <c r="A148" s="8" t="s">
        <v>10</v>
      </c>
      <c r="B148" s="22">
        <v>-0.20204010409612927</v>
      </c>
      <c r="C148" s="21">
        <v>0.13339305051152461</v>
      </c>
      <c r="D148" s="21">
        <v>0</v>
      </c>
      <c r="E148" s="23">
        <v>0</v>
      </c>
      <c r="G148" s="33"/>
    </row>
    <row r="149" spans="1:11" x14ac:dyDescent="0.35">
      <c r="A149" s="8" t="s">
        <v>11</v>
      </c>
      <c r="B149" s="22">
        <v>4.0268688986166055</v>
      </c>
      <c r="C149" s="21">
        <v>-2.6586618968523013</v>
      </c>
      <c r="D149" s="21">
        <v>0</v>
      </c>
      <c r="E149" s="23">
        <v>0</v>
      </c>
      <c r="F149" s="33"/>
      <c r="G149" s="33"/>
    </row>
    <row r="150" spans="1:11" x14ac:dyDescent="0.35">
      <c r="A150" s="16" t="s">
        <v>12</v>
      </c>
      <c r="B150" s="28">
        <v>-3.8248287945204744</v>
      </c>
      <c r="C150" s="27">
        <v>2.5252688463407775</v>
      </c>
      <c r="D150" s="27">
        <v>0</v>
      </c>
      <c r="E150" s="29">
        <v>0</v>
      </c>
      <c r="G150" s="33"/>
    </row>
    <row r="151" spans="1:11" x14ac:dyDescent="0.35">
      <c r="G151" s="33"/>
    </row>
    <row r="154" spans="1:11" x14ac:dyDescent="0.35">
      <c r="A154" s="37" t="s">
        <v>58</v>
      </c>
      <c r="B154" s="38" t="s">
        <v>78</v>
      </c>
    </row>
    <row r="155" spans="1:11" x14ac:dyDescent="0.35">
      <c r="A155" s="37" t="s">
        <v>59</v>
      </c>
      <c r="B155" s="73" t="s">
        <v>51</v>
      </c>
      <c r="C155" s="74">
        <f>SUM(B136:B138)</f>
        <v>-34.962825485765975</v>
      </c>
    </row>
    <row r="156" spans="1:11" x14ac:dyDescent="0.35">
      <c r="A156" s="37"/>
      <c r="B156" s="73" t="s">
        <v>52</v>
      </c>
      <c r="C156" s="74">
        <f>SUM(B143:B144)</f>
        <v>-17.729411183147697</v>
      </c>
    </row>
    <row r="157" spans="1:11" x14ac:dyDescent="0.35">
      <c r="A157" s="37"/>
      <c r="B157" s="75" t="s">
        <v>53</v>
      </c>
      <c r="C157" s="76">
        <f>SUM(B146:B147)</f>
        <v>-14.707130324240339</v>
      </c>
    </row>
    <row r="158" spans="1:11" ht="7.5" customHeight="1" x14ac:dyDescent="0.35">
      <c r="A158" s="37"/>
      <c r="B158" s="77"/>
      <c r="C158" s="78"/>
    </row>
    <row r="159" spans="1:11" x14ac:dyDescent="0.35">
      <c r="A159" s="37"/>
      <c r="B159" s="79"/>
      <c r="C159" s="52"/>
      <c r="D159" s="52"/>
      <c r="E159" s="52"/>
      <c r="F159" s="52"/>
      <c r="G159" s="52"/>
      <c r="H159" s="52"/>
      <c r="I159" s="52"/>
      <c r="J159" s="52"/>
      <c r="K159" s="53"/>
    </row>
    <row r="161" spans="1:11" x14ac:dyDescent="0.35">
      <c r="A161" s="37" t="s">
        <v>60</v>
      </c>
      <c r="B161" s="38" t="s">
        <v>79</v>
      </c>
    </row>
    <row r="162" spans="1:11" x14ac:dyDescent="0.35">
      <c r="A162" s="37" t="s">
        <v>61</v>
      </c>
      <c r="B162" s="73" t="s">
        <v>51</v>
      </c>
      <c r="C162" s="74">
        <f>SUM(C136:C138)</f>
        <v>23.083525753032657</v>
      </c>
    </row>
    <row r="163" spans="1:11" x14ac:dyDescent="0.35">
      <c r="A163" s="37"/>
      <c r="B163" s="73" t="s">
        <v>52</v>
      </c>
      <c r="C163" s="74">
        <f>SUM(C143:C144)</f>
        <v>11.705499024926102</v>
      </c>
    </row>
    <row r="164" spans="1:11" x14ac:dyDescent="0.35">
      <c r="A164" s="37"/>
      <c r="B164" s="75" t="s">
        <v>53</v>
      </c>
      <c r="C164" s="76">
        <f>SUM(C146:C147)</f>
        <v>9.7100968493242448</v>
      </c>
    </row>
    <row r="165" spans="1:11" ht="8.15" customHeight="1" x14ac:dyDescent="0.35">
      <c r="A165" s="37"/>
      <c r="B165" s="77"/>
      <c r="C165" s="78"/>
    </row>
    <row r="166" spans="1:11" x14ac:dyDescent="0.35">
      <c r="A166" s="37"/>
      <c r="B166" s="79"/>
      <c r="C166" s="52"/>
      <c r="D166" s="52"/>
      <c r="E166" s="52"/>
      <c r="F166" s="52"/>
      <c r="G166" s="52"/>
      <c r="H166" s="52"/>
      <c r="I166" s="52"/>
      <c r="J166" s="52"/>
      <c r="K166" s="53"/>
    </row>
    <row r="167" spans="1:11" x14ac:dyDescent="0.35">
      <c r="A167" s="37"/>
      <c r="B167" s="38"/>
    </row>
    <row r="168" spans="1:11" x14ac:dyDescent="0.35">
      <c r="A168" s="37" t="s">
        <v>62</v>
      </c>
      <c r="B168" s="38" t="s">
        <v>89</v>
      </c>
    </row>
    <row r="169" spans="1:11" x14ac:dyDescent="0.35">
      <c r="A169" s="37" t="s">
        <v>63</v>
      </c>
      <c r="B169" s="73" t="s">
        <v>51</v>
      </c>
      <c r="C169" s="74"/>
    </row>
    <row r="170" spans="1:11" x14ac:dyDescent="0.35">
      <c r="A170" s="37"/>
      <c r="B170" s="73" t="s">
        <v>52</v>
      </c>
      <c r="C170" s="74"/>
    </row>
    <row r="171" spans="1:11" x14ac:dyDescent="0.35">
      <c r="A171" s="37"/>
      <c r="B171" s="73" t="s">
        <v>53</v>
      </c>
      <c r="C171" s="74"/>
    </row>
    <row r="172" spans="1:11" x14ac:dyDescent="0.35">
      <c r="A172" s="37"/>
      <c r="B172" s="38"/>
    </row>
    <row r="173" spans="1:11" x14ac:dyDescent="0.35">
      <c r="A173" s="37" t="s">
        <v>64</v>
      </c>
      <c r="B173" s="38" t="s">
        <v>90</v>
      </c>
    </row>
    <row r="174" spans="1:11" x14ac:dyDescent="0.35">
      <c r="A174" s="37" t="s">
        <v>65</v>
      </c>
      <c r="B174" s="73" t="s">
        <v>51</v>
      </c>
      <c r="C174" s="74"/>
    </row>
    <row r="175" spans="1:11" x14ac:dyDescent="0.35">
      <c r="A175" s="37"/>
      <c r="B175" s="73" t="s">
        <v>52</v>
      </c>
      <c r="C175" s="74"/>
    </row>
    <row r="176" spans="1:11" x14ac:dyDescent="0.35">
      <c r="A176" s="37"/>
      <c r="B176" s="73" t="s">
        <v>53</v>
      </c>
      <c r="C176" s="74"/>
    </row>
    <row r="177" spans="1:3" x14ac:dyDescent="0.35">
      <c r="A177" s="37"/>
      <c r="B177" s="38"/>
    </row>
    <row r="178" spans="1:3" x14ac:dyDescent="0.35">
      <c r="A178" s="37" t="s">
        <v>66</v>
      </c>
      <c r="B178" s="54" t="s">
        <v>95</v>
      </c>
      <c r="C178" s="38"/>
    </row>
    <row r="179" spans="1:3" x14ac:dyDescent="0.35">
      <c r="A179" s="37" t="s">
        <v>67</v>
      </c>
      <c r="B179" s="38"/>
    </row>
    <row r="180" spans="1:3" x14ac:dyDescent="0.35">
      <c r="A180" s="37"/>
      <c r="B180" s="38"/>
    </row>
    <row r="181" spans="1:3" x14ac:dyDescent="0.35">
      <c r="A181" s="37"/>
      <c r="B181" s="39"/>
    </row>
    <row r="182" spans="1:3" x14ac:dyDescent="0.35">
      <c r="A182" s="37"/>
      <c r="B182" s="38"/>
    </row>
    <row r="183" spans="1:3" x14ac:dyDescent="0.35">
      <c r="A183" s="37"/>
      <c r="B183" s="40"/>
    </row>
    <row r="184" spans="1:3" x14ac:dyDescent="0.35">
      <c r="A184" s="37"/>
      <c r="B184" s="38"/>
    </row>
    <row r="185" spans="1:3" x14ac:dyDescent="0.35">
      <c r="A185" s="37"/>
      <c r="B185" s="38"/>
    </row>
    <row r="186" spans="1:3" x14ac:dyDescent="0.35">
      <c r="A186" s="37"/>
      <c r="B186" s="38"/>
    </row>
    <row r="187" spans="1:3" x14ac:dyDescent="0.35">
      <c r="A187" s="37"/>
      <c r="B187" s="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EF94-67FC-423E-8F54-261E8F1290AE}">
  <dimension ref="A1:T187"/>
  <sheetViews>
    <sheetView showZeros="0" topLeftCell="A88" zoomScale="85" zoomScaleNormal="85" workbookViewId="0">
      <selection activeCell="B124" sqref="B124"/>
    </sheetView>
  </sheetViews>
  <sheetFormatPr defaultRowHeight="14.5" x14ac:dyDescent="0.35"/>
  <sheetData>
    <row r="1" spans="1:20" ht="18.5" x14ac:dyDescent="0.45">
      <c r="A1" s="1" t="s">
        <v>96</v>
      </c>
    </row>
    <row r="2" spans="1:20" x14ac:dyDescent="0.35">
      <c r="L2" s="56"/>
      <c r="M2" s="56"/>
    </row>
    <row r="6" spans="1:20" ht="15.5" x14ac:dyDescent="0.35">
      <c r="A6" s="2" t="s">
        <v>92</v>
      </c>
    </row>
    <row r="7" spans="1:20" x14ac:dyDescent="0.35">
      <c r="A7" s="55"/>
    </row>
    <row r="8" spans="1:20" x14ac:dyDescent="0.35">
      <c r="A8" s="4"/>
      <c r="B8" s="5" t="s">
        <v>0</v>
      </c>
      <c r="C8" s="5" t="s">
        <v>1</v>
      </c>
      <c r="D8" s="5" t="s">
        <v>2</v>
      </c>
      <c r="E8" s="6" t="s">
        <v>3</v>
      </c>
      <c r="F8" s="5" t="s">
        <v>4</v>
      </c>
      <c r="G8" s="7" t="s">
        <v>5</v>
      </c>
      <c r="H8" s="42" t="s">
        <v>68</v>
      </c>
      <c r="I8" s="5" t="s">
        <v>6</v>
      </c>
      <c r="J8" s="5" t="s">
        <v>7</v>
      </c>
      <c r="K8" s="42" t="s">
        <v>69</v>
      </c>
      <c r="L8" s="6" t="s">
        <v>8</v>
      </c>
      <c r="M8" s="7" t="s">
        <v>9</v>
      </c>
      <c r="N8" s="5" t="s">
        <v>10</v>
      </c>
      <c r="O8" s="5" t="s">
        <v>11</v>
      </c>
      <c r="P8" s="5" t="s">
        <v>12</v>
      </c>
      <c r="Q8" s="4" t="s">
        <v>70</v>
      </c>
      <c r="S8" s="3" t="s">
        <v>14</v>
      </c>
    </row>
    <row r="9" spans="1:20" x14ac:dyDescent="0.35">
      <c r="A9" s="8" t="s">
        <v>0</v>
      </c>
      <c r="B9" s="9">
        <v>0</v>
      </c>
      <c r="C9" s="9">
        <v>0</v>
      </c>
      <c r="D9" s="9">
        <v>0</v>
      </c>
      <c r="E9" s="10">
        <v>4194.0968276820686</v>
      </c>
      <c r="F9" s="9">
        <v>0</v>
      </c>
      <c r="G9" s="11">
        <v>0</v>
      </c>
      <c r="H9" s="41">
        <v>0</v>
      </c>
      <c r="I9" s="9">
        <v>0</v>
      </c>
      <c r="J9" s="9">
        <v>0</v>
      </c>
      <c r="K9" s="41">
        <v>0</v>
      </c>
      <c r="L9" s="10">
        <v>230.11137326276418</v>
      </c>
      <c r="M9" s="11">
        <v>27.444965974600965</v>
      </c>
      <c r="N9" s="9">
        <v>0</v>
      </c>
      <c r="O9" s="9">
        <v>0</v>
      </c>
      <c r="P9" s="9">
        <v>0</v>
      </c>
      <c r="Q9" s="8">
        <v>4451.6531669194337</v>
      </c>
      <c r="S9" t="s">
        <v>0</v>
      </c>
      <c r="T9" t="s">
        <v>15</v>
      </c>
    </row>
    <row r="10" spans="1:20" x14ac:dyDescent="0.35">
      <c r="A10" s="8" t="s">
        <v>1</v>
      </c>
      <c r="B10" s="9">
        <v>0</v>
      </c>
      <c r="C10" s="9">
        <v>0</v>
      </c>
      <c r="D10" s="9">
        <v>0</v>
      </c>
      <c r="E10" s="10">
        <v>0</v>
      </c>
      <c r="F10" s="9">
        <v>14797.632030029912</v>
      </c>
      <c r="G10" s="11">
        <v>0</v>
      </c>
      <c r="H10" s="41">
        <v>0</v>
      </c>
      <c r="I10" s="9">
        <v>0</v>
      </c>
      <c r="J10" s="9">
        <v>0</v>
      </c>
      <c r="K10" s="41">
        <v>0</v>
      </c>
      <c r="L10" s="10">
        <v>143.27119977087429</v>
      </c>
      <c r="M10" s="11">
        <v>11.995903721762755</v>
      </c>
      <c r="N10" s="9">
        <v>0</v>
      </c>
      <c r="O10" s="9">
        <v>0</v>
      </c>
      <c r="P10" s="9">
        <v>0</v>
      </c>
      <c r="Q10" s="8">
        <v>14952.899133522549</v>
      </c>
      <c r="S10" t="s">
        <v>1</v>
      </c>
      <c r="T10" t="s">
        <v>25</v>
      </c>
    </row>
    <row r="11" spans="1:20" x14ac:dyDescent="0.35">
      <c r="A11" s="8" t="s">
        <v>2</v>
      </c>
      <c r="B11" s="9">
        <v>0</v>
      </c>
      <c r="C11" s="9">
        <v>0</v>
      </c>
      <c r="D11" s="9">
        <v>0</v>
      </c>
      <c r="E11" s="10">
        <v>0</v>
      </c>
      <c r="F11" s="9">
        <v>0</v>
      </c>
      <c r="G11" s="11">
        <v>12849.064657937404</v>
      </c>
      <c r="H11" s="41">
        <v>0</v>
      </c>
      <c r="I11" s="9">
        <v>0</v>
      </c>
      <c r="J11" s="9">
        <v>0</v>
      </c>
      <c r="K11" s="41">
        <v>0</v>
      </c>
      <c r="L11" s="10">
        <v>0</v>
      </c>
      <c r="M11" s="11">
        <v>0</v>
      </c>
      <c r="N11" s="9">
        <v>0</v>
      </c>
      <c r="O11" s="9">
        <v>0</v>
      </c>
      <c r="P11" s="9">
        <v>0</v>
      </c>
      <c r="Q11" s="8">
        <v>12849.064657937404</v>
      </c>
      <c r="S11" t="s">
        <v>2</v>
      </c>
      <c r="T11" t="s">
        <v>26</v>
      </c>
    </row>
    <row r="12" spans="1:20" x14ac:dyDescent="0.35">
      <c r="A12" s="12" t="s">
        <v>3</v>
      </c>
      <c r="B12" s="13">
        <v>934.35727595647836</v>
      </c>
      <c r="C12" s="13">
        <v>1710.9976088997507</v>
      </c>
      <c r="D12" s="13">
        <v>215.44314277996176</v>
      </c>
      <c r="E12" s="14">
        <v>0</v>
      </c>
      <c r="F12" s="13">
        <v>0</v>
      </c>
      <c r="G12" s="15">
        <v>0</v>
      </c>
      <c r="H12" s="43">
        <v>0</v>
      </c>
      <c r="I12" s="13">
        <v>0</v>
      </c>
      <c r="J12" s="13">
        <v>0</v>
      </c>
      <c r="K12" s="43">
        <v>0</v>
      </c>
      <c r="L12" s="14">
        <v>2159.7057900374903</v>
      </c>
      <c r="M12" s="15">
        <v>1123.1739632457229</v>
      </c>
      <c r="N12" s="13">
        <v>0</v>
      </c>
      <c r="O12" s="13">
        <v>0</v>
      </c>
      <c r="P12" s="13">
        <v>27.336233064363579</v>
      </c>
      <c r="Q12" s="12">
        <v>6171.0140139837686</v>
      </c>
      <c r="S12" t="s">
        <v>3</v>
      </c>
      <c r="T12" t="s">
        <v>16</v>
      </c>
    </row>
    <row r="13" spans="1:20" x14ac:dyDescent="0.35">
      <c r="A13" s="8" t="s">
        <v>4</v>
      </c>
      <c r="B13" s="9">
        <v>500.26181547765924</v>
      </c>
      <c r="C13" s="9">
        <v>6138.9975670118674</v>
      </c>
      <c r="D13" s="9">
        <v>1804.7899593901088</v>
      </c>
      <c r="E13" s="10">
        <v>0</v>
      </c>
      <c r="F13" s="9">
        <v>0</v>
      </c>
      <c r="G13" s="11">
        <v>0</v>
      </c>
      <c r="H13" s="41">
        <v>0</v>
      </c>
      <c r="I13" s="9">
        <v>0</v>
      </c>
      <c r="J13" s="9">
        <v>0</v>
      </c>
      <c r="K13" s="41">
        <v>0</v>
      </c>
      <c r="L13" s="10">
        <v>2597.2964846458281</v>
      </c>
      <c r="M13" s="11">
        <v>1367.5433537414501</v>
      </c>
      <c r="N13" s="9">
        <v>0</v>
      </c>
      <c r="O13" s="9">
        <v>5218.0019059164124</v>
      </c>
      <c r="P13" s="9">
        <v>2984.4144407126687</v>
      </c>
      <c r="Q13" s="8">
        <v>20611.305526895994</v>
      </c>
      <c r="S13" t="s">
        <v>4</v>
      </c>
      <c r="T13" t="s">
        <v>27</v>
      </c>
    </row>
    <row r="14" spans="1:20" x14ac:dyDescent="0.35">
      <c r="A14" s="16" t="s">
        <v>5</v>
      </c>
      <c r="B14" s="17">
        <v>369.72694171662971</v>
      </c>
      <c r="C14" s="17">
        <v>2536.9201473805174</v>
      </c>
      <c r="D14" s="17">
        <v>1788.2765118604575</v>
      </c>
      <c r="E14" s="18">
        <v>0</v>
      </c>
      <c r="F14" s="17">
        <v>0</v>
      </c>
      <c r="G14" s="19">
        <v>0</v>
      </c>
      <c r="H14" s="44">
        <v>3767.5246943037455</v>
      </c>
      <c r="I14" s="17">
        <v>0</v>
      </c>
      <c r="J14" s="17">
        <v>0</v>
      </c>
      <c r="K14" s="44">
        <v>0</v>
      </c>
      <c r="L14" s="18">
        <v>2090.721155414848</v>
      </c>
      <c r="M14" s="19">
        <v>1602.4920247074047</v>
      </c>
      <c r="N14" s="17">
        <v>1028.2672427692576</v>
      </c>
      <c r="O14" s="17">
        <v>0</v>
      </c>
      <c r="P14" s="17">
        <v>251.6152317434952</v>
      </c>
      <c r="Q14" s="16">
        <v>13435.543949896357</v>
      </c>
      <c r="S14" t="s">
        <v>5</v>
      </c>
      <c r="T14" t="s">
        <v>28</v>
      </c>
    </row>
    <row r="15" spans="1:20" x14ac:dyDescent="0.35">
      <c r="A15" s="4" t="s">
        <v>68</v>
      </c>
      <c r="B15" s="5">
        <v>0</v>
      </c>
      <c r="C15" s="5">
        <v>0</v>
      </c>
      <c r="D15" s="5">
        <v>0</v>
      </c>
      <c r="E15" s="6">
        <v>1632.2949481500727</v>
      </c>
      <c r="F15" s="5">
        <v>2135.2297461536755</v>
      </c>
      <c r="G15" s="7">
        <v>0</v>
      </c>
      <c r="H15" s="42">
        <v>0</v>
      </c>
      <c r="I15" s="5">
        <v>0</v>
      </c>
      <c r="J15" s="5">
        <v>0</v>
      </c>
      <c r="K15" s="42">
        <v>0</v>
      </c>
      <c r="L15" s="6">
        <v>0</v>
      </c>
      <c r="M15" s="7">
        <v>0</v>
      </c>
      <c r="N15" s="5">
        <v>0</v>
      </c>
      <c r="O15" s="5">
        <v>0</v>
      </c>
      <c r="P15" s="5">
        <v>0</v>
      </c>
      <c r="Q15" s="4">
        <v>3767.5246943037482</v>
      </c>
      <c r="S15" t="s">
        <v>68</v>
      </c>
      <c r="T15" t="s">
        <v>84</v>
      </c>
    </row>
    <row r="16" spans="1:20" x14ac:dyDescent="0.35">
      <c r="A16" s="8" t="s">
        <v>6</v>
      </c>
      <c r="B16" s="9">
        <v>1739.6983760265716</v>
      </c>
      <c r="C16" s="9">
        <v>2291.1944088875421</v>
      </c>
      <c r="D16" s="9">
        <v>2046.5443077644873</v>
      </c>
      <c r="E16" s="10">
        <v>0</v>
      </c>
      <c r="F16" s="9">
        <v>0</v>
      </c>
      <c r="G16" s="11">
        <v>0</v>
      </c>
      <c r="H16" s="41">
        <v>0</v>
      </c>
      <c r="I16" s="9">
        <v>0</v>
      </c>
      <c r="J16" s="9">
        <v>0</v>
      </c>
      <c r="K16" s="41">
        <v>0</v>
      </c>
      <c r="L16" s="10">
        <v>0</v>
      </c>
      <c r="M16" s="11">
        <v>0</v>
      </c>
      <c r="N16" s="9">
        <v>0</v>
      </c>
      <c r="O16" s="9">
        <v>0</v>
      </c>
      <c r="P16" s="9">
        <v>1.9845959073865265</v>
      </c>
      <c r="Q16" s="8">
        <v>6079.4216885859878</v>
      </c>
      <c r="S16" t="s">
        <v>6</v>
      </c>
      <c r="T16" t="s">
        <v>17</v>
      </c>
    </row>
    <row r="17" spans="1:20" x14ac:dyDescent="0.35">
      <c r="A17" s="8" t="s">
        <v>7</v>
      </c>
      <c r="B17" s="9">
        <v>907.60875774209296</v>
      </c>
      <c r="C17" s="9">
        <v>2274.7894013428663</v>
      </c>
      <c r="D17" s="9">
        <v>6994.0107361423889</v>
      </c>
      <c r="E17" s="10">
        <v>0</v>
      </c>
      <c r="F17" s="9">
        <v>0</v>
      </c>
      <c r="G17" s="11">
        <v>0</v>
      </c>
      <c r="H17" s="41">
        <v>0</v>
      </c>
      <c r="I17" s="9">
        <v>0</v>
      </c>
      <c r="J17" s="9">
        <v>0</v>
      </c>
      <c r="K17" s="41">
        <v>0</v>
      </c>
      <c r="L17" s="10">
        <v>0</v>
      </c>
      <c r="M17" s="11">
        <v>0</v>
      </c>
      <c r="N17" s="9">
        <v>0</v>
      </c>
      <c r="O17" s="9">
        <v>0</v>
      </c>
      <c r="P17" s="9">
        <v>5.3979776206701402</v>
      </c>
      <c r="Q17" s="8">
        <v>10181.806872848019</v>
      </c>
      <c r="S17" t="s">
        <v>7</v>
      </c>
      <c r="T17" t="s">
        <v>18</v>
      </c>
    </row>
    <row r="18" spans="1:20" x14ac:dyDescent="0.35">
      <c r="A18" s="4" t="s">
        <v>69</v>
      </c>
      <c r="B18" s="5">
        <v>0</v>
      </c>
      <c r="C18" s="5">
        <v>0</v>
      </c>
      <c r="D18" s="5">
        <v>0</v>
      </c>
      <c r="E18" s="6">
        <v>0</v>
      </c>
      <c r="F18" s="5">
        <v>0</v>
      </c>
      <c r="G18" s="7">
        <v>0</v>
      </c>
      <c r="H18" s="42">
        <v>0</v>
      </c>
      <c r="I18" s="5">
        <v>0</v>
      </c>
      <c r="J18" s="5">
        <v>9681.3545146988636</v>
      </c>
      <c r="K18" s="42">
        <v>0</v>
      </c>
      <c r="L18" s="6">
        <v>0</v>
      </c>
      <c r="M18" s="7">
        <v>0</v>
      </c>
      <c r="N18" s="5">
        <v>459.80080278812255</v>
      </c>
      <c r="O18" s="5">
        <v>0</v>
      </c>
      <c r="P18" s="5">
        <v>48.729247824616316</v>
      </c>
      <c r="Q18" s="4">
        <v>10189.884565311602</v>
      </c>
      <c r="S18" t="s">
        <v>69</v>
      </c>
      <c r="T18" t="s">
        <v>85</v>
      </c>
    </row>
    <row r="19" spans="1:20" x14ac:dyDescent="0.35">
      <c r="A19" s="12" t="s">
        <v>8</v>
      </c>
      <c r="B19" s="13">
        <v>0</v>
      </c>
      <c r="C19" s="13">
        <v>0</v>
      </c>
      <c r="D19" s="13">
        <v>0</v>
      </c>
      <c r="E19" s="14">
        <v>0</v>
      </c>
      <c r="F19" s="13">
        <v>0</v>
      </c>
      <c r="G19" s="15">
        <v>0</v>
      </c>
      <c r="H19" s="43">
        <v>0</v>
      </c>
      <c r="I19" s="13">
        <v>3875.9851679290277</v>
      </c>
      <c r="J19" s="13">
        <v>257.22629258193376</v>
      </c>
      <c r="K19" s="81">
        <v>3792.8106428235851</v>
      </c>
      <c r="L19" s="14">
        <v>0</v>
      </c>
      <c r="M19" s="15">
        <v>0</v>
      </c>
      <c r="N19" s="13">
        <v>145.32560292431208</v>
      </c>
      <c r="O19" s="13">
        <v>0</v>
      </c>
      <c r="P19" s="13">
        <v>545.33287619288387</v>
      </c>
      <c r="Q19" s="12">
        <v>8616.6805824517432</v>
      </c>
      <c r="S19" t="s">
        <v>8</v>
      </c>
      <c r="T19" t="s">
        <v>19</v>
      </c>
    </row>
    <row r="20" spans="1:20" x14ac:dyDescent="0.35">
      <c r="A20" s="16" t="s">
        <v>9</v>
      </c>
      <c r="B20" s="17">
        <v>0</v>
      </c>
      <c r="C20" s="17">
        <v>0</v>
      </c>
      <c r="D20" s="17">
        <v>0</v>
      </c>
      <c r="E20" s="18">
        <v>0</v>
      </c>
      <c r="F20" s="17">
        <v>0</v>
      </c>
      <c r="G20" s="19">
        <v>0</v>
      </c>
      <c r="H20" s="44">
        <v>0</v>
      </c>
      <c r="I20" s="17">
        <v>2203.2535118372534</v>
      </c>
      <c r="J20" s="17">
        <v>25.057628249654258</v>
      </c>
      <c r="K20" s="82">
        <v>3333.8548263374014</v>
      </c>
      <c r="L20" s="18">
        <v>0</v>
      </c>
      <c r="M20" s="19">
        <v>0</v>
      </c>
      <c r="N20" s="17">
        <v>18.847655017626018</v>
      </c>
      <c r="O20" s="17">
        <v>0</v>
      </c>
      <c r="P20" s="17">
        <v>194.38611785013975</v>
      </c>
      <c r="Q20" s="16">
        <v>5775.3997392920746</v>
      </c>
      <c r="S20" t="s">
        <v>9</v>
      </c>
      <c r="T20" t="s">
        <v>20</v>
      </c>
    </row>
    <row r="21" spans="1:20" x14ac:dyDescent="0.35">
      <c r="A21" s="8" t="s">
        <v>10</v>
      </c>
      <c r="B21" s="9">
        <v>0</v>
      </c>
      <c r="C21" s="9">
        <v>0</v>
      </c>
      <c r="D21" s="9">
        <v>0</v>
      </c>
      <c r="E21" s="10">
        <v>15.809622701426436</v>
      </c>
      <c r="F21" s="9">
        <v>844.71739607100312</v>
      </c>
      <c r="G21" s="11">
        <v>0</v>
      </c>
      <c r="H21" s="41">
        <v>0</v>
      </c>
      <c r="I21" s="9">
        <v>0</v>
      </c>
      <c r="J21" s="9">
        <v>0</v>
      </c>
      <c r="K21" s="83">
        <v>600.77143808281619</v>
      </c>
      <c r="L21" s="10">
        <v>38.997902469003527</v>
      </c>
      <c r="M21" s="11">
        <v>112.15152368848706</v>
      </c>
      <c r="N21" s="9">
        <v>1362.1582558222403</v>
      </c>
      <c r="O21" s="9">
        <v>0</v>
      </c>
      <c r="P21" s="9">
        <v>21.632157521429448</v>
      </c>
      <c r="Q21" s="8">
        <v>2996.2382963564055</v>
      </c>
      <c r="S21" t="s">
        <v>10</v>
      </c>
      <c r="T21" t="s">
        <v>21</v>
      </c>
    </row>
    <row r="22" spans="1:20" x14ac:dyDescent="0.35">
      <c r="A22" s="8" t="s">
        <v>11</v>
      </c>
      <c r="B22" s="9">
        <v>0</v>
      </c>
      <c r="C22" s="9">
        <v>0</v>
      </c>
      <c r="D22" s="9">
        <v>0</v>
      </c>
      <c r="E22" s="10">
        <v>0</v>
      </c>
      <c r="F22" s="9">
        <v>0</v>
      </c>
      <c r="G22" s="11">
        <v>0</v>
      </c>
      <c r="H22" s="41">
        <v>0</v>
      </c>
      <c r="I22" s="9">
        <v>0</v>
      </c>
      <c r="J22" s="9">
        <v>0</v>
      </c>
      <c r="K22" s="83">
        <v>2456.4244485544327</v>
      </c>
      <c r="L22" s="10">
        <v>1354.5511285622044</v>
      </c>
      <c r="M22" s="11">
        <v>1529.5725700363889</v>
      </c>
      <c r="N22" s="9">
        <v>-34.256569842259047</v>
      </c>
      <c r="O22" s="9">
        <v>0</v>
      </c>
      <c r="P22" s="9">
        <v>-88.289671394354244</v>
      </c>
      <c r="Q22" s="8">
        <v>5218.0019059164133</v>
      </c>
      <c r="S22" t="s">
        <v>11</v>
      </c>
      <c r="T22" t="s">
        <v>22</v>
      </c>
    </row>
    <row r="23" spans="1:20" x14ac:dyDescent="0.35">
      <c r="A23" s="8" t="s">
        <v>12</v>
      </c>
      <c r="B23" s="9">
        <v>0</v>
      </c>
      <c r="C23" s="9">
        <v>0</v>
      </c>
      <c r="D23" s="9">
        <v>0</v>
      </c>
      <c r="E23" s="10">
        <v>328.81261545020141</v>
      </c>
      <c r="F23" s="9">
        <v>2833.7263546414074</v>
      </c>
      <c r="G23" s="11">
        <v>586.47929195894653</v>
      </c>
      <c r="H23" s="41">
        <v>0</v>
      </c>
      <c r="I23" s="9">
        <v>0.18300881970842275</v>
      </c>
      <c r="J23" s="9">
        <v>218.168437317567</v>
      </c>
      <c r="K23" s="83">
        <v>6.0232095133695571</v>
      </c>
      <c r="L23" s="10">
        <v>2.0255482887304761</v>
      </c>
      <c r="M23" s="11">
        <v>1.0254341762577779</v>
      </c>
      <c r="N23" s="9">
        <v>16.095306877107852</v>
      </c>
      <c r="O23" s="9">
        <v>0</v>
      </c>
      <c r="P23" s="9">
        <v>0</v>
      </c>
      <c r="Q23" s="8">
        <v>3992.5392070432972</v>
      </c>
      <c r="S23" t="s">
        <v>12</v>
      </c>
      <c r="T23" t="s">
        <v>23</v>
      </c>
    </row>
    <row r="24" spans="1:20" x14ac:dyDescent="0.35">
      <c r="A24" s="4" t="s">
        <v>70</v>
      </c>
      <c r="B24" s="5">
        <v>4451.6531669194319</v>
      </c>
      <c r="C24" s="5">
        <v>14952.899133522546</v>
      </c>
      <c r="D24" s="5">
        <v>12849.064657937404</v>
      </c>
      <c r="E24" s="6">
        <v>6171.0140139837695</v>
      </c>
      <c r="F24" s="5">
        <v>20611.305526895998</v>
      </c>
      <c r="G24" s="7">
        <v>13435.543949896351</v>
      </c>
      <c r="H24" s="42">
        <v>3767.5246943037455</v>
      </c>
      <c r="I24" s="5">
        <v>6079.4216885859896</v>
      </c>
      <c r="J24" s="5">
        <v>10181.806872848019</v>
      </c>
      <c r="K24" s="84">
        <v>10189.884565311604</v>
      </c>
      <c r="L24" s="6">
        <v>8616.6805824517432</v>
      </c>
      <c r="M24" s="7">
        <v>5775.3997392920746</v>
      </c>
      <c r="N24" s="5">
        <v>2996.2382963564073</v>
      </c>
      <c r="O24" s="5">
        <v>5218.0019059164124</v>
      </c>
      <c r="P24" s="5">
        <v>3992.539207043299</v>
      </c>
      <c r="Q24" s="4"/>
      <c r="S24" t="s">
        <v>70</v>
      </c>
      <c r="T24" t="s">
        <v>24</v>
      </c>
    </row>
    <row r="27" spans="1:20" ht="18.5" x14ac:dyDescent="0.45">
      <c r="A27" s="36" t="s">
        <v>47</v>
      </c>
    </row>
    <row r="29" spans="1:20" x14ac:dyDescent="0.35">
      <c r="A29" s="20" t="s">
        <v>31</v>
      </c>
    </row>
    <row r="30" spans="1:20" x14ac:dyDescent="0.35">
      <c r="A30" s="9" t="s">
        <v>73</v>
      </c>
    </row>
    <row r="31" spans="1:20" x14ac:dyDescent="0.35">
      <c r="A31" s="4"/>
      <c r="B31" s="5" t="s">
        <v>0</v>
      </c>
      <c r="C31" s="5" t="s">
        <v>1</v>
      </c>
      <c r="D31" s="5" t="s">
        <v>2</v>
      </c>
      <c r="E31" s="6" t="s">
        <v>3</v>
      </c>
      <c r="F31" s="5" t="s">
        <v>4</v>
      </c>
      <c r="G31" s="7" t="s">
        <v>5</v>
      </c>
      <c r="H31" s="5" t="s">
        <v>68</v>
      </c>
      <c r="I31" s="6" t="s">
        <v>6</v>
      </c>
      <c r="J31" s="5" t="s">
        <v>7</v>
      </c>
      <c r="K31" s="4" t="s">
        <v>69</v>
      </c>
      <c r="L31" s="5" t="s">
        <v>8</v>
      </c>
      <c r="M31" s="5" t="s">
        <v>9</v>
      </c>
      <c r="N31" s="6" t="s">
        <v>10</v>
      </c>
      <c r="O31" s="45" t="s">
        <v>11</v>
      </c>
      <c r="P31" s="46" t="s">
        <v>12</v>
      </c>
      <c r="R31" s="35" t="s">
        <v>44</v>
      </c>
    </row>
    <row r="32" spans="1:20" x14ac:dyDescent="0.35">
      <c r="A32" s="8" t="s">
        <v>0</v>
      </c>
      <c r="B32" s="57">
        <f>B9/B$24</f>
        <v>0</v>
      </c>
      <c r="C32" s="57">
        <f t="shared" ref="C32:M32" si="0">C9/C$24</f>
        <v>0</v>
      </c>
      <c r="D32" s="57">
        <f t="shared" si="0"/>
        <v>0</v>
      </c>
      <c r="E32" s="58">
        <f t="shared" si="0"/>
        <v>0.67964467722453292</v>
      </c>
      <c r="F32" s="57">
        <f t="shared" si="0"/>
        <v>0</v>
      </c>
      <c r="G32" s="59">
        <f t="shared" si="0"/>
        <v>0</v>
      </c>
      <c r="H32" s="60">
        <f t="shared" si="0"/>
        <v>0</v>
      </c>
      <c r="I32" s="57">
        <f t="shared" si="0"/>
        <v>0</v>
      </c>
      <c r="J32" s="57">
        <f t="shared" si="0"/>
        <v>0</v>
      </c>
      <c r="K32" s="60">
        <f t="shared" si="0"/>
        <v>0</v>
      </c>
      <c r="L32" s="58">
        <f t="shared" si="0"/>
        <v>2.6705338681277835E-2</v>
      </c>
      <c r="M32" s="59">
        <f t="shared" si="0"/>
        <v>4.7520461290121987E-3</v>
      </c>
      <c r="N32" s="22"/>
      <c r="O32" s="24"/>
      <c r="P32" s="26"/>
      <c r="R32" s="33" t="s">
        <v>42</v>
      </c>
    </row>
    <row r="33" spans="1:18" x14ac:dyDescent="0.35">
      <c r="A33" s="8" t="s">
        <v>1</v>
      </c>
      <c r="B33" s="57">
        <f t="shared" ref="B33:M47" si="1">B10/B$24</f>
        <v>0</v>
      </c>
      <c r="C33" s="57">
        <f t="shared" si="1"/>
        <v>0</v>
      </c>
      <c r="D33" s="57">
        <f t="shared" si="1"/>
        <v>0</v>
      </c>
      <c r="E33" s="58">
        <f t="shared" si="1"/>
        <v>0</v>
      </c>
      <c r="F33" s="57">
        <f t="shared" si="1"/>
        <v>0.71793763916217068</v>
      </c>
      <c r="G33" s="59">
        <f t="shared" si="1"/>
        <v>0</v>
      </c>
      <c r="H33" s="60">
        <f t="shared" si="1"/>
        <v>0</v>
      </c>
      <c r="I33" s="57">
        <f t="shared" si="1"/>
        <v>0</v>
      </c>
      <c r="J33" s="57">
        <f t="shared" si="1"/>
        <v>0</v>
      </c>
      <c r="K33" s="60">
        <f t="shared" si="1"/>
        <v>0</v>
      </c>
      <c r="L33" s="58">
        <f t="shared" si="1"/>
        <v>1.662719168941373E-2</v>
      </c>
      <c r="M33" s="59">
        <f t="shared" si="1"/>
        <v>2.0770689931902731E-3</v>
      </c>
      <c r="N33" s="22"/>
      <c r="O33" s="21"/>
      <c r="P33" s="23"/>
      <c r="R33" s="33" t="s">
        <v>43</v>
      </c>
    </row>
    <row r="34" spans="1:18" x14ac:dyDescent="0.35">
      <c r="A34" s="8" t="s">
        <v>2</v>
      </c>
      <c r="B34" s="57">
        <f t="shared" si="1"/>
        <v>0</v>
      </c>
      <c r="C34" s="57">
        <f t="shared" si="1"/>
        <v>0</v>
      </c>
      <c r="D34" s="57">
        <f t="shared" si="1"/>
        <v>0</v>
      </c>
      <c r="E34" s="58">
        <f t="shared" si="1"/>
        <v>0</v>
      </c>
      <c r="F34" s="57">
        <f t="shared" si="1"/>
        <v>0</v>
      </c>
      <c r="G34" s="59">
        <f t="shared" si="1"/>
        <v>0.95634867526420686</v>
      </c>
      <c r="H34" s="60">
        <f t="shared" si="1"/>
        <v>0</v>
      </c>
      <c r="I34" s="57">
        <f t="shared" si="1"/>
        <v>0</v>
      </c>
      <c r="J34" s="57">
        <f t="shared" si="1"/>
        <v>0</v>
      </c>
      <c r="K34" s="60">
        <f t="shared" si="1"/>
        <v>0</v>
      </c>
      <c r="L34" s="58">
        <f t="shared" si="1"/>
        <v>0</v>
      </c>
      <c r="M34" s="59">
        <f t="shared" si="1"/>
        <v>0</v>
      </c>
      <c r="N34" s="22"/>
      <c r="O34" s="27"/>
      <c r="P34" s="29"/>
      <c r="R34" s="33" t="s">
        <v>45</v>
      </c>
    </row>
    <row r="35" spans="1:18" x14ac:dyDescent="0.35">
      <c r="A35" s="12" t="s">
        <v>3</v>
      </c>
      <c r="B35" s="61">
        <f t="shared" si="1"/>
        <v>0.20988995344465675</v>
      </c>
      <c r="C35" s="61">
        <f t="shared" si="1"/>
        <v>0.11442581091608559</v>
      </c>
      <c r="D35" s="61">
        <f t="shared" si="1"/>
        <v>1.6767223803086206E-2</v>
      </c>
      <c r="E35" s="62">
        <f t="shared" si="1"/>
        <v>0</v>
      </c>
      <c r="F35" s="61">
        <f t="shared" si="1"/>
        <v>0</v>
      </c>
      <c r="G35" s="63">
        <f t="shared" si="1"/>
        <v>0</v>
      </c>
      <c r="H35" s="64">
        <f t="shared" si="1"/>
        <v>0</v>
      </c>
      <c r="I35" s="61">
        <f t="shared" si="1"/>
        <v>0</v>
      </c>
      <c r="J35" s="61">
        <f t="shared" si="1"/>
        <v>0</v>
      </c>
      <c r="K35" s="64">
        <f t="shared" si="1"/>
        <v>0</v>
      </c>
      <c r="L35" s="62">
        <f t="shared" si="1"/>
        <v>0.25064243351852084</v>
      </c>
      <c r="M35" s="63">
        <f t="shared" si="1"/>
        <v>0.19447553657703995</v>
      </c>
      <c r="N35" s="25"/>
      <c r="O35" s="24"/>
      <c r="P35" s="26"/>
    </row>
    <row r="36" spans="1:18" x14ac:dyDescent="0.35">
      <c r="A36" s="8" t="s">
        <v>4</v>
      </c>
      <c r="B36" s="57">
        <f t="shared" si="1"/>
        <v>0.11237663778372095</v>
      </c>
      <c r="C36" s="57">
        <f t="shared" si="1"/>
        <v>0.41055567299648243</v>
      </c>
      <c r="D36" s="57">
        <f t="shared" si="1"/>
        <v>0.14046080453608853</v>
      </c>
      <c r="E36" s="58">
        <f t="shared" si="1"/>
        <v>0</v>
      </c>
      <c r="F36" s="57">
        <f t="shared" si="1"/>
        <v>0</v>
      </c>
      <c r="G36" s="59">
        <f t="shared" si="1"/>
        <v>0</v>
      </c>
      <c r="H36" s="60">
        <f t="shared" si="1"/>
        <v>0</v>
      </c>
      <c r="I36" s="57">
        <f t="shared" si="1"/>
        <v>0</v>
      </c>
      <c r="J36" s="57">
        <f t="shared" si="1"/>
        <v>0</v>
      </c>
      <c r="K36" s="60">
        <f t="shared" si="1"/>
        <v>0</v>
      </c>
      <c r="L36" s="58">
        <f t="shared" si="1"/>
        <v>0.30142657138009027</v>
      </c>
      <c r="M36" s="59">
        <f t="shared" si="1"/>
        <v>0.23678765375105934</v>
      </c>
      <c r="N36" s="22"/>
      <c r="O36" s="21"/>
      <c r="P36" s="23"/>
    </row>
    <row r="37" spans="1:18" x14ac:dyDescent="0.35">
      <c r="A37" s="16" t="s">
        <v>5</v>
      </c>
      <c r="B37" s="65">
        <f t="shared" si="1"/>
        <v>8.3053851648663538E-2</v>
      </c>
      <c r="C37" s="65">
        <f t="shared" si="1"/>
        <v>0.16966075439464826</v>
      </c>
      <c r="D37" s="65">
        <f t="shared" si="1"/>
        <v>0.13917561779532056</v>
      </c>
      <c r="E37" s="66">
        <f t="shared" si="1"/>
        <v>0</v>
      </c>
      <c r="F37" s="65">
        <f t="shared" si="1"/>
        <v>0</v>
      </c>
      <c r="G37" s="67">
        <f t="shared" si="1"/>
        <v>0</v>
      </c>
      <c r="H37" s="68">
        <f t="shared" si="1"/>
        <v>1</v>
      </c>
      <c r="I37" s="65">
        <f t="shared" si="1"/>
        <v>0</v>
      </c>
      <c r="J37" s="65">
        <f t="shared" si="1"/>
        <v>0</v>
      </c>
      <c r="K37" s="68">
        <f t="shared" si="1"/>
        <v>0</v>
      </c>
      <c r="L37" s="66">
        <f t="shared" si="1"/>
        <v>0.24263649272002671</v>
      </c>
      <c r="M37" s="67">
        <f t="shared" si="1"/>
        <v>0.27746859040857175</v>
      </c>
      <c r="N37" s="28"/>
      <c r="O37" s="27"/>
      <c r="P37" s="29"/>
    </row>
    <row r="38" spans="1:18" x14ac:dyDescent="0.35">
      <c r="A38" s="4" t="s">
        <v>68</v>
      </c>
      <c r="B38" s="69">
        <f t="shared" si="1"/>
        <v>0</v>
      </c>
      <c r="C38" s="69">
        <f t="shared" si="1"/>
        <v>0</v>
      </c>
      <c r="D38" s="69">
        <f t="shared" si="1"/>
        <v>0</v>
      </c>
      <c r="E38" s="70">
        <f t="shared" si="1"/>
        <v>0.26451000507391909</v>
      </c>
      <c r="F38" s="69">
        <f t="shared" si="1"/>
        <v>0.10359507520605052</v>
      </c>
      <c r="G38" s="71">
        <f t="shared" si="1"/>
        <v>0</v>
      </c>
      <c r="H38" s="72">
        <f t="shared" si="1"/>
        <v>0</v>
      </c>
      <c r="I38" s="69">
        <f t="shared" si="1"/>
        <v>0</v>
      </c>
      <c r="J38" s="69">
        <f t="shared" si="1"/>
        <v>0</v>
      </c>
      <c r="K38" s="72">
        <f t="shared" si="1"/>
        <v>0</v>
      </c>
      <c r="L38" s="70">
        <f t="shared" si="1"/>
        <v>0</v>
      </c>
      <c r="M38" s="71">
        <f t="shared" si="1"/>
        <v>0</v>
      </c>
      <c r="N38" s="31"/>
      <c r="O38" s="30"/>
      <c r="P38" s="32"/>
    </row>
    <row r="39" spans="1:18" x14ac:dyDescent="0.35">
      <c r="A39" s="8" t="s">
        <v>6</v>
      </c>
      <c r="B39" s="57">
        <f t="shared" si="1"/>
        <v>0.39079827443755066</v>
      </c>
      <c r="C39" s="57">
        <f t="shared" si="1"/>
        <v>0.15322743692900118</v>
      </c>
      <c r="D39" s="57">
        <f t="shared" si="1"/>
        <v>0.15927574202844808</v>
      </c>
      <c r="E39" s="58">
        <f t="shared" si="1"/>
        <v>0</v>
      </c>
      <c r="F39" s="57">
        <f t="shared" si="1"/>
        <v>0</v>
      </c>
      <c r="G39" s="59">
        <f t="shared" si="1"/>
        <v>0</v>
      </c>
      <c r="H39" s="60">
        <f t="shared" si="1"/>
        <v>0</v>
      </c>
      <c r="I39" s="57">
        <f t="shared" si="1"/>
        <v>0</v>
      </c>
      <c r="J39" s="57">
        <f t="shared" si="1"/>
        <v>0</v>
      </c>
      <c r="K39" s="60">
        <f t="shared" si="1"/>
        <v>0</v>
      </c>
      <c r="L39" s="58">
        <f t="shared" si="1"/>
        <v>0</v>
      </c>
      <c r="M39" s="59">
        <f t="shared" si="1"/>
        <v>0</v>
      </c>
      <c r="N39" s="22"/>
      <c r="O39" s="21"/>
      <c r="P39" s="23"/>
    </row>
    <row r="40" spans="1:18" x14ac:dyDescent="0.35">
      <c r="A40" s="8" t="s">
        <v>7</v>
      </c>
      <c r="B40" s="57">
        <f t="shared" si="1"/>
        <v>0.20388128268540812</v>
      </c>
      <c r="C40" s="57">
        <f t="shared" si="1"/>
        <v>0.15213032476378247</v>
      </c>
      <c r="D40" s="57">
        <f t="shared" si="1"/>
        <v>0.5443206118370566</v>
      </c>
      <c r="E40" s="58">
        <f t="shared" si="1"/>
        <v>0</v>
      </c>
      <c r="F40" s="57">
        <f t="shared" si="1"/>
        <v>0</v>
      </c>
      <c r="G40" s="59">
        <f t="shared" si="1"/>
        <v>0</v>
      </c>
      <c r="H40" s="60">
        <f t="shared" si="1"/>
        <v>0</v>
      </c>
      <c r="I40" s="57">
        <f t="shared" si="1"/>
        <v>0</v>
      </c>
      <c r="J40" s="57">
        <f t="shared" si="1"/>
        <v>0</v>
      </c>
      <c r="K40" s="60">
        <f t="shared" si="1"/>
        <v>0</v>
      </c>
      <c r="L40" s="58">
        <f t="shared" si="1"/>
        <v>0</v>
      </c>
      <c r="M40" s="59">
        <f t="shared" si="1"/>
        <v>0</v>
      </c>
      <c r="N40" s="22"/>
      <c r="O40" s="21"/>
      <c r="P40" s="23"/>
    </row>
    <row r="41" spans="1:18" x14ac:dyDescent="0.35">
      <c r="A41" s="4" t="s">
        <v>69</v>
      </c>
      <c r="B41" s="69">
        <f t="shared" si="1"/>
        <v>0</v>
      </c>
      <c r="C41" s="69">
        <f t="shared" si="1"/>
        <v>0</v>
      </c>
      <c r="D41" s="69">
        <f t="shared" si="1"/>
        <v>0</v>
      </c>
      <c r="E41" s="70">
        <f t="shared" si="1"/>
        <v>0</v>
      </c>
      <c r="F41" s="69">
        <f t="shared" si="1"/>
        <v>0</v>
      </c>
      <c r="G41" s="71">
        <f t="shared" si="1"/>
        <v>0</v>
      </c>
      <c r="H41" s="72">
        <f t="shared" si="1"/>
        <v>0</v>
      </c>
      <c r="I41" s="69">
        <f t="shared" si="1"/>
        <v>0</v>
      </c>
      <c r="J41" s="69">
        <f t="shared" si="1"/>
        <v>0.95084837451752102</v>
      </c>
      <c r="K41" s="72">
        <f t="shared" si="1"/>
        <v>0</v>
      </c>
      <c r="L41" s="70">
        <f t="shared" si="1"/>
        <v>0</v>
      </c>
      <c r="M41" s="71">
        <f t="shared" si="1"/>
        <v>0</v>
      </c>
      <c r="N41" s="31"/>
      <c r="O41" s="30"/>
      <c r="P41" s="32"/>
    </row>
    <row r="42" spans="1:18" x14ac:dyDescent="0.35">
      <c r="A42" s="8" t="s">
        <v>8</v>
      </c>
      <c r="B42" s="61">
        <f t="shared" si="1"/>
        <v>0</v>
      </c>
      <c r="C42" s="61">
        <f t="shared" si="1"/>
        <v>0</v>
      </c>
      <c r="D42" s="61">
        <f t="shared" si="1"/>
        <v>0</v>
      </c>
      <c r="E42" s="62">
        <f t="shared" si="1"/>
        <v>0</v>
      </c>
      <c r="F42" s="61">
        <f t="shared" si="1"/>
        <v>0</v>
      </c>
      <c r="G42" s="63">
        <f t="shared" si="1"/>
        <v>0</v>
      </c>
      <c r="H42" s="64">
        <f t="shared" si="1"/>
        <v>0</v>
      </c>
      <c r="I42" s="61">
        <f t="shared" si="1"/>
        <v>0.63755820314391476</v>
      </c>
      <c r="J42" s="61">
        <f t="shared" si="1"/>
        <v>2.5263324652904491E-2</v>
      </c>
      <c r="K42" s="64">
        <f t="shared" si="1"/>
        <v>0.37221330806190561</v>
      </c>
      <c r="L42" s="62">
        <f t="shared" si="1"/>
        <v>0</v>
      </c>
      <c r="M42" s="63">
        <f t="shared" si="1"/>
        <v>0</v>
      </c>
      <c r="N42" s="22"/>
      <c r="O42" s="21"/>
      <c r="P42" s="23"/>
    </row>
    <row r="43" spans="1:18" x14ac:dyDescent="0.35">
      <c r="A43" s="16" t="s">
        <v>9</v>
      </c>
      <c r="B43" s="65">
        <f t="shared" si="1"/>
        <v>0</v>
      </c>
      <c r="C43" s="65">
        <f t="shared" si="1"/>
        <v>0</v>
      </c>
      <c r="D43" s="65">
        <f t="shared" si="1"/>
        <v>0</v>
      </c>
      <c r="E43" s="66">
        <f t="shared" si="1"/>
        <v>0</v>
      </c>
      <c r="F43" s="65">
        <f t="shared" si="1"/>
        <v>0</v>
      </c>
      <c r="G43" s="67">
        <f t="shared" si="1"/>
        <v>0</v>
      </c>
      <c r="H43" s="68">
        <f t="shared" si="1"/>
        <v>0</v>
      </c>
      <c r="I43" s="65">
        <f t="shared" si="1"/>
        <v>0.36241169385795763</v>
      </c>
      <c r="J43" s="65">
        <f t="shared" si="1"/>
        <v>2.4610197936945572E-3</v>
      </c>
      <c r="K43" s="68">
        <f t="shared" si="1"/>
        <v>0.32717297286040975</v>
      </c>
      <c r="L43" s="66">
        <f t="shared" si="1"/>
        <v>0</v>
      </c>
      <c r="M43" s="67">
        <f t="shared" si="1"/>
        <v>0</v>
      </c>
      <c r="N43" s="28"/>
      <c r="O43" s="21"/>
      <c r="P43" s="23"/>
    </row>
    <row r="44" spans="1:18" x14ac:dyDescent="0.35">
      <c r="A44" s="8" t="s">
        <v>10</v>
      </c>
      <c r="B44" s="57">
        <f t="shared" si="1"/>
        <v>0</v>
      </c>
      <c r="C44" s="57">
        <f t="shared" si="1"/>
        <v>0</v>
      </c>
      <c r="D44" s="57">
        <f t="shared" si="1"/>
        <v>0</v>
      </c>
      <c r="E44" s="58">
        <f t="shared" si="1"/>
        <v>2.5619165125214732E-3</v>
      </c>
      <c r="F44" s="57">
        <f t="shared" si="1"/>
        <v>4.0983206763332815E-2</v>
      </c>
      <c r="G44" s="59">
        <f t="shared" si="1"/>
        <v>0</v>
      </c>
      <c r="H44" s="60">
        <f t="shared" si="1"/>
        <v>0</v>
      </c>
      <c r="I44" s="57">
        <f t="shared" si="1"/>
        <v>0</v>
      </c>
      <c r="J44" s="57">
        <f t="shared" si="1"/>
        <v>0</v>
      </c>
      <c r="K44" s="60">
        <f t="shared" si="1"/>
        <v>5.8957629424769127E-2</v>
      </c>
      <c r="L44" s="58">
        <f t="shared" si="1"/>
        <v>4.5258614492945815E-3</v>
      </c>
      <c r="M44" s="59">
        <f t="shared" si="1"/>
        <v>1.9418833111322292E-2</v>
      </c>
      <c r="N44" s="22"/>
      <c r="O44" s="24"/>
      <c r="P44" s="26"/>
    </row>
    <row r="45" spans="1:18" x14ac:dyDescent="0.35">
      <c r="A45" s="8" t="s">
        <v>11</v>
      </c>
      <c r="B45" s="57">
        <f t="shared" si="1"/>
        <v>0</v>
      </c>
      <c r="C45" s="57">
        <f t="shared" si="1"/>
        <v>0</v>
      </c>
      <c r="D45" s="57">
        <f t="shared" si="1"/>
        <v>0</v>
      </c>
      <c r="E45" s="58">
        <f t="shared" si="1"/>
        <v>0</v>
      </c>
      <c r="F45" s="57">
        <f t="shared" si="1"/>
        <v>0</v>
      </c>
      <c r="G45" s="59">
        <f t="shared" si="1"/>
        <v>0</v>
      </c>
      <c r="H45" s="60">
        <f t="shared" si="1"/>
        <v>0</v>
      </c>
      <c r="I45" s="57">
        <f t="shared" si="1"/>
        <v>0</v>
      </c>
      <c r="J45" s="57">
        <f t="shared" si="1"/>
        <v>0</v>
      </c>
      <c r="K45" s="60">
        <f t="shared" si="1"/>
        <v>0.24106499271999515</v>
      </c>
      <c r="L45" s="58">
        <f t="shared" si="1"/>
        <v>0.15720103763864807</v>
      </c>
      <c r="M45" s="59">
        <f t="shared" si="1"/>
        <v>0.26484271896024253</v>
      </c>
      <c r="N45" s="22"/>
      <c r="O45" s="21"/>
      <c r="P45" s="23"/>
    </row>
    <row r="46" spans="1:18" x14ac:dyDescent="0.35">
      <c r="A46" s="8" t="s">
        <v>12</v>
      </c>
      <c r="B46" s="57">
        <f t="shared" si="1"/>
        <v>0</v>
      </c>
      <c r="C46" s="57">
        <f t="shared" si="1"/>
        <v>0</v>
      </c>
      <c r="D46" s="57">
        <f t="shared" si="1"/>
        <v>0</v>
      </c>
      <c r="E46" s="58">
        <f t="shared" si="1"/>
        <v>5.3283401189026407E-2</v>
      </c>
      <c r="F46" s="57">
        <f t="shared" si="1"/>
        <v>0.13748407886844605</v>
      </c>
      <c r="G46" s="59">
        <f t="shared" si="1"/>
        <v>4.3651324735793147E-2</v>
      </c>
      <c r="H46" s="60">
        <f t="shared" si="1"/>
        <v>0</v>
      </c>
      <c r="I46" s="57">
        <f t="shared" si="1"/>
        <v>3.0102998127604586E-5</v>
      </c>
      <c r="J46" s="57">
        <f t="shared" si="1"/>
        <v>2.1427281035879802E-2</v>
      </c>
      <c r="K46" s="60">
        <f t="shared" si="1"/>
        <v>5.9109693292049275E-4</v>
      </c>
      <c r="L46" s="58">
        <f t="shared" si="1"/>
        <v>2.3507292272799296E-4</v>
      </c>
      <c r="M46" s="59">
        <f t="shared" si="1"/>
        <v>1.7755206956176361E-4</v>
      </c>
      <c r="N46" s="22"/>
      <c r="O46" s="27"/>
      <c r="P46" s="29"/>
    </row>
    <row r="47" spans="1:18" x14ac:dyDescent="0.35">
      <c r="A47" s="4" t="s">
        <v>13</v>
      </c>
      <c r="B47" s="69">
        <f t="shared" si="1"/>
        <v>1</v>
      </c>
      <c r="C47" s="69">
        <f t="shared" si="1"/>
        <v>1</v>
      </c>
      <c r="D47" s="69">
        <f t="shared" si="1"/>
        <v>1</v>
      </c>
      <c r="E47" s="70">
        <f t="shared" si="1"/>
        <v>1</v>
      </c>
      <c r="F47" s="69">
        <f t="shared" si="1"/>
        <v>1</v>
      </c>
      <c r="G47" s="71">
        <f t="shared" si="1"/>
        <v>1</v>
      </c>
      <c r="H47" s="72">
        <f t="shared" si="1"/>
        <v>1</v>
      </c>
      <c r="I47" s="69">
        <f t="shared" si="1"/>
        <v>1</v>
      </c>
      <c r="J47" s="69">
        <f t="shared" si="1"/>
        <v>1</v>
      </c>
      <c r="K47" s="72">
        <f t="shared" si="1"/>
        <v>1</v>
      </c>
      <c r="L47" s="70">
        <f t="shared" si="1"/>
        <v>1</v>
      </c>
      <c r="M47" s="71">
        <f t="shared" si="1"/>
        <v>1</v>
      </c>
      <c r="N47" s="31"/>
      <c r="O47" s="27"/>
      <c r="P47" s="29"/>
    </row>
    <row r="48" spans="1:18" x14ac:dyDescent="0.3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3">
        <v>1</v>
      </c>
      <c r="P48" s="34" t="s">
        <v>41</v>
      </c>
    </row>
    <row r="50" spans="1:16" x14ac:dyDescent="0.35">
      <c r="A50" s="20" t="s">
        <v>30</v>
      </c>
    </row>
    <row r="51" spans="1:16" x14ac:dyDescent="0.35">
      <c r="A51" s="9" t="s">
        <v>29</v>
      </c>
    </row>
    <row r="52" spans="1:16" x14ac:dyDescent="0.35">
      <c r="A52" s="4"/>
      <c r="B52" s="5" t="s">
        <v>0</v>
      </c>
      <c r="C52" s="5" t="s">
        <v>1</v>
      </c>
      <c r="D52" s="5" t="s">
        <v>2</v>
      </c>
      <c r="E52" s="6" t="s">
        <v>3</v>
      </c>
      <c r="F52" s="5" t="s">
        <v>4</v>
      </c>
      <c r="G52" s="7" t="s">
        <v>5</v>
      </c>
      <c r="H52" s="5" t="s">
        <v>68</v>
      </c>
      <c r="I52" s="6" t="s">
        <v>6</v>
      </c>
      <c r="J52" s="5" t="s">
        <v>7</v>
      </c>
      <c r="K52" s="4" t="s">
        <v>69</v>
      </c>
      <c r="L52" s="5" t="s">
        <v>8</v>
      </c>
      <c r="M52" s="5" t="s">
        <v>9</v>
      </c>
      <c r="N52" s="6" t="s">
        <v>10</v>
      </c>
      <c r="O52" s="45" t="s">
        <v>11</v>
      </c>
      <c r="P52" s="46" t="s">
        <v>12</v>
      </c>
    </row>
    <row r="53" spans="1:16" x14ac:dyDescent="0.35">
      <c r="A53" s="8" t="s">
        <v>0</v>
      </c>
      <c r="B53" s="21">
        <v>1</v>
      </c>
      <c r="C53" s="21"/>
      <c r="D53" s="21"/>
      <c r="E53" s="22"/>
      <c r="F53" s="21"/>
      <c r="G53" s="23"/>
      <c r="H53" s="21"/>
      <c r="I53" s="22"/>
      <c r="J53" s="21"/>
      <c r="K53" s="47"/>
      <c r="L53" s="21"/>
      <c r="M53" s="21"/>
      <c r="N53" s="22"/>
      <c r="O53" s="24"/>
      <c r="P53" s="26"/>
    </row>
    <row r="54" spans="1:16" x14ac:dyDescent="0.35">
      <c r="A54" s="8" t="s">
        <v>1</v>
      </c>
      <c r="B54" s="21"/>
      <c r="C54" s="21">
        <v>1</v>
      </c>
      <c r="D54" s="21"/>
      <c r="E54" s="22"/>
      <c r="F54" s="21"/>
      <c r="G54" s="23"/>
      <c r="H54" s="21"/>
      <c r="I54" s="22"/>
      <c r="J54" s="21"/>
      <c r="K54" s="47"/>
      <c r="L54" s="21"/>
      <c r="M54" s="21"/>
      <c r="N54" s="22"/>
      <c r="O54" s="21"/>
      <c r="P54" s="23"/>
    </row>
    <row r="55" spans="1:16" x14ac:dyDescent="0.35">
      <c r="A55" s="8" t="s">
        <v>2</v>
      </c>
      <c r="B55" s="21"/>
      <c r="C55" s="21"/>
      <c r="D55" s="21">
        <v>1</v>
      </c>
      <c r="E55" s="22"/>
      <c r="F55" s="21"/>
      <c r="G55" s="23"/>
      <c r="H55" s="21"/>
      <c r="I55" s="22"/>
      <c r="J55" s="21"/>
      <c r="K55" s="47"/>
      <c r="L55" s="21"/>
      <c r="M55" s="21"/>
      <c r="N55" s="22"/>
      <c r="O55" s="27"/>
      <c r="P55" s="29"/>
    </row>
    <row r="56" spans="1:16" x14ac:dyDescent="0.35">
      <c r="A56" s="12" t="s">
        <v>3</v>
      </c>
      <c r="B56" s="24"/>
      <c r="C56" s="24"/>
      <c r="D56" s="24"/>
      <c r="E56" s="25">
        <v>1</v>
      </c>
      <c r="F56" s="24"/>
      <c r="G56" s="26"/>
      <c r="H56" s="24"/>
      <c r="I56" s="25"/>
      <c r="J56" s="24"/>
      <c r="K56" s="49"/>
      <c r="L56" s="24"/>
      <c r="M56" s="24"/>
      <c r="N56" s="25"/>
      <c r="O56" s="24"/>
      <c r="P56" s="26"/>
    </row>
    <row r="57" spans="1:16" x14ac:dyDescent="0.35">
      <c r="A57" s="8" t="s">
        <v>4</v>
      </c>
      <c r="B57" s="21"/>
      <c r="C57" s="21"/>
      <c r="D57" s="21"/>
      <c r="E57" s="22"/>
      <c r="F57" s="21">
        <v>1</v>
      </c>
      <c r="G57" s="23"/>
      <c r="H57" s="21"/>
      <c r="I57" s="22"/>
      <c r="J57" s="21"/>
      <c r="K57" s="47"/>
      <c r="L57" s="21"/>
      <c r="M57" s="21"/>
      <c r="N57" s="22"/>
      <c r="O57" s="21"/>
      <c r="P57" s="23"/>
    </row>
    <row r="58" spans="1:16" x14ac:dyDescent="0.35">
      <c r="A58" s="16" t="s">
        <v>5</v>
      </c>
      <c r="B58" s="27"/>
      <c r="C58" s="27"/>
      <c r="D58" s="27"/>
      <c r="E58" s="28"/>
      <c r="F58" s="27"/>
      <c r="G58" s="29">
        <v>1</v>
      </c>
      <c r="H58" s="27"/>
      <c r="I58" s="28"/>
      <c r="J58" s="27"/>
      <c r="K58" s="50"/>
      <c r="L58" s="27"/>
      <c r="M58" s="27"/>
      <c r="N58" s="28"/>
      <c r="O58" s="27"/>
      <c r="P58" s="29"/>
    </row>
    <row r="59" spans="1:16" x14ac:dyDescent="0.35">
      <c r="A59" s="8" t="s">
        <v>68</v>
      </c>
      <c r="B59" s="21"/>
      <c r="C59" s="21"/>
      <c r="D59" s="21"/>
      <c r="E59" s="22"/>
      <c r="F59" s="21"/>
      <c r="G59" s="23"/>
      <c r="H59" s="21">
        <v>1</v>
      </c>
      <c r="I59" s="22"/>
      <c r="J59" s="21"/>
      <c r="K59" s="47"/>
      <c r="L59" s="21"/>
      <c r="M59" s="21"/>
      <c r="N59" s="22"/>
      <c r="O59" s="21"/>
      <c r="P59" s="23"/>
    </row>
    <row r="60" spans="1:16" x14ac:dyDescent="0.35">
      <c r="A60" s="8" t="s">
        <v>6</v>
      </c>
      <c r="B60" s="21"/>
      <c r="C60" s="21"/>
      <c r="D60" s="21"/>
      <c r="E60" s="22"/>
      <c r="F60" s="21"/>
      <c r="G60" s="23"/>
      <c r="H60" s="21"/>
      <c r="I60" s="22">
        <v>1</v>
      </c>
      <c r="J60" s="21"/>
      <c r="K60" s="47"/>
      <c r="L60" s="21"/>
      <c r="M60" s="21"/>
      <c r="N60" s="22"/>
      <c r="P60" s="48"/>
    </row>
    <row r="61" spans="1:16" x14ac:dyDescent="0.35">
      <c r="A61" s="8" t="s">
        <v>7</v>
      </c>
      <c r="B61" s="21"/>
      <c r="C61" s="21"/>
      <c r="D61" s="21"/>
      <c r="E61" s="22"/>
      <c r="F61" s="21"/>
      <c r="G61" s="23"/>
      <c r="H61" s="21"/>
      <c r="I61" s="22"/>
      <c r="J61" s="21">
        <v>1</v>
      </c>
      <c r="K61" s="47"/>
      <c r="L61" s="21"/>
      <c r="M61" s="21"/>
      <c r="N61" s="22"/>
      <c r="P61" s="48"/>
    </row>
    <row r="62" spans="1:16" x14ac:dyDescent="0.35">
      <c r="A62" s="4" t="s">
        <v>69</v>
      </c>
      <c r="B62" s="30"/>
      <c r="C62" s="30"/>
      <c r="D62" s="30"/>
      <c r="E62" s="31"/>
      <c r="F62" s="30"/>
      <c r="G62" s="32"/>
      <c r="H62" s="30"/>
      <c r="I62" s="31"/>
      <c r="J62" s="30"/>
      <c r="K62" s="51">
        <v>1</v>
      </c>
      <c r="L62" s="30"/>
      <c r="M62" s="30"/>
      <c r="N62" s="31"/>
      <c r="O62" s="52"/>
      <c r="P62" s="53"/>
    </row>
    <row r="63" spans="1:16" x14ac:dyDescent="0.35">
      <c r="A63" s="8" t="s">
        <v>8</v>
      </c>
      <c r="B63" s="21"/>
      <c r="C63" s="21"/>
      <c r="D63" s="21"/>
      <c r="E63" s="22"/>
      <c r="F63" s="21"/>
      <c r="G63" s="23"/>
      <c r="H63" s="21"/>
      <c r="I63" s="22"/>
      <c r="J63" s="21"/>
      <c r="K63" s="47"/>
      <c r="L63" s="21">
        <v>1</v>
      </c>
      <c r="M63" s="21"/>
      <c r="N63" s="22"/>
      <c r="P63" s="48"/>
    </row>
    <row r="64" spans="1:16" x14ac:dyDescent="0.35">
      <c r="A64" s="16" t="s">
        <v>9</v>
      </c>
      <c r="B64" s="27"/>
      <c r="C64" s="27"/>
      <c r="D64" s="27"/>
      <c r="E64" s="28"/>
      <c r="F64" s="27"/>
      <c r="G64" s="29"/>
      <c r="H64" s="27"/>
      <c r="I64" s="28"/>
      <c r="J64" s="27"/>
      <c r="K64" s="50"/>
      <c r="L64" s="27"/>
      <c r="M64" s="27">
        <v>1</v>
      </c>
      <c r="N64" s="28"/>
      <c r="P64" s="48"/>
    </row>
    <row r="65" spans="1:18" x14ac:dyDescent="0.35">
      <c r="A65" s="8" t="s">
        <v>10</v>
      </c>
      <c r="B65" s="21"/>
      <c r="C65" s="21"/>
      <c r="D65" s="21"/>
      <c r="E65" s="22"/>
      <c r="F65" s="21"/>
      <c r="G65" s="23"/>
      <c r="H65" s="21"/>
      <c r="I65" s="22"/>
      <c r="J65" s="21"/>
      <c r="K65" s="47"/>
      <c r="L65" s="21"/>
      <c r="M65" s="21"/>
      <c r="N65" s="22">
        <v>1</v>
      </c>
      <c r="O65" s="24"/>
      <c r="P65" s="26"/>
    </row>
    <row r="66" spans="1:18" x14ac:dyDescent="0.35">
      <c r="A66" s="8" t="s">
        <v>11</v>
      </c>
      <c r="B66" s="21"/>
      <c r="C66" s="21"/>
      <c r="D66" s="21"/>
      <c r="E66" s="22"/>
      <c r="F66" s="21"/>
      <c r="G66" s="23"/>
      <c r="H66" s="21"/>
      <c r="I66" s="22"/>
      <c r="J66" s="21"/>
      <c r="K66" s="47"/>
      <c r="L66" s="21"/>
      <c r="M66" s="21"/>
      <c r="N66" s="22"/>
      <c r="O66" s="21">
        <v>1</v>
      </c>
      <c r="P66" s="23"/>
    </row>
    <row r="67" spans="1:18" x14ac:dyDescent="0.35">
      <c r="A67" s="8" t="s">
        <v>12</v>
      </c>
      <c r="B67" s="21"/>
      <c r="C67" s="21"/>
      <c r="D67" s="21"/>
      <c r="E67" s="22"/>
      <c r="F67" s="21"/>
      <c r="G67" s="23"/>
      <c r="H67" s="21"/>
      <c r="I67" s="22"/>
      <c r="J67" s="21"/>
      <c r="K67" s="47"/>
      <c r="L67" s="21"/>
      <c r="M67" s="21"/>
      <c r="N67" s="22"/>
      <c r="O67" s="27"/>
      <c r="P67" s="29">
        <v>1</v>
      </c>
    </row>
    <row r="68" spans="1:18" x14ac:dyDescent="0.35">
      <c r="A68" s="1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45"/>
      <c r="P68" s="33">
        <v>1</v>
      </c>
    </row>
    <row r="70" spans="1:18" x14ac:dyDescent="0.35">
      <c r="A70" s="9" t="s">
        <v>33</v>
      </c>
    </row>
    <row r="71" spans="1:18" x14ac:dyDescent="0.35">
      <c r="A71" s="9" t="s">
        <v>32</v>
      </c>
    </row>
    <row r="72" spans="1:18" x14ac:dyDescent="0.35">
      <c r="A72" s="4"/>
      <c r="B72" s="5" t="s">
        <v>0</v>
      </c>
      <c r="C72" s="5" t="s">
        <v>1</v>
      </c>
      <c r="D72" s="5" t="s">
        <v>2</v>
      </c>
      <c r="E72" s="6" t="s">
        <v>3</v>
      </c>
      <c r="F72" s="5" t="s">
        <v>4</v>
      </c>
      <c r="G72" s="7" t="s">
        <v>5</v>
      </c>
      <c r="H72" s="5" t="s">
        <v>68</v>
      </c>
      <c r="I72" s="6" t="s">
        <v>6</v>
      </c>
      <c r="J72" s="5" t="s">
        <v>7</v>
      </c>
      <c r="K72" s="4" t="s">
        <v>69</v>
      </c>
      <c r="L72" s="5" t="s">
        <v>8</v>
      </c>
      <c r="M72" s="5" t="s">
        <v>9</v>
      </c>
      <c r="N72" s="6" t="s">
        <v>10</v>
      </c>
      <c r="O72" s="45" t="s">
        <v>11</v>
      </c>
      <c r="P72" s="46" t="s">
        <v>12</v>
      </c>
      <c r="R72" s="35" t="s">
        <v>44</v>
      </c>
    </row>
    <row r="73" spans="1:18" x14ac:dyDescent="0.35">
      <c r="A73" s="8" t="s">
        <v>0</v>
      </c>
      <c r="B73" s="21">
        <f t="array" ref="B73:P87">(B53:P67)-B32:P46</f>
        <v>1</v>
      </c>
      <c r="C73" s="21">
        <v>0</v>
      </c>
      <c r="D73" s="21">
        <v>0</v>
      </c>
      <c r="E73" s="22">
        <v>-0.67964467722453292</v>
      </c>
      <c r="F73" s="21">
        <v>0</v>
      </c>
      <c r="G73" s="23">
        <v>0</v>
      </c>
      <c r="H73" s="21">
        <v>0</v>
      </c>
      <c r="I73" s="22">
        <v>0</v>
      </c>
      <c r="J73" s="21">
        <v>0</v>
      </c>
      <c r="K73" s="47">
        <v>0</v>
      </c>
      <c r="L73" s="21">
        <v>-2.6705338681277835E-2</v>
      </c>
      <c r="M73" s="21">
        <v>-4.7520461290121987E-3</v>
      </c>
      <c r="N73" s="22">
        <v>0</v>
      </c>
      <c r="O73" s="24">
        <v>0</v>
      </c>
      <c r="P73" s="26">
        <v>0</v>
      </c>
      <c r="R73" s="33" t="s">
        <v>38</v>
      </c>
    </row>
    <row r="74" spans="1:18" x14ac:dyDescent="0.35">
      <c r="A74" s="8" t="s">
        <v>1</v>
      </c>
      <c r="B74" s="21">
        <v>0</v>
      </c>
      <c r="C74" s="21">
        <v>1</v>
      </c>
      <c r="D74" s="21">
        <v>0</v>
      </c>
      <c r="E74" s="22">
        <v>0</v>
      </c>
      <c r="F74" s="21">
        <v>-0.71793763916217068</v>
      </c>
      <c r="G74" s="23">
        <v>0</v>
      </c>
      <c r="H74" s="21">
        <v>0</v>
      </c>
      <c r="I74" s="22">
        <v>0</v>
      </c>
      <c r="J74" s="21">
        <v>0</v>
      </c>
      <c r="K74" s="47">
        <v>0</v>
      </c>
      <c r="L74" s="21">
        <v>-1.662719168941373E-2</v>
      </c>
      <c r="M74" s="21">
        <v>-2.0770689931902731E-3</v>
      </c>
      <c r="N74" s="22">
        <v>0</v>
      </c>
      <c r="O74" s="21">
        <v>0</v>
      </c>
      <c r="P74" s="23">
        <v>0</v>
      </c>
      <c r="R74" s="33" t="s">
        <v>34</v>
      </c>
    </row>
    <row r="75" spans="1:18" x14ac:dyDescent="0.35">
      <c r="A75" s="8" t="s">
        <v>2</v>
      </c>
      <c r="B75" s="21">
        <v>0</v>
      </c>
      <c r="C75" s="21">
        <v>0</v>
      </c>
      <c r="D75" s="21">
        <v>1</v>
      </c>
      <c r="E75" s="22">
        <v>0</v>
      </c>
      <c r="F75" s="21">
        <v>0</v>
      </c>
      <c r="G75" s="23">
        <v>-0.95634867526420686</v>
      </c>
      <c r="H75" s="21">
        <v>0</v>
      </c>
      <c r="I75" s="22">
        <v>0</v>
      </c>
      <c r="J75" s="21">
        <v>0</v>
      </c>
      <c r="K75" s="47">
        <v>0</v>
      </c>
      <c r="L75" s="21">
        <v>0</v>
      </c>
      <c r="M75" s="21">
        <v>0</v>
      </c>
      <c r="N75" s="22">
        <v>0</v>
      </c>
      <c r="O75" s="27">
        <v>0</v>
      </c>
      <c r="P75" s="29">
        <v>0</v>
      </c>
    </row>
    <row r="76" spans="1:18" x14ac:dyDescent="0.35">
      <c r="A76" s="12" t="s">
        <v>3</v>
      </c>
      <c r="B76" s="24">
        <v>-0.20988995344465675</v>
      </c>
      <c r="C76" s="24">
        <v>-0.11442581091608559</v>
      </c>
      <c r="D76" s="24">
        <v>-1.6767223803086206E-2</v>
      </c>
      <c r="E76" s="25">
        <v>1</v>
      </c>
      <c r="F76" s="24">
        <v>0</v>
      </c>
      <c r="G76" s="26">
        <v>0</v>
      </c>
      <c r="H76" s="24">
        <v>0</v>
      </c>
      <c r="I76" s="25">
        <v>0</v>
      </c>
      <c r="J76" s="24">
        <v>0</v>
      </c>
      <c r="K76" s="49">
        <v>0</v>
      </c>
      <c r="L76" s="24">
        <v>-0.25064243351852084</v>
      </c>
      <c r="M76" s="24">
        <v>-0.19447553657703995</v>
      </c>
      <c r="N76" s="25">
        <v>0</v>
      </c>
      <c r="O76" s="24">
        <v>0</v>
      </c>
      <c r="P76" s="26">
        <v>0</v>
      </c>
      <c r="R76" s="33" t="s">
        <v>86</v>
      </c>
    </row>
    <row r="77" spans="1:18" x14ac:dyDescent="0.35">
      <c r="A77" s="8" t="s">
        <v>4</v>
      </c>
      <c r="B77" s="21">
        <v>-0.11237663778372095</v>
      </c>
      <c r="C77" s="21">
        <v>-0.41055567299648243</v>
      </c>
      <c r="D77" s="21">
        <v>-0.14046080453608853</v>
      </c>
      <c r="E77" s="22">
        <v>0</v>
      </c>
      <c r="F77" s="21">
        <v>1</v>
      </c>
      <c r="G77" s="23">
        <v>0</v>
      </c>
      <c r="H77" s="21">
        <v>0</v>
      </c>
      <c r="I77" s="22">
        <v>0</v>
      </c>
      <c r="J77" s="21">
        <v>0</v>
      </c>
      <c r="K77" s="47">
        <v>0</v>
      </c>
      <c r="L77" s="21">
        <v>-0.30142657138009027</v>
      </c>
      <c r="M77" s="21">
        <v>-0.23678765375105934</v>
      </c>
      <c r="N77" s="22">
        <v>0</v>
      </c>
      <c r="O77" s="21">
        <v>0</v>
      </c>
      <c r="P77" s="23">
        <v>0</v>
      </c>
      <c r="R77" s="33" t="s">
        <v>87</v>
      </c>
    </row>
    <row r="78" spans="1:18" x14ac:dyDescent="0.35">
      <c r="A78" s="16" t="s">
        <v>5</v>
      </c>
      <c r="B78" s="27">
        <v>-8.3053851648663538E-2</v>
      </c>
      <c r="C78" s="27">
        <v>-0.16966075439464826</v>
      </c>
      <c r="D78" s="27">
        <v>-0.13917561779532056</v>
      </c>
      <c r="E78" s="28">
        <v>0</v>
      </c>
      <c r="F78" s="27">
        <v>0</v>
      </c>
      <c r="G78" s="29">
        <v>1</v>
      </c>
      <c r="H78" s="27">
        <v>-1</v>
      </c>
      <c r="I78" s="28">
        <v>0</v>
      </c>
      <c r="J78" s="27">
        <v>0</v>
      </c>
      <c r="K78" s="50">
        <v>0</v>
      </c>
      <c r="L78" s="27">
        <v>-0.24263649272002671</v>
      </c>
      <c r="M78" s="27">
        <v>-0.27746859040857175</v>
      </c>
      <c r="N78" s="28">
        <v>0</v>
      </c>
      <c r="O78" s="27">
        <v>0</v>
      </c>
      <c r="P78" s="29">
        <v>0</v>
      </c>
      <c r="R78" s="33" t="s">
        <v>88</v>
      </c>
    </row>
    <row r="79" spans="1:18" x14ac:dyDescent="0.35">
      <c r="A79" s="8" t="s">
        <v>68</v>
      </c>
      <c r="B79" s="21">
        <v>0</v>
      </c>
      <c r="C79" s="21">
        <v>0</v>
      </c>
      <c r="D79" s="21">
        <v>0</v>
      </c>
      <c r="E79" s="22">
        <v>-0.26451000507391909</v>
      </c>
      <c r="F79" s="21">
        <v>-0.10359507520605052</v>
      </c>
      <c r="G79" s="23">
        <v>0</v>
      </c>
      <c r="H79" s="21">
        <v>1</v>
      </c>
      <c r="I79" s="22">
        <v>0</v>
      </c>
      <c r="J79" s="21">
        <v>0</v>
      </c>
      <c r="K79" s="47">
        <v>0</v>
      </c>
      <c r="L79" s="21">
        <v>0</v>
      </c>
      <c r="M79" s="21">
        <v>0</v>
      </c>
      <c r="N79" s="22">
        <v>0</v>
      </c>
      <c r="O79" s="21">
        <v>0</v>
      </c>
      <c r="P79" s="23">
        <v>0</v>
      </c>
      <c r="R79" s="33" t="s">
        <v>35</v>
      </c>
    </row>
    <row r="80" spans="1:18" x14ac:dyDescent="0.35">
      <c r="A80" s="8" t="s">
        <v>6</v>
      </c>
      <c r="B80" s="21">
        <v>-0.39079827443755066</v>
      </c>
      <c r="C80" s="21">
        <v>-0.15322743692900118</v>
      </c>
      <c r="D80" s="21">
        <v>-0.15927574202844808</v>
      </c>
      <c r="E80" s="22">
        <v>0</v>
      </c>
      <c r="F80" s="21">
        <v>0</v>
      </c>
      <c r="G80" s="23">
        <v>0</v>
      </c>
      <c r="H80" s="21">
        <v>0</v>
      </c>
      <c r="I80" s="22">
        <v>1</v>
      </c>
      <c r="J80" s="21">
        <v>0</v>
      </c>
      <c r="K80" s="47">
        <v>0</v>
      </c>
      <c r="L80" s="21">
        <v>0</v>
      </c>
      <c r="M80" s="21">
        <v>0</v>
      </c>
      <c r="N80" s="22">
        <v>0</v>
      </c>
      <c r="O80">
        <v>0</v>
      </c>
      <c r="P80" s="48">
        <v>0</v>
      </c>
    </row>
    <row r="81" spans="1:18" x14ac:dyDescent="0.35">
      <c r="A81" s="8" t="s">
        <v>7</v>
      </c>
      <c r="B81" s="21">
        <v>-0.20388128268540812</v>
      </c>
      <c r="C81" s="21">
        <v>-0.15213032476378247</v>
      </c>
      <c r="D81" s="21">
        <v>-0.5443206118370566</v>
      </c>
      <c r="E81" s="22">
        <v>0</v>
      </c>
      <c r="F81" s="21">
        <v>0</v>
      </c>
      <c r="G81" s="23">
        <v>0</v>
      </c>
      <c r="H81" s="21">
        <v>0</v>
      </c>
      <c r="I81" s="22">
        <v>0</v>
      </c>
      <c r="J81" s="21">
        <v>1</v>
      </c>
      <c r="K81" s="47">
        <v>0</v>
      </c>
      <c r="L81" s="21">
        <v>0</v>
      </c>
      <c r="M81" s="21">
        <v>0</v>
      </c>
      <c r="N81" s="22">
        <v>0</v>
      </c>
      <c r="O81">
        <v>0</v>
      </c>
      <c r="P81" s="48">
        <v>0</v>
      </c>
    </row>
    <row r="82" spans="1:18" x14ac:dyDescent="0.35">
      <c r="A82" s="4" t="s">
        <v>69</v>
      </c>
      <c r="B82" s="30">
        <v>0</v>
      </c>
      <c r="C82" s="30">
        <v>0</v>
      </c>
      <c r="D82" s="30">
        <v>0</v>
      </c>
      <c r="E82" s="31">
        <v>0</v>
      </c>
      <c r="F82" s="30">
        <v>0</v>
      </c>
      <c r="G82" s="32">
        <v>0</v>
      </c>
      <c r="H82" s="30">
        <v>0</v>
      </c>
      <c r="I82" s="31">
        <v>0</v>
      </c>
      <c r="J82" s="30">
        <v>-0.95084837451752102</v>
      </c>
      <c r="K82" s="51">
        <v>1</v>
      </c>
      <c r="L82" s="30">
        <v>0</v>
      </c>
      <c r="M82" s="30">
        <v>0</v>
      </c>
      <c r="N82" s="31">
        <v>0</v>
      </c>
      <c r="O82" s="52">
        <v>0</v>
      </c>
      <c r="P82" s="53">
        <v>0</v>
      </c>
    </row>
    <row r="83" spans="1:18" x14ac:dyDescent="0.35">
      <c r="A83" s="8" t="s">
        <v>8</v>
      </c>
      <c r="B83" s="21">
        <v>0</v>
      </c>
      <c r="C83" s="21">
        <v>0</v>
      </c>
      <c r="D83" s="21">
        <v>0</v>
      </c>
      <c r="E83" s="22">
        <v>0</v>
      </c>
      <c r="F83" s="21">
        <v>0</v>
      </c>
      <c r="G83" s="23">
        <v>0</v>
      </c>
      <c r="H83" s="21">
        <v>0</v>
      </c>
      <c r="I83" s="22">
        <v>-0.63755820314391476</v>
      </c>
      <c r="J83" s="21">
        <v>-2.5263324652904491E-2</v>
      </c>
      <c r="K83" s="47">
        <v>-0.37221330806190561</v>
      </c>
      <c r="L83" s="21">
        <v>1</v>
      </c>
      <c r="M83" s="21">
        <v>0</v>
      </c>
      <c r="N83" s="22">
        <v>0</v>
      </c>
      <c r="O83">
        <v>0</v>
      </c>
      <c r="P83" s="48">
        <v>0</v>
      </c>
      <c r="R83" s="33" t="s">
        <v>39</v>
      </c>
    </row>
    <row r="84" spans="1:18" x14ac:dyDescent="0.35">
      <c r="A84" s="16" t="s">
        <v>9</v>
      </c>
      <c r="B84" s="27">
        <v>0</v>
      </c>
      <c r="C84" s="27">
        <v>0</v>
      </c>
      <c r="D84" s="27">
        <v>0</v>
      </c>
      <c r="E84" s="28">
        <v>0</v>
      </c>
      <c r="F84" s="27">
        <v>0</v>
      </c>
      <c r="G84" s="29">
        <v>0</v>
      </c>
      <c r="H84" s="27">
        <v>0</v>
      </c>
      <c r="I84" s="28">
        <v>-0.36241169385795763</v>
      </c>
      <c r="J84" s="27">
        <v>-2.4610197936945572E-3</v>
      </c>
      <c r="K84" s="50">
        <v>-0.32717297286040975</v>
      </c>
      <c r="L84" s="27">
        <v>0</v>
      </c>
      <c r="M84" s="27">
        <v>1</v>
      </c>
      <c r="N84" s="28">
        <v>0</v>
      </c>
      <c r="O84">
        <v>0</v>
      </c>
      <c r="P84" s="48">
        <v>0</v>
      </c>
      <c r="R84" s="33" t="s">
        <v>36</v>
      </c>
    </row>
    <row r="85" spans="1:18" x14ac:dyDescent="0.35">
      <c r="A85" s="8" t="s">
        <v>10</v>
      </c>
      <c r="B85" s="21">
        <v>0</v>
      </c>
      <c r="C85" s="21">
        <v>0</v>
      </c>
      <c r="D85" s="21">
        <v>0</v>
      </c>
      <c r="E85" s="22">
        <v>-2.5619165125214732E-3</v>
      </c>
      <c r="F85" s="21">
        <v>-4.0983206763332815E-2</v>
      </c>
      <c r="G85" s="23">
        <v>0</v>
      </c>
      <c r="H85" s="21">
        <v>0</v>
      </c>
      <c r="I85" s="22">
        <v>0</v>
      </c>
      <c r="J85" s="21">
        <v>0</v>
      </c>
      <c r="K85" s="47">
        <v>-5.8957629424769127E-2</v>
      </c>
      <c r="L85" s="21">
        <v>-4.5258614492945815E-3</v>
      </c>
      <c r="M85" s="21">
        <v>-1.9418833111322292E-2</v>
      </c>
      <c r="N85" s="22">
        <v>1</v>
      </c>
      <c r="O85" s="24">
        <v>0</v>
      </c>
      <c r="P85" s="26">
        <v>0</v>
      </c>
      <c r="R85" s="33" t="s">
        <v>37</v>
      </c>
    </row>
    <row r="86" spans="1:18" x14ac:dyDescent="0.35">
      <c r="A86" s="8" t="s">
        <v>11</v>
      </c>
      <c r="B86" s="21">
        <v>0</v>
      </c>
      <c r="C86" s="21">
        <v>0</v>
      </c>
      <c r="D86" s="21">
        <v>0</v>
      </c>
      <c r="E86" s="22">
        <v>0</v>
      </c>
      <c r="F86" s="21">
        <v>0</v>
      </c>
      <c r="G86" s="23">
        <v>0</v>
      </c>
      <c r="H86" s="21">
        <v>0</v>
      </c>
      <c r="I86" s="22">
        <v>0</v>
      </c>
      <c r="J86" s="21">
        <v>0</v>
      </c>
      <c r="K86" s="47">
        <v>-0.24106499271999515</v>
      </c>
      <c r="L86" s="21">
        <v>-0.15720103763864807</v>
      </c>
      <c r="M86" s="21">
        <v>-0.26484271896024253</v>
      </c>
      <c r="N86" s="22">
        <v>0</v>
      </c>
      <c r="O86" s="21">
        <v>1</v>
      </c>
      <c r="P86" s="23">
        <v>0</v>
      </c>
    </row>
    <row r="87" spans="1:18" x14ac:dyDescent="0.35">
      <c r="A87" s="16" t="s">
        <v>12</v>
      </c>
      <c r="B87" s="28">
        <v>0</v>
      </c>
      <c r="C87" s="27">
        <v>0</v>
      </c>
      <c r="D87" s="27">
        <v>0</v>
      </c>
      <c r="E87" s="28">
        <v>-5.3283401189026407E-2</v>
      </c>
      <c r="F87" s="27">
        <v>-0.13748407886844605</v>
      </c>
      <c r="G87" s="29">
        <v>-4.3651324735793147E-2</v>
      </c>
      <c r="H87" s="27">
        <v>0</v>
      </c>
      <c r="I87" s="28">
        <v>-3.0102998127604586E-5</v>
      </c>
      <c r="J87" s="27">
        <v>-2.1427281035879802E-2</v>
      </c>
      <c r="K87" s="50">
        <v>-5.9109693292049275E-4</v>
      </c>
      <c r="L87" s="27">
        <v>-2.3507292272799296E-4</v>
      </c>
      <c r="M87" s="27">
        <v>-1.7755206956176361E-4</v>
      </c>
      <c r="N87" s="28">
        <v>0</v>
      </c>
      <c r="O87" s="27">
        <v>0</v>
      </c>
      <c r="P87" s="29">
        <v>1</v>
      </c>
    </row>
    <row r="88" spans="1:18" x14ac:dyDescent="0.35">
      <c r="G88" s="33">
        <v>-4.3614170884191721E-2</v>
      </c>
      <c r="P88" s="33">
        <v>1</v>
      </c>
    </row>
    <row r="90" spans="1:18" x14ac:dyDescent="0.35">
      <c r="A90" s="9" t="s">
        <v>48</v>
      </c>
    </row>
    <row r="91" spans="1:18" x14ac:dyDescent="0.35">
      <c r="A91" s="9" t="s">
        <v>40</v>
      </c>
    </row>
    <row r="92" spans="1:18" x14ac:dyDescent="0.35">
      <c r="A92" s="4"/>
      <c r="B92" s="5" t="s">
        <v>0</v>
      </c>
      <c r="C92" s="5" t="s">
        <v>1</v>
      </c>
      <c r="D92" s="5" t="s">
        <v>2</v>
      </c>
      <c r="E92" s="6" t="s">
        <v>3</v>
      </c>
      <c r="F92" s="5" t="s">
        <v>4</v>
      </c>
      <c r="G92" s="7" t="s">
        <v>5</v>
      </c>
      <c r="H92" s="5" t="s">
        <v>68</v>
      </c>
      <c r="I92" s="6" t="s">
        <v>6</v>
      </c>
      <c r="J92" s="5" t="s">
        <v>7</v>
      </c>
      <c r="K92" s="4" t="s">
        <v>69</v>
      </c>
      <c r="L92" s="5" t="s">
        <v>8</v>
      </c>
      <c r="M92" s="5" t="s">
        <v>9</v>
      </c>
      <c r="N92" s="6" t="s">
        <v>10</v>
      </c>
      <c r="O92" s="45" t="s">
        <v>11</v>
      </c>
      <c r="P92" s="46" t="s">
        <v>12</v>
      </c>
    </row>
    <row r="93" spans="1:18" x14ac:dyDescent="0.35">
      <c r="A93" s="8" t="s">
        <v>0</v>
      </c>
      <c r="B93" s="21">
        <f t="array" ref="B93:P107">MINVERSE(B73:P87)</f>
        <v>1.6009496597686732</v>
      </c>
      <c r="C93" s="21">
        <v>0.49781136701996043</v>
      </c>
      <c r="D93" s="21">
        <v>0.40357803833571271</v>
      </c>
      <c r="E93" s="22">
        <v>1.1901675460935444</v>
      </c>
      <c r="F93" s="21">
        <v>0.39738120979960817</v>
      </c>
      <c r="G93" s="23">
        <v>0.38596132232808611</v>
      </c>
      <c r="H93" s="21">
        <v>0.38596132232808611</v>
      </c>
      <c r="I93" s="22">
        <v>0.51872451426785571</v>
      </c>
      <c r="J93" s="21">
        <v>0.35175796530384279</v>
      </c>
      <c r="K93" s="47">
        <v>0.35384672052847743</v>
      </c>
      <c r="L93" s="21">
        <v>0.5627671551240998</v>
      </c>
      <c r="M93" s="21">
        <v>0.4412873557032721</v>
      </c>
      <c r="N93" s="22">
        <v>0</v>
      </c>
      <c r="O93" s="24">
        <v>0</v>
      </c>
      <c r="P93" s="26">
        <v>0</v>
      </c>
    </row>
    <row r="94" spans="1:18" x14ac:dyDescent="0.35">
      <c r="A94" s="8" t="s">
        <v>1</v>
      </c>
      <c r="B94" s="21">
        <v>0.85091021683933932</v>
      </c>
      <c r="C94" s="21">
        <v>2.0790754797731035</v>
      </c>
      <c r="D94" s="21">
        <v>0.78721540041542837</v>
      </c>
      <c r="E94" s="22">
        <v>0.7774535932258706</v>
      </c>
      <c r="F94" s="21">
        <v>1.5706383431379818</v>
      </c>
      <c r="G94" s="23">
        <v>0.75285240533487696</v>
      </c>
      <c r="H94" s="21">
        <v>0.75285240533487696</v>
      </c>
      <c r="I94" s="22">
        <v>0.84738152509597209</v>
      </c>
      <c r="J94" s="21">
        <v>0.57653616282827036</v>
      </c>
      <c r="K94" s="47">
        <v>0.58029075643933525</v>
      </c>
      <c r="L94" s="21">
        <v>0.90825749043732973</v>
      </c>
      <c r="M94" s="21">
        <v>0.74035831637902128</v>
      </c>
      <c r="N94" s="22">
        <v>0</v>
      </c>
      <c r="O94" s="21">
        <v>0</v>
      </c>
      <c r="P94" s="23">
        <v>0</v>
      </c>
    </row>
    <row r="95" spans="1:18" x14ac:dyDescent="0.35">
      <c r="A95" s="8" t="s">
        <v>2</v>
      </c>
      <c r="B95" s="21">
        <v>1.163681855838969</v>
      </c>
      <c r="C95" s="21">
        <v>1.2194473101781904</v>
      </c>
      <c r="D95" s="21">
        <v>2.0535422339552891</v>
      </c>
      <c r="E95" s="22">
        <v>1.3103620117810264</v>
      </c>
      <c r="F95" s="21">
        <v>1.0789377392637332</v>
      </c>
      <c r="G95" s="23">
        <v>1.9639023950422407</v>
      </c>
      <c r="H95" s="21">
        <v>1.9639023950422407</v>
      </c>
      <c r="I95" s="22">
        <v>1.1386386620940243</v>
      </c>
      <c r="J95" s="21">
        <v>0.78141040732749079</v>
      </c>
      <c r="K95" s="47">
        <v>0.78765922887416373</v>
      </c>
      <c r="L95" s="21">
        <v>1.1815197183382942</v>
      </c>
      <c r="M95" s="21">
        <v>1.0632964664826465</v>
      </c>
      <c r="N95" s="22">
        <v>0</v>
      </c>
      <c r="O95" s="27">
        <v>0</v>
      </c>
      <c r="P95" s="29">
        <v>0</v>
      </c>
    </row>
    <row r="96" spans="1:18" x14ac:dyDescent="0.35">
      <c r="A96" s="12" t="s">
        <v>3</v>
      </c>
      <c r="B96" s="24">
        <v>0.83962575338991374</v>
      </c>
      <c r="C96" s="24">
        <v>0.69446030145214344</v>
      </c>
      <c r="D96" s="24">
        <v>0.55454861406519385</v>
      </c>
      <c r="E96" s="25">
        <v>1.710927894939289</v>
      </c>
      <c r="F96" s="24">
        <v>0.55351999133198992</v>
      </c>
      <c r="G96" s="26">
        <v>0.53034183243085009</v>
      </c>
      <c r="H96" s="24">
        <v>0.53034183243085009</v>
      </c>
      <c r="I96" s="25">
        <v>0.70686271530425704</v>
      </c>
      <c r="J96" s="24">
        <v>0.48081314298135336</v>
      </c>
      <c r="K96" s="49">
        <v>0.48392400915092981</v>
      </c>
      <c r="L96" s="24">
        <v>0.75832646116630964</v>
      </c>
      <c r="M96" s="24">
        <v>0.61638590341440258</v>
      </c>
      <c r="N96" s="25">
        <v>0</v>
      </c>
      <c r="O96" s="24">
        <v>0</v>
      </c>
      <c r="P96" s="26">
        <v>0</v>
      </c>
      <c r="R96" s="33" t="s">
        <v>71</v>
      </c>
    </row>
    <row r="97" spans="1:16" x14ac:dyDescent="0.35">
      <c r="A97" s="8" t="s">
        <v>4</v>
      </c>
      <c r="B97" s="21">
        <v>1.1597738246018316</v>
      </c>
      <c r="C97" s="21">
        <v>1.4813561234874071</v>
      </c>
      <c r="D97" s="21">
        <v>1.0741337057103681</v>
      </c>
      <c r="E97" s="22">
        <v>1.0599510430032246</v>
      </c>
      <c r="F97" s="21">
        <v>2.1699389805771023</v>
      </c>
      <c r="G97" s="23">
        <v>1.0272463465127439</v>
      </c>
      <c r="H97" s="21">
        <v>1.0272463465127439</v>
      </c>
      <c r="I97" s="22">
        <v>1.1480796625278771</v>
      </c>
      <c r="J97" s="21">
        <v>0.7821511808055327</v>
      </c>
      <c r="K97" s="47">
        <v>0.78742249445890045</v>
      </c>
      <c r="L97" s="21">
        <v>1.2245963715306851</v>
      </c>
      <c r="M97" s="21">
        <v>1.0135660811822065</v>
      </c>
      <c r="N97" s="22">
        <v>0</v>
      </c>
      <c r="O97" s="21">
        <v>0</v>
      </c>
      <c r="P97" s="23">
        <v>0</v>
      </c>
    </row>
    <row r="98" spans="1:16" x14ac:dyDescent="0.35">
      <c r="A98" s="16" t="s">
        <v>5</v>
      </c>
      <c r="B98" s="27">
        <v>1.2167966411596514</v>
      </c>
      <c r="C98" s="27">
        <v>1.2751074390742458</v>
      </c>
      <c r="D98" s="27">
        <v>1.1016298356498804</v>
      </c>
      <c r="E98" s="28">
        <v>1.3701718271518677</v>
      </c>
      <c r="F98" s="27">
        <v>1.1281844866524848</v>
      </c>
      <c r="G98" s="29">
        <v>2.0535422339552891</v>
      </c>
      <c r="H98" s="27">
        <v>2.0535422339552891</v>
      </c>
      <c r="I98" s="28">
        <v>1.190610382535906</v>
      </c>
      <c r="J98" s="27">
        <v>0.81707689626026148</v>
      </c>
      <c r="K98" s="50">
        <v>0.82361093735667079</v>
      </c>
      <c r="L98" s="27">
        <v>1.2354486903135826</v>
      </c>
      <c r="M98" s="27">
        <v>1.1118292877740366</v>
      </c>
      <c r="N98" s="28">
        <v>0</v>
      </c>
      <c r="O98" s="27">
        <v>0</v>
      </c>
      <c r="P98" s="29">
        <v>0</v>
      </c>
    </row>
    <row r="99" spans="1:16" x14ac:dyDescent="0.35">
      <c r="A99" s="8" t="s">
        <v>68</v>
      </c>
      <c r="B99" s="21">
        <v>0.34223626887099473</v>
      </c>
      <c r="C99" s="21">
        <v>0.33715289688036326</v>
      </c>
      <c r="D99" s="21">
        <v>0.25795861874453851</v>
      </c>
      <c r="E99" s="22">
        <v>0.56236325418615174</v>
      </c>
      <c r="F99" s="21">
        <v>0.37120656760116583</v>
      </c>
      <c r="G99" s="23">
        <v>0.24669838330932403</v>
      </c>
      <c r="H99" s="21">
        <v>1.2466983833093241</v>
      </c>
      <c r="I99" s="22">
        <v>0.30590765939380576</v>
      </c>
      <c r="J99" s="21">
        <v>0.20820689728765518</v>
      </c>
      <c r="K99" s="47">
        <v>0.20957583464830939</v>
      </c>
      <c r="L99" s="21">
        <v>0.32744708929656563</v>
      </c>
      <c r="M99" s="21">
        <v>0.26804069284600834</v>
      </c>
      <c r="N99" s="22">
        <v>0</v>
      </c>
      <c r="O99" s="21">
        <v>0</v>
      </c>
      <c r="P99" s="23">
        <v>0</v>
      </c>
    </row>
    <row r="100" spans="1:16" x14ac:dyDescent="0.35">
      <c r="A100" s="8" t="s">
        <v>6</v>
      </c>
      <c r="B100" s="21">
        <v>0.94137744715576732</v>
      </c>
      <c r="C100" s="21">
        <v>0.70734360536759122</v>
      </c>
      <c r="D100" s="21">
        <v>0.60542006219916722</v>
      </c>
      <c r="E100" s="22">
        <v>0.79295152647848655</v>
      </c>
      <c r="F100" s="21">
        <v>0.56780938776876655</v>
      </c>
      <c r="G100" s="23">
        <v>0.57899267446254732</v>
      </c>
      <c r="H100" s="21">
        <v>0.57899267446254732</v>
      </c>
      <c r="I100" s="22">
        <v>1.5139162620830835</v>
      </c>
      <c r="J100" s="21">
        <v>0.35026728684330077</v>
      </c>
      <c r="K100" s="47">
        <v>0.35265416122519355</v>
      </c>
      <c r="L100" s="21">
        <v>0.54728583032348133</v>
      </c>
      <c r="M100" s="21">
        <v>0.45525487806302678</v>
      </c>
      <c r="N100" s="22">
        <v>0</v>
      </c>
      <c r="O100">
        <v>0</v>
      </c>
      <c r="P100" s="48">
        <v>0</v>
      </c>
    </row>
    <row r="101" spans="1:16" x14ac:dyDescent="0.35">
      <c r="A101" s="8" t="s">
        <v>7</v>
      </c>
      <c r="B101" s="21">
        <v>1.0892689375349431</v>
      </c>
      <c r="C101" s="21">
        <v>1.0815551539689507</v>
      </c>
      <c r="D101" s="21">
        <v>1.3198267078635753</v>
      </c>
      <c r="E101" s="22">
        <v>1.0741842055150024</v>
      </c>
      <c r="F101" s="21">
        <v>0.90724836236717954</v>
      </c>
      <c r="G101" s="23">
        <v>1.2622145236436497</v>
      </c>
      <c r="H101" s="21">
        <v>1.2622145236436497</v>
      </c>
      <c r="I101" s="22">
        <v>0.85445513915332216</v>
      </c>
      <c r="J101" s="21">
        <v>1.58476328986243</v>
      </c>
      <c r="K101" s="47">
        <v>0.58916169786979733</v>
      </c>
      <c r="L101" s="21">
        <v>0.89603673241273574</v>
      </c>
      <c r="M101" s="21">
        <v>0.7813753664259574</v>
      </c>
      <c r="N101" s="22">
        <v>0</v>
      </c>
      <c r="O101">
        <v>0</v>
      </c>
      <c r="P101" s="48">
        <v>0</v>
      </c>
    </row>
    <row r="102" spans="1:16" x14ac:dyDescent="0.35">
      <c r="A102" s="4" t="s">
        <v>69</v>
      </c>
      <c r="B102" s="30">
        <v>1.0357295986675279</v>
      </c>
      <c r="C102" s="30">
        <v>1.0283949601024238</v>
      </c>
      <c r="D102" s="30">
        <v>1.2549550798168918</v>
      </c>
      <c r="E102" s="31">
        <v>1.0213863057463348</v>
      </c>
      <c r="F102" s="30">
        <v>0.86265563064051565</v>
      </c>
      <c r="G102" s="32">
        <v>1.2001746280989711</v>
      </c>
      <c r="H102" s="30">
        <v>1.2001746280989711</v>
      </c>
      <c r="I102" s="31">
        <v>0.81245728016207852</v>
      </c>
      <c r="J102" s="30">
        <v>1.5068695981607305</v>
      </c>
      <c r="K102" s="51">
        <v>1.5602034427474796</v>
      </c>
      <c r="L102" s="30">
        <v>0.85199507052264067</v>
      </c>
      <c r="M102" s="30">
        <v>0.74296949705415405</v>
      </c>
      <c r="N102" s="31">
        <v>0</v>
      </c>
      <c r="O102" s="52">
        <v>0</v>
      </c>
      <c r="P102" s="53">
        <v>0</v>
      </c>
    </row>
    <row r="103" spans="1:16" x14ac:dyDescent="0.35">
      <c r="A103" s="8" t="s">
        <v>8</v>
      </c>
      <c r="B103" s="21">
        <v>1.0132138086697766</v>
      </c>
      <c r="C103" s="21">
        <v>0.86107868712215407</v>
      </c>
      <c r="D103" s="21">
        <v>0.88644471933704783</v>
      </c>
      <c r="E103" s="22">
        <v>0.91286379039376819</v>
      </c>
      <c r="F103" s="21">
        <v>0.70602354891233476</v>
      </c>
      <c r="G103" s="23">
        <v>0.84775023303293739</v>
      </c>
      <c r="H103" s="21">
        <v>0.84775023303293739</v>
      </c>
      <c r="I103" s="22">
        <v>1.2892035212539215</v>
      </c>
      <c r="J103" s="21">
        <v>0.82422908945902851</v>
      </c>
      <c r="K103" s="47">
        <v>0.82045022128291323</v>
      </c>
      <c r="L103" s="21">
        <v>1.6886873411107035</v>
      </c>
      <c r="M103" s="21">
        <v>0.58653475587578341</v>
      </c>
      <c r="N103" s="22">
        <v>0</v>
      </c>
      <c r="O103">
        <v>0</v>
      </c>
      <c r="P103" s="48">
        <v>0</v>
      </c>
    </row>
    <row r="104" spans="1:16" x14ac:dyDescent="0.35">
      <c r="A104" s="16" t="s">
        <v>9</v>
      </c>
      <c r="B104" s="27">
        <v>0.68270963947490593</v>
      </c>
      <c r="C104" s="27">
        <v>0.59547435917412594</v>
      </c>
      <c r="D104" s="27">
        <v>0.6332468141594545</v>
      </c>
      <c r="E104" s="28">
        <v>0.62418848854010767</v>
      </c>
      <c r="F104" s="27">
        <v>0.49025112541874022</v>
      </c>
      <c r="G104" s="29">
        <v>0.60560475183667373</v>
      </c>
      <c r="H104" s="27">
        <v>0.60560475183667373</v>
      </c>
      <c r="I104" s="28">
        <v>0.8165778515836285</v>
      </c>
      <c r="J104" s="27">
        <v>0.62384810069580099</v>
      </c>
      <c r="K104" s="50">
        <v>0.63971232914656295</v>
      </c>
      <c r="L104" s="27">
        <v>0.47929770901164359</v>
      </c>
      <c r="M104" s="27">
        <v>1.4099922108348102</v>
      </c>
      <c r="N104" s="28">
        <v>0</v>
      </c>
      <c r="O104">
        <v>0</v>
      </c>
      <c r="P104" s="48">
        <v>0</v>
      </c>
    </row>
    <row r="105" spans="1:16" x14ac:dyDescent="0.35">
      <c r="A105" s="8" t="s">
        <v>10</v>
      </c>
      <c r="B105" s="21">
        <v>0.1285895532658167</v>
      </c>
      <c r="C105" s="21">
        <v>0.13858214261034271</v>
      </c>
      <c r="D105" s="21">
        <v>0.13574016772915554</v>
      </c>
      <c r="E105" s="22">
        <v>0.12429446962028529</v>
      </c>
      <c r="F105" s="21">
        <v>0.15392473045256616</v>
      </c>
      <c r="G105" s="23">
        <v>0.12981492958791915</v>
      </c>
      <c r="H105" s="21">
        <v>0.12981492958791915</v>
      </c>
      <c r="I105" s="22">
        <v>0.11845521023927529</v>
      </c>
      <c r="J105" s="21">
        <v>0.13797307486898738</v>
      </c>
      <c r="K105" s="47">
        <v>0.1416324792016346</v>
      </c>
      <c r="L105" s="21">
        <v>0.11931243217739795</v>
      </c>
      <c r="M105" s="21">
        <v>0.11695701624941522</v>
      </c>
      <c r="N105" s="22">
        <v>1</v>
      </c>
      <c r="O105" s="24">
        <v>0</v>
      </c>
      <c r="P105" s="26">
        <v>0</v>
      </c>
    </row>
    <row r="106" spans="1:16" x14ac:dyDescent="0.35">
      <c r="A106" s="8" t="s">
        <v>11</v>
      </c>
      <c r="B106" s="21">
        <v>0.58976708741426764</v>
      </c>
      <c r="C106" s="21">
        <v>0.54097953502928142</v>
      </c>
      <c r="D106" s="21">
        <v>0.60958657490396528</v>
      </c>
      <c r="E106" s="22">
        <v>0.55503539388033896</v>
      </c>
      <c r="F106" s="21">
        <v>0.44878314883577664</v>
      </c>
      <c r="G106" s="23">
        <v>0.58297731336825243</v>
      </c>
      <c r="H106" s="21">
        <v>0.58297731336825243</v>
      </c>
      <c r="I106" s="22">
        <v>0.61478383805221548</v>
      </c>
      <c r="J106" s="21">
        <v>0.65804480403197496</v>
      </c>
      <c r="K106" s="47">
        <v>0.67450921028773037</v>
      </c>
      <c r="L106" s="21">
        <v>0.59778809618892326</v>
      </c>
      <c r="M106" s="21">
        <v>0.64473397946359701</v>
      </c>
      <c r="N106" s="22">
        <v>0</v>
      </c>
      <c r="O106" s="21">
        <v>1</v>
      </c>
      <c r="P106" s="23">
        <v>0</v>
      </c>
    </row>
    <row r="107" spans="1:16" x14ac:dyDescent="0.35">
      <c r="A107" s="16" t="s">
        <v>12</v>
      </c>
      <c r="B107" s="27">
        <v>0.28164335931991596</v>
      </c>
      <c r="C107" s="27">
        <v>0.32043832236037573</v>
      </c>
      <c r="D107" s="27">
        <v>0.25467325736687935</v>
      </c>
      <c r="E107" s="28">
        <v>0.32067013649937581</v>
      </c>
      <c r="F107" s="27">
        <v>0.39729212071165732</v>
      </c>
      <c r="G107" s="29">
        <v>0.28720775704382862</v>
      </c>
      <c r="H107" s="27">
        <v>0.28720775704382862</v>
      </c>
      <c r="I107" s="28">
        <v>0.26676095170850955</v>
      </c>
      <c r="J107" s="27">
        <v>0.20398212109903785</v>
      </c>
      <c r="K107" s="50">
        <v>0.18385831051063542</v>
      </c>
      <c r="L107" s="27">
        <v>0.28289947163367907</v>
      </c>
      <c r="M107" s="27">
        <v>0.23830900428698806</v>
      </c>
      <c r="N107" s="28">
        <v>0</v>
      </c>
      <c r="O107" s="27">
        <v>0</v>
      </c>
      <c r="P107" s="29">
        <v>1</v>
      </c>
    </row>
    <row r="108" spans="1:16" x14ac:dyDescent="0.35">
      <c r="M108" s="33">
        <v>0.2383674398924418</v>
      </c>
      <c r="P108" s="33">
        <v>1</v>
      </c>
    </row>
    <row r="109" spans="1:16" x14ac:dyDescent="0.35">
      <c r="K109" s="33"/>
      <c r="N109" s="33"/>
    </row>
    <row r="110" spans="1:16" ht="18.5" x14ac:dyDescent="0.45">
      <c r="A110" s="36" t="s">
        <v>49</v>
      </c>
      <c r="K110" s="33"/>
      <c r="N110" s="33"/>
    </row>
    <row r="112" spans="1:16" x14ac:dyDescent="0.35">
      <c r="A112" s="9" t="s">
        <v>46</v>
      </c>
    </row>
    <row r="113" spans="1:8" x14ac:dyDescent="0.35">
      <c r="A113" s="4"/>
      <c r="B113" s="5" t="s">
        <v>74</v>
      </c>
      <c r="C113" s="5" t="s">
        <v>75</v>
      </c>
      <c r="D113" s="5" t="s">
        <v>76</v>
      </c>
      <c r="E113" s="7" t="s">
        <v>77</v>
      </c>
      <c r="F113" s="35"/>
      <c r="G113" s="33" t="s">
        <v>81</v>
      </c>
    </row>
    <row r="114" spans="1:8" x14ac:dyDescent="0.35">
      <c r="A114" s="8" t="s">
        <v>0</v>
      </c>
      <c r="B114" s="25">
        <v>0</v>
      </c>
      <c r="C114" s="24">
        <v>0</v>
      </c>
      <c r="D114" s="24">
        <v>0</v>
      </c>
      <c r="E114" s="26">
        <v>0</v>
      </c>
      <c r="F114" s="33"/>
      <c r="G114" s="33"/>
    </row>
    <row r="115" spans="1:8" x14ac:dyDescent="0.35">
      <c r="A115" s="8" t="s">
        <v>1</v>
      </c>
      <c r="B115" s="22">
        <v>0</v>
      </c>
      <c r="C115" s="21">
        <v>0</v>
      </c>
      <c r="D115" s="21">
        <v>0</v>
      </c>
      <c r="E115" s="23">
        <v>0</v>
      </c>
      <c r="F115" s="33"/>
      <c r="G115" s="33" t="s">
        <v>82</v>
      </c>
    </row>
    <row r="116" spans="1:8" x14ac:dyDescent="0.35">
      <c r="A116" s="8" t="s">
        <v>2</v>
      </c>
      <c r="B116" s="22">
        <v>0</v>
      </c>
      <c r="C116" s="21">
        <v>0</v>
      </c>
      <c r="D116" s="21">
        <v>0</v>
      </c>
      <c r="E116" s="23">
        <v>0</v>
      </c>
      <c r="F116" s="33"/>
      <c r="G116" s="33"/>
    </row>
    <row r="117" spans="1:8" x14ac:dyDescent="0.35">
      <c r="A117" s="12" t="s">
        <v>3</v>
      </c>
      <c r="B117" s="25">
        <v>0</v>
      </c>
      <c r="C117" s="24">
        <v>0</v>
      </c>
      <c r="D117" s="85">
        <v>8</v>
      </c>
      <c r="E117" s="86">
        <v>-5</v>
      </c>
      <c r="F117" s="33"/>
      <c r="G117" s="33" t="s">
        <v>93</v>
      </c>
    </row>
    <row r="118" spans="1:8" x14ac:dyDescent="0.35">
      <c r="A118" s="8" t="s">
        <v>4</v>
      </c>
      <c r="B118" s="22">
        <v>0</v>
      </c>
      <c r="C118" s="21">
        <v>0</v>
      </c>
      <c r="D118" s="87">
        <v>-5</v>
      </c>
      <c r="E118" s="88">
        <v>8</v>
      </c>
      <c r="F118" s="33"/>
      <c r="G118" s="80"/>
    </row>
    <row r="119" spans="1:8" x14ac:dyDescent="0.35">
      <c r="A119" s="16" t="s">
        <v>5</v>
      </c>
      <c r="B119" s="28">
        <v>0</v>
      </c>
      <c r="C119" s="27">
        <v>0</v>
      </c>
      <c r="D119" s="27">
        <v>0</v>
      </c>
      <c r="E119" s="29">
        <v>0</v>
      </c>
      <c r="F119" s="33"/>
      <c r="G119" s="33" t="s">
        <v>94</v>
      </c>
    </row>
    <row r="120" spans="1:8" x14ac:dyDescent="0.35">
      <c r="A120" s="4" t="s">
        <v>68</v>
      </c>
      <c r="B120" s="31">
        <v>0</v>
      </c>
      <c r="C120" s="30">
        <v>0</v>
      </c>
      <c r="D120" s="30">
        <v>0</v>
      </c>
      <c r="E120" s="32">
        <v>0</v>
      </c>
      <c r="F120" s="33"/>
      <c r="G120" s="33"/>
    </row>
    <row r="121" spans="1:8" x14ac:dyDescent="0.35">
      <c r="A121" s="8" t="s">
        <v>6</v>
      </c>
      <c r="B121" s="22">
        <v>0</v>
      </c>
      <c r="C121" s="21">
        <v>0</v>
      </c>
      <c r="D121" s="21">
        <v>0</v>
      </c>
      <c r="E121" s="23">
        <v>0</v>
      </c>
      <c r="F121" s="33"/>
    </row>
    <row r="122" spans="1:8" x14ac:dyDescent="0.35">
      <c r="A122" s="8" t="s">
        <v>7</v>
      </c>
      <c r="B122" s="22">
        <v>0</v>
      </c>
      <c r="C122" s="21">
        <v>0</v>
      </c>
      <c r="D122" s="21">
        <v>0</v>
      </c>
      <c r="E122" s="23">
        <v>0</v>
      </c>
      <c r="F122" s="33"/>
    </row>
    <row r="123" spans="1:8" x14ac:dyDescent="0.35">
      <c r="A123" s="4" t="s">
        <v>69</v>
      </c>
      <c r="B123" s="31">
        <v>0</v>
      </c>
      <c r="C123" s="30">
        <v>0</v>
      </c>
      <c r="D123" s="30">
        <v>0</v>
      </c>
      <c r="E123" s="32">
        <v>0</v>
      </c>
      <c r="F123" s="33"/>
    </row>
    <row r="124" spans="1:8" x14ac:dyDescent="0.35">
      <c r="A124" s="8" t="s">
        <v>8</v>
      </c>
      <c r="B124" s="89">
        <v>-85.776826799827404</v>
      </c>
      <c r="C124" s="85">
        <v>56.632482156035877</v>
      </c>
      <c r="D124" s="24">
        <v>0</v>
      </c>
      <c r="E124" s="26">
        <v>0</v>
      </c>
      <c r="H124" s="9"/>
    </row>
    <row r="125" spans="1:8" x14ac:dyDescent="0.35">
      <c r="A125" s="16" t="s">
        <v>9</v>
      </c>
      <c r="B125" s="90">
        <v>85.77682679982739</v>
      </c>
      <c r="C125" s="91">
        <v>-56.632482156035898</v>
      </c>
      <c r="D125" s="27">
        <v>0</v>
      </c>
      <c r="E125" s="29">
        <v>0</v>
      </c>
      <c r="F125" s="33"/>
      <c r="H125" s="9"/>
    </row>
    <row r="126" spans="1:8" x14ac:dyDescent="0.35">
      <c r="A126" s="8" t="s">
        <v>10</v>
      </c>
      <c r="B126" s="22">
        <v>0</v>
      </c>
      <c r="C126" s="21">
        <v>0</v>
      </c>
      <c r="D126" s="21">
        <v>0</v>
      </c>
      <c r="E126" s="23">
        <v>0</v>
      </c>
    </row>
    <row r="127" spans="1:8" x14ac:dyDescent="0.35">
      <c r="A127" s="8" t="s">
        <v>11</v>
      </c>
      <c r="B127" s="22">
        <v>0</v>
      </c>
      <c r="C127" s="21">
        <v>0</v>
      </c>
      <c r="D127" s="21">
        <v>0</v>
      </c>
      <c r="E127" s="23">
        <v>0</v>
      </c>
    </row>
    <row r="128" spans="1:8" x14ac:dyDescent="0.35">
      <c r="A128" s="16" t="s">
        <v>12</v>
      </c>
      <c r="B128" s="28">
        <v>0</v>
      </c>
      <c r="C128" s="27">
        <v>0</v>
      </c>
      <c r="D128" s="27">
        <v>0</v>
      </c>
      <c r="E128" s="29">
        <v>0</v>
      </c>
    </row>
    <row r="131" spans="1:7" ht="18.5" x14ac:dyDescent="0.45">
      <c r="A131" s="36" t="s">
        <v>50</v>
      </c>
    </row>
    <row r="133" spans="1:7" x14ac:dyDescent="0.35">
      <c r="A133" s="9" t="s">
        <v>72</v>
      </c>
    </row>
    <row r="134" spans="1:7" x14ac:dyDescent="0.35">
      <c r="A134" t="s">
        <v>54</v>
      </c>
    </row>
    <row r="135" spans="1:7" x14ac:dyDescent="0.35">
      <c r="A135" s="4"/>
      <c r="B135" s="5" t="s">
        <v>74</v>
      </c>
      <c r="C135" s="5" t="s">
        <v>75</v>
      </c>
      <c r="D135" s="5" t="s">
        <v>76</v>
      </c>
      <c r="E135" s="7" t="s">
        <v>77</v>
      </c>
    </row>
    <row r="136" spans="1:7" x14ac:dyDescent="0.35">
      <c r="A136" s="12" t="s">
        <v>0</v>
      </c>
      <c r="B136" s="25">
        <f t="array" ref="B136:E150">MMULT(B93:P107,B114:E128)</f>
        <v>-10.42015171459812</v>
      </c>
      <c r="C136" s="24">
        <v>6.8797025730188359</v>
      </c>
      <c r="D136" s="24">
        <v>7.5344343197503143</v>
      </c>
      <c r="E136" s="26">
        <v>-2.7717880520708564</v>
      </c>
      <c r="G136" s="33" t="s">
        <v>55</v>
      </c>
    </row>
    <row r="137" spans="1:7" x14ac:dyDescent="0.35">
      <c r="A137" s="8" t="s">
        <v>1</v>
      </c>
      <c r="B137" s="22">
        <v>-14.401858373033612</v>
      </c>
      <c r="C137" s="21">
        <v>9.5085469788702994</v>
      </c>
      <c r="D137" s="21">
        <v>-1.6335629698829441</v>
      </c>
      <c r="E137" s="23">
        <v>8.6778387789745004</v>
      </c>
      <c r="G137" s="33"/>
    </row>
    <row r="138" spans="1:7" x14ac:dyDescent="0.35">
      <c r="A138" s="8" t="s">
        <v>2</v>
      </c>
      <c r="B138" s="22">
        <v>-10.140815398134279</v>
      </c>
      <c r="C138" s="21">
        <v>6.6952762011434785</v>
      </c>
      <c r="D138" s="21">
        <v>5.0882073979295459</v>
      </c>
      <c r="E138" s="23">
        <v>2.0796918552047332</v>
      </c>
      <c r="G138" s="33"/>
    </row>
    <row r="139" spans="1:7" x14ac:dyDescent="0.35">
      <c r="A139" s="12" t="s">
        <v>3</v>
      </c>
      <c r="B139" s="25">
        <v>-12.175210638156237</v>
      </c>
      <c r="C139" s="24">
        <v>8.0384461041026398</v>
      </c>
      <c r="D139" s="24">
        <v>10.919823202854362</v>
      </c>
      <c r="E139" s="26">
        <v>-4.1264795440405262</v>
      </c>
      <c r="G139" s="33"/>
    </row>
    <row r="140" spans="1:7" x14ac:dyDescent="0.35">
      <c r="A140" s="8" t="s">
        <v>4</v>
      </c>
      <c r="B140" s="22">
        <v>-18.101508664738759</v>
      </c>
      <c r="C140" s="21">
        <v>11.951169152543272</v>
      </c>
      <c r="D140" s="21">
        <v>-2.3700865588597146</v>
      </c>
      <c r="E140" s="23">
        <v>12.059756629600695</v>
      </c>
      <c r="G140" s="33"/>
    </row>
    <row r="141" spans="1:7" x14ac:dyDescent="0.35">
      <c r="A141" s="16" t="s">
        <v>5</v>
      </c>
      <c r="B141" s="28">
        <v>-10.603680080732801</v>
      </c>
      <c r="C141" s="27">
        <v>7.0008736084606369</v>
      </c>
      <c r="D141" s="27">
        <v>5.3204521839525176</v>
      </c>
      <c r="E141" s="29">
        <v>2.17461675746054</v>
      </c>
      <c r="G141" s="33"/>
    </row>
    <row r="142" spans="1:7" x14ac:dyDescent="0.35">
      <c r="A142" s="4" t="s">
        <v>68</v>
      </c>
      <c r="B142" s="31">
        <v>-5.0956921791413379</v>
      </c>
      <c r="C142" s="30">
        <v>3.3643316869405719</v>
      </c>
      <c r="D142" s="30">
        <v>2.6428731954833848</v>
      </c>
      <c r="E142" s="32">
        <v>0.15783626987856803</v>
      </c>
      <c r="G142" s="33"/>
    </row>
    <row r="143" spans="1:7" x14ac:dyDescent="0.35">
      <c r="A143" s="8" t="s">
        <v>6</v>
      </c>
      <c r="B143" s="22">
        <v>-7.8941230522681991</v>
      </c>
      <c r="C143" s="21">
        <v>5.2119412616931733</v>
      </c>
      <c r="D143" s="21">
        <v>3.5045652729840597</v>
      </c>
      <c r="E143" s="23">
        <v>0.57771746975769966</v>
      </c>
      <c r="G143" s="33" t="s">
        <v>56</v>
      </c>
    </row>
    <row r="144" spans="1:7" x14ac:dyDescent="0.35">
      <c r="A144" s="8" t="s">
        <v>7</v>
      </c>
      <c r="B144" s="22">
        <v>-9.835288130879519</v>
      </c>
      <c r="C144" s="21">
        <v>6.4935577632329071</v>
      </c>
      <c r="D144" s="21">
        <v>4.0572318322841214</v>
      </c>
      <c r="E144" s="23">
        <v>1.8870658713624247</v>
      </c>
      <c r="G144" s="33"/>
    </row>
    <row r="145" spans="1:11" x14ac:dyDescent="0.35">
      <c r="A145" s="4" t="s">
        <v>69</v>
      </c>
      <c r="B145" s="31">
        <v>-9.3518677321582473</v>
      </c>
      <c r="C145" s="30">
        <v>6.1743888440056338</v>
      </c>
      <c r="D145" s="30">
        <v>3.8578122927681004</v>
      </c>
      <c r="E145" s="32">
        <v>1.7943135163924513</v>
      </c>
      <c r="G145" s="33"/>
    </row>
    <row r="146" spans="1:11" x14ac:dyDescent="0.35">
      <c r="A146" s="12" t="s">
        <v>8</v>
      </c>
      <c r="B146" s="25">
        <v>-94.539151410677761</v>
      </c>
      <c r="C146" s="24">
        <v>62.417636616545416</v>
      </c>
      <c r="D146" s="24">
        <v>3.7727925785884717</v>
      </c>
      <c r="E146" s="26">
        <v>1.0838694393298374</v>
      </c>
      <c r="G146" s="33" t="s">
        <v>57</v>
      </c>
    </row>
    <row r="147" spans="1:11" x14ac:dyDescent="0.35">
      <c r="A147" s="16" t="s">
        <v>9</v>
      </c>
      <c r="B147" s="28">
        <v>79.832021086437379</v>
      </c>
      <c r="C147" s="27">
        <v>-52.707539767221213</v>
      </c>
      <c r="D147" s="27">
        <v>2.5422522812271602</v>
      </c>
      <c r="E147" s="29">
        <v>0.80106656064938342</v>
      </c>
      <c r="G147" s="33"/>
    </row>
    <row r="148" spans="1:11" x14ac:dyDescent="0.35">
      <c r="A148" s="8" t="s">
        <v>10</v>
      </c>
      <c r="B148" s="22">
        <v>-0.20204010409613105</v>
      </c>
      <c r="C148" s="21">
        <v>0.13339305051152195</v>
      </c>
      <c r="D148" s="21">
        <v>0.22473210469945148</v>
      </c>
      <c r="E148" s="23">
        <v>0.60992549551910291</v>
      </c>
      <c r="G148" s="33"/>
    </row>
    <row r="149" spans="1:11" x14ac:dyDescent="0.35">
      <c r="A149" s="8" t="s">
        <v>11</v>
      </c>
      <c r="B149" s="22">
        <v>4.0268688986165984</v>
      </c>
      <c r="C149" s="21">
        <v>-2.6586618968523155</v>
      </c>
      <c r="D149" s="21">
        <v>2.1963674068638284</v>
      </c>
      <c r="E149" s="23">
        <v>0.81508822128451808</v>
      </c>
      <c r="F149" s="33"/>
      <c r="G149" s="33"/>
    </row>
    <row r="150" spans="1:11" x14ac:dyDescent="0.35">
      <c r="A150" s="16" t="s">
        <v>12</v>
      </c>
      <c r="B150" s="28">
        <v>-3.824828794520478</v>
      </c>
      <c r="C150" s="27">
        <v>2.5252688463407722</v>
      </c>
      <c r="D150" s="27">
        <v>0.57890048843671993</v>
      </c>
      <c r="E150" s="29">
        <v>1.5749862831963795</v>
      </c>
      <c r="G150" s="33"/>
    </row>
    <row r="151" spans="1:11" x14ac:dyDescent="0.35">
      <c r="G151" s="33"/>
    </row>
    <row r="154" spans="1:11" x14ac:dyDescent="0.35">
      <c r="A154" s="37" t="s">
        <v>58</v>
      </c>
      <c r="B154" s="38" t="s">
        <v>78</v>
      </c>
    </row>
    <row r="155" spans="1:11" x14ac:dyDescent="0.35">
      <c r="A155" s="37" t="s">
        <v>59</v>
      </c>
      <c r="B155" s="73" t="s">
        <v>51</v>
      </c>
      <c r="C155" s="74">
        <f>SUM(B136:B138)</f>
        <v>-34.962825485766011</v>
      </c>
    </row>
    <row r="156" spans="1:11" x14ac:dyDescent="0.35">
      <c r="A156" s="37"/>
      <c r="B156" s="73" t="s">
        <v>52</v>
      </c>
      <c r="C156" s="74">
        <f>SUM(B143:B144)</f>
        <v>-17.729411183147718</v>
      </c>
    </row>
    <row r="157" spans="1:11" x14ac:dyDescent="0.35">
      <c r="A157" s="37"/>
      <c r="B157" s="75" t="s">
        <v>53</v>
      </c>
      <c r="C157" s="76">
        <f>SUM(B146:B147)</f>
        <v>-14.707130324240381</v>
      </c>
    </row>
    <row r="158" spans="1:11" ht="7.5" customHeight="1" x14ac:dyDescent="0.35">
      <c r="A158" s="37"/>
      <c r="B158" s="77"/>
      <c r="C158" s="78"/>
    </row>
    <row r="159" spans="1:11" x14ac:dyDescent="0.35">
      <c r="A159" s="37"/>
      <c r="B159" s="79" t="s">
        <v>97</v>
      </c>
      <c r="C159" s="52"/>
      <c r="D159" s="52"/>
      <c r="E159" s="52"/>
      <c r="F159" s="52"/>
      <c r="G159" s="52"/>
      <c r="H159" s="52"/>
      <c r="I159" s="52"/>
      <c r="J159" s="52"/>
      <c r="K159" s="53"/>
    </row>
    <row r="161" spans="1:11" x14ac:dyDescent="0.35">
      <c r="A161" s="37" t="s">
        <v>60</v>
      </c>
      <c r="B161" s="38" t="s">
        <v>79</v>
      </c>
    </row>
    <row r="162" spans="1:11" x14ac:dyDescent="0.35">
      <c r="A162" s="37" t="s">
        <v>61</v>
      </c>
      <c r="B162" s="73" t="s">
        <v>51</v>
      </c>
      <c r="C162" s="74">
        <f>SUM(C136:C138)</f>
        <v>23.083525753032614</v>
      </c>
    </row>
    <row r="163" spans="1:11" x14ac:dyDescent="0.35">
      <c r="A163" s="37"/>
      <c r="B163" s="73" t="s">
        <v>52</v>
      </c>
      <c r="C163" s="74">
        <f>SUM(C143:C144)</f>
        <v>11.70549902492608</v>
      </c>
    </row>
    <row r="164" spans="1:11" x14ac:dyDescent="0.35">
      <c r="A164" s="37"/>
      <c r="B164" s="75" t="s">
        <v>53</v>
      </c>
      <c r="C164" s="76">
        <f>SUM(C146:C147)</f>
        <v>9.7100968493242021</v>
      </c>
    </row>
    <row r="165" spans="1:11" ht="8.15" customHeight="1" x14ac:dyDescent="0.35">
      <c r="A165" s="37"/>
      <c r="B165" s="77"/>
      <c r="C165" s="78"/>
    </row>
    <row r="166" spans="1:11" x14ac:dyDescent="0.35">
      <c r="A166" s="37"/>
      <c r="B166" s="79" t="s">
        <v>91</v>
      </c>
      <c r="C166" s="52"/>
      <c r="D166" s="52"/>
      <c r="E166" s="52"/>
      <c r="F166" s="52"/>
      <c r="G166" s="52"/>
      <c r="H166" s="52"/>
      <c r="I166" s="52"/>
      <c r="J166" s="52"/>
      <c r="K166" s="53"/>
    </row>
    <row r="167" spans="1:11" x14ac:dyDescent="0.35">
      <c r="A167" s="37"/>
      <c r="B167" s="38"/>
    </row>
    <row r="168" spans="1:11" x14ac:dyDescent="0.35">
      <c r="A168" s="37" t="s">
        <v>62</v>
      </c>
      <c r="B168" s="38" t="s">
        <v>89</v>
      </c>
    </row>
    <row r="169" spans="1:11" x14ac:dyDescent="0.35">
      <c r="A169" s="37" t="s">
        <v>63</v>
      </c>
      <c r="B169" s="73" t="s">
        <v>51</v>
      </c>
      <c r="C169" s="74">
        <f>SUM(D136:D138)</f>
        <v>10.989078747796917</v>
      </c>
    </row>
    <row r="170" spans="1:11" x14ac:dyDescent="0.35">
      <c r="A170" s="37"/>
      <c r="B170" s="73" t="s">
        <v>52</v>
      </c>
      <c r="C170" s="74">
        <f>SUM(D143:D144)</f>
        <v>7.5617971052681812</v>
      </c>
    </row>
    <row r="171" spans="1:11" x14ac:dyDescent="0.35">
      <c r="A171" s="37"/>
      <c r="B171" s="73" t="s">
        <v>53</v>
      </c>
      <c r="C171" s="74">
        <f>SUM(D146:D147)</f>
        <v>6.3150448598156323</v>
      </c>
    </row>
    <row r="172" spans="1:11" x14ac:dyDescent="0.35">
      <c r="A172" s="37"/>
      <c r="B172" s="38"/>
    </row>
    <row r="173" spans="1:11" x14ac:dyDescent="0.35">
      <c r="A173" s="37" t="s">
        <v>64</v>
      </c>
      <c r="B173" s="38" t="s">
        <v>90</v>
      </c>
    </row>
    <row r="174" spans="1:11" x14ac:dyDescent="0.35">
      <c r="A174" s="37" t="s">
        <v>65</v>
      </c>
      <c r="B174" s="73" t="s">
        <v>51</v>
      </c>
      <c r="C174" s="74">
        <f>SUM(E136:E138)</f>
        <v>7.9857425821083767</v>
      </c>
    </row>
    <row r="175" spans="1:11" x14ac:dyDescent="0.35">
      <c r="A175" s="37"/>
      <c r="B175" s="73" t="s">
        <v>52</v>
      </c>
      <c r="C175" s="74">
        <f>SUM(E143:E144)</f>
        <v>2.4647833411201243</v>
      </c>
    </row>
    <row r="176" spans="1:11" x14ac:dyDescent="0.35">
      <c r="A176" s="37"/>
      <c r="B176" s="73" t="s">
        <v>53</v>
      </c>
      <c r="C176" s="74">
        <f>SUM(E146:E147)</f>
        <v>1.8849359999792208</v>
      </c>
    </row>
    <row r="177" spans="1:3" x14ac:dyDescent="0.35">
      <c r="A177" s="37"/>
      <c r="B177" s="38"/>
    </row>
    <row r="178" spans="1:3" x14ac:dyDescent="0.35">
      <c r="A178" s="37" t="s">
        <v>66</v>
      </c>
      <c r="B178" s="54" t="s">
        <v>83</v>
      </c>
      <c r="C178" s="38"/>
    </row>
    <row r="179" spans="1:3" x14ac:dyDescent="0.35">
      <c r="A179" s="37" t="s">
        <v>67</v>
      </c>
      <c r="B179" s="38" t="s">
        <v>80</v>
      </c>
    </row>
    <row r="180" spans="1:3" x14ac:dyDescent="0.35">
      <c r="A180" s="37"/>
      <c r="B180" s="38"/>
    </row>
    <row r="181" spans="1:3" x14ac:dyDescent="0.35">
      <c r="A181" s="37"/>
      <c r="B181" s="39"/>
    </row>
    <row r="182" spans="1:3" x14ac:dyDescent="0.35">
      <c r="A182" s="37"/>
      <c r="B182" s="38"/>
    </row>
    <row r="183" spans="1:3" x14ac:dyDescent="0.35">
      <c r="A183" s="37"/>
      <c r="B183" s="40"/>
    </row>
    <row r="184" spans="1:3" x14ac:dyDescent="0.35">
      <c r="A184" s="37"/>
      <c r="B184" s="38"/>
    </row>
    <row r="185" spans="1:3" x14ac:dyDescent="0.35">
      <c r="A185" s="37"/>
      <c r="B185" s="38"/>
    </row>
    <row r="186" spans="1:3" x14ac:dyDescent="0.35">
      <c r="A186" s="37"/>
      <c r="B186" s="38"/>
    </row>
    <row r="187" spans="1:3" x14ac:dyDescent="0.35">
      <c r="A187" s="37"/>
      <c r="B187" s="3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Ex4x_Question</vt:lpstr>
      <vt:lpstr>Ex4x_Answer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JTHURLOW</dc:creator>
  <cp:lastModifiedBy>Aragie, Emerta (IFPRI)</cp:lastModifiedBy>
  <dcterms:created xsi:type="dcterms:W3CDTF">2009-04-29T11:56:01Z</dcterms:created>
  <dcterms:modified xsi:type="dcterms:W3CDTF">2026-02-06T10:04:52Z</dcterms:modified>
</cp:coreProperties>
</file>