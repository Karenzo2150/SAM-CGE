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RAGIE\IFPRI Dropbox\Emerta Aragie\Rwanda MINECOFIN-GIZ project 2026\2 Exercises\1 Introductory Exercises\"/>
    </mc:Choice>
  </mc:AlternateContent>
  <xr:revisionPtr revIDLastSave="0" documentId="13_ncr:1_{1EC5F4F7-016F-476F-9116-F06477657F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2_Question" sheetId="2" r:id="rId1"/>
    <sheet name="Ex2_Answer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2" l="1"/>
  <c r="AA20" i="2"/>
  <c r="Z20" i="2"/>
  <c r="AB19" i="2"/>
  <c r="AA19" i="2"/>
  <c r="Z19" i="2"/>
  <c r="AB18" i="2"/>
  <c r="AA18" i="2"/>
  <c r="Z18" i="2"/>
  <c r="AB17" i="2"/>
  <c r="AA17" i="2"/>
  <c r="Z17" i="2"/>
  <c r="AB16" i="2"/>
  <c r="AA16" i="2"/>
  <c r="Z16" i="2"/>
  <c r="AB15" i="2"/>
  <c r="AA15" i="2"/>
  <c r="Z15" i="2"/>
  <c r="AB14" i="2"/>
  <c r="AA14" i="2"/>
  <c r="Z14" i="2"/>
  <c r="B96" i="2" l="1"/>
  <c r="D289" i="3"/>
  <c r="D288" i="3"/>
  <c r="D287" i="3"/>
  <c r="D286" i="3"/>
  <c r="E297" i="3" s="1"/>
  <c r="D285" i="3"/>
  <c r="D284" i="3"/>
  <c r="D283" i="3"/>
  <c r="E257" i="3"/>
  <c r="E256" i="3"/>
  <c r="D257" i="3"/>
  <c r="C257" i="3"/>
  <c r="B257" i="3"/>
  <c r="D256" i="3"/>
  <c r="C256" i="3"/>
  <c r="F257" i="3"/>
  <c r="F256" i="3"/>
  <c r="B256" i="3"/>
  <c r="B258" i="3" s="1"/>
  <c r="C211" i="3"/>
  <c r="B211" i="3"/>
  <c r="C210" i="3"/>
  <c r="B210" i="3"/>
  <c r="D210" i="3" s="1"/>
  <c r="C209" i="3"/>
  <c r="B209" i="3"/>
  <c r="C208" i="3"/>
  <c r="B208" i="3"/>
  <c r="D208" i="3" s="1"/>
  <c r="C207" i="3"/>
  <c r="B207" i="3"/>
  <c r="C206" i="3"/>
  <c r="B206" i="3"/>
  <c r="C205" i="3"/>
  <c r="B205" i="3"/>
  <c r="C204" i="3"/>
  <c r="B204" i="3"/>
  <c r="D204" i="3" s="1"/>
  <c r="C203" i="3"/>
  <c r="B203" i="3"/>
  <c r="F159" i="3"/>
  <c r="E159" i="3"/>
  <c r="D159" i="3"/>
  <c r="C159" i="3"/>
  <c r="B159" i="3"/>
  <c r="F158" i="3"/>
  <c r="E158" i="3"/>
  <c r="D158" i="3"/>
  <c r="C158" i="3"/>
  <c r="B158" i="3"/>
  <c r="F157" i="3"/>
  <c r="E157" i="3"/>
  <c r="D157" i="3"/>
  <c r="C157" i="3"/>
  <c r="B157" i="3"/>
  <c r="F156" i="3"/>
  <c r="E156" i="3"/>
  <c r="D156" i="3"/>
  <c r="C156" i="3"/>
  <c r="B156" i="3"/>
  <c r="F155" i="3"/>
  <c r="E155" i="3"/>
  <c r="D155" i="3"/>
  <c r="C155" i="3"/>
  <c r="B155" i="3"/>
  <c r="F154" i="3"/>
  <c r="E154" i="3"/>
  <c r="D154" i="3"/>
  <c r="C154" i="3"/>
  <c r="B154" i="3"/>
  <c r="F153" i="3"/>
  <c r="E153" i="3"/>
  <c r="D153" i="3"/>
  <c r="C153" i="3"/>
  <c r="B153" i="3"/>
  <c r="H129" i="3"/>
  <c r="C129" i="3"/>
  <c r="G129" i="3"/>
  <c r="F129" i="3"/>
  <c r="E129" i="3"/>
  <c r="D129" i="3"/>
  <c r="B129" i="3"/>
  <c r="B128" i="3" a="1"/>
  <c r="B128" i="3" s="1"/>
  <c r="I115" i="3"/>
  <c r="H115" i="3"/>
  <c r="G115" i="3"/>
  <c r="F115" i="3"/>
  <c r="E115" i="3"/>
  <c r="D115" i="3"/>
  <c r="C115" i="3"/>
  <c r="B115" i="3"/>
  <c r="I114" i="3"/>
  <c r="H114" i="3"/>
  <c r="G114" i="3"/>
  <c r="F114" i="3"/>
  <c r="E114" i="3"/>
  <c r="D114" i="3"/>
  <c r="C114" i="3"/>
  <c r="B114" i="3"/>
  <c r="F258" i="3" l="1"/>
  <c r="B99" i="2"/>
  <c r="E295" i="3"/>
  <c r="E296" i="3"/>
  <c r="D203" i="3"/>
  <c r="D211" i="3"/>
  <c r="G154" i="3"/>
  <c r="G189" i="3" s="1"/>
  <c r="G156" i="3"/>
  <c r="E191" i="3" s="1"/>
  <c r="D206" i="3"/>
  <c r="E294" i="3"/>
  <c r="I129" i="3"/>
  <c r="F191" i="3"/>
  <c r="D207" i="3"/>
  <c r="E192" i="3"/>
  <c r="B130" i="3"/>
  <c r="C258" i="3"/>
  <c r="B136" i="3"/>
  <c r="G159" i="3"/>
  <c r="D194" i="3" s="1"/>
  <c r="G158" i="3"/>
  <c r="D193" i="3"/>
  <c r="D205" i="3"/>
  <c r="D209" i="3"/>
  <c r="G157" i="3"/>
  <c r="B192" i="3" s="1"/>
  <c r="G155" i="3"/>
  <c r="E258" i="3"/>
  <c r="D258" i="3"/>
  <c r="H128" i="3"/>
  <c r="G128" i="3"/>
  <c r="F128" i="3"/>
  <c r="E128" i="3"/>
  <c r="D128" i="3"/>
  <c r="C128" i="3"/>
  <c r="G257" i="3"/>
  <c r="G256" i="3"/>
  <c r="C212" i="3"/>
  <c r="C233" i="3" s="1"/>
  <c r="B212" i="3"/>
  <c r="B234" i="3" s="1"/>
  <c r="F160" i="3"/>
  <c r="F172" i="3" s="1"/>
  <c r="E160" i="3"/>
  <c r="E168" i="3" s="1"/>
  <c r="D160" i="3"/>
  <c r="D169" i="3" s="1"/>
  <c r="C160" i="3"/>
  <c r="C170" i="3" s="1"/>
  <c r="B160" i="3"/>
  <c r="B170" i="3" s="1"/>
  <c r="G153" i="3"/>
  <c r="H45" i="3"/>
  <c r="G45" i="3"/>
  <c r="F45" i="3"/>
  <c r="E45" i="3"/>
  <c r="D45" i="3"/>
  <c r="C45" i="3"/>
  <c r="B45" i="3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40" i="3"/>
  <c r="G40" i="3"/>
  <c r="F40" i="3"/>
  <c r="E40" i="3"/>
  <c r="D40" i="3"/>
  <c r="C40" i="3"/>
  <c r="B40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D189" i="3" l="1"/>
  <c r="C168" i="3"/>
  <c r="C171" i="3"/>
  <c r="C191" i="3"/>
  <c r="E189" i="3"/>
  <c r="D212" i="3"/>
  <c r="D236" i="3" s="1"/>
  <c r="C189" i="3"/>
  <c r="B236" i="3"/>
  <c r="C235" i="3"/>
  <c r="B191" i="3"/>
  <c r="D191" i="3"/>
  <c r="F189" i="3"/>
  <c r="B233" i="3"/>
  <c r="B239" i="3"/>
  <c r="B250" i="3" s="1"/>
  <c r="I128" i="3"/>
  <c r="I136" i="3" s="1"/>
  <c r="E172" i="3"/>
  <c r="F173" i="3"/>
  <c r="C232" i="3"/>
  <c r="B232" i="3"/>
  <c r="C236" i="3"/>
  <c r="C237" i="3"/>
  <c r="B231" i="3"/>
  <c r="B235" i="3"/>
  <c r="G191" i="3"/>
  <c r="B238" i="3"/>
  <c r="B237" i="3"/>
  <c r="B247" i="3" s="1"/>
  <c r="B189" i="3"/>
  <c r="G188" i="3"/>
  <c r="F188" i="3"/>
  <c r="B190" i="3"/>
  <c r="G190" i="3"/>
  <c r="C190" i="3"/>
  <c r="G193" i="3"/>
  <c r="H136" i="3"/>
  <c r="H130" i="3"/>
  <c r="G194" i="3"/>
  <c r="B194" i="3"/>
  <c r="D190" i="3"/>
  <c r="D170" i="3"/>
  <c r="D174" i="3"/>
  <c r="E188" i="3"/>
  <c r="E174" i="3"/>
  <c r="E170" i="3"/>
  <c r="E171" i="3"/>
  <c r="B171" i="3"/>
  <c r="E173" i="3"/>
  <c r="F167" i="3"/>
  <c r="F171" i="3"/>
  <c r="F174" i="3"/>
  <c r="D130" i="3"/>
  <c r="D136" i="3"/>
  <c r="F169" i="3"/>
  <c r="C172" i="3"/>
  <c r="D173" i="3"/>
  <c r="D188" i="3"/>
  <c r="C188" i="3"/>
  <c r="B174" i="3"/>
  <c r="B173" i="3"/>
  <c r="B169" i="3"/>
  <c r="B168" i="3"/>
  <c r="C194" i="3"/>
  <c r="C167" i="3"/>
  <c r="D172" i="3"/>
  <c r="C173" i="3"/>
  <c r="C130" i="3"/>
  <c r="C136" i="3"/>
  <c r="G192" i="3"/>
  <c r="F192" i="3"/>
  <c r="C193" i="3"/>
  <c r="E130" i="3"/>
  <c r="E136" i="3"/>
  <c r="F168" i="3"/>
  <c r="D168" i="3"/>
  <c r="B172" i="3"/>
  <c r="E194" i="3"/>
  <c r="F193" i="3"/>
  <c r="F190" i="3"/>
  <c r="G130" i="3"/>
  <c r="G136" i="3"/>
  <c r="E190" i="3"/>
  <c r="C174" i="3"/>
  <c r="C169" i="3"/>
  <c r="G258" i="3"/>
  <c r="D171" i="3"/>
  <c r="D192" i="3"/>
  <c r="C239" i="3"/>
  <c r="C238" i="3"/>
  <c r="B244" i="3" s="1"/>
  <c r="C234" i="3"/>
  <c r="C231" i="3"/>
  <c r="F130" i="3"/>
  <c r="F136" i="3"/>
  <c r="E167" i="3"/>
  <c r="D167" i="3"/>
  <c r="F194" i="3"/>
  <c r="B167" i="3"/>
  <c r="E169" i="3"/>
  <c r="F170" i="3"/>
  <c r="E193" i="3"/>
  <c r="B193" i="3"/>
  <c r="C192" i="3"/>
  <c r="B188" i="3"/>
  <c r="C264" i="3"/>
  <c r="F264" i="3"/>
  <c r="G264" i="3"/>
  <c r="E264" i="3"/>
  <c r="D264" i="3"/>
  <c r="B264" i="3"/>
  <c r="C265" i="3"/>
  <c r="B265" i="3"/>
  <c r="G265" i="3"/>
  <c r="F265" i="3"/>
  <c r="E265" i="3"/>
  <c r="D265" i="3"/>
  <c r="C46" i="3"/>
  <c r="I39" i="3"/>
  <c r="B52" i="3"/>
  <c r="B69" i="3" s="1"/>
  <c r="I37" i="3"/>
  <c r="D52" i="3"/>
  <c r="D69" i="3" s="1"/>
  <c r="I45" i="3"/>
  <c r="F46" i="3"/>
  <c r="I44" i="3"/>
  <c r="I38" i="3"/>
  <c r="C52" i="3"/>
  <c r="C69" i="3" s="1"/>
  <c r="C68" i="3"/>
  <c r="G46" i="3"/>
  <c r="G83" i="3" s="1"/>
  <c r="I43" i="3"/>
  <c r="F52" i="3"/>
  <c r="F68" i="3" s="1"/>
  <c r="G160" i="3"/>
  <c r="G171" i="3" s="1"/>
  <c r="H46" i="3"/>
  <c r="H89" i="3" s="1"/>
  <c r="I42" i="3"/>
  <c r="I41" i="3"/>
  <c r="H52" i="3"/>
  <c r="H68" i="3" s="1"/>
  <c r="D46" i="3"/>
  <c r="G52" i="3"/>
  <c r="G69" i="3" s="1"/>
  <c r="B46" i="3"/>
  <c r="B90" i="3" s="1"/>
  <c r="I40" i="3"/>
  <c r="E52" i="3"/>
  <c r="E69" i="3" s="1"/>
  <c r="E46" i="3"/>
  <c r="E86" i="3" s="1"/>
  <c r="D233" i="3" l="1"/>
  <c r="D68" i="3"/>
  <c r="D235" i="3"/>
  <c r="D231" i="3"/>
  <c r="B68" i="3"/>
  <c r="D232" i="3"/>
  <c r="B240" i="3"/>
  <c r="D238" i="3"/>
  <c r="D237" i="3"/>
  <c r="D234" i="3"/>
  <c r="D239" i="3"/>
  <c r="I130" i="3"/>
  <c r="E87" i="3"/>
  <c r="E68" i="3"/>
  <c r="E70" i="3" s="1"/>
  <c r="C70" i="3"/>
  <c r="G92" i="3"/>
  <c r="G137" i="3"/>
  <c r="G91" i="3"/>
  <c r="C240" i="3"/>
  <c r="G173" i="3"/>
  <c r="H92" i="3"/>
  <c r="H137" i="3"/>
  <c r="D92" i="3"/>
  <c r="D137" i="3"/>
  <c r="C92" i="3"/>
  <c r="C137" i="3"/>
  <c r="G266" i="3"/>
  <c r="B266" i="3"/>
  <c r="F266" i="3"/>
  <c r="D266" i="3"/>
  <c r="F195" i="3"/>
  <c r="G89" i="3"/>
  <c r="C266" i="3"/>
  <c r="E195" i="3"/>
  <c r="F92" i="3"/>
  <c r="F137" i="3"/>
  <c r="G195" i="3"/>
  <c r="G174" i="3"/>
  <c r="G170" i="3"/>
  <c r="G168" i="3"/>
  <c r="D195" i="3"/>
  <c r="E85" i="3"/>
  <c r="E137" i="3"/>
  <c r="G90" i="3"/>
  <c r="C87" i="3"/>
  <c r="C195" i="3"/>
  <c r="E266" i="3"/>
  <c r="B195" i="3"/>
  <c r="G167" i="3"/>
  <c r="G88" i="3"/>
  <c r="G169" i="3"/>
  <c r="B92" i="3"/>
  <c r="B137" i="3"/>
  <c r="G68" i="3"/>
  <c r="G70" i="3" s="1"/>
  <c r="B86" i="3"/>
  <c r="F83" i="3"/>
  <c r="G172" i="3"/>
  <c r="C86" i="3"/>
  <c r="C90" i="3"/>
  <c r="F87" i="3"/>
  <c r="B99" i="3" s="1"/>
  <c r="B85" i="3"/>
  <c r="B96" i="3" s="1"/>
  <c r="F88" i="3"/>
  <c r="H83" i="3"/>
  <c r="G86" i="3"/>
  <c r="C84" i="3"/>
  <c r="C91" i="3"/>
  <c r="C85" i="3"/>
  <c r="F86" i="3"/>
  <c r="H84" i="3"/>
  <c r="E90" i="3"/>
  <c r="C89" i="3"/>
  <c r="D70" i="3"/>
  <c r="H88" i="3"/>
  <c r="H91" i="3"/>
  <c r="H86" i="3"/>
  <c r="E88" i="3"/>
  <c r="C88" i="3"/>
  <c r="G85" i="3"/>
  <c r="C83" i="3"/>
  <c r="B70" i="3"/>
  <c r="E84" i="3"/>
  <c r="D89" i="3"/>
  <c r="E91" i="3"/>
  <c r="E83" i="3"/>
  <c r="D88" i="3"/>
  <c r="D87" i="3"/>
  <c r="D86" i="3"/>
  <c r="F90" i="3"/>
  <c r="G87" i="3"/>
  <c r="B87" i="3"/>
  <c r="I46" i="3"/>
  <c r="I86" i="3" s="1"/>
  <c r="E92" i="3"/>
  <c r="I52" i="3"/>
  <c r="G58" i="3" s="1"/>
  <c r="D84" i="3"/>
  <c r="B91" i="3"/>
  <c r="B83" i="3"/>
  <c r="H87" i="3"/>
  <c r="H90" i="3"/>
  <c r="B84" i="3"/>
  <c r="E89" i="3"/>
  <c r="B88" i="3"/>
  <c r="F69" i="3"/>
  <c r="F70" i="3" s="1"/>
  <c r="H85" i="3"/>
  <c r="D90" i="3"/>
  <c r="D91" i="3"/>
  <c r="F89" i="3"/>
  <c r="D85" i="3"/>
  <c r="D83" i="3"/>
  <c r="H69" i="3"/>
  <c r="H70" i="3" s="1"/>
  <c r="F85" i="3"/>
  <c r="F84" i="3"/>
  <c r="F91" i="3"/>
  <c r="G84" i="3"/>
  <c r="B89" i="3"/>
  <c r="D240" i="3" l="1"/>
  <c r="D58" i="3"/>
  <c r="I92" i="3"/>
  <c r="I137" i="3"/>
  <c r="F58" i="3"/>
  <c r="H58" i="3"/>
  <c r="E58" i="3"/>
  <c r="I88" i="3"/>
  <c r="I87" i="3"/>
  <c r="I83" i="3"/>
  <c r="I68" i="3"/>
  <c r="I89" i="3"/>
  <c r="I85" i="3"/>
  <c r="I91" i="3"/>
  <c r="B58" i="3"/>
  <c r="I90" i="3"/>
  <c r="I69" i="3"/>
  <c r="C58" i="3"/>
  <c r="B62" i="3" s="1"/>
  <c r="I84" i="3"/>
  <c r="B244" i="2" l="1"/>
  <c r="B250" i="2"/>
  <c r="B247" i="2"/>
  <c r="I58" i="3"/>
  <c r="I70" i="3"/>
</calcChain>
</file>

<file path=xl/sharedStrings.xml><?xml version="1.0" encoding="utf-8"?>
<sst xmlns="http://schemas.openxmlformats.org/spreadsheetml/2006/main" count="895" uniqueCount="214">
  <si>
    <t>aagr</t>
  </si>
  <si>
    <t>amin</t>
  </si>
  <si>
    <t>aman</t>
  </si>
  <si>
    <t>aelco</t>
  </si>
  <si>
    <t>apubs</t>
  </si>
  <si>
    <t>cagr</t>
  </si>
  <si>
    <t>cmin</t>
  </si>
  <si>
    <t>cman</t>
  </si>
  <si>
    <t>celco</t>
  </si>
  <si>
    <t>cpubs</t>
  </si>
  <si>
    <t>lab</t>
  </si>
  <si>
    <t>cap</t>
  </si>
  <si>
    <t>hrur</t>
  </si>
  <si>
    <t>hurb</t>
  </si>
  <si>
    <t>gov</t>
  </si>
  <si>
    <t>s-i</t>
  </si>
  <si>
    <t>row</t>
  </si>
  <si>
    <t>total</t>
  </si>
  <si>
    <t>Activties</t>
  </si>
  <si>
    <t>Government</t>
  </si>
  <si>
    <t>Column and row total</t>
  </si>
  <si>
    <t>Rest of the world</t>
  </si>
  <si>
    <t>Households - rural</t>
  </si>
  <si>
    <t>Households - urban</t>
  </si>
  <si>
    <t>Factor - labor</t>
  </si>
  <si>
    <t>Factor - capital</t>
  </si>
  <si>
    <t>Activity - agriculture</t>
  </si>
  <si>
    <t>Activity - mining</t>
  </si>
  <si>
    <t>Activity - manufacturing</t>
  </si>
  <si>
    <t>Activity - trade and transports</t>
  </si>
  <si>
    <t>Activity - public services</t>
  </si>
  <si>
    <t>Activity - private services</t>
  </si>
  <si>
    <t>Commodity - agriculture</t>
  </si>
  <si>
    <t>Commodity - mining</t>
  </si>
  <si>
    <t>Commodity - manufacturing</t>
  </si>
  <si>
    <t>Commodity - trade and transports</t>
  </si>
  <si>
    <t>Commodity - public services</t>
  </si>
  <si>
    <t>Commodity - private services</t>
  </si>
  <si>
    <t>Copy the activity column values below and calculated the total for all sectors</t>
  </si>
  <si>
    <t>Activity production values</t>
  </si>
  <si>
    <t>PART 1: PRODUCTION SHARES</t>
  </si>
  <si>
    <t>Gross domestic product (GDP) at factor cost</t>
  </si>
  <si>
    <t>GDP fc</t>
  </si>
  <si>
    <t>GDP sectoral shares</t>
  </si>
  <si>
    <t>Q1:</t>
  </si>
  <si>
    <t>A1:</t>
  </si>
  <si>
    <t>Value-added shares</t>
  </si>
  <si>
    <t>Calculate capital and labor's contribution to each sector's GDP</t>
  </si>
  <si>
    <t>Which are the three most capital-intensive sectors?</t>
  </si>
  <si>
    <t>Q2:</t>
  </si>
  <si>
    <t>A2:</t>
  </si>
  <si>
    <t>Q3:</t>
  </si>
  <si>
    <t>A3:</t>
  </si>
  <si>
    <t>Activity production shares</t>
  </si>
  <si>
    <t>What share of trade output is from trade inputs?</t>
  </si>
  <si>
    <t>Q4:</t>
  </si>
  <si>
    <t>A4:</t>
  </si>
  <si>
    <t>Q5:</t>
  </si>
  <si>
    <t>A5:</t>
  </si>
  <si>
    <t>Trade data</t>
  </si>
  <si>
    <t>PART 2: COMMODITY SHARES</t>
  </si>
  <si>
    <t>Copy the value of imports and exports into the table below</t>
  </si>
  <si>
    <t>Imports</t>
  </si>
  <si>
    <t>Exports</t>
  </si>
  <si>
    <t>Calculate the share of commodity and factor inputs in each sector's gross output</t>
  </si>
  <si>
    <t>Calculate each sector's contribution or share to GDP</t>
  </si>
  <si>
    <t>Calculate the value of GDP from the above table</t>
  </si>
  <si>
    <t>SAM legend</t>
  </si>
  <si>
    <t>Trade shares</t>
  </si>
  <si>
    <t>Calculate the share of each commodity in total exports, and then in total imports</t>
  </si>
  <si>
    <t>Q6:</t>
  </si>
  <si>
    <t>A6:</t>
  </si>
  <si>
    <t>Q7:</t>
  </si>
  <si>
    <t>A7:</t>
  </si>
  <si>
    <t>Which are the three most labor-intensive sectors?</t>
  </si>
  <si>
    <t>What is the contribution of the mining sector to total GDP?</t>
  </si>
  <si>
    <t>Demand data</t>
  </si>
  <si>
    <t>Calculate total, intermediare and final demand for each commodity</t>
  </si>
  <si>
    <t>Total</t>
  </si>
  <si>
    <t>Intermediate</t>
  </si>
  <si>
    <t>Final</t>
  </si>
  <si>
    <t>Trade-intensities</t>
  </si>
  <si>
    <t>Calculate the import-penetration and export-intensities for each commodity</t>
  </si>
  <si>
    <t xml:space="preserve">Total demand is demand for all goods and services </t>
  </si>
  <si>
    <t>This is demand for commodities used in the production process</t>
  </si>
  <si>
    <t>Final demand includes private consumption, government consumption, investment, and exports</t>
  </si>
  <si>
    <t>Import penetration</t>
  </si>
  <si>
    <t>Export intensity</t>
  </si>
  <si>
    <t>Import penetration is the share of imports in total domestic demand</t>
  </si>
  <si>
    <t>Export intensity is the share of exports in gross output</t>
  </si>
  <si>
    <t>Q8:</t>
  </si>
  <si>
    <t>A8:</t>
  </si>
  <si>
    <t>Which sector exports the most of what it produces?</t>
  </si>
  <si>
    <t>Q9:</t>
  </si>
  <si>
    <t>A9:</t>
  </si>
  <si>
    <t>PART 3: DEMAND SHARES</t>
  </si>
  <si>
    <t>Demand values</t>
  </si>
  <si>
    <t>Copy commodity demand values into the table below</t>
  </si>
  <si>
    <t>demand</t>
  </si>
  <si>
    <t xml:space="preserve">Private </t>
  </si>
  <si>
    <t>Inter.</t>
  </si>
  <si>
    <t>cons.</t>
  </si>
  <si>
    <t>Govern.</t>
  </si>
  <si>
    <t>ment</t>
  </si>
  <si>
    <t>Invest-</t>
  </si>
  <si>
    <t>Q10:</t>
  </si>
  <si>
    <t>A10:</t>
  </si>
  <si>
    <t>Investment generates demand for which commodities?</t>
  </si>
  <si>
    <t>Q11:</t>
  </si>
  <si>
    <t>A11:</t>
  </si>
  <si>
    <r>
      <t>Demand shares</t>
    </r>
    <r>
      <rPr>
        <sz val="11"/>
        <color theme="1"/>
        <rFont val="Calibri"/>
        <family val="2"/>
        <scheme val="minor"/>
      </rPr>
      <t xml:space="preserve"> (by commodity)</t>
    </r>
  </si>
  <si>
    <r>
      <t>Demand shares</t>
    </r>
    <r>
      <rPr>
        <sz val="11"/>
        <color theme="1"/>
        <rFont val="Calibri"/>
        <family val="2"/>
        <scheme val="minor"/>
      </rPr>
      <t xml:space="preserve"> (by demand source)</t>
    </r>
  </si>
  <si>
    <t>Calculate the share of demand from each source for each commodity</t>
  </si>
  <si>
    <t>PART 4: HOUSEHOLD SHARES</t>
  </si>
  <si>
    <t>Household expenditure values</t>
  </si>
  <si>
    <t>Copy values of household expenditures into the table below</t>
  </si>
  <si>
    <t xml:space="preserve">Household tax expenditure  </t>
  </si>
  <si>
    <t>Household savings</t>
  </si>
  <si>
    <t>Total household expenditure</t>
  </si>
  <si>
    <t>Household expenditure on agricultural goods</t>
  </si>
  <si>
    <t>Household expenditure on mining goods</t>
  </si>
  <si>
    <t>Household expenditure on manufacturing goods</t>
  </si>
  <si>
    <t>Household expenditure on electricty and construction</t>
  </si>
  <si>
    <t>Household expenditure on trade services</t>
  </si>
  <si>
    <t>Household expenditure on public services</t>
  </si>
  <si>
    <t>Household expenditure on private services</t>
  </si>
  <si>
    <t>Which commodity do rural households spend most of their income on?</t>
  </si>
  <si>
    <t>Which commodity do urban households spend most of their income on?</t>
  </si>
  <si>
    <t>Q15:</t>
  </si>
  <si>
    <t>A15:</t>
  </si>
  <si>
    <t>Q14:</t>
  </si>
  <si>
    <t>A14:</t>
  </si>
  <si>
    <t>Q13:</t>
  </si>
  <si>
    <t>A13:</t>
  </si>
  <si>
    <t>Q12:</t>
  </si>
  <si>
    <t>A12:</t>
  </si>
  <si>
    <t>Household expenditure shares</t>
  </si>
  <si>
    <t>Calculate household expenditure on each item as a share of total household expenditure</t>
  </si>
  <si>
    <t>Q16:</t>
  </si>
  <si>
    <t>A16:</t>
  </si>
  <si>
    <t>Rural households spend which share of their income on private services?</t>
  </si>
  <si>
    <t>Q17:</t>
  </si>
  <si>
    <t>A17:</t>
  </si>
  <si>
    <t>Q18:</t>
  </si>
  <si>
    <t>A18:</t>
  </si>
  <si>
    <t>Household income values</t>
  </si>
  <si>
    <t>What is the most important source of income for households?</t>
  </si>
  <si>
    <t xml:space="preserve">Q19: </t>
  </si>
  <si>
    <t xml:space="preserve">A19: </t>
  </si>
  <si>
    <t xml:space="preserve">Q20: </t>
  </si>
  <si>
    <t xml:space="preserve">A20: </t>
  </si>
  <si>
    <t xml:space="preserve">Q21: </t>
  </si>
  <si>
    <t xml:space="preserve">A21: </t>
  </si>
  <si>
    <t>Household income shares</t>
  </si>
  <si>
    <t>Calculate household income from each source as a share of total household income</t>
  </si>
  <si>
    <t>Copy the values of household incomes into the table below</t>
  </si>
  <si>
    <t>PART 4: MACRO SHARES</t>
  </si>
  <si>
    <t>Macro values</t>
  </si>
  <si>
    <t>Calculate the following macro aggregate values</t>
  </si>
  <si>
    <t>GDP at factor cost</t>
  </si>
  <si>
    <t>Current account balance</t>
  </si>
  <si>
    <t>Macro statistics</t>
  </si>
  <si>
    <t>Use total investment from the SAM</t>
  </si>
  <si>
    <t>Q22:</t>
  </si>
  <si>
    <t xml:space="preserve">A22: </t>
  </si>
  <si>
    <t xml:space="preserve">Q23: </t>
  </si>
  <si>
    <t xml:space="preserve">A23: </t>
  </si>
  <si>
    <t>ctrad</t>
  </si>
  <si>
    <t>atrad</t>
  </si>
  <si>
    <t>Which sector faces the most competition from imports?</t>
  </si>
  <si>
    <t xml:space="preserve">Calculate commodity shares for each source of demand </t>
  </si>
  <si>
    <t>Most of household demand is for which two commodities?</t>
  </si>
  <si>
    <t>Which households save some of their income?</t>
  </si>
  <si>
    <t>What share of urban households' income is spent on paying taxes?</t>
  </si>
  <si>
    <t>Which household benefits the most from remittances?</t>
  </si>
  <si>
    <t>Imports plus exports as a share of GDP at market prices</t>
  </si>
  <si>
    <t>GDP at market prices</t>
  </si>
  <si>
    <t>Calculate the follwing macro statistics using the above numbers (all GDP references at are market prices)</t>
  </si>
  <si>
    <t>Trade-to-GDP ratio (%)</t>
  </si>
  <si>
    <t>Fiscal balance-to-GDP ratio (%)</t>
  </si>
  <si>
    <t>Current account-to-GDP ratio (%)</t>
  </si>
  <si>
    <t>Recurrent fiscal balance</t>
  </si>
  <si>
    <t>Is the government running a recurrent fiscal deficit or surplus, and explain why?</t>
  </si>
  <si>
    <t>Savings/investment</t>
  </si>
  <si>
    <t>aprvs</t>
  </si>
  <si>
    <t>cprvs</t>
  </si>
  <si>
    <t>Activity - electricity, water and construction</t>
  </si>
  <si>
    <t>Commodity - electricity, water and construction</t>
  </si>
  <si>
    <t>ent</t>
  </si>
  <si>
    <t>Which households pay the greater share of direct taxes to the government?</t>
  </si>
  <si>
    <t>Rural households save what share of their income?</t>
  </si>
  <si>
    <t>Which household benefits the most from government trensfers?</t>
  </si>
  <si>
    <t>What share of the value of agriculture output is from manufacturing inputs?</t>
  </si>
  <si>
    <t>Household savings-to-investment ratio (%)</t>
  </si>
  <si>
    <t>Current account should be positive if there is money going out of the country</t>
  </si>
  <si>
    <t>Agriculture, public services, and electric/construction</t>
  </si>
  <si>
    <t>Mining, Trade, and Private Services</t>
  </si>
  <si>
    <t>Most of Bangladesh's foreign exchange is generated by which commodities?</t>
  </si>
  <si>
    <t>Manufacturing</t>
  </si>
  <si>
    <t>Tourism, or financial insurance on goods exports</t>
  </si>
  <si>
    <t>Agriculture, and manufacturing</t>
  </si>
  <si>
    <t>Manufacturing and Electricity/construction</t>
  </si>
  <si>
    <t>Agriculture and Manufacturing</t>
  </si>
  <si>
    <t>Urban households</t>
  </si>
  <si>
    <t>labor and enterprise</t>
  </si>
  <si>
    <t>Rural</t>
  </si>
  <si>
    <t>Would you say that Bangladesh is an open or closed economy?</t>
  </si>
  <si>
    <t>Open economy, since total trade is a large share of GDP</t>
  </si>
  <si>
    <t>Recurrent fiscal is deficit, since government savings is negative. However, this excludes the cost of</t>
  </si>
  <si>
    <t xml:space="preserve">public investment. </t>
  </si>
  <si>
    <t>National SAM with 7 sectors</t>
  </si>
  <si>
    <t>Exercise 2: SAM Analysis</t>
  </si>
  <si>
    <t>Bangladesh both imports and exports private services. What might these be?</t>
  </si>
  <si>
    <t>Both Rural and Urban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</si>
</sst>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0" fontId="5" fillId="0" borderId="0" xfId="0" applyFont="1"/>
    <xf numFmtId="0" fontId="6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164" fontId="0" fillId="0" borderId="10" xfId="0" applyNumberFormat="1" applyBorder="1"/>
    <xf numFmtId="164" fontId="0" fillId="0" borderId="11" xfId="0" applyNumberFormat="1" applyBorder="1"/>
    <xf numFmtId="164" fontId="0" fillId="0" borderId="15" xfId="0" applyNumberForma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1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4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13" xfId="0" applyNumberFormat="1" applyBorder="1"/>
    <xf numFmtId="3" fontId="8" fillId="0" borderId="0" xfId="0" applyNumberFormat="1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9" fillId="0" borderId="0" xfId="0" applyNumberFormat="1" applyFont="1"/>
    <xf numFmtId="164" fontId="9" fillId="0" borderId="0" xfId="0" applyNumberFormat="1" applyFont="1"/>
    <xf numFmtId="0" fontId="9" fillId="0" borderId="0" xfId="0" applyFont="1"/>
    <xf numFmtId="164" fontId="0" fillId="0" borderId="1" xfId="0" applyNumberFormat="1" applyBorder="1"/>
    <xf numFmtId="164" fontId="0" fillId="0" borderId="4" xfId="0" applyNumberFormat="1" applyBorder="1"/>
    <xf numFmtId="164" fontId="0" fillId="0" borderId="9" xfId="0" applyNumberFormat="1" applyBorder="1"/>
    <xf numFmtId="0" fontId="0" fillId="0" borderId="7" xfId="0" applyBorder="1"/>
    <xf numFmtId="0" fontId="0" fillId="0" borderId="8" xfId="0" applyBorder="1"/>
    <xf numFmtId="165" fontId="3" fillId="0" borderId="0" xfId="1" applyNumberFormat="1" applyFont="1"/>
    <xf numFmtId="0" fontId="0" fillId="0" borderId="0" xfId="0" quotePrefix="1"/>
    <xf numFmtId="3" fontId="3" fillId="0" borderId="0" xfId="0" applyNumberFormat="1" applyFont="1"/>
    <xf numFmtId="164" fontId="0" fillId="0" borderId="6" xfId="0" applyNumberFormat="1" applyBorder="1"/>
    <xf numFmtId="166" fontId="0" fillId="0" borderId="10" xfId="1" applyNumberFormat="1" applyFont="1" applyBorder="1"/>
    <xf numFmtId="166" fontId="0" fillId="0" borderId="15" xfId="1" applyNumberFormat="1" applyFont="1" applyBorder="1"/>
    <xf numFmtId="166" fontId="0" fillId="0" borderId="2" xfId="1" applyNumberFormat="1" applyFont="1" applyBorder="1"/>
    <xf numFmtId="166" fontId="0" fillId="0" borderId="12" xfId="1" applyNumberFormat="1" applyFont="1" applyBorder="1"/>
    <xf numFmtId="166" fontId="0" fillId="0" borderId="7" xfId="1" applyNumberFormat="1" applyFont="1" applyBorder="1"/>
    <xf numFmtId="166" fontId="0" fillId="0" borderId="14" xfId="1" applyNumberFormat="1" applyFont="1" applyBorder="1"/>
    <xf numFmtId="165" fontId="3" fillId="0" borderId="0" xfId="1" applyNumberFormat="1" applyFont="1" applyFill="1"/>
    <xf numFmtId="4" fontId="0" fillId="0" borderId="1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0" xfId="0" applyNumberFormat="1"/>
    <xf numFmtId="4" fontId="0" fillId="0" borderId="5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A672-2B74-4A46-B808-C8799D909395}">
  <dimension ref="A1:AB305"/>
  <sheetViews>
    <sheetView showZeros="0" tabSelected="1" zoomScale="90" zoomScaleNormal="90" workbookViewId="0">
      <pane xSplit="1" ySplit="6" topLeftCell="B177" activePane="bottomRight" state="frozen"/>
      <selection pane="topRight" activeCell="B1" sqref="B1"/>
      <selection pane="bottomLeft" activeCell="A7" sqref="A7"/>
      <selection pane="bottomRight" activeCell="C167" sqref="C167:C172"/>
    </sheetView>
  </sheetViews>
  <sheetFormatPr defaultRowHeight="14.5" x14ac:dyDescent="0.35"/>
  <sheetData>
    <row r="1" spans="1:28" ht="18.5" x14ac:dyDescent="0.45">
      <c r="A1" s="1" t="s">
        <v>211</v>
      </c>
    </row>
    <row r="4" spans="1:28" ht="15.5" x14ac:dyDescent="0.35">
      <c r="A4" s="18" t="s">
        <v>210</v>
      </c>
    </row>
    <row r="6" spans="1:28" x14ac:dyDescent="0.35">
      <c r="A6" s="2"/>
      <c r="B6" s="2" t="s">
        <v>0</v>
      </c>
      <c r="C6" s="3" t="s">
        <v>1</v>
      </c>
      <c r="D6" s="3" t="s">
        <v>2</v>
      </c>
      <c r="E6" s="3" t="s">
        <v>3</v>
      </c>
      <c r="F6" s="3" t="s">
        <v>168</v>
      </c>
      <c r="G6" s="3" t="s">
        <v>4</v>
      </c>
      <c r="H6" s="4" t="s">
        <v>184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167</v>
      </c>
      <c r="N6" s="3" t="s">
        <v>9</v>
      </c>
      <c r="O6" s="3" t="s">
        <v>185</v>
      </c>
      <c r="P6" s="2" t="s">
        <v>10</v>
      </c>
      <c r="Q6" s="4" t="s">
        <v>11</v>
      </c>
      <c r="R6" s="14" t="s">
        <v>188</v>
      </c>
      <c r="S6" s="3" t="s">
        <v>12</v>
      </c>
      <c r="T6" s="3" t="s">
        <v>13</v>
      </c>
      <c r="U6" s="2" t="s">
        <v>14</v>
      </c>
      <c r="V6" s="3" t="s">
        <v>15</v>
      </c>
      <c r="W6" s="4" t="s">
        <v>16</v>
      </c>
      <c r="X6" s="4" t="s">
        <v>17</v>
      </c>
    </row>
    <row r="7" spans="1:28" x14ac:dyDescent="0.35">
      <c r="A7" s="2" t="s">
        <v>0</v>
      </c>
      <c r="B7" s="2"/>
      <c r="C7" s="3"/>
      <c r="D7" s="3"/>
      <c r="E7" s="3"/>
      <c r="F7" s="3"/>
      <c r="G7" s="3"/>
      <c r="H7" s="4"/>
      <c r="I7" s="3">
        <v>6083.9481150695065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2"/>
      <c r="Q7" s="4"/>
      <c r="R7" s="14"/>
      <c r="S7" s="3"/>
      <c r="T7" s="3"/>
      <c r="U7" s="2"/>
      <c r="V7" s="3"/>
      <c r="W7" s="4"/>
      <c r="X7" s="4">
        <v>6083.9481150695065</v>
      </c>
    </row>
    <row r="8" spans="1:28" x14ac:dyDescent="0.35">
      <c r="A8" s="5" t="s">
        <v>1</v>
      </c>
      <c r="B8" s="5"/>
      <c r="C8" s="6"/>
      <c r="D8" s="6"/>
      <c r="E8" s="6"/>
      <c r="F8" s="6"/>
      <c r="G8" s="6"/>
      <c r="H8" s="7"/>
      <c r="I8" s="6">
        <v>0</v>
      </c>
      <c r="J8" s="6">
        <v>530.99793367786128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5"/>
      <c r="Q8" s="7"/>
      <c r="R8" s="15"/>
      <c r="S8" s="6"/>
      <c r="T8" s="6"/>
      <c r="U8" s="5"/>
      <c r="V8" s="6"/>
      <c r="W8" s="7"/>
      <c r="X8" s="7">
        <v>530.99793367786128</v>
      </c>
    </row>
    <row r="9" spans="1:28" x14ac:dyDescent="0.35">
      <c r="A9" s="5" t="s">
        <v>2</v>
      </c>
      <c r="B9" s="5"/>
      <c r="C9" s="6"/>
      <c r="D9" s="6"/>
      <c r="E9" s="6"/>
      <c r="F9" s="6"/>
      <c r="G9" s="6"/>
      <c r="H9" s="7"/>
      <c r="I9" s="6">
        <v>0</v>
      </c>
      <c r="J9" s="6">
        <v>0</v>
      </c>
      <c r="K9" s="6">
        <v>11592.41657869403</v>
      </c>
      <c r="L9" s="6">
        <v>0</v>
      </c>
      <c r="M9" s="6">
        <v>0</v>
      </c>
      <c r="N9" s="6">
        <v>0</v>
      </c>
      <c r="O9" s="6">
        <v>0</v>
      </c>
      <c r="P9" s="5"/>
      <c r="Q9" s="7"/>
      <c r="R9" s="15"/>
      <c r="S9" s="6"/>
      <c r="T9" s="6"/>
      <c r="U9" s="5"/>
      <c r="V9" s="6"/>
      <c r="W9" s="7"/>
      <c r="X9" s="7">
        <v>11592.41657869403</v>
      </c>
    </row>
    <row r="10" spans="1:28" x14ac:dyDescent="0.35">
      <c r="A10" s="5" t="s">
        <v>3</v>
      </c>
      <c r="B10" s="5"/>
      <c r="C10" s="6"/>
      <c r="D10" s="6"/>
      <c r="E10" s="6"/>
      <c r="F10" s="6"/>
      <c r="G10" s="6"/>
      <c r="H10" s="7"/>
      <c r="I10" s="6">
        <v>0</v>
      </c>
      <c r="J10" s="6">
        <v>0</v>
      </c>
      <c r="K10" s="6">
        <v>0</v>
      </c>
      <c r="L10" s="6">
        <v>4964.714367304332</v>
      </c>
      <c r="M10" s="6">
        <v>0</v>
      </c>
      <c r="N10" s="6">
        <v>0</v>
      </c>
      <c r="O10" s="6">
        <v>0</v>
      </c>
      <c r="P10" s="5"/>
      <c r="Q10" s="7"/>
      <c r="R10" s="15"/>
      <c r="S10" s="6"/>
      <c r="T10" s="6"/>
      <c r="U10" s="5"/>
      <c r="V10" s="6"/>
      <c r="W10" s="7"/>
      <c r="X10" s="7">
        <v>4964.714367304332</v>
      </c>
    </row>
    <row r="11" spans="1:28" x14ac:dyDescent="0.35">
      <c r="A11" s="5" t="s">
        <v>168</v>
      </c>
      <c r="B11" s="5"/>
      <c r="C11" s="6"/>
      <c r="D11" s="6"/>
      <c r="E11" s="6"/>
      <c r="F11" s="6"/>
      <c r="G11" s="6"/>
      <c r="H11" s="7"/>
      <c r="I11" s="6">
        <v>0</v>
      </c>
      <c r="J11" s="6">
        <v>0</v>
      </c>
      <c r="K11" s="6">
        <v>0</v>
      </c>
      <c r="L11" s="6">
        <v>0</v>
      </c>
      <c r="M11" s="6">
        <v>4949.2697196303889</v>
      </c>
      <c r="N11" s="6">
        <v>0</v>
      </c>
      <c r="O11" s="6">
        <v>0</v>
      </c>
      <c r="P11" s="5"/>
      <c r="Q11" s="7"/>
      <c r="R11" s="15"/>
      <c r="S11" s="6"/>
      <c r="T11" s="6"/>
      <c r="U11" s="5"/>
      <c r="V11" s="6"/>
      <c r="W11" s="7"/>
      <c r="X11" s="7">
        <v>4949.2697196303889</v>
      </c>
    </row>
    <row r="12" spans="1:28" x14ac:dyDescent="0.35">
      <c r="A12" s="5" t="s">
        <v>4</v>
      </c>
      <c r="B12" s="5"/>
      <c r="C12" s="6"/>
      <c r="D12" s="6"/>
      <c r="E12" s="6"/>
      <c r="F12" s="6"/>
      <c r="G12" s="6"/>
      <c r="H12" s="7"/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2262.4772704116963</v>
      </c>
      <c r="O12" s="6">
        <v>0</v>
      </c>
      <c r="P12" s="5"/>
      <c r="Q12" s="7"/>
      <c r="R12" s="15"/>
      <c r="S12" s="6"/>
      <c r="T12" s="6"/>
      <c r="U12" s="5"/>
      <c r="V12" s="6"/>
      <c r="W12" s="7"/>
      <c r="X12" s="7">
        <v>2262.4772704116963</v>
      </c>
    </row>
    <row r="13" spans="1:28" x14ac:dyDescent="0.35">
      <c r="A13" s="5" t="s">
        <v>184</v>
      </c>
      <c r="B13" s="5"/>
      <c r="C13" s="6"/>
      <c r="D13" s="6"/>
      <c r="E13" s="6"/>
      <c r="F13" s="6"/>
      <c r="G13" s="6"/>
      <c r="H13" s="7"/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5637.3176678953205</v>
      </c>
      <c r="P13" s="5"/>
      <c r="Q13" s="7"/>
      <c r="R13" s="15"/>
      <c r="S13" s="6"/>
      <c r="T13" s="6"/>
      <c r="U13" s="5"/>
      <c r="V13" s="6"/>
      <c r="W13" s="7"/>
      <c r="X13" s="7">
        <v>5637.3176678953205</v>
      </c>
      <c r="Z13" t="s">
        <v>78</v>
      </c>
      <c r="AA13" t="s">
        <v>79</v>
      </c>
      <c r="AB13" t="s">
        <v>80</v>
      </c>
    </row>
    <row r="14" spans="1:28" x14ac:dyDescent="0.35">
      <c r="A14" s="2" t="s">
        <v>5</v>
      </c>
      <c r="B14" s="2">
        <v>934.35727595647836</v>
      </c>
      <c r="C14" s="3">
        <v>0</v>
      </c>
      <c r="D14" s="3">
        <v>1492.1505620421326</v>
      </c>
      <c r="E14" s="3">
        <v>218.84704685761815</v>
      </c>
      <c r="F14" s="3">
        <v>0</v>
      </c>
      <c r="G14" s="3">
        <v>14.35986877983528</v>
      </c>
      <c r="H14" s="4">
        <v>201.08327400012649</v>
      </c>
      <c r="I14" s="3"/>
      <c r="J14" s="3"/>
      <c r="K14" s="3"/>
      <c r="L14" s="3"/>
      <c r="M14" s="3"/>
      <c r="N14" s="3"/>
      <c r="O14" s="3"/>
      <c r="P14" s="2"/>
      <c r="Q14" s="4"/>
      <c r="R14" s="14"/>
      <c r="S14" s="3">
        <v>2389.8171633002544</v>
      </c>
      <c r="T14" s="3">
        <v>1150.6189292203239</v>
      </c>
      <c r="U14" s="2">
        <v>0</v>
      </c>
      <c r="V14" s="3">
        <v>0</v>
      </c>
      <c r="W14" s="4">
        <v>27.336233064363579</v>
      </c>
      <c r="X14" s="4">
        <v>6428.5703532211328</v>
      </c>
      <c r="Z14" s="6">
        <f>X14</f>
        <v>6428.5703532211328</v>
      </c>
      <c r="AA14" s="6">
        <f>SUM(B14:H14)</f>
        <v>2860.7980276361909</v>
      </c>
      <c r="AB14" s="6">
        <f>SUM(S14:W14)</f>
        <v>3567.7723255849419</v>
      </c>
    </row>
    <row r="15" spans="1:28" x14ac:dyDescent="0.35">
      <c r="A15" s="5" t="s">
        <v>6</v>
      </c>
      <c r="B15" s="5">
        <v>13.318281622468074</v>
      </c>
      <c r="C15" s="6">
        <v>9.9289246558260764</v>
      </c>
      <c r="D15" s="6">
        <v>191.20507458997798</v>
      </c>
      <c r="E15" s="6">
        <v>314.27975862244585</v>
      </c>
      <c r="F15" s="6">
        <v>88.758563717962957</v>
      </c>
      <c r="G15" s="6">
        <v>0.17299332838050624</v>
      </c>
      <c r="H15" s="7">
        <v>15.646665822850466</v>
      </c>
      <c r="I15" s="6"/>
      <c r="J15" s="6"/>
      <c r="K15" s="6"/>
      <c r="L15" s="6"/>
      <c r="M15" s="6"/>
      <c r="N15" s="6"/>
      <c r="O15" s="6"/>
      <c r="P15" s="5"/>
      <c r="Q15" s="7"/>
      <c r="R15" s="15"/>
      <c r="S15" s="6">
        <v>0</v>
      </c>
      <c r="T15" s="6">
        <v>0</v>
      </c>
      <c r="U15" s="5">
        <v>0</v>
      </c>
      <c r="V15" s="6">
        <v>0</v>
      </c>
      <c r="W15" s="7">
        <v>1.528441489711593</v>
      </c>
      <c r="X15" s="7">
        <v>634.83870384962336</v>
      </c>
      <c r="Z15" s="6">
        <f t="shared" ref="Z15:Z20" si="0">X15</f>
        <v>634.83870384962336</v>
      </c>
      <c r="AA15" s="6">
        <f t="shared" ref="AA15:AA20" si="1">SUM(B15:H15)</f>
        <v>633.3102623599118</v>
      </c>
      <c r="AB15" s="6">
        <f t="shared" ref="AB15:AB20" si="2">SUM(S15:W15)</f>
        <v>1.528441489711593</v>
      </c>
    </row>
    <row r="16" spans="1:28" x14ac:dyDescent="0.35">
      <c r="A16" s="5" t="s">
        <v>7</v>
      </c>
      <c r="B16" s="5">
        <v>484.18493815931896</v>
      </c>
      <c r="C16" s="6">
        <v>92.746840395055116</v>
      </c>
      <c r="D16" s="6">
        <v>3020.6035505141408</v>
      </c>
      <c r="E16" s="6">
        <v>1805.2238927827259</v>
      </c>
      <c r="F16" s="6">
        <v>526.72555085137151</v>
      </c>
      <c r="G16" s="6">
        <v>479.13424434066565</v>
      </c>
      <c r="H16" s="7">
        <v>593.54569631030279</v>
      </c>
      <c r="I16" s="6"/>
      <c r="J16" s="6"/>
      <c r="K16" s="6"/>
      <c r="L16" s="6"/>
      <c r="M16" s="6"/>
      <c r="N16" s="6"/>
      <c r="O16" s="6"/>
      <c r="P16" s="5"/>
      <c r="Q16" s="7"/>
      <c r="R16" s="15"/>
      <c r="S16" s="6">
        <v>2431.8074116070011</v>
      </c>
      <c r="T16" s="6">
        <v>1177.8914091853542</v>
      </c>
      <c r="U16" s="5">
        <v>0</v>
      </c>
      <c r="V16" s="6">
        <v>1563.4578939475657</v>
      </c>
      <c r="W16" s="7">
        <v>2974.6066423700495</v>
      </c>
      <c r="X16" s="7">
        <v>15149.928070463553</v>
      </c>
      <c r="Z16" s="6">
        <f t="shared" si="0"/>
        <v>15149.928070463553</v>
      </c>
      <c r="AA16" s="6">
        <f t="shared" si="1"/>
        <v>7002.1647133535807</v>
      </c>
      <c r="AB16" s="6">
        <f t="shared" si="2"/>
        <v>8147.7633571099705</v>
      </c>
    </row>
    <row r="17" spans="1:28" x14ac:dyDescent="0.35">
      <c r="A17" s="5" t="s">
        <v>8</v>
      </c>
      <c r="B17" s="5">
        <v>2.7585956958721582</v>
      </c>
      <c r="C17" s="6">
        <v>4.6753347287189033</v>
      </c>
      <c r="D17" s="6">
        <v>325.48353227653809</v>
      </c>
      <c r="E17" s="6">
        <v>374.85065844644004</v>
      </c>
      <c r="F17" s="6">
        <v>49.087495294874827</v>
      </c>
      <c r="G17" s="6">
        <v>7.325954603006954</v>
      </c>
      <c r="H17" s="7">
        <v>44.392795120693286</v>
      </c>
      <c r="I17" s="6"/>
      <c r="J17" s="6"/>
      <c r="K17" s="6"/>
      <c r="L17" s="6"/>
      <c r="M17" s="6"/>
      <c r="N17" s="6"/>
      <c r="O17" s="6"/>
      <c r="P17" s="5"/>
      <c r="Q17" s="7"/>
      <c r="R17" s="15"/>
      <c r="S17" s="6">
        <v>308.76027280970169</v>
      </c>
      <c r="T17" s="6">
        <v>201.64784827785829</v>
      </c>
      <c r="U17" s="5">
        <v>0</v>
      </c>
      <c r="V17" s="6">
        <v>3654.5440119688465</v>
      </c>
      <c r="W17" s="7">
        <v>8.2793568529079646</v>
      </c>
      <c r="X17" s="7">
        <v>4981.8058560754589</v>
      </c>
      <c r="Z17" s="6">
        <f t="shared" si="0"/>
        <v>4981.8058560754589</v>
      </c>
      <c r="AA17" s="6">
        <f t="shared" si="1"/>
        <v>808.57436616614427</v>
      </c>
      <c r="AB17" s="6">
        <f t="shared" si="2"/>
        <v>4173.2314899093144</v>
      </c>
    </row>
    <row r="18" spans="1:28" x14ac:dyDescent="0.35">
      <c r="A18" s="5" t="s">
        <v>167</v>
      </c>
      <c r="B18" s="5">
        <v>1865.2197968851469</v>
      </c>
      <c r="C18" s="6">
        <v>16.559609984022746</v>
      </c>
      <c r="D18" s="6">
        <v>2687.8475550658077</v>
      </c>
      <c r="E18" s="6">
        <v>104.53241537752901</v>
      </c>
      <c r="F18" s="6">
        <v>76.088551577062759</v>
      </c>
      <c r="G18" s="6">
        <v>42.956005388218266</v>
      </c>
      <c r="H18" s="7">
        <v>90.291718641496445</v>
      </c>
      <c r="I18" s="6"/>
      <c r="J18" s="6"/>
      <c r="K18" s="6"/>
      <c r="L18" s="6"/>
      <c r="M18" s="6"/>
      <c r="N18" s="6"/>
      <c r="O18" s="6"/>
      <c r="P18" s="5"/>
      <c r="Q18" s="7"/>
      <c r="R18" s="15"/>
      <c r="S18" s="6">
        <v>293.3816602956594</v>
      </c>
      <c r="T18" s="6">
        <v>169.48911550597427</v>
      </c>
      <c r="U18" s="5">
        <v>0</v>
      </c>
      <c r="V18" s="6">
        <v>0</v>
      </c>
      <c r="W18" s="7">
        <v>32.204977881374774</v>
      </c>
      <c r="X18" s="7">
        <v>5378.5714066022902</v>
      </c>
      <c r="Z18" s="6">
        <f t="shared" si="0"/>
        <v>5378.5714066022902</v>
      </c>
      <c r="AA18" s="6">
        <f t="shared" si="1"/>
        <v>4883.4956529192823</v>
      </c>
      <c r="AB18" s="6">
        <f t="shared" si="2"/>
        <v>495.07575368300843</v>
      </c>
    </row>
    <row r="19" spans="1:28" x14ac:dyDescent="0.35">
      <c r="A19" s="5" t="s">
        <v>9</v>
      </c>
      <c r="B19" s="5">
        <v>61.567431456905283</v>
      </c>
      <c r="C19" s="6">
        <v>12.886467905639684</v>
      </c>
      <c r="D19" s="6">
        <v>65.97361001825584</v>
      </c>
      <c r="E19" s="6">
        <v>36.361870747235798</v>
      </c>
      <c r="F19" s="6">
        <v>33.664324915703766</v>
      </c>
      <c r="G19" s="6">
        <v>136.53843748358358</v>
      </c>
      <c r="H19" s="7">
        <v>36.46010182974625</v>
      </c>
      <c r="I19" s="6"/>
      <c r="J19" s="6"/>
      <c r="K19" s="6"/>
      <c r="L19" s="6"/>
      <c r="M19" s="6"/>
      <c r="N19" s="6"/>
      <c r="O19" s="6"/>
      <c r="P19" s="5"/>
      <c r="Q19" s="7"/>
      <c r="R19" s="15"/>
      <c r="S19" s="6">
        <v>453.56827700775597</v>
      </c>
      <c r="T19" s="6">
        <v>298.74471032246248</v>
      </c>
      <c r="U19" s="5">
        <v>1028.2672427692576</v>
      </c>
      <c r="V19" s="6">
        <v>0</v>
      </c>
      <c r="W19" s="7">
        <v>113.87969181879257</v>
      </c>
      <c r="X19" s="7">
        <v>2277.9121662753387</v>
      </c>
      <c r="Z19" s="6">
        <f t="shared" si="0"/>
        <v>2277.9121662753387</v>
      </c>
      <c r="AA19" s="6">
        <f t="shared" si="1"/>
        <v>383.45224435707019</v>
      </c>
      <c r="AB19" s="6">
        <f t="shared" si="2"/>
        <v>1894.4599219182685</v>
      </c>
    </row>
    <row r="20" spans="1:28" x14ac:dyDescent="0.35">
      <c r="A20" s="8" t="s">
        <v>185</v>
      </c>
      <c r="B20" s="8">
        <v>75.234661524650292</v>
      </c>
      <c r="C20" s="9">
        <v>108.5353193231725</v>
      </c>
      <c r="D20" s="9">
        <v>1022.0662993753948</v>
      </c>
      <c r="E20" s="9">
        <v>617.38674573713388</v>
      </c>
      <c r="F20" s="9">
        <v>500.0888416258033</v>
      </c>
      <c r="G20" s="9">
        <v>105.87961839841113</v>
      </c>
      <c r="H20" s="10">
        <v>766.30891200043186</v>
      </c>
      <c r="I20" s="9"/>
      <c r="J20" s="9"/>
      <c r="K20" s="9"/>
      <c r="L20" s="9"/>
      <c r="M20" s="9"/>
      <c r="N20" s="9"/>
      <c r="O20" s="9"/>
      <c r="P20" s="8"/>
      <c r="Q20" s="10"/>
      <c r="R20" s="16"/>
      <c r="S20" s="9">
        <v>1343.7712181114325</v>
      </c>
      <c r="T20" s="9">
        <v>1134.258198878968</v>
      </c>
      <c r="U20" s="8">
        <v>0</v>
      </c>
      <c r="V20" s="9">
        <v>0</v>
      </c>
      <c r="W20" s="10">
        <v>105.53056204332788</v>
      </c>
      <c r="X20" s="10">
        <v>5779.0603770187263</v>
      </c>
      <c r="Z20" s="6">
        <f t="shared" si="0"/>
        <v>5779.0603770187263</v>
      </c>
      <c r="AA20" s="6">
        <f t="shared" si="1"/>
        <v>3195.500397984998</v>
      </c>
      <c r="AB20" s="6">
        <f t="shared" si="2"/>
        <v>2583.5599790337283</v>
      </c>
    </row>
    <row r="21" spans="1:28" x14ac:dyDescent="0.35">
      <c r="A21" s="5" t="s">
        <v>10</v>
      </c>
      <c r="B21" s="5">
        <v>1739.6983760265716</v>
      </c>
      <c r="C21" s="6">
        <v>53.16610318339557</v>
      </c>
      <c r="D21" s="6">
        <v>1183.4343560681134</v>
      </c>
      <c r="E21" s="6">
        <v>1054.5939496360331</v>
      </c>
      <c r="F21" s="6">
        <v>670.35889402609632</v>
      </c>
      <c r="G21" s="6">
        <v>974.98605163202569</v>
      </c>
      <c r="H21" s="7">
        <v>401.19936210636587</v>
      </c>
      <c r="I21" s="6"/>
      <c r="J21" s="6"/>
      <c r="K21" s="6"/>
      <c r="L21" s="6"/>
      <c r="M21" s="6"/>
      <c r="N21" s="6"/>
      <c r="O21" s="6"/>
      <c r="P21" s="5"/>
      <c r="Q21" s="7"/>
      <c r="R21" s="15"/>
      <c r="S21" s="6"/>
      <c r="T21" s="6"/>
      <c r="U21" s="5"/>
      <c r="V21" s="6"/>
      <c r="W21" s="7">
        <v>1.9845959073865265</v>
      </c>
      <c r="X21" s="7">
        <v>6079.4216885859878</v>
      </c>
    </row>
    <row r="22" spans="1:28" x14ac:dyDescent="0.35">
      <c r="A22" s="5" t="s">
        <v>11</v>
      </c>
      <c r="B22" s="5">
        <v>907.60875774209296</v>
      </c>
      <c r="C22" s="6">
        <v>232.49933350203068</v>
      </c>
      <c r="D22" s="6">
        <v>1603.6520387436683</v>
      </c>
      <c r="E22" s="6">
        <v>438.63802909716787</v>
      </c>
      <c r="F22" s="6">
        <v>3004.4974976215126</v>
      </c>
      <c r="G22" s="6">
        <v>501.12409645757111</v>
      </c>
      <c r="H22" s="7">
        <v>3488.3891420633049</v>
      </c>
      <c r="I22" s="6"/>
      <c r="J22" s="6"/>
      <c r="K22" s="6"/>
      <c r="L22" s="6"/>
      <c r="M22" s="6"/>
      <c r="N22" s="6"/>
      <c r="O22" s="6"/>
      <c r="P22" s="5"/>
      <c r="Q22" s="7"/>
      <c r="R22" s="15"/>
      <c r="S22" s="6"/>
      <c r="T22" s="6"/>
      <c r="U22" s="5"/>
      <c r="V22" s="6"/>
      <c r="W22" s="7">
        <v>5.3979776206701402</v>
      </c>
      <c r="X22" s="7">
        <v>10181.806872848019</v>
      </c>
    </row>
    <row r="23" spans="1:28" x14ac:dyDescent="0.35">
      <c r="A23" s="11" t="s">
        <v>188</v>
      </c>
      <c r="B23" s="11"/>
      <c r="C23" s="12"/>
      <c r="D23" s="12"/>
      <c r="E23" s="12"/>
      <c r="F23" s="12"/>
      <c r="G23" s="12"/>
      <c r="H23" s="13"/>
      <c r="I23" s="12"/>
      <c r="J23" s="12"/>
      <c r="K23" s="12"/>
      <c r="L23" s="12"/>
      <c r="M23" s="12"/>
      <c r="N23" s="12"/>
      <c r="O23" s="12"/>
      <c r="P23" s="11">
        <v>0</v>
      </c>
      <c r="Q23" s="13">
        <v>9681.3545146988636</v>
      </c>
      <c r="R23" s="17"/>
      <c r="S23" s="12">
        <v>0</v>
      </c>
      <c r="T23" s="12">
        <v>0</v>
      </c>
      <c r="U23" s="11">
        <v>459.80080278812255</v>
      </c>
      <c r="V23" s="12"/>
      <c r="W23" s="13">
        <v>48.729247824616316</v>
      </c>
      <c r="X23" s="13">
        <v>10189.884565311602</v>
      </c>
    </row>
    <row r="24" spans="1:28" x14ac:dyDescent="0.35">
      <c r="A24" s="2" t="s">
        <v>12</v>
      </c>
      <c r="B24" s="2"/>
      <c r="C24" s="3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2">
        <v>3875.9851679290277</v>
      </c>
      <c r="Q24" s="4">
        <v>257.22629258193376</v>
      </c>
      <c r="R24" s="14">
        <v>3792.8106428235851</v>
      </c>
      <c r="S24" s="3">
        <v>0</v>
      </c>
      <c r="T24" s="3">
        <v>0</v>
      </c>
      <c r="U24" s="2">
        <v>145.32560292431208</v>
      </c>
      <c r="V24" s="3"/>
      <c r="W24" s="4">
        <v>545.33287619288387</v>
      </c>
      <c r="X24" s="4">
        <v>8616.6805824517432</v>
      </c>
    </row>
    <row r="25" spans="1:28" x14ac:dyDescent="0.35">
      <c r="A25" s="8" t="s">
        <v>13</v>
      </c>
      <c r="B25" s="8"/>
      <c r="C25" s="9"/>
      <c r="D25" s="9"/>
      <c r="E25" s="9"/>
      <c r="F25" s="9"/>
      <c r="G25" s="9"/>
      <c r="H25" s="10"/>
      <c r="I25" s="9"/>
      <c r="J25" s="9"/>
      <c r="K25" s="9"/>
      <c r="L25" s="9"/>
      <c r="M25" s="9"/>
      <c r="N25" s="9"/>
      <c r="O25" s="9"/>
      <c r="P25" s="8">
        <v>2203.2535118372534</v>
      </c>
      <c r="Q25" s="10">
        <v>25.057628249654258</v>
      </c>
      <c r="R25" s="16">
        <v>3333.8548263374014</v>
      </c>
      <c r="S25" s="9">
        <v>0</v>
      </c>
      <c r="T25" s="9">
        <v>0</v>
      </c>
      <c r="U25" s="8">
        <v>18.847655017626018</v>
      </c>
      <c r="V25" s="9"/>
      <c r="W25" s="10">
        <v>194.38611785013975</v>
      </c>
      <c r="X25" s="10">
        <v>5775.3997392920746</v>
      </c>
    </row>
    <row r="26" spans="1:28" x14ac:dyDescent="0.35">
      <c r="A26" s="5" t="s">
        <v>14</v>
      </c>
      <c r="B26" s="5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7">
        <v>0</v>
      </c>
      <c r="I26" s="6">
        <v>15.809622701426436</v>
      </c>
      <c r="J26" s="6">
        <v>10.085128883678454</v>
      </c>
      <c r="K26" s="6">
        <v>834.63226718732449</v>
      </c>
      <c r="L26" s="6">
        <v>0</v>
      </c>
      <c r="M26" s="6">
        <v>0</v>
      </c>
      <c r="N26" s="6">
        <v>0</v>
      </c>
      <c r="O26" s="6">
        <v>0</v>
      </c>
      <c r="P26" s="5">
        <v>0</v>
      </c>
      <c r="Q26" s="7">
        <v>0</v>
      </c>
      <c r="R26" s="15">
        <v>600.77143808281619</v>
      </c>
      <c r="S26" s="6">
        <v>38.99790246900352</v>
      </c>
      <c r="T26" s="6">
        <v>112.15152368848706</v>
      </c>
      <c r="U26" s="5"/>
      <c r="V26" s="6"/>
      <c r="W26" s="7">
        <v>21.632157521429448</v>
      </c>
      <c r="X26" s="7">
        <v>1634.0800405341656</v>
      </c>
    </row>
    <row r="27" spans="1:28" x14ac:dyDescent="0.35">
      <c r="A27" s="5" t="s">
        <v>15</v>
      </c>
      <c r="B27" s="5"/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5"/>
      <c r="Q27" s="7"/>
      <c r="R27" s="15">
        <v>2456.4244485544327</v>
      </c>
      <c r="S27" s="6">
        <v>1354.5511285622044</v>
      </c>
      <c r="T27" s="6">
        <v>1529.5725700363889</v>
      </c>
      <c r="U27" s="5">
        <v>-34.256569842259047</v>
      </c>
      <c r="V27" s="6"/>
      <c r="W27" s="7">
        <v>-88.289671394354244</v>
      </c>
      <c r="X27" s="7">
        <v>5218.0019059164133</v>
      </c>
    </row>
    <row r="28" spans="1:28" x14ac:dyDescent="0.35">
      <c r="A28" s="5" t="s">
        <v>16</v>
      </c>
      <c r="B28" s="5"/>
      <c r="C28" s="6"/>
      <c r="D28" s="6"/>
      <c r="E28" s="6"/>
      <c r="F28" s="6"/>
      <c r="G28" s="6"/>
      <c r="H28" s="7"/>
      <c r="I28" s="6">
        <v>328.81261545020141</v>
      </c>
      <c r="J28" s="6">
        <v>93.755641288083851</v>
      </c>
      <c r="K28" s="6">
        <v>2722.8792245821969</v>
      </c>
      <c r="L28" s="6">
        <v>17.091488771126929</v>
      </c>
      <c r="M28" s="6">
        <v>429.30168697189976</v>
      </c>
      <c r="N28" s="6">
        <v>15.434895863642307</v>
      </c>
      <c r="O28" s="6">
        <v>141.74270912340452</v>
      </c>
      <c r="P28" s="5">
        <v>0.18300881970842275</v>
      </c>
      <c r="Q28" s="7">
        <v>218.168437317567</v>
      </c>
      <c r="R28" s="15">
        <v>6.0232095133695571</v>
      </c>
      <c r="S28" s="6">
        <v>2.0255482887304761</v>
      </c>
      <c r="T28" s="6">
        <v>1.0254341762577779</v>
      </c>
      <c r="U28" s="5">
        <v>16.095306877107852</v>
      </c>
      <c r="V28" s="6"/>
      <c r="W28" s="7"/>
      <c r="X28" s="7">
        <v>3992.5392070432972</v>
      </c>
    </row>
    <row r="29" spans="1:28" x14ac:dyDescent="0.35">
      <c r="A29" s="11" t="s">
        <v>17</v>
      </c>
      <c r="B29" s="11">
        <v>6083.9481150695046</v>
      </c>
      <c r="C29" s="12">
        <v>530.99793367786128</v>
      </c>
      <c r="D29" s="12">
        <v>11592.41657869403</v>
      </c>
      <c r="E29" s="12">
        <v>4964.7143673043302</v>
      </c>
      <c r="F29" s="12">
        <v>4949.269719630388</v>
      </c>
      <c r="G29" s="12">
        <v>2262.4772704116986</v>
      </c>
      <c r="H29" s="13">
        <v>5637.3176678953187</v>
      </c>
      <c r="I29" s="12">
        <v>6428.5703532211346</v>
      </c>
      <c r="J29" s="12">
        <v>634.83870384962358</v>
      </c>
      <c r="K29" s="12">
        <v>15149.928070463551</v>
      </c>
      <c r="L29" s="12">
        <v>4981.8058560754589</v>
      </c>
      <c r="M29" s="12">
        <v>5378.5714066022883</v>
      </c>
      <c r="N29" s="12">
        <v>2277.9121662753387</v>
      </c>
      <c r="O29" s="12">
        <v>5779.0603770187254</v>
      </c>
      <c r="P29" s="11">
        <v>6079.4216885859896</v>
      </c>
      <c r="Q29" s="13">
        <v>10181.806872848019</v>
      </c>
      <c r="R29" s="17">
        <v>10189.884565311604</v>
      </c>
      <c r="S29" s="12">
        <v>8616.6805824517432</v>
      </c>
      <c r="T29" s="12">
        <v>5775.3997392920746</v>
      </c>
      <c r="U29" s="11">
        <v>1634.080040534167</v>
      </c>
      <c r="V29" s="12">
        <v>5218.0019059164124</v>
      </c>
      <c r="W29" s="13">
        <v>3992.539207043299</v>
      </c>
      <c r="X29" s="17"/>
    </row>
    <row r="30" spans="1:28" x14ac:dyDescent="0.3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R30" s="59"/>
      <c r="S30" s="59"/>
      <c r="T30" s="59"/>
      <c r="U30" s="59"/>
    </row>
    <row r="31" spans="1:28" ht="18.5" x14ac:dyDescent="0.45">
      <c r="A31" s="39" t="s">
        <v>40</v>
      </c>
    </row>
    <row r="33" spans="1:18" x14ac:dyDescent="0.35">
      <c r="A33" s="24" t="s">
        <v>39</v>
      </c>
      <c r="Q33" s="19" t="s">
        <v>67</v>
      </c>
    </row>
    <row r="34" spans="1:18" x14ac:dyDescent="0.35">
      <c r="A34" t="s">
        <v>38</v>
      </c>
      <c r="Q34" t="s">
        <v>0</v>
      </c>
      <c r="R34" t="s">
        <v>26</v>
      </c>
    </row>
    <row r="35" spans="1:18" x14ac:dyDescent="0.35">
      <c r="B35" s="77" t="s">
        <v>18</v>
      </c>
      <c r="C35" s="78"/>
      <c r="D35" s="78"/>
      <c r="E35" s="78"/>
      <c r="F35" s="78"/>
      <c r="G35" s="78"/>
      <c r="H35" s="79"/>
      <c r="Q35" t="s">
        <v>1</v>
      </c>
      <c r="R35" t="s">
        <v>27</v>
      </c>
    </row>
    <row r="36" spans="1:18" x14ac:dyDescent="0.35">
      <c r="B36" s="2" t="s">
        <v>0</v>
      </c>
      <c r="C36" s="3" t="s">
        <v>1</v>
      </c>
      <c r="D36" s="3" t="s">
        <v>2</v>
      </c>
      <c r="E36" s="3" t="s">
        <v>3</v>
      </c>
      <c r="F36" s="3" t="s">
        <v>168</v>
      </c>
      <c r="G36" s="3" t="s">
        <v>4</v>
      </c>
      <c r="H36" s="4" t="s">
        <v>184</v>
      </c>
      <c r="I36" s="20" t="s">
        <v>17</v>
      </c>
      <c r="Q36" t="s">
        <v>2</v>
      </c>
      <c r="R36" t="s">
        <v>28</v>
      </c>
    </row>
    <row r="37" spans="1:18" x14ac:dyDescent="0.35">
      <c r="A37" s="20" t="s">
        <v>5</v>
      </c>
      <c r="B37" s="3"/>
      <c r="C37" s="3"/>
      <c r="D37" s="3"/>
      <c r="E37" s="3"/>
      <c r="F37" s="3"/>
      <c r="G37" s="3"/>
      <c r="H37" s="3"/>
      <c r="I37" s="14"/>
      <c r="Q37" t="s">
        <v>3</v>
      </c>
      <c r="R37" t="s">
        <v>186</v>
      </c>
    </row>
    <row r="38" spans="1:18" x14ac:dyDescent="0.35">
      <c r="A38" s="21" t="s">
        <v>6</v>
      </c>
      <c r="B38" s="6"/>
      <c r="C38" s="6"/>
      <c r="D38" s="6"/>
      <c r="E38" s="6"/>
      <c r="F38" s="6"/>
      <c r="G38" s="6"/>
      <c r="H38" s="6"/>
      <c r="I38" s="15"/>
      <c r="Q38" t="s">
        <v>168</v>
      </c>
      <c r="R38" t="s">
        <v>29</v>
      </c>
    </row>
    <row r="39" spans="1:18" x14ac:dyDescent="0.35">
      <c r="A39" s="21" t="s">
        <v>7</v>
      </c>
      <c r="B39" s="6"/>
      <c r="C39" s="6"/>
      <c r="D39" s="6"/>
      <c r="E39" s="6"/>
      <c r="F39" s="6"/>
      <c r="G39" s="6"/>
      <c r="H39" s="6"/>
      <c r="I39" s="15"/>
      <c r="Q39" t="s">
        <v>4</v>
      </c>
      <c r="R39" t="s">
        <v>30</v>
      </c>
    </row>
    <row r="40" spans="1:18" x14ac:dyDescent="0.35">
      <c r="A40" s="21" t="s">
        <v>8</v>
      </c>
      <c r="B40" s="6"/>
      <c r="C40" s="6"/>
      <c r="D40" s="6"/>
      <c r="E40" s="6"/>
      <c r="F40" s="6"/>
      <c r="G40" s="6"/>
      <c r="H40" s="6"/>
      <c r="I40" s="15"/>
      <c r="Q40" t="s">
        <v>184</v>
      </c>
      <c r="R40" t="s">
        <v>31</v>
      </c>
    </row>
    <row r="41" spans="1:18" x14ac:dyDescent="0.35">
      <c r="A41" s="21" t="s">
        <v>167</v>
      </c>
      <c r="B41" s="6"/>
      <c r="C41" s="6"/>
      <c r="D41" s="6"/>
      <c r="E41" s="6"/>
      <c r="F41" s="6"/>
      <c r="G41" s="6"/>
      <c r="H41" s="6"/>
      <c r="I41" s="15"/>
      <c r="Q41" t="s">
        <v>5</v>
      </c>
      <c r="R41" t="s">
        <v>32</v>
      </c>
    </row>
    <row r="42" spans="1:18" x14ac:dyDescent="0.35">
      <c r="A42" s="21" t="s">
        <v>9</v>
      </c>
      <c r="B42" s="6"/>
      <c r="C42" s="6"/>
      <c r="D42" s="6"/>
      <c r="E42" s="6"/>
      <c r="F42" s="6"/>
      <c r="G42" s="6"/>
      <c r="H42" s="6"/>
      <c r="I42" s="15"/>
      <c r="Q42" t="s">
        <v>6</v>
      </c>
      <c r="R42" t="s">
        <v>33</v>
      </c>
    </row>
    <row r="43" spans="1:18" x14ac:dyDescent="0.35">
      <c r="A43" s="21" t="s">
        <v>185</v>
      </c>
      <c r="B43" s="6"/>
      <c r="C43" s="6"/>
      <c r="D43" s="6"/>
      <c r="E43" s="6"/>
      <c r="F43" s="6"/>
      <c r="G43" s="6"/>
      <c r="H43" s="6"/>
      <c r="I43" s="15"/>
      <c r="Q43" t="s">
        <v>7</v>
      </c>
      <c r="R43" t="s">
        <v>34</v>
      </c>
    </row>
    <row r="44" spans="1:18" x14ac:dyDescent="0.35">
      <c r="A44" s="20" t="s">
        <v>10</v>
      </c>
      <c r="B44" s="2"/>
      <c r="C44" s="3"/>
      <c r="D44" s="3"/>
      <c r="E44" s="3"/>
      <c r="F44" s="3"/>
      <c r="G44" s="3"/>
      <c r="H44" s="4"/>
      <c r="I44" s="14"/>
      <c r="Q44" t="s">
        <v>8</v>
      </c>
      <c r="R44" t="s">
        <v>187</v>
      </c>
    </row>
    <row r="45" spans="1:18" x14ac:dyDescent="0.35">
      <c r="A45" s="22" t="s">
        <v>11</v>
      </c>
      <c r="B45" s="8"/>
      <c r="C45" s="9"/>
      <c r="D45" s="9"/>
      <c r="E45" s="9"/>
      <c r="F45" s="9"/>
      <c r="G45" s="9"/>
      <c r="H45" s="10"/>
      <c r="I45" s="16"/>
      <c r="Q45" t="s">
        <v>167</v>
      </c>
      <c r="R45" t="s">
        <v>35</v>
      </c>
    </row>
    <row r="46" spans="1:18" x14ac:dyDescent="0.35">
      <c r="A46" s="23" t="s">
        <v>17</v>
      </c>
      <c r="B46" s="12"/>
      <c r="C46" s="12"/>
      <c r="D46" s="12"/>
      <c r="E46" s="12"/>
      <c r="F46" s="12"/>
      <c r="G46" s="12"/>
      <c r="H46" s="12"/>
      <c r="I46" s="17"/>
      <c r="J46" s="49">
        <v>36021.141652683138</v>
      </c>
      <c r="Q46" t="s">
        <v>9</v>
      </c>
      <c r="R46" t="s">
        <v>36</v>
      </c>
    </row>
    <row r="47" spans="1:18" x14ac:dyDescent="0.35">
      <c r="Q47" t="s">
        <v>185</v>
      </c>
      <c r="R47" t="s">
        <v>37</v>
      </c>
    </row>
    <row r="48" spans="1:18" x14ac:dyDescent="0.35">
      <c r="Q48" t="s">
        <v>10</v>
      </c>
      <c r="R48" t="s">
        <v>24</v>
      </c>
    </row>
    <row r="49" spans="1:18" x14ac:dyDescent="0.35">
      <c r="A49" s="24" t="s">
        <v>41</v>
      </c>
      <c r="Q49" t="s">
        <v>11</v>
      </c>
      <c r="R49" t="s">
        <v>25</v>
      </c>
    </row>
    <row r="50" spans="1:18" x14ac:dyDescent="0.35">
      <c r="A50" t="s">
        <v>66</v>
      </c>
      <c r="Q50" t="s">
        <v>12</v>
      </c>
      <c r="R50" t="s">
        <v>22</v>
      </c>
    </row>
    <row r="51" spans="1:18" x14ac:dyDescent="0.35">
      <c r="B51" s="2" t="s">
        <v>0</v>
      </c>
      <c r="C51" s="3" t="s">
        <v>1</v>
      </c>
      <c r="D51" s="3" t="s">
        <v>2</v>
      </c>
      <c r="E51" s="3" t="s">
        <v>3</v>
      </c>
      <c r="F51" s="3" t="s">
        <v>168</v>
      </c>
      <c r="G51" s="3" t="s">
        <v>4</v>
      </c>
      <c r="H51" s="4" t="s">
        <v>184</v>
      </c>
      <c r="I51" s="20" t="s">
        <v>17</v>
      </c>
      <c r="Q51" t="s">
        <v>13</v>
      </c>
      <c r="R51" t="s">
        <v>23</v>
      </c>
    </row>
    <row r="52" spans="1:18" x14ac:dyDescent="0.35">
      <c r="A52" s="23" t="s">
        <v>42</v>
      </c>
      <c r="B52" s="12"/>
      <c r="C52" s="12"/>
      <c r="D52" s="12"/>
      <c r="E52" s="12"/>
      <c r="F52" s="12"/>
      <c r="G52" s="12"/>
      <c r="H52" s="12"/>
      <c r="I52" s="17"/>
      <c r="J52" s="49">
        <v>16253.845987905948</v>
      </c>
      <c r="Q52" t="s">
        <v>14</v>
      </c>
      <c r="R52" t="s">
        <v>19</v>
      </c>
    </row>
    <row r="53" spans="1:18" x14ac:dyDescent="0.35">
      <c r="Q53" t="s">
        <v>15</v>
      </c>
      <c r="R53" t="s">
        <v>183</v>
      </c>
    </row>
    <row r="54" spans="1:18" x14ac:dyDescent="0.35">
      <c r="Q54" t="s">
        <v>16</v>
      </c>
      <c r="R54" t="s">
        <v>21</v>
      </c>
    </row>
    <row r="55" spans="1:18" x14ac:dyDescent="0.35">
      <c r="A55" s="24" t="s">
        <v>43</v>
      </c>
      <c r="B55" s="24"/>
      <c r="C55" s="24"/>
      <c r="D55" s="24"/>
      <c r="E55" s="24"/>
      <c r="F55" s="24"/>
      <c r="G55" s="24"/>
      <c r="H55" s="24"/>
      <c r="I55" s="24"/>
      <c r="Q55" t="s">
        <v>17</v>
      </c>
      <c r="R55" t="s">
        <v>20</v>
      </c>
    </row>
    <row r="56" spans="1:18" x14ac:dyDescent="0.35">
      <c r="A56" t="s">
        <v>65</v>
      </c>
    </row>
    <row r="57" spans="1:18" x14ac:dyDescent="0.35">
      <c r="B57" s="2" t="s">
        <v>0</v>
      </c>
      <c r="C57" s="3" t="s">
        <v>1</v>
      </c>
      <c r="D57" s="3" t="s">
        <v>2</v>
      </c>
      <c r="E57" s="3" t="s">
        <v>3</v>
      </c>
      <c r="F57" s="3" t="s">
        <v>168</v>
      </c>
      <c r="G57" s="3" t="s">
        <v>4</v>
      </c>
      <c r="H57" s="4" t="s">
        <v>184</v>
      </c>
      <c r="I57" s="20" t="s">
        <v>17</v>
      </c>
    </row>
    <row r="58" spans="1:18" x14ac:dyDescent="0.35">
      <c r="A58" s="23" t="s">
        <v>42</v>
      </c>
      <c r="B58" s="25"/>
      <c r="C58" s="25"/>
      <c r="D58" s="25"/>
      <c r="E58" s="25"/>
      <c r="F58" s="25"/>
      <c r="G58" s="25"/>
      <c r="H58" s="25"/>
      <c r="I58" s="27"/>
    </row>
    <row r="59" spans="1:18" x14ac:dyDescent="0.35">
      <c r="H59" s="50">
        <v>23.930265532624151</v>
      </c>
    </row>
    <row r="61" spans="1:18" x14ac:dyDescent="0.35">
      <c r="A61" s="29" t="s">
        <v>44</v>
      </c>
      <c r="B61" s="28" t="s">
        <v>75</v>
      </c>
    </row>
    <row r="62" spans="1:18" x14ac:dyDescent="0.35">
      <c r="A62" s="29" t="s">
        <v>45</v>
      </c>
      <c r="B62" s="57"/>
    </row>
    <row r="65" spans="1:10" x14ac:dyDescent="0.35">
      <c r="A65" s="24" t="s">
        <v>46</v>
      </c>
    </row>
    <row r="66" spans="1:10" x14ac:dyDescent="0.35">
      <c r="A66" t="s">
        <v>47</v>
      </c>
    </row>
    <row r="67" spans="1:10" x14ac:dyDescent="0.35">
      <c r="B67" s="2" t="s">
        <v>0</v>
      </c>
      <c r="C67" s="3" t="s">
        <v>1</v>
      </c>
      <c r="D67" s="3" t="s">
        <v>2</v>
      </c>
      <c r="E67" s="3" t="s">
        <v>3</v>
      </c>
      <c r="F67" s="3" t="s">
        <v>168</v>
      </c>
      <c r="G67" s="3" t="s">
        <v>4</v>
      </c>
      <c r="H67" s="4" t="s">
        <v>184</v>
      </c>
      <c r="I67" s="20" t="s">
        <v>17</v>
      </c>
    </row>
    <row r="68" spans="1:10" x14ac:dyDescent="0.35">
      <c r="A68" s="20" t="s">
        <v>10</v>
      </c>
      <c r="B68" s="30"/>
      <c r="C68" s="30"/>
      <c r="D68" s="30"/>
      <c r="E68" s="30"/>
      <c r="F68" s="30"/>
      <c r="G68" s="30"/>
      <c r="H68" s="30"/>
      <c r="I68" s="32"/>
      <c r="J68" s="50">
        <v>37.4</v>
      </c>
    </row>
    <row r="69" spans="1:10" x14ac:dyDescent="0.35">
      <c r="A69" s="22" t="s">
        <v>11</v>
      </c>
      <c r="B69" s="33"/>
      <c r="C69" s="33"/>
      <c r="D69" s="33"/>
      <c r="E69" s="33"/>
      <c r="F69" s="33"/>
      <c r="G69" s="33"/>
      <c r="H69" s="33"/>
      <c r="I69" s="35"/>
    </row>
    <row r="70" spans="1:10" x14ac:dyDescent="0.35">
      <c r="A70" s="22" t="s">
        <v>42</v>
      </c>
      <c r="B70" s="33"/>
      <c r="C70" s="33"/>
      <c r="D70" s="33"/>
      <c r="E70" s="33"/>
      <c r="F70" s="33"/>
      <c r="G70" s="33"/>
      <c r="H70" s="33"/>
      <c r="I70" s="35"/>
    </row>
    <row r="73" spans="1:10" x14ac:dyDescent="0.35">
      <c r="A73" s="29" t="s">
        <v>49</v>
      </c>
      <c r="B73" s="28" t="s">
        <v>74</v>
      </c>
      <c r="C73" s="28"/>
      <c r="D73" s="28"/>
      <c r="E73" s="28"/>
      <c r="F73" s="28"/>
      <c r="G73" s="28"/>
      <c r="H73" s="28"/>
      <c r="I73" s="28"/>
    </row>
    <row r="74" spans="1:10" x14ac:dyDescent="0.35">
      <c r="A74" s="29" t="s">
        <v>50</v>
      </c>
      <c r="B74" s="28"/>
      <c r="C74" s="28"/>
      <c r="D74" s="28"/>
      <c r="E74" s="28"/>
      <c r="F74" s="28"/>
      <c r="G74" s="28"/>
      <c r="H74" s="28"/>
      <c r="I74" s="28"/>
    </row>
    <row r="75" spans="1:10" x14ac:dyDescent="0.35">
      <c r="A75" s="29"/>
      <c r="B75" s="28"/>
      <c r="C75" s="28"/>
      <c r="D75" s="28"/>
      <c r="E75" s="28"/>
      <c r="F75" s="28"/>
      <c r="G75" s="28"/>
      <c r="H75" s="28"/>
      <c r="I75" s="28"/>
    </row>
    <row r="76" spans="1:10" x14ac:dyDescent="0.35">
      <c r="A76" s="29" t="s">
        <v>51</v>
      </c>
      <c r="B76" s="28" t="s">
        <v>48</v>
      </c>
      <c r="C76" s="28"/>
      <c r="D76" s="28"/>
      <c r="E76" s="28"/>
      <c r="F76" s="28"/>
      <c r="G76" s="28"/>
      <c r="H76" s="28"/>
      <c r="I76" s="28"/>
    </row>
    <row r="77" spans="1:10" x14ac:dyDescent="0.35">
      <c r="A77" s="29" t="s">
        <v>52</v>
      </c>
      <c r="B77" s="28"/>
      <c r="C77" s="28"/>
      <c r="D77" s="28"/>
      <c r="E77" s="28"/>
      <c r="F77" s="28"/>
      <c r="G77" s="28"/>
      <c r="H77" s="28"/>
      <c r="I77" s="28"/>
    </row>
    <row r="80" spans="1:10" x14ac:dyDescent="0.35">
      <c r="A80" s="24" t="s">
        <v>53</v>
      </c>
      <c r="B80" s="24"/>
      <c r="C80" s="24"/>
      <c r="D80" s="24"/>
      <c r="E80" s="24"/>
      <c r="F80" s="24"/>
      <c r="G80" s="24"/>
      <c r="H80" s="24"/>
      <c r="I80" s="24"/>
    </row>
    <row r="81" spans="1:10" x14ac:dyDescent="0.35">
      <c r="A81" t="s">
        <v>64</v>
      </c>
    </row>
    <row r="82" spans="1:10" x14ac:dyDescent="0.35">
      <c r="B82" s="2" t="s">
        <v>0</v>
      </c>
      <c r="C82" s="3" t="s">
        <v>1</v>
      </c>
      <c r="D82" s="3" t="s">
        <v>2</v>
      </c>
      <c r="E82" s="3" t="s">
        <v>3</v>
      </c>
      <c r="F82" s="3" t="s">
        <v>168</v>
      </c>
      <c r="G82" s="3" t="s">
        <v>4</v>
      </c>
      <c r="H82" s="3" t="s">
        <v>184</v>
      </c>
      <c r="I82" s="20" t="s">
        <v>17</v>
      </c>
    </row>
    <row r="83" spans="1:10" x14ac:dyDescent="0.35">
      <c r="A83" s="20" t="s">
        <v>5</v>
      </c>
      <c r="B83" s="52"/>
      <c r="C83" s="30"/>
      <c r="D83" s="30"/>
      <c r="E83" s="30"/>
      <c r="F83" s="30"/>
      <c r="G83" s="30"/>
      <c r="H83" s="30"/>
      <c r="I83" s="32"/>
    </row>
    <row r="84" spans="1:10" x14ac:dyDescent="0.35">
      <c r="A84" s="21" t="s">
        <v>6</v>
      </c>
      <c r="B84" s="53"/>
      <c r="C84" s="36"/>
      <c r="D84" s="36"/>
      <c r="E84" s="36"/>
      <c r="F84" s="36"/>
      <c r="G84" s="36"/>
      <c r="H84" s="36"/>
      <c r="I84" s="38"/>
    </row>
    <row r="85" spans="1:10" x14ac:dyDescent="0.35">
      <c r="A85" s="21" t="s">
        <v>7</v>
      </c>
      <c r="B85" s="53"/>
      <c r="C85" s="36"/>
      <c r="D85" s="36"/>
      <c r="E85" s="36"/>
      <c r="F85" s="36"/>
      <c r="G85" s="36"/>
      <c r="H85" s="36"/>
      <c r="I85" s="38"/>
    </row>
    <row r="86" spans="1:10" x14ac:dyDescent="0.35">
      <c r="A86" s="21" t="s">
        <v>8</v>
      </c>
      <c r="B86" s="53"/>
      <c r="C86" s="36"/>
      <c r="D86" s="36"/>
      <c r="E86" s="36"/>
      <c r="F86" s="36"/>
      <c r="G86" s="36"/>
      <c r="H86" s="36"/>
      <c r="I86" s="38"/>
    </row>
    <row r="87" spans="1:10" x14ac:dyDescent="0.35">
      <c r="A87" s="21" t="s">
        <v>167</v>
      </c>
      <c r="B87" s="53"/>
      <c r="C87" s="36"/>
      <c r="D87" s="36"/>
      <c r="E87" s="36"/>
      <c r="F87" s="36"/>
      <c r="G87" s="36"/>
      <c r="H87" s="36"/>
      <c r="I87" s="38"/>
    </row>
    <row r="88" spans="1:10" x14ac:dyDescent="0.35">
      <c r="A88" s="21" t="s">
        <v>9</v>
      </c>
      <c r="B88" s="53"/>
      <c r="C88" s="36"/>
      <c r="D88" s="36"/>
      <c r="E88" s="36"/>
      <c r="F88" s="36"/>
      <c r="G88" s="36"/>
      <c r="H88" s="36"/>
      <c r="I88" s="38"/>
    </row>
    <row r="89" spans="1:10" x14ac:dyDescent="0.35">
      <c r="A89" s="21" t="s">
        <v>185</v>
      </c>
      <c r="B89" s="60"/>
      <c r="C89" s="33"/>
      <c r="D89" s="33"/>
      <c r="E89" s="33"/>
      <c r="F89" s="33"/>
      <c r="G89" s="33"/>
      <c r="H89" s="33"/>
      <c r="I89" s="35"/>
    </row>
    <row r="90" spans="1:10" x14ac:dyDescent="0.35">
      <c r="A90" s="20" t="s">
        <v>10</v>
      </c>
      <c r="B90" s="52"/>
      <c r="C90" s="30"/>
      <c r="D90" s="30"/>
      <c r="E90" s="30"/>
      <c r="F90" s="30"/>
      <c r="G90" s="30"/>
      <c r="H90" s="30"/>
      <c r="I90" s="32"/>
    </row>
    <row r="91" spans="1:10" x14ac:dyDescent="0.35">
      <c r="A91" s="22" t="s">
        <v>11</v>
      </c>
      <c r="B91" s="60"/>
      <c r="C91" s="33"/>
      <c r="D91" s="33"/>
      <c r="E91" s="33"/>
      <c r="F91" s="33"/>
      <c r="G91" s="33"/>
      <c r="H91" s="33"/>
      <c r="I91" s="35"/>
      <c r="J91" s="50">
        <v>28.251211450621334</v>
      </c>
    </row>
    <row r="92" spans="1:10" x14ac:dyDescent="0.35">
      <c r="A92" s="23" t="s">
        <v>17</v>
      </c>
      <c r="B92" s="60"/>
      <c r="C92" s="25"/>
      <c r="D92" s="25"/>
      <c r="E92" s="25"/>
      <c r="F92" s="25"/>
      <c r="G92" s="25"/>
      <c r="H92" s="25"/>
      <c r="I92" s="27"/>
      <c r="J92" s="50">
        <v>100</v>
      </c>
    </row>
    <row r="95" spans="1:10" x14ac:dyDescent="0.35">
      <c r="A95" s="29" t="s">
        <v>55</v>
      </c>
      <c r="B95" s="28" t="s">
        <v>192</v>
      </c>
    </row>
    <row r="96" spans="1:10" x14ac:dyDescent="0.35">
      <c r="A96" s="29" t="s">
        <v>56</v>
      </c>
      <c r="B96" s="57">
        <f>B85/100</f>
        <v>0</v>
      </c>
    </row>
    <row r="97" spans="1:10" x14ac:dyDescent="0.35">
      <c r="A97" s="29"/>
      <c r="B97" s="28"/>
    </row>
    <row r="98" spans="1:10" x14ac:dyDescent="0.35">
      <c r="A98" s="29" t="s">
        <v>57</v>
      </c>
      <c r="B98" s="28" t="s">
        <v>54</v>
      </c>
    </row>
    <row r="99" spans="1:10" x14ac:dyDescent="0.35">
      <c r="A99" s="29" t="s">
        <v>58</v>
      </c>
      <c r="B99" s="57">
        <f>F87/100</f>
        <v>0</v>
      </c>
    </row>
    <row r="102" spans="1:10" ht="18.5" x14ac:dyDescent="0.45">
      <c r="A102" s="39" t="s">
        <v>60</v>
      </c>
    </row>
    <row r="104" spans="1:10" x14ac:dyDescent="0.35">
      <c r="A104" s="24" t="s">
        <v>59</v>
      </c>
      <c r="B104" s="24"/>
      <c r="C104" s="24"/>
      <c r="D104" s="24"/>
      <c r="E104" s="24"/>
      <c r="F104" s="24"/>
      <c r="G104" s="24"/>
      <c r="H104" s="24"/>
      <c r="I104" s="24"/>
    </row>
    <row r="105" spans="1:10" x14ac:dyDescent="0.35">
      <c r="A105" t="s">
        <v>61</v>
      </c>
    </row>
    <row r="106" spans="1:10" x14ac:dyDescent="0.35">
      <c r="B106" s="2" t="s">
        <v>5</v>
      </c>
      <c r="C106" s="3" t="s">
        <v>6</v>
      </c>
      <c r="D106" s="3" t="s">
        <v>7</v>
      </c>
      <c r="E106" s="3" t="s">
        <v>8</v>
      </c>
      <c r="F106" s="3" t="s">
        <v>167</v>
      </c>
      <c r="G106" s="3" t="s">
        <v>9</v>
      </c>
      <c r="H106" s="4" t="s">
        <v>185</v>
      </c>
      <c r="I106" s="20" t="s">
        <v>17</v>
      </c>
    </row>
    <row r="107" spans="1:10" x14ac:dyDescent="0.35">
      <c r="A107" s="20" t="s">
        <v>62</v>
      </c>
      <c r="B107" s="3"/>
      <c r="C107" s="3"/>
      <c r="D107" s="3"/>
      <c r="E107" s="3"/>
      <c r="F107" s="3"/>
      <c r="G107" s="3"/>
      <c r="H107" s="3"/>
      <c r="I107" s="14"/>
      <c r="J107" s="49"/>
    </row>
    <row r="108" spans="1:10" x14ac:dyDescent="0.35">
      <c r="A108" s="22" t="s">
        <v>63</v>
      </c>
      <c r="B108" s="9"/>
      <c r="C108" s="9"/>
      <c r="D108" s="9"/>
      <c r="E108" s="9"/>
      <c r="F108" s="9"/>
      <c r="G108" s="9"/>
      <c r="H108" s="10"/>
      <c r="I108" s="16"/>
      <c r="J108" s="49">
        <v>3263.3659055205276</v>
      </c>
    </row>
    <row r="111" spans="1:10" x14ac:dyDescent="0.35">
      <c r="A111" s="24" t="s">
        <v>68</v>
      </c>
      <c r="B111" s="24"/>
      <c r="C111" s="24"/>
      <c r="D111" s="24"/>
      <c r="E111" s="24"/>
      <c r="F111" s="24"/>
      <c r="G111" s="24"/>
      <c r="H111" s="24"/>
      <c r="I111" s="24"/>
    </row>
    <row r="112" spans="1:10" x14ac:dyDescent="0.35">
      <c r="A112" t="s">
        <v>69</v>
      </c>
    </row>
    <row r="113" spans="1:11" x14ac:dyDescent="0.35">
      <c r="B113" s="2" t="s">
        <v>5</v>
      </c>
      <c r="C113" s="3" t="s">
        <v>6</v>
      </c>
      <c r="D113" s="3" t="s">
        <v>7</v>
      </c>
      <c r="E113" s="3" t="s">
        <v>8</v>
      </c>
      <c r="F113" s="3" t="s">
        <v>167</v>
      </c>
      <c r="G113" s="3" t="s">
        <v>9</v>
      </c>
      <c r="H113" s="4" t="s">
        <v>185</v>
      </c>
      <c r="I113" s="20" t="s">
        <v>17</v>
      </c>
    </row>
    <row r="114" spans="1:11" x14ac:dyDescent="0.35">
      <c r="A114" s="20" t="s">
        <v>62</v>
      </c>
      <c r="B114" s="52"/>
      <c r="C114" s="30"/>
      <c r="D114" s="30"/>
      <c r="E114" s="30"/>
      <c r="F114" s="30"/>
      <c r="G114" s="30"/>
      <c r="H114" s="31"/>
      <c r="I114" s="32"/>
    </row>
    <row r="115" spans="1:11" x14ac:dyDescent="0.35">
      <c r="A115" s="22" t="s">
        <v>63</v>
      </c>
      <c r="B115" s="60"/>
      <c r="C115" s="33"/>
      <c r="D115" s="33"/>
      <c r="E115" s="33"/>
      <c r="F115" s="33"/>
      <c r="G115" s="33"/>
      <c r="H115" s="34"/>
      <c r="I115" s="35"/>
    </row>
    <row r="116" spans="1:11" x14ac:dyDescent="0.35">
      <c r="H116" s="50">
        <v>3.2337949558400831</v>
      </c>
    </row>
    <row r="118" spans="1:11" x14ac:dyDescent="0.35">
      <c r="A118" s="29" t="s">
        <v>70</v>
      </c>
      <c r="B118" s="28" t="s">
        <v>197</v>
      </c>
    </row>
    <row r="119" spans="1:11" x14ac:dyDescent="0.35">
      <c r="A119" s="29" t="s">
        <v>71</v>
      </c>
      <c r="B119" s="28"/>
    </row>
    <row r="120" spans="1:11" x14ac:dyDescent="0.35">
      <c r="A120" s="29"/>
      <c r="B120" s="28"/>
    </row>
    <row r="121" spans="1:11" x14ac:dyDescent="0.35">
      <c r="A121" s="29" t="s">
        <v>72</v>
      </c>
      <c r="B121" s="28" t="s">
        <v>212</v>
      </c>
    </row>
    <row r="122" spans="1:11" x14ac:dyDescent="0.35">
      <c r="A122" s="29" t="s">
        <v>73</v>
      </c>
      <c r="B122" s="28"/>
    </row>
    <row r="125" spans="1:11" x14ac:dyDescent="0.35">
      <c r="A125" s="24" t="s">
        <v>76</v>
      </c>
      <c r="B125" s="24"/>
      <c r="C125" s="24"/>
      <c r="D125" s="24"/>
      <c r="E125" s="24"/>
      <c r="F125" s="24"/>
      <c r="G125" s="24"/>
      <c r="H125" s="24"/>
      <c r="I125" s="24"/>
    </row>
    <row r="126" spans="1:11" x14ac:dyDescent="0.35">
      <c r="A126" t="s">
        <v>77</v>
      </c>
    </row>
    <row r="127" spans="1:11" x14ac:dyDescent="0.35">
      <c r="B127" s="40" t="s">
        <v>5</v>
      </c>
      <c r="C127" s="41" t="s">
        <v>6</v>
      </c>
      <c r="D127" s="41" t="s">
        <v>7</v>
      </c>
      <c r="E127" s="41" t="s">
        <v>8</v>
      </c>
      <c r="F127" s="3" t="s">
        <v>167</v>
      </c>
      <c r="G127" s="41" t="s">
        <v>9</v>
      </c>
      <c r="H127" s="42" t="s">
        <v>185</v>
      </c>
      <c r="I127" s="42" t="s">
        <v>17</v>
      </c>
    </row>
    <row r="128" spans="1:11" x14ac:dyDescent="0.35">
      <c r="A128" s="43" t="s">
        <v>78</v>
      </c>
      <c r="B128" s="2"/>
      <c r="C128" s="3"/>
      <c r="D128" s="3"/>
      <c r="E128" s="3"/>
      <c r="F128" s="3"/>
      <c r="G128" s="3"/>
      <c r="H128" s="4"/>
      <c r="I128" s="4"/>
      <c r="J128" s="49">
        <v>40630.68693350612</v>
      </c>
      <c r="K128" s="51" t="s">
        <v>83</v>
      </c>
    </row>
    <row r="129" spans="1:11" x14ac:dyDescent="0.35">
      <c r="A129" s="46" t="s">
        <v>79</v>
      </c>
      <c r="B129" s="5"/>
      <c r="C129" s="6"/>
      <c r="D129" s="6"/>
      <c r="E129" s="6"/>
      <c r="F129" s="6"/>
      <c r="G129" s="6"/>
      <c r="H129" s="7"/>
      <c r="I129" s="7"/>
      <c r="J129" s="49">
        <v>19767.295664777179</v>
      </c>
      <c r="K129" s="51" t="s">
        <v>84</v>
      </c>
    </row>
    <row r="130" spans="1:11" x14ac:dyDescent="0.35">
      <c r="A130" s="48" t="s">
        <v>80</v>
      </c>
      <c r="B130" s="8"/>
      <c r="C130" s="9"/>
      <c r="D130" s="9"/>
      <c r="E130" s="9"/>
      <c r="F130" s="9"/>
      <c r="G130" s="9"/>
      <c r="H130" s="10"/>
      <c r="I130" s="10"/>
      <c r="K130" s="51" t="s">
        <v>85</v>
      </c>
    </row>
    <row r="131" spans="1:11" x14ac:dyDescent="0.35">
      <c r="H131" s="49">
        <v>2583.5599790337283</v>
      </c>
      <c r="K131" s="51"/>
    </row>
    <row r="132" spans="1:11" x14ac:dyDescent="0.35">
      <c r="K132" s="51"/>
    </row>
    <row r="133" spans="1:11" x14ac:dyDescent="0.35">
      <c r="A133" s="24" t="s">
        <v>81</v>
      </c>
      <c r="K133" s="51"/>
    </row>
    <row r="134" spans="1:11" x14ac:dyDescent="0.35">
      <c r="A134" t="s">
        <v>82</v>
      </c>
      <c r="K134" s="51"/>
    </row>
    <row r="135" spans="1:11" x14ac:dyDescent="0.35">
      <c r="B135" s="2" t="s">
        <v>5</v>
      </c>
      <c r="C135" s="3" t="s">
        <v>6</v>
      </c>
      <c r="D135" s="3" t="s">
        <v>7</v>
      </c>
      <c r="E135" s="3" t="s">
        <v>8</v>
      </c>
      <c r="F135" s="3" t="s">
        <v>167</v>
      </c>
      <c r="G135" s="3" t="s">
        <v>9</v>
      </c>
      <c r="H135" s="4" t="s">
        <v>185</v>
      </c>
      <c r="I135" s="20" t="s">
        <v>17</v>
      </c>
      <c r="K135" s="51"/>
    </row>
    <row r="136" spans="1:11" x14ac:dyDescent="0.35">
      <c r="A136" s="20" t="s">
        <v>86</v>
      </c>
      <c r="B136" s="30"/>
      <c r="C136" s="30"/>
      <c r="D136" s="30"/>
      <c r="E136" s="30"/>
      <c r="F136" s="30"/>
      <c r="G136" s="30"/>
      <c r="H136" s="30"/>
      <c r="I136" s="32"/>
      <c r="J136" s="50">
        <v>9.2270609851760241</v>
      </c>
      <c r="K136" s="51" t="s">
        <v>88</v>
      </c>
    </row>
    <row r="137" spans="1:11" x14ac:dyDescent="0.35">
      <c r="A137" s="22" t="s">
        <v>87</v>
      </c>
      <c r="B137" s="33"/>
      <c r="C137" s="33"/>
      <c r="D137" s="33"/>
      <c r="E137" s="33"/>
      <c r="F137" s="33"/>
      <c r="G137" s="33"/>
      <c r="H137" s="33"/>
      <c r="I137" s="35"/>
      <c r="J137" s="50">
        <v>9.0595848876362499</v>
      </c>
      <c r="K137" s="51" t="s">
        <v>89</v>
      </c>
    </row>
    <row r="138" spans="1:11" x14ac:dyDescent="0.35">
      <c r="H138" s="50">
        <v>1.8719995618541665</v>
      </c>
    </row>
    <row r="140" spans="1:11" x14ac:dyDescent="0.35">
      <c r="A140" s="29" t="s">
        <v>90</v>
      </c>
      <c r="B140" s="28" t="s">
        <v>169</v>
      </c>
    </row>
    <row r="141" spans="1:11" x14ac:dyDescent="0.35">
      <c r="A141" s="29" t="s">
        <v>91</v>
      </c>
      <c r="B141" s="28"/>
    </row>
    <row r="142" spans="1:11" x14ac:dyDescent="0.35">
      <c r="A142" s="29"/>
      <c r="B142" s="28"/>
    </row>
    <row r="143" spans="1:11" x14ac:dyDescent="0.35">
      <c r="A143" s="29" t="s">
        <v>93</v>
      </c>
      <c r="B143" s="28" t="s">
        <v>92</v>
      </c>
    </row>
    <row r="144" spans="1:11" x14ac:dyDescent="0.35">
      <c r="A144" s="29" t="s">
        <v>94</v>
      </c>
      <c r="B144" s="28"/>
    </row>
    <row r="147" spans="1:8" ht="18.5" x14ac:dyDescent="0.45">
      <c r="A147" s="39" t="s">
        <v>95</v>
      </c>
    </row>
    <row r="149" spans="1:8" x14ac:dyDescent="0.35">
      <c r="A149" s="24" t="s">
        <v>96</v>
      </c>
    </row>
    <row r="150" spans="1:8" x14ac:dyDescent="0.35">
      <c r="A150" t="s">
        <v>97</v>
      </c>
    </row>
    <row r="151" spans="1:8" x14ac:dyDescent="0.35">
      <c r="B151" s="43" t="s">
        <v>100</v>
      </c>
      <c r="C151" s="44" t="s">
        <v>99</v>
      </c>
      <c r="D151" s="44" t="s">
        <v>102</v>
      </c>
      <c r="E151" s="44" t="s">
        <v>104</v>
      </c>
      <c r="F151" s="45" t="s">
        <v>63</v>
      </c>
      <c r="G151" s="45" t="s">
        <v>78</v>
      </c>
    </row>
    <row r="152" spans="1:8" x14ac:dyDescent="0.35">
      <c r="B152" s="46" t="s">
        <v>98</v>
      </c>
      <c r="C152" t="s">
        <v>101</v>
      </c>
      <c r="D152" t="s">
        <v>101</v>
      </c>
      <c r="E152" t="s">
        <v>103</v>
      </c>
      <c r="F152" s="47"/>
      <c r="G152" s="47"/>
    </row>
    <row r="153" spans="1:8" x14ac:dyDescent="0.35">
      <c r="A153" s="43" t="s">
        <v>5</v>
      </c>
      <c r="B153" s="2"/>
      <c r="C153" s="3"/>
      <c r="D153" s="3"/>
      <c r="E153" s="3"/>
      <c r="F153" s="4"/>
      <c r="G153" s="4"/>
    </row>
    <row r="154" spans="1:8" x14ac:dyDescent="0.35">
      <c r="A154" s="46" t="s">
        <v>6</v>
      </c>
      <c r="B154" s="5"/>
      <c r="C154" s="6"/>
      <c r="D154" s="6"/>
      <c r="E154" s="6"/>
      <c r="F154" s="7"/>
      <c r="G154" s="7"/>
    </row>
    <row r="155" spans="1:8" x14ac:dyDescent="0.35">
      <c r="A155" s="46" t="s">
        <v>7</v>
      </c>
      <c r="B155" s="5"/>
      <c r="C155" s="6"/>
      <c r="D155" s="6"/>
      <c r="E155" s="6"/>
      <c r="F155" s="7"/>
      <c r="G155" s="7"/>
    </row>
    <row r="156" spans="1:8" x14ac:dyDescent="0.35">
      <c r="A156" s="46" t="s">
        <v>8</v>
      </c>
      <c r="B156" s="5"/>
      <c r="C156" s="6"/>
      <c r="D156" s="6"/>
      <c r="E156" s="6"/>
      <c r="F156" s="7"/>
      <c r="G156" s="7"/>
    </row>
    <row r="157" spans="1:8" x14ac:dyDescent="0.35">
      <c r="A157" s="46" t="s">
        <v>167</v>
      </c>
      <c r="B157" s="5"/>
      <c r="C157" s="6"/>
      <c r="D157" s="6"/>
      <c r="E157" s="6"/>
      <c r="F157" s="7"/>
      <c r="G157" s="7"/>
    </row>
    <row r="158" spans="1:8" x14ac:dyDescent="0.35">
      <c r="A158" s="46" t="s">
        <v>9</v>
      </c>
      <c r="B158" s="5"/>
      <c r="C158" s="6"/>
      <c r="D158" s="6"/>
      <c r="E158" s="6"/>
      <c r="F158" s="7"/>
      <c r="G158" s="7"/>
    </row>
    <row r="159" spans="1:8" x14ac:dyDescent="0.35">
      <c r="A159" s="46" t="s">
        <v>185</v>
      </c>
      <c r="B159" s="5"/>
      <c r="C159" s="6"/>
      <c r="D159" s="6"/>
      <c r="E159" s="9"/>
      <c r="F159" s="10"/>
      <c r="G159" s="7"/>
    </row>
    <row r="160" spans="1:8" x14ac:dyDescent="0.35">
      <c r="A160" s="40" t="s">
        <v>17</v>
      </c>
      <c r="B160" s="11"/>
      <c r="C160" s="12"/>
      <c r="D160" s="12"/>
      <c r="E160" s="12"/>
      <c r="F160" s="13"/>
      <c r="G160" s="13"/>
      <c r="H160" s="49">
        <v>40630.68693350612</v>
      </c>
    </row>
    <row r="163" spans="1:8" x14ac:dyDescent="0.35">
      <c r="A163" s="24" t="s">
        <v>110</v>
      </c>
    </row>
    <row r="164" spans="1:8" x14ac:dyDescent="0.35">
      <c r="A164" t="s">
        <v>170</v>
      </c>
    </row>
    <row r="165" spans="1:8" x14ac:dyDescent="0.35">
      <c r="B165" s="43" t="s">
        <v>100</v>
      </c>
      <c r="C165" s="44" t="s">
        <v>99</v>
      </c>
      <c r="D165" s="44" t="s">
        <v>102</v>
      </c>
      <c r="E165" s="44" t="s">
        <v>104</v>
      </c>
      <c r="F165" s="45" t="s">
        <v>63</v>
      </c>
      <c r="G165" s="45" t="s">
        <v>78</v>
      </c>
    </row>
    <row r="166" spans="1:8" x14ac:dyDescent="0.35">
      <c r="B166" s="46" t="s">
        <v>98</v>
      </c>
      <c r="C166" t="s">
        <v>101</v>
      </c>
      <c r="D166" t="s">
        <v>101</v>
      </c>
      <c r="E166" t="s">
        <v>103</v>
      </c>
      <c r="F166" s="47"/>
      <c r="G166" s="47"/>
    </row>
    <row r="167" spans="1:8" x14ac:dyDescent="0.35">
      <c r="A167" s="43" t="s">
        <v>5</v>
      </c>
      <c r="B167" s="52"/>
      <c r="C167" s="30"/>
      <c r="D167" s="30"/>
      <c r="E167" s="30"/>
      <c r="F167" s="31"/>
      <c r="G167" s="31"/>
    </row>
    <row r="168" spans="1:8" x14ac:dyDescent="0.35">
      <c r="A168" s="46" t="s">
        <v>6</v>
      </c>
      <c r="B168" s="53"/>
      <c r="C168" s="36"/>
      <c r="D168" s="36"/>
      <c r="E168" s="36"/>
      <c r="F168" s="37"/>
      <c r="G168" s="37"/>
    </row>
    <row r="169" spans="1:8" x14ac:dyDescent="0.35">
      <c r="A169" s="46" t="s">
        <v>7</v>
      </c>
      <c r="B169" s="53"/>
      <c r="C169" s="36"/>
      <c r="D169" s="36"/>
      <c r="E169" s="36"/>
      <c r="F169" s="37"/>
      <c r="G169" s="37"/>
    </row>
    <row r="170" spans="1:8" x14ac:dyDescent="0.35">
      <c r="A170" s="46" t="s">
        <v>8</v>
      </c>
      <c r="B170" s="53"/>
      <c r="C170" s="36"/>
      <c r="D170" s="36"/>
      <c r="E170" s="36"/>
      <c r="F170" s="37"/>
      <c r="G170" s="37"/>
    </row>
    <row r="171" spans="1:8" x14ac:dyDescent="0.35">
      <c r="A171" s="46" t="s">
        <v>167</v>
      </c>
      <c r="B171" s="53"/>
      <c r="C171" s="36"/>
      <c r="D171" s="36"/>
      <c r="E171" s="36"/>
      <c r="F171" s="37"/>
      <c r="G171" s="37"/>
    </row>
    <row r="172" spans="1:8" x14ac:dyDescent="0.35">
      <c r="A172" s="46" t="s">
        <v>9</v>
      </c>
      <c r="B172" s="53"/>
      <c r="C172" s="36"/>
      <c r="D172" s="36"/>
      <c r="E172" s="36"/>
      <c r="F172" s="37"/>
      <c r="G172" s="37"/>
    </row>
    <row r="173" spans="1:8" x14ac:dyDescent="0.35">
      <c r="A173" s="46" t="s">
        <v>185</v>
      </c>
      <c r="B173" s="53"/>
      <c r="C173" s="36"/>
      <c r="D173" s="36"/>
      <c r="E173" s="36"/>
      <c r="F173" s="37"/>
      <c r="G173" s="37"/>
      <c r="H173" s="50">
        <v>14.223388313558196</v>
      </c>
    </row>
    <row r="174" spans="1:8" x14ac:dyDescent="0.35">
      <c r="A174" s="40" t="s">
        <v>17</v>
      </c>
      <c r="B174" s="54"/>
      <c r="C174" s="25"/>
      <c r="D174" s="25"/>
      <c r="E174" s="25"/>
      <c r="F174" s="26"/>
      <c r="G174" s="26"/>
    </row>
    <row r="175" spans="1:8" x14ac:dyDescent="0.35">
      <c r="F175" s="50">
        <v>100</v>
      </c>
    </row>
    <row r="177" spans="1:7" x14ac:dyDescent="0.35">
      <c r="A177" s="29" t="s">
        <v>105</v>
      </c>
      <c r="B177" s="28" t="s">
        <v>171</v>
      </c>
    </row>
    <row r="178" spans="1:7" x14ac:dyDescent="0.35">
      <c r="A178" s="29" t="s">
        <v>106</v>
      </c>
      <c r="B178" s="28"/>
    </row>
    <row r="179" spans="1:7" x14ac:dyDescent="0.35">
      <c r="A179" s="29"/>
      <c r="B179" s="28"/>
    </row>
    <row r="180" spans="1:7" x14ac:dyDescent="0.35">
      <c r="A180" s="29" t="s">
        <v>108</v>
      </c>
      <c r="B180" s="28" t="s">
        <v>107</v>
      </c>
    </row>
    <row r="181" spans="1:7" x14ac:dyDescent="0.35">
      <c r="A181" s="29" t="s">
        <v>109</v>
      </c>
      <c r="B181" s="28"/>
    </row>
    <row r="184" spans="1:7" x14ac:dyDescent="0.35">
      <c r="A184" s="24" t="s">
        <v>111</v>
      </c>
    </row>
    <row r="185" spans="1:7" x14ac:dyDescent="0.35">
      <c r="A185" t="s">
        <v>112</v>
      </c>
    </row>
    <row r="186" spans="1:7" x14ac:dyDescent="0.35">
      <c r="A186" s="45"/>
      <c r="B186" s="43" t="s">
        <v>100</v>
      </c>
      <c r="C186" s="44" t="s">
        <v>99</v>
      </c>
      <c r="D186" s="44" t="s">
        <v>102</v>
      </c>
      <c r="E186" s="44" t="s">
        <v>104</v>
      </c>
      <c r="F186" s="45" t="s">
        <v>63</v>
      </c>
      <c r="G186" s="45" t="s">
        <v>78</v>
      </c>
    </row>
    <row r="187" spans="1:7" x14ac:dyDescent="0.35">
      <c r="A187" s="56"/>
      <c r="B187" s="46" t="s">
        <v>98</v>
      </c>
      <c r="C187" t="s">
        <v>101</v>
      </c>
      <c r="D187" t="s">
        <v>101</v>
      </c>
      <c r="E187" t="s">
        <v>103</v>
      </c>
      <c r="F187" s="47"/>
      <c r="G187" s="47"/>
    </row>
    <row r="188" spans="1:7" x14ac:dyDescent="0.35">
      <c r="A188" s="43" t="s">
        <v>5</v>
      </c>
      <c r="B188" s="68"/>
      <c r="C188" s="69"/>
      <c r="D188" s="69"/>
      <c r="E188" s="69"/>
      <c r="F188" s="70"/>
      <c r="G188" s="4"/>
    </row>
    <row r="189" spans="1:7" x14ac:dyDescent="0.35">
      <c r="A189" s="46" t="s">
        <v>6</v>
      </c>
      <c r="B189" s="71"/>
      <c r="C189" s="72"/>
      <c r="D189" s="72"/>
      <c r="E189" s="72"/>
      <c r="F189" s="73"/>
      <c r="G189" s="7"/>
    </row>
    <row r="190" spans="1:7" x14ac:dyDescent="0.35">
      <c r="A190" s="46" t="s">
        <v>7</v>
      </c>
      <c r="B190" s="71"/>
      <c r="C190" s="72"/>
      <c r="D190" s="72"/>
      <c r="E190" s="72"/>
      <c r="F190" s="73"/>
      <c r="G190" s="7"/>
    </row>
    <row r="191" spans="1:7" x14ac:dyDescent="0.35">
      <c r="A191" s="46" t="s">
        <v>8</v>
      </c>
      <c r="B191" s="71"/>
      <c r="C191" s="72"/>
      <c r="D191" s="72"/>
      <c r="E191" s="72"/>
      <c r="F191" s="73"/>
      <c r="G191" s="7"/>
    </row>
    <row r="192" spans="1:7" x14ac:dyDescent="0.35">
      <c r="A192" s="46" t="s">
        <v>167</v>
      </c>
      <c r="B192" s="71"/>
      <c r="C192" s="72"/>
      <c r="D192" s="72"/>
      <c r="E192" s="72"/>
      <c r="F192" s="73"/>
      <c r="G192" s="7"/>
    </row>
    <row r="193" spans="1:8" x14ac:dyDescent="0.35">
      <c r="A193" s="46" t="s">
        <v>9</v>
      </c>
      <c r="B193" s="71"/>
      <c r="C193" s="72"/>
      <c r="D193" s="72"/>
      <c r="E193" s="72"/>
      <c r="F193" s="73"/>
      <c r="G193" s="7"/>
    </row>
    <row r="194" spans="1:8" x14ac:dyDescent="0.35">
      <c r="A194" s="46" t="s">
        <v>185</v>
      </c>
      <c r="B194" s="71"/>
      <c r="C194" s="72"/>
      <c r="D194" s="72"/>
      <c r="E194" s="72"/>
      <c r="F194" s="73"/>
      <c r="G194" s="7"/>
      <c r="H194" s="50">
        <v>100</v>
      </c>
    </row>
    <row r="195" spans="1:8" x14ac:dyDescent="0.35">
      <c r="A195" s="40" t="s">
        <v>17</v>
      </c>
      <c r="B195" s="74"/>
      <c r="C195" s="75"/>
      <c r="D195" s="75"/>
      <c r="E195" s="75"/>
      <c r="F195" s="76"/>
      <c r="G195" s="26"/>
    </row>
    <row r="196" spans="1:8" x14ac:dyDescent="0.35">
      <c r="F196" s="50">
        <v>8.0317763538213551</v>
      </c>
    </row>
    <row r="198" spans="1:8" ht="18.5" x14ac:dyDescent="0.45">
      <c r="A198" s="39" t="s">
        <v>113</v>
      </c>
    </row>
    <row r="200" spans="1:8" x14ac:dyDescent="0.35">
      <c r="A200" s="24" t="s">
        <v>114</v>
      </c>
    </row>
    <row r="201" spans="1:8" x14ac:dyDescent="0.35">
      <c r="A201" t="s">
        <v>115</v>
      </c>
    </row>
    <row r="202" spans="1:8" x14ac:dyDescent="0.35">
      <c r="B202" s="2" t="s">
        <v>12</v>
      </c>
      <c r="C202" s="45" t="s">
        <v>13</v>
      </c>
      <c r="D202" s="45" t="s">
        <v>17</v>
      </c>
    </row>
    <row r="203" spans="1:8" x14ac:dyDescent="0.35">
      <c r="A203" s="43" t="s">
        <v>5</v>
      </c>
      <c r="B203" s="2"/>
      <c r="C203" s="4"/>
      <c r="D203" s="4"/>
      <c r="E203" s="51" t="s">
        <v>119</v>
      </c>
    </row>
    <row r="204" spans="1:8" x14ac:dyDescent="0.35">
      <c r="A204" s="46" t="s">
        <v>6</v>
      </c>
      <c r="B204" s="5"/>
      <c r="C204" s="7"/>
      <c r="D204" s="7"/>
      <c r="E204" s="51" t="s">
        <v>120</v>
      </c>
    </row>
    <row r="205" spans="1:8" x14ac:dyDescent="0.35">
      <c r="A205" s="46" t="s">
        <v>7</v>
      </c>
      <c r="B205" s="5"/>
      <c r="C205" s="7"/>
      <c r="D205" s="7"/>
      <c r="E205" s="51" t="s">
        <v>121</v>
      </c>
    </row>
    <row r="206" spans="1:8" x14ac:dyDescent="0.35">
      <c r="A206" s="46" t="s">
        <v>8</v>
      </c>
      <c r="B206" s="5"/>
      <c r="C206" s="7"/>
      <c r="D206" s="7"/>
      <c r="E206" s="51" t="s">
        <v>122</v>
      </c>
    </row>
    <row r="207" spans="1:8" x14ac:dyDescent="0.35">
      <c r="A207" s="46" t="s">
        <v>167</v>
      </c>
      <c r="B207" s="5"/>
      <c r="C207" s="7"/>
      <c r="D207" s="7"/>
      <c r="E207" s="51" t="s">
        <v>123</v>
      </c>
    </row>
    <row r="208" spans="1:8" x14ac:dyDescent="0.35">
      <c r="A208" s="46" t="s">
        <v>9</v>
      </c>
      <c r="B208" s="5"/>
      <c r="C208" s="7"/>
      <c r="D208" s="7"/>
      <c r="E208" s="51" t="s">
        <v>124</v>
      </c>
    </row>
    <row r="209" spans="1:5" x14ac:dyDescent="0.35">
      <c r="A209" s="46" t="s">
        <v>185</v>
      </c>
      <c r="B209" s="5"/>
      <c r="C209" s="7"/>
      <c r="D209" s="7"/>
      <c r="E209" s="51" t="s">
        <v>125</v>
      </c>
    </row>
    <row r="210" spans="1:5" x14ac:dyDescent="0.35">
      <c r="A210" s="46" t="s">
        <v>14</v>
      </c>
      <c r="B210" s="5"/>
      <c r="C210" s="7"/>
      <c r="D210" s="7"/>
      <c r="E210" s="51" t="s">
        <v>116</v>
      </c>
    </row>
    <row r="211" spans="1:5" x14ac:dyDescent="0.35">
      <c r="A211" s="46" t="s">
        <v>15</v>
      </c>
      <c r="B211" s="8"/>
      <c r="C211" s="10"/>
      <c r="D211" s="7"/>
      <c r="E211" s="51" t="s">
        <v>117</v>
      </c>
    </row>
    <row r="212" spans="1:5" x14ac:dyDescent="0.35">
      <c r="A212" s="40" t="s">
        <v>17</v>
      </c>
      <c r="B212" s="11"/>
      <c r="C212" s="13"/>
      <c r="D212" s="13"/>
      <c r="E212" s="51" t="s">
        <v>118</v>
      </c>
    </row>
    <row r="213" spans="1:5" x14ac:dyDescent="0.35">
      <c r="C213" s="49">
        <v>5774.3743051158172</v>
      </c>
    </row>
    <row r="215" spans="1:5" x14ac:dyDescent="0.35">
      <c r="A215" s="29" t="s">
        <v>134</v>
      </c>
      <c r="B215" s="28" t="s">
        <v>126</v>
      </c>
    </row>
    <row r="216" spans="1:5" x14ac:dyDescent="0.35">
      <c r="A216" s="29" t="s">
        <v>135</v>
      </c>
      <c r="B216" s="28"/>
    </row>
    <row r="217" spans="1:5" x14ac:dyDescent="0.35">
      <c r="A217" s="29"/>
      <c r="B217" s="28"/>
    </row>
    <row r="218" spans="1:5" x14ac:dyDescent="0.35">
      <c r="A218" s="29" t="s">
        <v>132</v>
      </c>
      <c r="B218" s="28" t="s">
        <v>127</v>
      </c>
    </row>
    <row r="219" spans="1:5" x14ac:dyDescent="0.35">
      <c r="A219" s="29" t="s">
        <v>133</v>
      </c>
      <c r="B219" s="28"/>
    </row>
    <row r="220" spans="1:5" x14ac:dyDescent="0.35">
      <c r="A220" s="29"/>
      <c r="B220" s="28"/>
    </row>
    <row r="221" spans="1:5" x14ac:dyDescent="0.35">
      <c r="A221" s="29" t="s">
        <v>130</v>
      </c>
      <c r="B221" s="28" t="s">
        <v>189</v>
      </c>
    </row>
    <row r="222" spans="1:5" x14ac:dyDescent="0.35">
      <c r="A222" s="29" t="s">
        <v>131</v>
      </c>
      <c r="B222" s="28"/>
    </row>
    <row r="223" spans="1:5" x14ac:dyDescent="0.35">
      <c r="A223" s="29"/>
      <c r="B223" s="28"/>
    </row>
    <row r="224" spans="1:5" x14ac:dyDescent="0.35">
      <c r="A224" s="29" t="s">
        <v>128</v>
      </c>
      <c r="B224" s="28" t="s">
        <v>172</v>
      </c>
    </row>
    <row r="225" spans="1:5" x14ac:dyDescent="0.35">
      <c r="A225" s="29" t="s">
        <v>129</v>
      </c>
      <c r="B225" s="28"/>
    </row>
    <row r="226" spans="1:5" x14ac:dyDescent="0.35">
      <c r="B226" s="28"/>
    </row>
    <row r="227" spans="1:5" x14ac:dyDescent="0.35">
      <c r="B227" s="28"/>
    </row>
    <row r="228" spans="1:5" x14ac:dyDescent="0.35">
      <c r="A228" s="24" t="s">
        <v>136</v>
      </c>
    </row>
    <row r="229" spans="1:5" x14ac:dyDescent="0.35">
      <c r="A229" t="s">
        <v>137</v>
      </c>
    </row>
    <row r="230" spans="1:5" x14ac:dyDescent="0.35">
      <c r="B230" s="2" t="s">
        <v>12</v>
      </c>
      <c r="C230" s="45" t="s">
        <v>13</v>
      </c>
      <c r="D230" s="45" t="s">
        <v>17</v>
      </c>
    </row>
    <row r="231" spans="1:5" x14ac:dyDescent="0.35">
      <c r="A231" s="43" t="s">
        <v>5</v>
      </c>
      <c r="B231" s="52"/>
      <c r="C231" s="31"/>
      <c r="D231" s="31"/>
    </row>
    <row r="232" spans="1:5" x14ac:dyDescent="0.35">
      <c r="A232" s="46" t="s">
        <v>6</v>
      </c>
      <c r="B232" s="53"/>
      <c r="C232" s="37"/>
      <c r="D232" s="37"/>
    </row>
    <row r="233" spans="1:5" x14ac:dyDescent="0.35">
      <c r="A233" s="46" t="s">
        <v>7</v>
      </c>
      <c r="B233" s="53"/>
      <c r="C233" s="37"/>
      <c r="D233" s="37"/>
    </row>
    <row r="234" spans="1:5" x14ac:dyDescent="0.35">
      <c r="A234" s="46" t="s">
        <v>8</v>
      </c>
      <c r="B234" s="53"/>
      <c r="C234" s="37"/>
      <c r="D234" s="37"/>
    </row>
    <row r="235" spans="1:5" x14ac:dyDescent="0.35">
      <c r="A235" s="46" t="s">
        <v>167</v>
      </c>
      <c r="B235" s="53"/>
      <c r="C235" s="37"/>
      <c r="D235" s="37"/>
    </row>
    <row r="236" spans="1:5" x14ac:dyDescent="0.35">
      <c r="A236" s="46" t="s">
        <v>9</v>
      </c>
      <c r="B236" s="53"/>
      <c r="C236" s="37"/>
      <c r="D236" s="37"/>
    </row>
    <row r="237" spans="1:5" x14ac:dyDescent="0.35">
      <c r="A237" s="46" t="s">
        <v>185</v>
      </c>
      <c r="B237" s="53"/>
      <c r="C237" s="37"/>
      <c r="D237" s="37"/>
    </row>
    <row r="238" spans="1:5" x14ac:dyDescent="0.35">
      <c r="A238" s="46" t="s">
        <v>14</v>
      </c>
      <c r="B238" s="53"/>
      <c r="C238" s="37"/>
      <c r="D238" s="37"/>
    </row>
    <row r="239" spans="1:5" x14ac:dyDescent="0.35">
      <c r="A239" s="46" t="s">
        <v>15</v>
      </c>
      <c r="B239" s="53"/>
      <c r="C239" s="37"/>
      <c r="D239" s="37"/>
      <c r="E239" s="50">
        <v>20.04390727542393</v>
      </c>
    </row>
    <row r="240" spans="1:5" x14ac:dyDescent="0.35">
      <c r="A240" s="40" t="s">
        <v>17</v>
      </c>
      <c r="B240" s="54"/>
      <c r="C240" s="26"/>
      <c r="D240" s="26"/>
    </row>
    <row r="241" spans="1:7" x14ac:dyDescent="0.35">
      <c r="B241" s="28"/>
    </row>
    <row r="242" spans="1:7" x14ac:dyDescent="0.35">
      <c r="B242" s="28"/>
    </row>
    <row r="243" spans="1:7" x14ac:dyDescent="0.35">
      <c r="A243" s="29" t="s">
        <v>138</v>
      </c>
      <c r="B243" s="28" t="s">
        <v>173</v>
      </c>
    </row>
    <row r="244" spans="1:7" x14ac:dyDescent="0.35">
      <c r="A244" s="29" t="s">
        <v>139</v>
      </c>
      <c r="B244" s="57">
        <f>C238/100</f>
        <v>0</v>
      </c>
    </row>
    <row r="245" spans="1:7" x14ac:dyDescent="0.35">
      <c r="A245" s="29"/>
      <c r="B245" s="28"/>
    </row>
    <row r="246" spans="1:7" x14ac:dyDescent="0.35">
      <c r="A246" s="29" t="s">
        <v>141</v>
      </c>
      <c r="B246" s="28" t="s">
        <v>140</v>
      </c>
    </row>
    <row r="247" spans="1:7" x14ac:dyDescent="0.35">
      <c r="A247" s="29" t="s">
        <v>142</v>
      </c>
      <c r="B247" s="57">
        <f>B237/100</f>
        <v>0</v>
      </c>
    </row>
    <row r="248" spans="1:7" x14ac:dyDescent="0.35">
      <c r="A248" s="29"/>
      <c r="B248" s="28"/>
    </row>
    <row r="249" spans="1:7" x14ac:dyDescent="0.35">
      <c r="A249" s="29" t="s">
        <v>143</v>
      </c>
      <c r="B249" s="28" t="s">
        <v>190</v>
      </c>
    </row>
    <row r="250" spans="1:7" x14ac:dyDescent="0.35">
      <c r="A250" s="29" t="s">
        <v>144</v>
      </c>
      <c r="B250" s="57">
        <f>B239/100</f>
        <v>0</v>
      </c>
    </row>
    <row r="253" spans="1:7" x14ac:dyDescent="0.35">
      <c r="A253" s="24" t="s">
        <v>145</v>
      </c>
    </row>
    <row r="254" spans="1:7" x14ac:dyDescent="0.35">
      <c r="A254" t="s">
        <v>155</v>
      </c>
    </row>
    <row r="255" spans="1:7" x14ac:dyDescent="0.35">
      <c r="B255" s="40" t="s">
        <v>10</v>
      </c>
      <c r="C255" s="41" t="s">
        <v>11</v>
      </c>
      <c r="D255" s="41" t="s">
        <v>188</v>
      </c>
      <c r="E255" s="41" t="s">
        <v>14</v>
      </c>
      <c r="F255" s="42" t="s">
        <v>16</v>
      </c>
      <c r="G255" s="42" t="s">
        <v>17</v>
      </c>
    </row>
    <row r="256" spans="1:7" x14ac:dyDescent="0.35">
      <c r="A256" s="43" t="s">
        <v>12</v>
      </c>
      <c r="B256" s="2"/>
      <c r="C256" s="3"/>
      <c r="D256" s="3"/>
      <c r="E256" s="3"/>
      <c r="F256" s="4"/>
      <c r="G256" s="4"/>
    </row>
    <row r="257" spans="1:8" x14ac:dyDescent="0.35">
      <c r="A257" s="46" t="s">
        <v>13</v>
      </c>
      <c r="B257" s="8"/>
      <c r="C257" s="9"/>
      <c r="D257" s="9"/>
      <c r="E257" s="9"/>
      <c r="F257" s="10"/>
      <c r="G257" s="7"/>
    </row>
    <row r="258" spans="1:8" x14ac:dyDescent="0.35">
      <c r="A258" s="40" t="s">
        <v>17</v>
      </c>
      <c r="B258" s="11"/>
      <c r="C258" s="12"/>
      <c r="D258" s="12"/>
      <c r="E258" s="12"/>
      <c r="F258" s="13"/>
      <c r="G258" s="13"/>
      <c r="H258" s="49">
        <v>14392.080321743819</v>
      </c>
    </row>
    <row r="261" spans="1:8" x14ac:dyDescent="0.35">
      <c r="A261" s="24" t="s">
        <v>153</v>
      </c>
    </row>
    <row r="262" spans="1:8" x14ac:dyDescent="0.35">
      <c r="A262" t="s">
        <v>154</v>
      </c>
    </row>
    <row r="263" spans="1:8" x14ac:dyDescent="0.35">
      <c r="B263" s="40" t="s">
        <v>10</v>
      </c>
      <c r="C263" s="41" t="s">
        <v>11</v>
      </c>
      <c r="D263" s="41" t="s">
        <v>188</v>
      </c>
      <c r="E263" s="41" t="s">
        <v>14</v>
      </c>
      <c r="F263" s="41" t="s">
        <v>16</v>
      </c>
      <c r="G263" s="23" t="s">
        <v>17</v>
      </c>
    </row>
    <row r="264" spans="1:8" x14ac:dyDescent="0.35">
      <c r="A264" s="43" t="s">
        <v>12</v>
      </c>
      <c r="B264" s="52"/>
      <c r="C264" s="30"/>
      <c r="D264" s="30"/>
      <c r="E264" s="30"/>
      <c r="F264" s="30"/>
      <c r="G264" s="32"/>
    </row>
    <row r="265" spans="1:8" x14ac:dyDescent="0.35">
      <c r="A265" s="46" t="s">
        <v>13</v>
      </c>
      <c r="B265" s="53"/>
      <c r="C265" s="36"/>
      <c r="D265" s="36"/>
      <c r="E265" s="36"/>
      <c r="F265" s="36"/>
      <c r="G265" s="38"/>
    </row>
    <row r="266" spans="1:8" x14ac:dyDescent="0.35">
      <c r="A266" s="40" t="s">
        <v>17</v>
      </c>
      <c r="B266" s="54"/>
      <c r="C266" s="25"/>
      <c r="D266" s="25"/>
      <c r="E266" s="25"/>
      <c r="F266" s="25"/>
      <c r="G266" s="27"/>
    </row>
    <row r="267" spans="1:8" x14ac:dyDescent="0.35">
      <c r="F267" s="50">
        <v>5.1397642141104685</v>
      </c>
    </row>
    <row r="269" spans="1:8" x14ac:dyDescent="0.35">
      <c r="A269" s="29" t="s">
        <v>147</v>
      </c>
      <c r="B269" s="28" t="s">
        <v>146</v>
      </c>
    </row>
    <row r="270" spans="1:8" x14ac:dyDescent="0.35">
      <c r="A270" s="29" t="s">
        <v>148</v>
      </c>
      <c r="B270" s="28"/>
    </row>
    <row r="271" spans="1:8" x14ac:dyDescent="0.35">
      <c r="A271" s="29"/>
      <c r="B271" s="28"/>
    </row>
    <row r="272" spans="1:8" x14ac:dyDescent="0.35">
      <c r="A272" s="29" t="s">
        <v>149</v>
      </c>
      <c r="B272" s="28" t="s">
        <v>191</v>
      </c>
    </row>
    <row r="273" spans="1:12" x14ac:dyDescent="0.35">
      <c r="A273" s="29" t="s">
        <v>150</v>
      </c>
      <c r="B273" s="28"/>
    </row>
    <row r="274" spans="1:12" x14ac:dyDescent="0.35">
      <c r="A274" s="29"/>
      <c r="B274" s="28"/>
    </row>
    <row r="275" spans="1:12" x14ac:dyDescent="0.35">
      <c r="A275" s="29" t="s">
        <v>151</v>
      </c>
      <c r="B275" s="28" t="s">
        <v>174</v>
      </c>
    </row>
    <row r="276" spans="1:12" x14ac:dyDescent="0.35">
      <c r="A276" s="29" t="s">
        <v>152</v>
      </c>
      <c r="B276" s="28"/>
    </row>
    <row r="279" spans="1:12" ht="18.5" x14ac:dyDescent="0.45">
      <c r="A279" s="39" t="s">
        <v>156</v>
      </c>
    </row>
    <row r="281" spans="1:12" x14ac:dyDescent="0.35">
      <c r="A281" s="24" t="s">
        <v>157</v>
      </c>
    </row>
    <row r="282" spans="1:12" x14ac:dyDescent="0.35">
      <c r="A282" t="s">
        <v>158</v>
      </c>
    </row>
    <row r="283" spans="1:12" x14ac:dyDescent="0.35">
      <c r="A283" s="43" t="s">
        <v>159</v>
      </c>
      <c r="B283" s="44"/>
      <c r="C283" s="45"/>
      <c r="D283" s="14"/>
      <c r="L283" s="6"/>
    </row>
    <row r="284" spans="1:12" x14ac:dyDescent="0.35">
      <c r="A284" s="46" t="s">
        <v>181</v>
      </c>
      <c r="C284" s="47"/>
      <c r="D284" s="15"/>
      <c r="L284" s="6"/>
    </row>
    <row r="285" spans="1:12" x14ac:dyDescent="0.35">
      <c r="A285" s="46" t="s">
        <v>160</v>
      </c>
      <c r="C285" s="47"/>
      <c r="D285" s="15"/>
      <c r="E285" s="51" t="s">
        <v>194</v>
      </c>
      <c r="L285" s="6"/>
    </row>
    <row r="286" spans="1:12" x14ac:dyDescent="0.35">
      <c r="A286" s="46" t="s">
        <v>117</v>
      </c>
      <c r="C286" s="47"/>
      <c r="D286" s="15"/>
      <c r="L286" s="6"/>
    </row>
    <row r="287" spans="1:12" x14ac:dyDescent="0.35">
      <c r="A287" s="46" t="s">
        <v>62</v>
      </c>
      <c r="C287" s="47"/>
      <c r="D287" s="15"/>
      <c r="E287" s="6"/>
      <c r="L287" s="6"/>
    </row>
    <row r="288" spans="1:12" x14ac:dyDescent="0.35">
      <c r="A288" s="46" t="s">
        <v>63</v>
      </c>
      <c r="C288" s="47"/>
      <c r="D288" s="15"/>
      <c r="L288" s="6"/>
    </row>
    <row r="289" spans="1:6" x14ac:dyDescent="0.35">
      <c r="A289" s="48" t="s">
        <v>176</v>
      </c>
      <c r="B289" s="55"/>
      <c r="C289" s="56"/>
      <c r="D289" s="16"/>
    </row>
    <row r="292" spans="1:6" x14ac:dyDescent="0.35">
      <c r="A292" s="24" t="s">
        <v>161</v>
      </c>
    </row>
    <row r="293" spans="1:6" x14ac:dyDescent="0.35">
      <c r="A293" t="s">
        <v>177</v>
      </c>
    </row>
    <row r="294" spans="1:6" x14ac:dyDescent="0.35">
      <c r="A294" s="43" t="s">
        <v>178</v>
      </c>
      <c r="B294" s="44"/>
      <c r="C294" s="44"/>
      <c r="D294" s="44"/>
      <c r="E294" s="32"/>
      <c r="F294" s="51" t="s">
        <v>175</v>
      </c>
    </row>
    <row r="295" spans="1:6" x14ac:dyDescent="0.35">
      <c r="A295" s="46" t="s">
        <v>179</v>
      </c>
      <c r="E295" s="38"/>
      <c r="F295" s="51"/>
    </row>
    <row r="296" spans="1:6" x14ac:dyDescent="0.35">
      <c r="A296" s="46" t="s">
        <v>180</v>
      </c>
      <c r="E296" s="38"/>
      <c r="F296" s="51"/>
    </row>
    <row r="297" spans="1:6" x14ac:dyDescent="0.35">
      <c r="A297" s="48" t="s">
        <v>193</v>
      </c>
      <c r="B297" s="55"/>
      <c r="C297" s="55"/>
      <c r="D297" s="55"/>
      <c r="E297" s="35"/>
      <c r="F297" s="51" t="s">
        <v>162</v>
      </c>
    </row>
    <row r="300" spans="1:6" x14ac:dyDescent="0.35">
      <c r="A300" s="29" t="s">
        <v>163</v>
      </c>
      <c r="B300" s="28" t="s">
        <v>206</v>
      </c>
    </row>
    <row r="301" spans="1:6" x14ac:dyDescent="0.35">
      <c r="A301" s="29" t="s">
        <v>164</v>
      </c>
      <c r="B301" s="28"/>
    </row>
    <row r="302" spans="1:6" x14ac:dyDescent="0.35">
      <c r="A302" s="29"/>
      <c r="B302" s="28"/>
    </row>
    <row r="303" spans="1:6" x14ac:dyDescent="0.35">
      <c r="A303" s="29" t="s">
        <v>165</v>
      </c>
      <c r="B303" s="28" t="s">
        <v>182</v>
      </c>
    </row>
    <row r="304" spans="1:6" x14ac:dyDescent="0.35">
      <c r="A304" s="29" t="s">
        <v>166</v>
      </c>
      <c r="B304" s="28"/>
    </row>
    <row r="305" spans="2:2" x14ac:dyDescent="0.35">
      <c r="B305" s="28"/>
    </row>
  </sheetData>
  <mergeCells count="1">
    <mergeCell ref="B35:H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F22B-F0D0-437F-83DE-19364E73AE25}">
  <dimension ref="A1:AE305"/>
  <sheetViews>
    <sheetView showZeros="0" zoomScale="70" zoomScaleNormal="70" workbookViewId="0">
      <pane xSplit="1" ySplit="6" topLeftCell="B139" activePane="bottomRight" state="frozen"/>
      <selection pane="topRight" activeCell="B1" sqref="B1"/>
      <selection pane="bottomLeft" activeCell="A8" sqref="A8"/>
      <selection pane="bottomRight" activeCell="G153" sqref="G153"/>
    </sheetView>
  </sheetViews>
  <sheetFormatPr defaultRowHeight="14.5" x14ac:dyDescent="0.35"/>
  <cols>
    <col min="4" max="4" width="10.6328125" customWidth="1"/>
  </cols>
  <sheetData>
    <row r="1" spans="1:31" ht="18.5" x14ac:dyDescent="0.45">
      <c r="A1" s="1" t="s">
        <v>211</v>
      </c>
    </row>
    <row r="4" spans="1:31" ht="15.5" x14ac:dyDescent="0.35">
      <c r="A4" s="18" t="s">
        <v>210</v>
      </c>
    </row>
    <row r="6" spans="1:31" x14ac:dyDescent="0.35">
      <c r="A6" s="2"/>
      <c r="B6" s="2" t="s">
        <v>0</v>
      </c>
      <c r="C6" s="3" t="s">
        <v>1</v>
      </c>
      <c r="D6" s="3" t="s">
        <v>2</v>
      </c>
      <c r="E6" s="3" t="s">
        <v>3</v>
      </c>
      <c r="F6" s="3" t="s">
        <v>168</v>
      </c>
      <c r="G6" s="3" t="s">
        <v>4</v>
      </c>
      <c r="H6" s="4" t="s">
        <v>184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167</v>
      </c>
      <c r="N6" s="3" t="s">
        <v>9</v>
      </c>
      <c r="O6" s="3" t="s">
        <v>185</v>
      </c>
      <c r="P6" s="2" t="s">
        <v>10</v>
      </c>
      <c r="Q6" s="4" t="s">
        <v>11</v>
      </c>
      <c r="R6" s="14" t="s">
        <v>188</v>
      </c>
      <c r="S6" s="3" t="s">
        <v>12</v>
      </c>
      <c r="T6" s="3" t="s">
        <v>13</v>
      </c>
      <c r="U6" s="2" t="s">
        <v>14</v>
      </c>
      <c r="V6" s="3" t="s">
        <v>15</v>
      </c>
      <c r="W6" s="4" t="s">
        <v>16</v>
      </c>
      <c r="X6" s="4" t="s">
        <v>17</v>
      </c>
    </row>
    <row r="7" spans="1:31" x14ac:dyDescent="0.35">
      <c r="A7" s="2" t="s">
        <v>0</v>
      </c>
      <c r="B7" s="2"/>
      <c r="C7" s="3"/>
      <c r="D7" s="3"/>
      <c r="E7" s="3"/>
      <c r="F7" s="3"/>
      <c r="G7" s="3"/>
      <c r="H7" s="4"/>
      <c r="I7" s="3">
        <v>6083.9481150695065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2"/>
      <c r="Q7" s="4"/>
      <c r="R7" s="14"/>
      <c r="S7" s="3"/>
      <c r="T7" s="3"/>
      <c r="U7" s="2"/>
      <c r="V7" s="3"/>
      <c r="W7" s="4"/>
      <c r="X7" s="4">
        <v>6083.9481150695065</v>
      </c>
    </row>
    <row r="8" spans="1:31" x14ac:dyDescent="0.35">
      <c r="A8" s="5" t="s">
        <v>1</v>
      </c>
      <c r="B8" s="5"/>
      <c r="C8" s="6"/>
      <c r="D8" s="6"/>
      <c r="E8" s="6"/>
      <c r="F8" s="6"/>
      <c r="G8" s="6"/>
      <c r="H8" s="7"/>
      <c r="I8" s="6">
        <v>0</v>
      </c>
      <c r="J8" s="6">
        <v>530.99793367786128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5"/>
      <c r="Q8" s="7"/>
      <c r="R8" s="15"/>
      <c r="S8" s="6"/>
      <c r="T8" s="6"/>
      <c r="U8" s="5"/>
      <c r="V8" s="6"/>
      <c r="W8" s="7"/>
      <c r="X8" s="7">
        <v>530.99793367786128</v>
      </c>
    </row>
    <row r="9" spans="1:31" x14ac:dyDescent="0.35">
      <c r="A9" s="5" t="s">
        <v>2</v>
      </c>
      <c r="B9" s="5"/>
      <c r="C9" s="6"/>
      <c r="D9" s="6"/>
      <c r="E9" s="6"/>
      <c r="F9" s="6"/>
      <c r="G9" s="6"/>
      <c r="H9" s="7"/>
      <c r="I9" s="6">
        <v>0</v>
      </c>
      <c r="J9" s="6">
        <v>0</v>
      </c>
      <c r="K9" s="6">
        <v>11592.41657869403</v>
      </c>
      <c r="L9" s="6">
        <v>0</v>
      </c>
      <c r="M9" s="6">
        <v>0</v>
      </c>
      <c r="N9" s="6">
        <v>0</v>
      </c>
      <c r="O9" s="6">
        <v>0</v>
      </c>
      <c r="P9" s="5"/>
      <c r="Q9" s="7"/>
      <c r="R9" s="15"/>
      <c r="S9" s="6"/>
      <c r="T9" s="6"/>
      <c r="U9" s="5"/>
      <c r="V9" s="6"/>
      <c r="W9" s="7"/>
      <c r="X9" s="7">
        <v>11592.41657869403</v>
      </c>
    </row>
    <row r="10" spans="1:31" x14ac:dyDescent="0.35">
      <c r="A10" s="5" t="s">
        <v>3</v>
      </c>
      <c r="B10" s="5"/>
      <c r="C10" s="6"/>
      <c r="D10" s="6"/>
      <c r="E10" s="6"/>
      <c r="F10" s="6"/>
      <c r="G10" s="6"/>
      <c r="H10" s="7"/>
      <c r="I10" s="6">
        <v>0</v>
      </c>
      <c r="J10" s="6">
        <v>0</v>
      </c>
      <c r="K10" s="6">
        <v>0</v>
      </c>
      <c r="L10" s="6">
        <v>4964.714367304332</v>
      </c>
      <c r="M10" s="6">
        <v>0</v>
      </c>
      <c r="N10" s="6">
        <v>0</v>
      </c>
      <c r="O10" s="6">
        <v>0</v>
      </c>
      <c r="P10" s="5"/>
      <c r="Q10" s="7"/>
      <c r="R10" s="15"/>
      <c r="S10" s="6"/>
      <c r="T10" s="6"/>
      <c r="U10" s="5"/>
      <c r="V10" s="6"/>
      <c r="W10" s="7"/>
      <c r="X10" s="7">
        <v>4964.714367304332</v>
      </c>
    </row>
    <row r="11" spans="1:31" x14ac:dyDescent="0.35">
      <c r="A11" s="5" t="s">
        <v>168</v>
      </c>
      <c r="B11" s="5"/>
      <c r="C11" s="6"/>
      <c r="D11" s="6"/>
      <c r="E11" s="6"/>
      <c r="F11" s="6"/>
      <c r="G11" s="6"/>
      <c r="H11" s="7"/>
      <c r="I11" s="6">
        <v>0</v>
      </c>
      <c r="J11" s="6">
        <v>0</v>
      </c>
      <c r="K11" s="6">
        <v>0</v>
      </c>
      <c r="L11" s="6">
        <v>0</v>
      </c>
      <c r="M11" s="6">
        <v>4949.2697196303889</v>
      </c>
      <c r="N11" s="6">
        <v>0</v>
      </c>
      <c r="O11" s="6">
        <v>0</v>
      </c>
      <c r="P11" s="5"/>
      <c r="Q11" s="7"/>
      <c r="R11" s="15"/>
      <c r="S11" s="6"/>
      <c r="T11" s="6"/>
      <c r="U11" s="5"/>
      <c r="V11" s="6"/>
      <c r="W11" s="7"/>
      <c r="X11" s="7">
        <v>4949.2697196303889</v>
      </c>
    </row>
    <row r="12" spans="1:31" x14ac:dyDescent="0.35">
      <c r="A12" s="5" t="s">
        <v>4</v>
      </c>
      <c r="B12" s="5"/>
      <c r="C12" s="6"/>
      <c r="D12" s="6"/>
      <c r="E12" s="6"/>
      <c r="F12" s="6"/>
      <c r="G12" s="6"/>
      <c r="H12" s="7"/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2262.4772704116963</v>
      </c>
      <c r="O12" s="6">
        <v>0</v>
      </c>
      <c r="P12" s="5"/>
      <c r="Q12" s="7"/>
      <c r="R12" s="15"/>
      <c r="S12" s="6"/>
      <c r="T12" s="6"/>
      <c r="U12" s="5"/>
      <c r="V12" s="6"/>
      <c r="W12" s="7"/>
      <c r="X12" s="7">
        <v>2262.4772704116963</v>
      </c>
    </row>
    <row r="13" spans="1:31" x14ac:dyDescent="0.35">
      <c r="A13" s="5" t="s">
        <v>184</v>
      </c>
      <c r="B13" s="5"/>
      <c r="C13" s="6"/>
      <c r="D13" s="6"/>
      <c r="E13" s="6"/>
      <c r="F13" s="6"/>
      <c r="G13" s="6"/>
      <c r="H13" s="7"/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5637.3176678953205</v>
      </c>
      <c r="P13" s="5"/>
      <c r="Q13" s="7"/>
      <c r="R13" s="15"/>
      <c r="S13" s="6"/>
      <c r="T13" s="6"/>
      <c r="U13" s="5"/>
      <c r="V13" s="6"/>
      <c r="W13" s="7"/>
      <c r="X13" s="7">
        <v>5637.3176678953205</v>
      </c>
    </row>
    <row r="14" spans="1:31" x14ac:dyDescent="0.35">
      <c r="A14" s="2" t="s">
        <v>5</v>
      </c>
      <c r="B14" s="2">
        <v>934.35727595647836</v>
      </c>
      <c r="C14" s="3">
        <v>0</v>
      </c>
      <c r="D14" s="3">
        <v>1492.1505620421326</v>
      </c>
      <c r="E14" s="3">
        <v>218.84704685761815</v>
      </c>
      <c r="F14" s="3">
        <v>0</v>
      </c>
      <c r="G14" s="3">
        <v>14.35986877983528</v>
      </c>
      <c r="H14" s="4">
        <v>201.08327400012649</v>
      </c>
      <c r="I14" s="3"/>
      <c r="J14" s="3"/>
      <c r="K14" s="3"/>
      <c r="L14" s="3"/>
      <c r="M14" s="3"/>
      <c r="N14" s="3"/>
      <c r="O14" s="3"/>
      <c r="P14" s="2"/>
      <c r="Q14" s="4"/>
      <c r="R14" s="14"/>
      <c r="S14" s="3">
        <v>2389.8171633002544</v>
      </c>
      <c r="T14" s="3">
        <v>1150.6189292203239</v>
      </c>
      <c r="U14" s="2">
        <v>0</v>
      </c>
      <c r="V14" s="3">
        <v>0</v>
      </c>
      <c r="W14" s="4">
        <v>27.336233064363579</v>
      </c>
      <c r="X14" s="4">
        <v>6428.5703532211328</v>
      </c>
      <c r="Z14" s="6"/>
      <c r="AA14" s="6"/>
      <c r="AB14" s="6"/>
      <c r="AC14" s="6"/>
      <c r="AD14" s="6"/>
      <c r="AE14" s="6"/>
    </row>
    <row r="15" spans="1:31" x14ac:dyDescent="0.35">
      <c r="A15" s="5" t="s">
        <v>6</v>
      </c>
      <c r="B15" s="5">
        <v>13.318281622468074</v>
      </c>
      <c r="C15" s="6">
        <v>9.9289246558260764</v>
      </c>
      <c r="D15" s="6">
        <v>191.20507458997798</v>
      </c>
      <c r="E15" s="6">
        <v>314.27975862244585</v>
      </c>
      <c r="F15" s="6">
        <v>88.758563717962957</v>
      </c>
      <c r="G15" s="6">
        <v>0.17299332838050624</v>
      </c>
      <c r="H15" s="7">
        <v>15.646665822850466</v>
      </c>
      <c r="I15" s="6"/>
      <c r="J15" s="6"/>
      <c r="K15" s="6"/>
      <c r="L15" s="6"/>
      <c r="M15" s="6"/>
      <c r="N15" s="6"/>
      <c r="O15" s="6"/>
      <c r="P15" s="5"/>
      <c r="Q15" s="7"/>
      <c r="R15" s="15"/>
      <c r="S15" s="6">
        <v>0</v>
      </c>
      <c r="T15" s="6">
        <v>0</v>
      </c>
      <c r="U15" s="5">
        <v>0</v>
      </c>
      <c r="V15" s="6">
        <v>0</v>
      </c>
      <c r="W15" s="7">
        <v>1.528441489711593</v>
      </c>
      <c r="X15" s="7">
        <v>634.83870384962336</v>
      </c>
    </row>
    <row r="16" spans="1:31" x14ac:dyDescent="0.35">
      <c r="A16" s="5" t="s">
        <v>7</v>
      </c>
      <c r="B16" s="5">
        <v>484.18493815931896</v>
      </c>
      <c r="C16" s="6">
        <v>92.746840395055116</v>
      </c>
      <c r="D16" s="6">
        <v>3020.6035505141408</v>
      </c>
      <c r="E16" s="6">
        <v>1805.2238927827259</v>
      </c>
      <c r="F16" s="6">
        <v>526.72555085137151</v>
      </c>
      <c r="G16" s="6">
        <v>479.13424434066565</v>
      </c>
      <c r="H16" s="7">
        <v>593.54569631030279</v>
      </c>
      <c r="I16" s="6"/>
      <c r="J16" s="6"/>
      <c r="K16" s="6"/>
      <c r="L16" s="6"/>
      <c r="M16" s="6"/>
      <c r="N16" s="6"/>
      <c r="O16" s="6"/>
      <c r="P16" s="5"/>
      <c r="Q16" s="7"/>
      <c r="R16" s="15"/>
      <c r="S16" s="6">
        <v>2431.8074116070011</v>
      </c>
      <c r="T16" s="6">
        <v>1177.8914091853542</v>
      </c>
      <c r="U16" s="5">
        <v>0</v>
      </c>
      <c r="V16" s="6">
        <v>1563.4578939475657</v>
      </c>
      <c r="W16" s="7">
        <v>2974.6066423700495</v>
      </c>
      <c r="X16" s="7">
        <v>15149.928070463553</v>
      </c>
    </row>
    <row r="17" spans="1:24" x14ac:dyDescent="0.35">
      <c r="A17" s="5" t="s">
        <v>8</v>
      </c>
      <c r="B17" s="5">
        <v>2.7585956958721582</v>
      </c>
      <c r="C17" s="6">
        <v>4.6753347287189033</v>
      </c>
      <c r="D17" s="6">
        <v>325.48353227653809</v>
      </c>
      <c r="E17" s="6">
        <v>374.85065844644004</v>
      </c>
      <c r="F17" s="6">
        <v>49.087495294874827</v>
      </c>
      <c r="G17" s="6">
        <v>7.325954603006954</v>
      </c>
      <c r="H17" s="7">
        <v>44.392795120693286</v>
      </c>
      <c r="I17" s="6"/>
      <c r="J17" s="6"/>
      <c r="K17" s="6"/>
      <c r="L17" s="6"/>
      <c r="M17" s="6"/>
      <c r="N17" s="6"/>
      <c r="O17" s="6"/>
      <c r="P17" s="5"/>
      <c r="Q17" s="7"/>
      <c r="R17" s="15"/>
      <c r="S17" s="6">
        <v>308.76027280970169</v>
      </c>
      <c r="T17" s="6">
        <v>201.64784827785829</v>
      </c>
      <c r="U17" s="5">
        <v>0</v>
      </c>
      <c r="V17" s="6">
        <v>3654.5440119688465</v>
      </c>
      <c r="W17" s="7">
        <v>8.2793568529079646</v>
      </c>
      <c r="X17" s="7">
        <v>4981.8058560754589</v>
      </c>
    </row>
    <row r="18" spans="1:24" x14ac:dyDescent="0.35">
      <c r="A18" s="5" t="s">
        <v>167</v>
      </c>
      <c r="B18" s="5">
        <v>1865.2197968851469</v>
      </c>
      <c r="C18" s="6">
        <v>16.559609984022746</v>
      </c>
      <c r="D18" s="6">
        <v>2687.8475550658077</v>
      </c>
      <c r="E18" s="6">
        <v>104.53241537752901</v>
      </c>
      <c r="F18" s="6">
        <v>76.088551577062759</v>
      </c>
      <c r="G18" s="6">
        <v>42.956005388218266</v>
      </c>
      <c r="H18" s="7">
        <v>90.291718641496445</v>
      </c>
      <c r="I18" s="6"/>
      <c r="J18" s="6"/>
      <c r="K18" s="6"/>
      <c r="L18" s="6"/>
      <c r="M18" s="6"/>
      <c r="N18" s="6"/>
      <c r="O18" s="6"/>
      <c r="P18" s="5"/>
      <c r="Q18" s="7"/>
      <c r="R18" s="15"/>
      <c r="S18" s="6">
        <v>293.3816602956594</v>
      </c>
      <c r="T18" s="6">
        <v>169.48911550597427</v>
      </c>
      <c r="U18" s="5">
        <v>0</v>
      </c>
      <c r="V18" s="6">
        <v>0</v>
      </c>
      <c r="W18" s="7">
        <v>32.204977881374774</v>
      </c>
      <c r="X18" s="7">
        <v>5378.5714066022902</v>
      </c>
    </row>
    <row r="19" spans="1:24" x14ac:dyDescent="0.35">
      <c r="A19" s="5" t="s">
        <v>9</v>
      </c>
      <c r="B19" s="5">
        <v>61.567431456905283</v>
      </c>
      <c r="C19" s="6">
        <v>12.886467905639684</v>
      </c>
      <c r="D19" s="6">
        <v>65.97361001825584</v>
      </c>
      <c r="E19" s="6">
        <v>36.361870747235798</v>
      </c>
      <c r="F19" s="6">
        <v>33.664324915703766</v>
      </c>
      <c r="G19" s="6">
        <v>136.53843748358358</v>
      </c>
      <c r="H19" s="7">
        <v>36.46010182974625</v>
      </c>
      <c r="I19" s="6"/>
      <c r="J19" s="6"/>
      <c r="K19" s="6"/>
      <c r="L19" s="6"/>
      <c r="M19" s="6"/>
      <c r="N19" s="6"/>
      <c r="O19" s="6"/>
      <c r="P19" s="5"/>
      <c r="Q19" s="7"/>
      <c r="R19" s="15"/>
      <c r="S19" s="6">
        <v>453.56827700775597</v>
      </c>
      <c r="T19" s="6">
        <v>298.74471032246248</v>
      </c>
      <c r="U19" s="5">
        <v>1028.2672427692576</v>
      </c>
      <c r="V19" s="6">
        <v>0</v>
      </c>
      <c r="W19" s="7">
        <v>113.87969181879257</v>
      </c>
      <c r="X19" s="7">
        <v>2277.9121662753387</v>
      </c>
    </row>
    <row r="20" spans="1:24" x14ac:dyDescent="0.35">
      <c r="A20" s="8" t="s">
        <v>185</v>
      </c>
      <c r="B20" s="8">
        <v>75.234661524650292</v>
      </c>
      <c r="C20" s="9">
        <v>108.5353193231725</v>
      </c>
      <c r="D20" s="9">
        <v>1022.0662993753948</v>
      </c>
      <c r="E20" s="9">
        <v>617.38674573713388</v>
      </c>
      <c r="F20" s="9">
        <v>500.0888416258033</v>
      </c>
      <c r="G20" s="9">
        <v>105.87961839841113</v>
      </c>
      <c r="H20" s="10">
        <v>766.30891200043186</v>
      </c>
      <c r="I20" s="9"/>
      <c r="J20" s="9"/>
      <c r="K20" s="9"/>
      <c r="L20" s="9"/>
      <c r="M20" s="9"/>
      <c r="N20" s="9"/>
      <c r="O20" s="9"/>
      <c r="P20" s="8"/>
      <c r="Q20" s="10"/>
      <c r="R20" s="16"/>
      <c r="S20" s="9">
        <v>1343.7712181114325</v>
      </c>
      <c r="T20" s="9">
        <v>1134.258198878968</v>
      </c>
      <c r="U20" s="8">
        <v>0</v>
      </c>
      <c r="V20" s="9">
        <v>0</v>
      </c>
      <c r="W20" s="10">
        <v>105.53056204332788</v>
      </c>
      <c r="X20" s="10">
        <v>5779.0603770187263</v>
      </c>
    </row>
    <row r="21" spans="1:24" x14ac:dyDescent="0.35">
      <c r="A21" s="5" t="s">
        <v>10</v>
      </c>
      <c r="B21" s="5">
        <v>1739.6983760265716</v>
      </c>
      <c r="C21" s="6">
        <v>53.16610318339557</v>
      </c>
      <c r="D21" s="6">
        <v>1183.4343560681134</v>
      </c>
      <c r="E21" s="6">
        <v>1054.5939496360331</v>
      </c>
      <c r="F21" s="6">
        <v>670.35889402609632</v>
      </c>
      <c r="G21" s="6">
        <v>974.98605163202569</v>
      </c>
      <c r="H21" s="7">
        <v>401.19936210636587</v>
      </c>
      <c r="I21" s="6"/>
      <c r="J21" s="6"/>
      <c r="K21" s="6"/>
      <c r="L21" s="6"/>
      <c r="M21" s="6"/>
      <c r="N21" s="6"/>
      <c r="O21" s="6"/>
      <c r="P21" s="5"/>
      <c r="Q21" s="7"/>
      <c r="R21" s="15"/>
      <c r="S21" s="6"/>
      <c r="T21" s="6"/>
      <c r="U21" s="5"/>
      <c r="V21" s="6"/>
      <c r="W21" s="7">
        <v>1.9845959073865265</v>
      </c>
      <c r="X21" s="7">
        <v>6079.4216885859878</v>
      </c>
    </row>
    <row r="22" spans="1:24" x14ac:dyDescent="0.35">
      <c r="A22" s="5" t="s">
        <v>11</v>
      </c>
      <c r="B22" s="5">
        <v>907.60875774209296</v>
      </c>
      <c r="C22" s="6">
        <v>232.49933350203068</v>
      </c>
      <c r="D22" s="6">
        <v>1603.6520387436683</v>
      </c>
      <c r="E22" s="6">
        <v>438.63802909716787</v>
      </c>
      <c r="F22" s="6">
        <v>3004.4974976215126</v>
      </c>
      <c r="G22" s="6">
        <v>501.12409645757111</v>
      </c>
      <c r="H22" s="7">
        <v>3488.3891420633049</v>
      </c>
      <c r="I22" s="6"/>
      <c r="J22" s="6"/>
      <c r="K22" s="6"/>
      <c r="L22" s="6"/>
      <c r="M22" s="6"/>
      <c r="N22" s="6"/>
      <c r="O22" s="6"/>
      <c r="P22" s="5"/>
      <c r="Q22" s="7"/>
      <c r="R22" s="15"/>
      <c r="S22" s="6"/>
      <c r="T22" s="6"/>
      <c r="U22" s="5"/>
      <c r="V22" s="6"/>
      <c r="W22" s="7">
        <v>5.3979776206701402</v>
      </c>
      <c r="X22" s="7">
        <v>10181.806872848019</v>
      </c>
    </row>
    <row r="23" spans="1:24" x14ac:dyDescent="0.35">
      <c r="A23" s="11" t="s">
        <v>188</v>
      </c>
      <c r="B23" s="11"/>
      <c r="C23" s="12"/>
      <c r="D23" s="12"/>
      <c r="E23" s="12"/>
      <c r="F23" s="12"/>
      <c r="G23" s="12"/>
      <c r="H23" s="13"/>
      <c r="I23" s="12"/>
      <c r="J23" s="12"/>
      <c r="K23" s="12"/>
      <c r="L23" s="12"/>
      <c r="M23" s="12"/>
      <c r="N23" s="12"/>
      <c r="O23" s="12"/>
      <c r="P23" s="11">
        <v>0</v>
      </c>
      <c r="Q23" s="13">
        <v>9681.3545146988636</v>
      </c>
      <c r="R23" s="17"/>
      <c r="S23" s="12">
        <v>0</v>
      </c>
      <c r="T23" s="12">
        <v>0</v>
      </c>
      <c r="U23" s="11">
        <v>459.80080278812255</v>
      </c>
      <c r="V23" s="12"/>
      <c r="W23" s="13">
        <v>48.729247824616316</v>
      </c>
      <c r="X23" s="13">
        <v>10189.884565311602</v>
      </c>
    </row>
    <row r="24" spans="1:24" x14ac:dyDescent="0.35">
      <c r="A24" s="2" t="s">
        <v>12</v>
      </c>
      <c r="B24" s="2"/>
      <c r="C24" s="3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2">
        <v>3875.9851679290277</v>
      </c>
      <c r="Q24" s="4">
        <v>257.22629258193376</v>
      </c>
      <c r="R24" s="14">
        <v>3792.8106428235851</v>
      </c>
      <c r="S24" s="3">
        <v>0</v>
      </c>
      <c r="T24" s="3">
        <v>0</v>
      </c>
      <c r="U24" s="2">
        <v>145.32560292431208</v>
      </c>
      <c r="V24" s="3"/>
      <c r="W24" s="4">
        <v>545.33287619288387</v>
      </c>
      <c r="X24" s="4">
        <v>8616.6805824517432</v>
      </c>
    </row>
    <row r="25" spans="1:24" x14ac:dyDescent="0.35">
      <c r="A25" s="8" t="s">
        <v>13</v>
      </c>
      <c r="B25" s="8"/>
      <c r="C25" s="9"/>
      <c r="D25" s="9"/>
      <c r="E25" s="9"/>
      <c r="F25" s="9"/>
      <c r="G25" s="9"/>
      <c r="H25" s="10"/>
      <c r="I25" s="9"/>
      <c r="J25" s="9"/>
      <c r="K25" s="9"/>
      <c r="L25" s="9"/>
      <c r="M25" s="9"/>
      <c r="N25" s="9"/>
      <c r="O25" s="9"/>
      <c r="P25" s="8">
        <v>2203.2535118372534</v>
      </c>
      <c r="Q25" s="10">
        <v>25.057628249654258</v>
      </c>
      <c r="R25" s="16">
        <v>3333.8548263374014</v>
      </c>
      <c r="S25" s="9">
        <v>0</v>
      </c>
      <c r="T25" s="9">
        <v>0</v>
      </c>
      <c r="U25" s="8">
        <v>18.847655017626018</v>
      </c>
      <c r="V25" s="9"/>
      <c r="W25" s="10">
        <v>194.38611785013975</v>
      </c>
      <c r="X25" s="10">
        <v>5775.3997392920746</v>
      </c>
    </row>
    <row r="26" spans="1:24" x14ac:dyDescent="0.35">
      <c r="A26" s="5" t="s">
        <v>14</v>
      </c>
      <c r="B26" s="5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7">
        <v>0</v>
      </c>
      <c r="I26" s="6">
        <v>15.809622701426436</v>
      </c>
      <c r="J26" s="6">
        <v>10.085128883678454</v>
      </c>
      <c r="K26" s="6">
        <v>834.63226718732449</v>
      </c>
      <c r="L26" s="6">
        <v>0</v>
      </c>
      <c r="M26" s="6">
        <v>0</v>
      </c>
      <c r="N26" s="6">
        <v>0</v>
      </c>
      <c r="O26" s="6">
        <v>0</v>
      </c>
      <c r="P26" s="5">
        <v>0</v>
      </c>
      <c r="Q26" s="7">
        <v>0</v>
      </c>
      <c r="R26" s="15">
        <v>600.77143808281619</v>
      </c>
      <c r="S26" s="6">
        <v>38.99790246900352</v>
      </c>
      <c r="T26" s="6">
        <v>112.15152368848706</v>
      </c>
      <c r="U26" s="5"/>
      <c r="V26" s="6"/>
      <c r="W26" s="7">
        <v>21.632157521429448</v>
      </c>
      <c r="X26" s="7">
        <v>1634.0800405341656</v>
      </c>
    </row>
    <row r="27" spans="1:24" x14ac:dyDescent="0.35">
      <c r="A27" s="5" t="s">
        <v>15</v>
      </c>
      <c r="B27" s="5"/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5"/>
      <c r="Q27" s="7"/>
      <c r="R27" s="15">
        <v>2456.4244485544327</v>
      </c>
      <c r="S27" s="6">
        <v>1354.5511285622044</v>
      </c>
      <c r="T27" s="6">
        <v>1529.5725700363889</v>
      </c>
      <c r="U27" s="5">
        <v>-34.256569842259047</v>
      </c>
      <c r="V27" s="6"/>
      <c r="W27" s="7">
        <v>-88.289671394354244</v>
      </c>
      <c r="X27" s="7">
        <v>5218.0019059164133</v>
      </c>
    </row>
    <row r="28" spans="1:24" x14ac:dyDescent="0.35">
      <c r="A28" s="5" t="s">
        <v>16</v>
      </c>
      <c r="B28" s="5"/>
      <c r="C28" s="6"/>
      <c r="D28" s="6"/>
      <c r="E28" s="6"/>
      <c r="F28" s="6"/>
      <c r="G28" s="6"/>
      <c r="H28" s="7"/>
      <c r="I28" s="6">
        <v>328.81261545020141</v>
      </c>
      <c r="J28" s="6">
        <v>93.755641288083851</v>
      </c>
      <c r="K28" s="6">
        <v>2722.8792245821969</v>
      </c>
      <c r="L28" s="6">
        <v>17.091488771126929</v>
      </c>
      <c r="M28" s="6">
        <v>429.30168697189976</v>
      </c>
      <c r="N28" s="6">
        <v>15.434895863642307</v>
      </c>
      <c r="O28" s="6">
        <v>141.74270912340452</v>
      </c>
      <c r="P28" s="5">
        <v>0.18300881970842275</v>
      </c>
      <c r="Q28" s="7">
        <v>218.168437317567</v>
      </c>
      <c r="R28" s="15">
        <v>6.0232095133695571</v>
      </c>
      <c r="S28" s="6">
        <v>2.0255482887304761</v>
      </c>
      <c r="T28" s="6">
        <v>1.0254341762577779</v>
      </c>
      <c r="U28" s="5">
        <v>16.095306877107852</v>
      </c>
      <c r="V28" s="6"/>
      <c r="W28" s="7"/>
      <c r="X28" s="7">
        <v>3992.5392070432972</v>
      </c>
    </row>
    <row r="29" spans="1:24" x14ac:dyDescent="0.35">
      <c r="A29" s="11" t="s">
        <v>17</v>
      </c>
      <c r="B29" s="11">
        <v>6083.9481150695046</v>
      </c>
      <c r="C29" s="12">
        <v>530.99793367786128</v>
      </c>
      <c r="D29" s="12">
        <v>11592.41657869403</v>
      </c>
      <c r="E29" s="12">
        <v>4964.7143673043302</v>
      </c>
      <c r="F29" s="12">
        <v>4949.269719630388</v>
      </c>
      <c r="G29" s="12">
        <v>2262.4772704116986</v>
      </c>
      <c r="H29" s="13">
        <v>5637.3176678953187</v>
      </c>
      <c r="I29" s="12">
        <v>6428.5703532211346</v>
      </c>
      <c r="J29" s="12">
        <v>634.83870384962358</v>
      </c>
      <c r="K29" s="12">
        <v>15149.928070463551</v>
      </c>
      <c r="L29" s="12">
        <v>4981.8058560754589</v>
      </c>
      <c r="M29" s="12">
        <v>5378.5714066022883</v>
      </c>
      <c r="N29" s="12">
        <v>2277.9121662753387</v>
      </c>
      <c r="O29" s="12">
        <v>5779.0603770187254</v>
      </c>
      <c r="P29" s="11">
        <v>6079.4216885859896</v>
      </c>
      <c r="Q29" s="13">
        <v>10181.806872848019</v>
      </c>
      <c r="R29" s="17">
        <v>10189.884565311604</v>
      </c>
      <c r="S29" s="12">
        <v>8616.6805824517432</v>
      </c>
      <c r="T29" s="12">
        <v>5775.3997392920746</v>
      </c>
      <c r="U29" s="11">
        <v>1634.080040534167</v>
      </c>
      <c r="V29" s="12">
        <v>5218.0019059164124</v>
      </c>
      <c r="W29" s="13">
        <v>3992.539207043299</v>
      </c>
      <c r="X29" s="17"/>
    </row>
    <row r="30" spans="1:24" x14ac:dyDescent="0.3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R30" s="59"/>
      <c r="S30" s="59"/>
      <c r="T30" s="59"/>
      <c r="U30" s="59"/>
    </row>
    <row r="31" spans="1:24" ht="18.5" x14ac:dyDescent="0.45">
      <c r="A31" s="39" t="s">
        <v>40</v>
      </c>
    </row>
    <row r="33" spans="1:18" x14ac:dyDescent="0.35">
      <c r="A33" s="24" t="s">
        <v>39</v>
      </c>
      <c r="Q33" s="19" t="s">
        <v>67</v>
      </c>
    </row>
    <row r="34" spans="1:18" x14ac:dyDescent="0.35">
      <c r="A34" t="s">
        <v>38</v>
      </c>
      <c r="Q34" t="s">
        <v>0</v>
      </c>
      <c r="R34" t="s">
        <v>26</v>
      </c>
    </row>
    <row r="35" spans="1:18" x14ac:dyDescent="0.35">
      <c r="B35" s="77" t="s">
        <v>18</v>
      </c>
      <c r="C35" s="78"/>
      <c r="D35" s="78"/>
      <c r="E35" s="78"/>
      <c r="F35" s="78"/>
      <c r="G35" s="78"/>
      <c r="H35" s="79"/>
      <c r="Q35" t="s">
        <v>1</v>
      </c>
      <c r="R35" t="s">
        <v>27</v>
      </c>
    </row>
    <row r="36" spans="1:18" x14ac:dyDescent="0.35">
      <c r="B36" s="2" t="s">
        <v>0</v>
      </c>
      <c r="C36" s="3" t="s">
        <v>1</v>
      </c>
      <c r="D36" s="3" t="s">
        <v>2</v>
      </c>
      <c r="E36" s="3" t="s">
        <v>3</v>
      </c>
      <c r="F36" s="3" t="s">
        <v>168</v>
      </c>
      <c r="G36" s="3" t="s">
        <v>4</v>
      </c>
      <c r="H36" s="4" t="s">
        <v>184</v>
      </c>
      <c r="I36" s="20" t="s">
        <v>17</v>
      </c>
      <c r="Q36" t="s">
        <v>2</v>
      </c>
      <c r="R36" t="s">
        <v>28</v>
      </c>
    </row>
    <row r="37" spans="1:18" x14ac:dyDescent="0.35">
      <c r="A37" s="20" t="s">
        <v>5</v>
      </c>
      <c r="B37" s="3">
        <f>B14</f>
        <v>934.35727595647836</v>
      </c>
      <c r="C37" s="3">
        <f t="shared" ref="C37:H37" si="0">C14</f>
        <v>0</v>
      </c>
      <c r="D37" s="3">
        <f t="shared" si="0"/>
        <v>1492.1505620421326</v>
      </c>
      <c r="E37" s="3">
        <f t="shared" si="0"/>
        <v>218.84704685761815</v>
      </c>
      <c r="F37" s="3">
        <f t="shared" si="0"/>
        <v>0</v>
      </c>
      <c r="G37" s="3">
        <f t="shared" si="0"/>
        <v>14.35986877983528</v>
      </c>
      <c r="H37" s="3">
        <f t="shared" si="0"/>
        <v>201.08327400012649</v>
      </c>
      <c r="I37" s="14">
        <f t="shared" ref="I37:I44" si="1">SUM(B37:H37)</f>
        <v>2860.7980276361909</v>
      </c>
      <c r="Q37" t="s">
        <v>3</v>
      </c>
      <c r="R37" t="s">
        <v>186</v>
      </c>
    </row>
    <row r="38" spans="1:18" x14ac:dyDescent="0.35">
      <c r="A38" s="46" t="s">
        <v>6</v>
      </c>
      <c r="B38" s="6">
        <f t="shared" ref="B38:H45" si="2">B15</f>
        <v>13.318281622468074</v>
      </c>
      <c r="C38" s="6">
        <f t="shared" si="2"/>
        <v>9.9289246558260764</v>
      </c>
      <c r="D38" s="6">
        <f t="shared" si="2"/>
        <v>191.20507458997798</v>
      </c>
      <c r="E38" s="6">
        <f t="shared" si="2"/>
        <v>314.27975862244585</v>
      </c>
      <c r="F38" s="6">
        <f t="shared" si="2"/>
        <v>88.758563717962957</v>
      </c>
      <c r="G38" s="6">
        <f t="shared" si="2"/>
        <v>0.17299332838050624</v>
      </c>
      <c r="H38" s="6">
        <f t="shared" si="2"/>
        <v>15.646665822850466</v>
      </c>
      <c r="I38" s="15">
        <f t="shared" si="1"/>
        <v>633.3102623599118</v>
      </c>
      <c r="Q38" t="s">
        <v>168</v>
      </c>
      <c r="R38" t="s">
        <v>29</v>
      </c>
    </row>
    <row r="39" spans="1:18" x14ac:dyDescent="0.35">
      <c r="A39" s="21" t="s">
        <v>7</v>
      </c>
      <c r="B39" s="6">
        <f t="shared" si="2"/>
        <v>484.18493815931896</v>
      </c>
      <c r="C39" s="6">
        <f t="shared" si="2"/>
        <v>92.746840395055116</v>
      </c>
      <c r="D39" s="6">
        <f t="shared" si="2"/>
        <v>3020.6035505141408</v>
      </c>
      <c r="E39" s="6">
        <f t="shared" si="2"/>
        <v>1805.2238927827259</v>
      </c>
      <c r="F39" s="6">
        <f t="shared" si="2"/>
        <v>526.72555085137151</v>
      </c>
      <c r="G39" s="6">
        <f t="shared" si="2"/>
        <v>479.13424434066565</v>
      </c>
      <c r="H39" s="6">
        <f t="shared" si="2"/>
        <v>593.54569631030279</v>
      </c>
      <c r="I39" s="15">
        <f t="shared" si="1"/>
        <v>7002.1647133535807</v>
      </c>
      <c r="Q39" t="s">
        <v>4</v>
      </c>
      <c r="R39" t="s">
        <v>30</v>
      </c>
    </row>
    <row r="40" spans="1:18" x14ac:dyDescent="0.35">
      <c r="A40" s="21" t="s">
        <v>8</v>
      </c>
      <c r="B40" s="6">
        <f t="shared" si="2"/>
        <v>2.7585956958721582</v>
      </c>
      <c r="C40" s="6">
        <f t="shared" si="2"/>
        <v>4.6753347287189033</v>
      </c>
      <c r="D40" s="6">
        <f t="shared" si="2"/>
        <v>325.48353227653809</v>
      </c>
      <c r="E40" s="6">
        <f t="shared" si="2"/>
        <v>374.85065844644004</v>
      </c>
      <c r="F40" s="6">
        <f t="shared" si="2"/>
        <v>49.087495294874827</v>
      </c>
      <c r="G40" s="6">
        <f t="shared" si="2"/>
        <v>7.325954603006954</v>
      </c>
      <c r="H40" s="6">
        <f t="shared" si="2"/>
        <v>44.392795120693286</v>
      </c>
      <c r="I40" s="15">
        <f t="shared" si="1"/>
        <v>808.57436616614427</v>
      </c>
      <c r="Q40" t="s">
        <v>184</v>
      </c>
      <c r="R40" t="s">
        <v>31</v>
      </c>
    </row>
    <row r="41" spans="1:18" x14ac:dyDescent="0.35">
      <c r="A41" s="21" t="s">
        <v>167</v>
      </c>
      <c r="B41" s="6">
        <f t="shared" si="2"/>
        <v>1865.2197968851469</v>
      </c>
      <c r="C41" s="6">
        <f t="shared" si="2"/>
        <v>16.559609984022746</v>
      </c>
      <c r="D41" s="6">
        <f t="shared" si="2"/>
        <v>2687.8475550658077</v>
      </c>
      <c r="E41" s="6">
        <f t="shared" si="2"/>
        <v>104.53241537752901</v>
      </c>
      <c r="F41" s="6">
        <f t="shared" si="2"/>
        <v>76.088551577062759</v>
      </c>
      <c r="G41" s="6">
        <f t="shared" si="2"/>
        <v>42.956005388218266</v>
      </c>
      <c r="H41" s="6">
        <f t="shared" si="2"/>
        <v>90.291718641496445</v>
      </c>
      <c r="I41" s="15">
        <f t="shared" si="1"/>
        <v>4883.4956529192823</v>
      </c>
      <c r="Q41" t="s">
        <v>5</v>
      </c>
      <c r="R41" t="s">
        <v>32</v>
      </c>
    </row>
    <row r="42" spans="1:18" x14ac:dyDescent="0.35">
      <c r="A42" s="21" t="s">
        <v>9</v>
      </c>
      <c r="B42" s="6">
        <f t="shared" si="2"/>
        <v>61.567431456905283</v>
      </c>
      <c r="C42" s="6">
        <f t="shared" si="2"/>
        <v>12.886467905639684</v>
      </c>
      <c r="D42" s="6">
        <f t="shared" si="2"/>
        <v>65.97361001825584</v>
      </c>
      <c r="E42" s="6">
        <f t="shared" si="2"/>
        <v>36.361870747235798</v>
      </c>
      <c r="F42" s="6">
        <f t="shared" si="2"/>
        <v>33.664324915703766</v>
      </c>
      <c r="G42" s="6">
        <f t="shared" si="2"/>
        <v>136.53843748358358</v>
      </c>
      <c r="H42" s="6">
        <f t="shared" si="2"/>
        <v>36.46010182974625</v>
      </c>
      <c r="I42" s="15">
        <f t="shared" si="1"/>
        <v>383.45224435707019</v>
      </c>
      <c r="Q42" t="s">
        <v>6</v>
      </c>
      <c r="R42" t="s">
        <v>33</v>
      </c>
    </row>
    <row r="43" spans="1:18" x14ac:dyDescent="0.35">
      <c r="A43" s="21" t="s">
        <v>185</v>
      </c>
      <c r="B43" s="6">
        <f t="shared" si="2"/>
        <v>75.234661524650292</v>
      </c>
      <c r="C43" s="6">
        <f t="shared" si="2"/>
        <v>108.5353193231725</v>
      </c>
      <c r="D43" s="6">
        <f t="shared" si="2"/>
        <v>1022.0662993753948</v>
      </c>
      <c r="E43" s="6">
        <f t="shared" si="2"/>
        <v>617.38674573713388</v>
      </c>
      <c r="F43" s="6">
        <f t="shared" si="2"/>
        <v>500.0888416258033</v>
      </c>
      <c r="G43" s="6">
        <f t="shared" si="2"/>
        <v>105.87961839841113</v>
      </c>
      <c r="H43" s="6">
        <f t="shared" si="2"/>
        <v>766.30891200043186</v>
      </c>
      <c r="I43" s="15">
        <f t="shared" si="1"/>
        <v>3195.500397984998</v>
      </c>
      <c r="Q43" t="s">
        <v>7</v>
      </c>
      <c r="R43" t="s">
        <v>34</v>
      </c>
    </row>
    <row r="44" spans="1:18" x14ac:dyDescent="0.35">
      <c r="A44" s="20" t="s">
        <v>10</v>
      </c>
      <c r="B44" s="2">
        <f t="shared" si="2"/>
        <v>1739.6983760265716</v>
      </c>
      <c r="C44" s="3">
        <f t="shared" si="2"/>
        <v>53.16610318339557</v>
      </c>
      <c r="D44" s="3">
        <f t="shared" si="2"/>
        <v>1183.4343560681134</v>
      </c>
      <c r="E44" s="3">
        <f t="shared" si="2"/>
        <v>1054.5939496360331</v>
      </c>
      <c r="F44" s="3">
        <f t="shared" si="2"/>
        <v>670.35889402609632</v>
      </c>
      <c r="G44" s="3">
        <f t="shared" si="2"/>
        <v>974.98605163202569</v>
      </c>
      <c r="H44" s="4">
        <f t="shared" si="2"/>
        <v>401.19936210636587</v>
      </c>
      <c r="I44" s="14">
        <f t="shared" si="1"/>
        <v>6077.4370926786014</v>
      </c>
      <c r="Q44" t="s">
        <v>8</v>
      </c>
      <c r="R44" t="s">
        <v>187</v>
      </c>
    </row>
    <row r="45" spans="1:18" x14ac:dyDescent="0.35">
      <c r="A45" s="22" t="s">
        <v>11</v>
      </c>
      <c r="B45" s="8">
        <f t="shared" si="2"/>
        <v>907.60875774209296</v>
      </c>
      <c r="C45" s="9">
        <f t="shared" si="2"/>
        <v>232.49933350203068</v>
      </c>
      <c r="D45" s="9">
        <f t="shared" si="2"/>
        <v>1603.6520387436683</v>
      </c>
      <c r="E45" s="9">
        <f t="shared" si="2"/>
        <v>438.63802909716787</v>
      </c>
      <c r="F45" s="9">
        <f t="shared" si="2"/>
        <v>3004.4974976215126</v>
      </c>
      <c r="G45" s="9">
        <f t="shared" si="2"/>
        <v>501.12409645757111</v>
      </c>
      <c r="H45" s="10">
        <f t="shared" si="2"/>
        <v>3488.3891420633049</v>
      </c>
      <c r="I45" s="16">
        <f>SUM(B45:H45)</f>
        <v>10176.408895227349</v>
      </c>
      <c r="Q45" t="s">
        <v>167</v>
      </c>
      <c r="R45" t="s">
        <v>35</v>
      </c>
    </row>
    <row r="46" spans="1:18" x14ac:dyDescent="0.35">
      <c r="A46" s="23" t="s">
        <v>17</v>
      </c>
      <c r="B46" s="12">
        <f>SUM(B37:B45)</f>
        <v>6083.9481150695046</v>
      </c>
      <c r="C46" s="12">
        <f t="shared" ref="C46:H46" si="3">SUM(C37:C45)</f>
        <v>530.99793367786128</v>
      </c>
      <c r="D46" s="12">
        <f t="shared" si="3"/>
        <v>11592.41657869403</v>
      </c>
      <c r="E46" s="12">
        <f t="shared" si="3"/>
        <v>4964.7143673043302</v>
      </c>
      <c r="F46" s="12">
        <f t="shared" si="3"/>
        <v>4949.269719630388</v>
      </c>
      <c r="G46" s="12">
        <f t="shared" si="3"/>
        <v>2262.4772704116986</v>
      </c>
      <c r="H46" s="12">
        <f t="shared" si="3"/>
        <v>5637.3176678953187</v>
      </c>
      <c r="I46" s="17">
        <f>SUM(B46:H46)</f>
        <v>36021.141652683138</v>
      </c>
      <c r="J46" s="49">
        <v>36021.141652683138</v>
      </c>
      <c r="Q46" t="s">
        <v>9</v>
      </c>
      <c r="R46" t="s">
        <v>36</v>
      </c>
    </row>
    <row r="47" spans="1:18" x14ac:dyDescent="0.35">
      <c r="Q47" t="s">
        <v>185</v>
      </c>
      <c r="R47" t="s">
        <v>37</v>
      </c>
    </row>
    <row r="48" spans="1:18" x14ac:dyDescent="0.35">
      <c r="Q48" t="s">
        <v>10</v>
      </c>
      <c r="R48" t="s">
        <v>24</v>
      </c>
    </row>
    <row r="49" spans="1:18" x14ac:dyDescent="0.35">
      <c r="A49" s="24" t="s">
        <v>41</v>
      </c>
      <c r="Q49" t="s">
        <v>11</v>
      </c>
      <c r="R49" t="s">
        <v>25</v>
      </c>
    </row>
    <row r="50" spans="1:18" x14ac:dyDescent="0.35">
      <c r="A50" t="s">
        <v>66</v>
      </c>
      <c r="Q50" t="s">
        <v>12</v>
      </c>
      <c r="R50" t="s">
        <v>22</v>
      </c>
    </row>
    <row r="51" spans="1:18" x14ac:dyDescent="0.35">
      <c r="B51" s="2" t="s">
        <v>0</v>
      </c>
      <c r="C51" s="3" t="s">
        <v>1</v>
      </c>
      <c r="D51" s="3" t="s">
        <v>2</v>
      </c>
      <c r="E51" s="3" t="s">
        <v>3</v>
      </c>
      <c r="F51" s="3" t="s">
        <v>168</v>
      </c>
      <c r="G51" s="3" t="s">
        <v>4</v>
      </c>
      <c r="H51" s="4" t="s">
        <v>184</v>
      </c>
      <c r="I51" s="20" t="s">
        <v>17</v>
      </c>
      <c r="Q51" t="s">
        <v>13</v>
      </c>
      <c r="R51" t="s">
        <v>23</v>
      </c>
    </row>
    <row r="52" spans="1:18" x14ac:dyDescent="0.35">
      <c r="A52" s="23" t="s">
        <v>42</v>
      </c>
      <c r="B52" s="12">
        <f>SUM(B44:B45)</f>
        <v>2647.3071337686647</v>
      </c>
      <c r="C52" s="12">
        <f t="shared" ref="C52:H52" si="4">SUM(C44:C45)</f>
        <v>285.66543668542624</v>
      </c>
      <c r="D52" s="12">
        <f t="shared" si="4"/>
        <v>2787.0863948117817</v>
      </c>
      <c r="E52" s="12">
        <f t="shared" si="4"/>
        <v>1493.231978733201</v>
      </c>
      <c r="F52" s="12">
        <f t="shared" si="4"/>
        <v>3674.8563916476087</v>
      </c>
      <c r="G52" s="12">
        <f t="shared" si="4"/>
        <v>1476.1101480895968</v>
      </c>
      <c r="H52" s="12">
        <f t="shared" si="4"/>
        <v>3889.5885041696706</v>
      </c>
      <c r="I52" s="17">
        <f>SUM(B52:H52)</f>
        <v>16253.845987905948</v>
      </c>
      <c r="J52" s="49">
        <v>16253.845987905948</v>
      </c>
      <c r="Q52" t="s">
        <v>14</v>
      </c>
      <c r="R52" t="s">
        <v>19</v>
      </c>
    </row>
    <row r="53" spans="1:18" x14ac:dyDescent="0.35">
      <c r="Q53" t="s">
        <v>15</v>
      </c>
      <c r="R53" t="s">
        <v>183</v>
      </c>
    </row>
    <row r="54" spans="1:18" x14ac:dyDescent="0.35">
      <c r="Q54" t="s">
        <v>16</v>
      </c>
      <c r="R54" t="s">
        <v>21</v>
      </c>
    </row>
    <row r="55" spans="1:18" x14ac:dyDescent="0.35">
      <c r="A55" s="24" t="s">
        <v>43</v>
      </c>
      <c r="B55" s="24"/>
      <c r="C55" s="24"/>
      <c r="D55" s="24"/>
      <c r="E55" s="24"/>
      <c r="F55" s="24"/>
      <c r="G55" s="24"/>
      <c r="H55" s="24"/>
      <c r="I55" s="24"/>
      <c r="Q55" t="s">
        <v>17</v>
      </c>
      <c r="R55" t="s">
        <v>20</v>
      </c>
    </row>
    <row r="56" spans="1:18" x14ac:dyDescent="0.35">
      <c r="A56" t="s">
        <v>65</v>
      </c>
    </row>
    <row r="57" spans="1:18" x14ac:dyDescent="0.35">
      <c r="B57" s="2" t="s">
        <v>0</v>
      </c>
      <c r="C57" s="3" t="s">
        <v>1</v>
      </c>
      <c r="D57" s="3" t="s">
        <v>2</v>
      </c>
      <c r="E57" s="3" t="s">
        <v>3</v>
      </c>
      <c r="F57" s="3" t="s">
        <v>168</v>
      </c>
      <c r="G57" s="3" t="s">
        <v>4</v>
      </c>
      <c r="H57" s="4" t="s">
        <v>184</v>
      </c>
      <c r="I57" s="20" t="s">
        <v>17</v>
      </c>
    </row>
    <row r="58" spans="1:18" x14ac:dyDescent="0.35">
      <c r="A58" s="23" t="s">
        <v>42</v>
      </c>
      <c r="B58" s="61">
        <f>B52/$I$52*100</f>
        <v>16.287266015307729</v>
      </c>
      <c r="C58" s="61">
        <f t="shared" ref="C58:H58" si="5">C52/$I$52*100</f>
        <v>1.7575251844885342</v>
      </c>
      <c r="D58" s="61">
        <f t="shared" si="5"/>
        <v>17.1472425473059</v>
      </c>
      <c r="E58" s="61">
        <f t="shared" si="5"/>
        <v>9.1869455379623677</v>
      </c>
      <c r="F58" s="61">
        <f t="shared" si="5"/>
        <v>22.60914982449059</v>
      </c>
      <c r="G58" s="61">
        <f t="shared" si="5"/>
        <v>9.0816053578207327</v>
      </c>
      <c r="H58" s="61">
        <f t="shared" si="5"/>
        <v>23.930265532624151</v>
      </c>
      <c r="I58" s="62">
        <f>SUM(B58:H58)</f>
        <v>100</v>
      </c>
    </row>
    <row r="59" spans="1:18" x14ac:dyDescent="0.35">
      <c r="H59" s="50">
        <v>23.930265532624151</v>
      </c>
    </row>
    <row r="61" spans="1:18" x14ac:dyDescent="0.35">
      <c r="A61" s="29" t="s">
        <v>44</v>
      </c>
      <c r="B61" s="28" t="s">
        <v>75</v>
      </c>
    </row>
    <row r="62" spans="1:18" x14ac:dyDescent="0.35">
      <c r="A62" s="29" t="s">
        <v>45</v>
      </c>
      <c r="B62" s="57">
        <f>C58/100</f>
        <v>1.7575251844885342E-2</v>
      </c>
    </row>
    <row r="65" spans="1:10" x14ac:dyDescent="0.35">
      <c r="A65" s="24" t="s">
        <v>46</v>
      </c>
    </row>
    <row r="66" spans="1:10" x14ac:dyDescent="0.35">
      <c r="A66" t="s">
        <v>47</v>
      </c>
    </row>
    <row r="67" spans="1:10" x14ac:dyDescent="0.35">
      <c r="B67" s="2" t="s">
        <v>0</v>
      </c>
      <c r="C67" s="3" t="s">
        <v>1</v>
      </c>
      <c r="D67" s="3" t="s">
        <v>2</v>
      </c>
      <c r="E67" s="3" t="s">
        <v>3</v>
      </c>
      <c r="F67" s="3" t="s">
        <v>168</v>
      </c>
      <c r="G67" s="3" t="s">
        <v>4</v>
      </c>
      <c r="H67" s="4" t="s">
        <v>184</v>
      </c>
      <c r="I67" s="20" t="s">
        <v>17</v>
      </c>
    </row>
    <row r="68" spans="1:10" x14ac:dyDescent="0.35">
      <c r="A68" s="20" t="s">
        <v>10</v>
      </c>
      <c r="B68" s="63">
        <f>B44/B$52*100</f>
        <v>65.715774110046851</v>
      </c>
      <c r="C68" s="63">
        <f t="shared" ref="C68:I68" si="6">C44/C$52*100</f>
        <v>18.611318121044476</v>
      </c>
      <c r="D68" s="63">
        <f t="shared" si="6"/>
        <v>42.461344516305658</v>
      </c>
      <c r="E68" s="63">
        <f t="shared" si="6"/>
        <v>70.624923967320129</v>
      </c>
      <c r="F68" s="63">
        <f t="shared" si="6"/>
        <v>18.241771176411696</v>
      </c>
      <c r="G68" s="63">
        <f t="shared" si="6"/>
        <v>66.051036427997374</v>
      </c>
      <c r="H68" s="63">
        <f t="shared" si="6"/>
        <v>10.314699400110754</v>
      </c>
      <c r="I68" s="64">
        <f t="shared" si="6"/>
        <v>37.39076337502312</v>
      </c>
      <c r="J68" s="50">
        <v>37.39076337502312</v>
      </c>
    </row>
    <row r="69" spans="1:10" x14ac:dyDescent="0.35">
      <c r="A69" s="22" t="s">
        <v>11</v>
      </c>
      <c r="B69" s="65">
        <f t="shared" ref="B69:I69" si="7">B45/B$52*100</f>
        <v>34.284225889953142</v>
      </c>
      <c r="C69" s="65">
        <f t="shared" si="7"/>
        <v>81.388681878955524</v>
      </c>
      <c r="D69" s="65">
        <f t="shared" si="7"/>
        <v>57.538655483694342</v>
      </c>
      <c r="E69" s="65">
        <f t="shared" si="7"/>
        <v>29.375076032679871</v>
      </c>
      <c r="F69" s="65">
        <f t="shared" si="7"/>
        <v>81.758228823588311</v>
      </c>
      <c r="G69" s="65">
        <f t="shared" si="7"/>
        <v>33.948963572002619</v>
      </c>
      <c r="H69" s="65">
        <f t="shared" si="7"/>
        <v>89.685300599889246</v>
      </c>
      <c r="I69" s="66">
        <f t="shared" si="7"/>
        <v>62.609236624976894</v>
      </c>
    </row>
    <row r="70" spans="1:10" x14ac:dyDescent="0.35">
      <c r="A70" s="22" t="s">
        <v>42</v>
      </c>
      <c r="B70" s="65">
        <f>SUM(B68:B69)</f>
        <v>100</v>
      </c>
      <c r="C70" s="65">
        <f t="shared" ref="C70:I70" si="8">SUM(C68:C69)</f>
        <v>100</v>
      </c>
      <c r="D70" s="65">
        <f t="shared" si="8"/>
        <v>100</v>
      </c>
      <c r="E70" s="65">
        <f t="shared" si="8"/>
        <v>100</v>
      </c>
      <c r="F70" s="65">
        <f t="shared" si="8"/>
        <v>100</v>
      </c>
      <c r="G70" s="65">
        <f t="shared" si="8"/>
        <v>100</v>
      </c>
      <c r="H70" s="65">
        <f t="shared" si="8"/>
        <v>100</v>
      </c>
      <c r="I70" s="66">
        <f t="shared" si="8"/>
        <v>100.00000000000001</v>
      </c>
    </row>
    <row r="73" spans="1:10" x14ac:dyDescent="0.35">
      <c r="A73" s="29" t="s">
        <v>49</v>
      </c>
      <c r="B73" s="28" t="s">
        <v>74</v>
      </c>
      <c r="C73" s="28"/>
      <c r="D73" s="28"/>
      <c r="E73" s="28"/>
      <c r="F73" s="28"/>
      <c r="G73" s="28"/>
      <c r="H73" s="28"/>
      <c r="I73" s="28"/>
    </row>
    <row r="74" spans="1:10" x14ac:dyDescent="0.35">
      <c r="A74" s="29" t="s">
        <v>50</v>
      </c>
      <c r="B74" s="28" t="s">
        <v>195</v>
      </c>
      <c r="C74" s="28"/>
      <c r="D74" s="28"/>
      <c r="E74" s="28"/>
      <c r="F74" s="28"/>
      <c r="G74" s="28"/>
      <c r="H74" s="28"/>
      <c r="I74" s="28"/>
    </row>
    <row r="75" spans="1:10" x14ac:dyDescent="0.35">
      <c r="A75" s="29"/>
      <c r="B75" s="28"/>
      <c r="C75" s="28"/>
      <c r="D75" s="28"/>
      <c r="E75" s="28"/>
      <c r="F75" s="28"/>
      <c r="G75" s="28"/>
      <c r="H75" s="28"/>
      <c r="I75" s="28"/>
    </row>
    <row r="76" spans="1:10" x14ac:dyDescent="0.35">
      <c r="A76" s="29" t="s">
        <v>51</v>
      </c>
      <c r="B76" s="28" t="s">
        <v>48</v>
      </c>
      <c r="C76" s="28"/>
      <c r="D76" s="28"/>
      <c r="E76" s="28"/>
      <c r="F76" s="28"/>
      <c r="G76" s="28"/>
      <c r="H76" s="28"/>
      <c r="I76" s="28"/>
    </row>
    <row r="77" spans="1:10" x14ac:dyDescent="0.35">
      <c r="A77" s="29" t="s">
        <v>52</v>
      </c>
      <c r="B77" s="28" t="s">
        <v>196</v>
      </c>
      <c r="C77" s="28"/>
      <c r="D77" s="28"/>
      <c r="E77" s="28"/>
      <c r="F77" s="28"/>
      <c r="G77" s="28"/>
      <c r="H77" s="28"/>
      <c r="I77" s="28"/>
    </row>
    <row r="80" spans="1:10" x14ac:dyDescent="0.35">
      <c r="A80" s="24" t="s">
        <v>53</v>
      </c>
      <c r="B80" s="24"/>
      <c r="C80" s="24"/>
      <c r="D80" s="24"/>
      <c r="E80" s="24"/>
      <c r="F80" s="24"/>
      <c r="G80" s="24"/>
      <c r="H80" s="24"/>
      <c r="I80" s="24"/>
    </row>
    <row r="81" spans="1:10" x14ac:dyDescent="0.35">
      <c r="A81" t="s">
        <v>64</v>
      </c>
    </row>
    <row r="82" spans="1:10" x14ac:dyDescent="0.35">
      <c r="B82" s="2" t="s">
        <v>0</v>
      </c>
      <c r="C82" s="3" t="s">
        <v>1</v>
      </c>
      <c r="D82" s="3" t="s">
        <v>2</v>
      </c>
      <c r="E82" s="3" t="s">
        <v>3</v>
      </c>
      <c r="F82" s="3" t="s">
        <v>168</v>
      </c>
      <c r="G82" s="3" t="s">
        <v>4</v>
      </c>
      <c r="H82" s="3" t="s">
        <v>184</v>
      </c>
      <c r="I82" s="20" t="s">
        <v>17</v>
      </c>
    </row>
    <row r="83" spans="1:10" x14ac:dyDescent="0.35">
      <c r="A83" s="20" t="s">
        <v>5</v>
      </c>
      <c r="B83" s="52">
        <f>B37/B$46*100</f>
        <v>15.357745633006667</v>
      </c>
      <c r="C83" s="30">
        <f t="shared" ref="C83:H83" si="9">C37/C$46*100</f>
        <v>0</v>
      </c>
      <c r="D83" s="30">
        <f t="shared" si="9"/>
        <v>12.87178175415634</v>
      </c>
      <c r="E83" s="30">
        <f t="shared" si="9"/>
        <v>4.4080490974235973</v>
      </c>
      <c r="F83" s="30">
        <f t="shared" si="9"/>
        <v>0</v>
      </c>
      <c r="G83" s="30">
        <f t="shared" si="9"/>
        <v>0.63469670911753484</v>
      </c>
      <c r="H83" s="30">
        <f t="shared" si="9"/>
        <v>3.5670027102659358</v>
      </c>
      <c r="I83" s="32">
        <f t="shared" ref="I83" si="10">I37/I$46*100</f>
        <v>7.9419971060886576</v>
      </c>
    </row>
    <row r="84" spans="1:10" x14ac:dyDescent="0.35">
      <c r="A84" s="21" t="s">
        <v>6</v>
      </c>
      <c r="B84" s="53">
        <f t="shared" ref="B84:H84" si="11">B38/B$46*100</f>
        <v>0.21890853390875645</v>
      </c>
      <c r="C84" s="36">
        <f t="shared" si="11"/>
        <v>1.8698612604864904</v>
      </c>
      <c r="D84" s="36">
        <f t="shared" si="11"/>
        <v>1.6493978912162131</v>
      </c>
      <c r="E84" s="36">
        <f t="shared" si="11"/>
        <v>6.3302686795471974</v>
      </c>
      <c r="F84" s="36">
        <f t="shared" si="11"/>
        <v>1.7933668752365239</v>
      </c>
      <c r="G84" s="36">
        <f t="shared" si="11"/>
        <v>7.6461907769365999E-3</v>
      </c>
      <c r="H84" s="36">
        <f t="shared" si="11"/>
        <v>0.27755515556553895</v>
      </c>
      <c r="I84" s="38">
        <f t="shared" ref="I84" si="12">I38/I$46*100</f>
        <v>1.7581626603240597</v>
      </c>
    </row>
    <row r="85" spans="1:10" x14ac:dyDescent="0.35">
      <c r="A85" s="21" t="s">
        <v>7</v>
      </c>
      <c r="B85" s="53">
        <f t="shared" ref="B85:H85" si="13">B39/B$46*100</f>
        <v>7.9584001868790999</v>
      </c>
      <c r="C85" s="36">
        <f t="shared" si="13"/>
        <v>17.466516254152044</v>
      </c>
      <c r="D85" s="36">
        <f t="shared" si="13"/>
        <v>26.056720184346876</v>
      </c>
      <c r="E85" s="36">
        <f t="shared" si="13"/>
        <v>36.361082616781047</v>
      </c>
      <c r="F85" s="36">
        <f t="shared" si="13"/>
        <v>10.642490320586274</v>
      </c>
      <c r="G85" s="36">
        <f t="shared" si="13"/>
        <v>21.177416922888181</v>
      </c>
      <c r="H85" s="36">
        <f t="shared" si="13"/>
        <v>10.528867296064618</v>
      </c>
      <c r="I85" s="38">
        <f t="shared" ref="I85" si="14">I39/I$46*100</f>
        <v>19.439041607477769</v>
      </c>
    </row>
    <row r="86" spans="1:10" x14ac:dyDescent="0.35">
      <c r="A86" s="21" t="s">
        <v>8</v>
      </c>
      <c r="B86" s="53">
        <f t="shared" ref="B86:H86" si="15">B40/B$46*100</f>
        <v>4.5342196279408005E-2</v>
      </c>
      <c r="C86" s="36">
        <f t="shared" si="15"/>
        <v>0.88048077632544475</v>
      </c>
      <c r="D86" s="36">
        <f t="shared" si="15"/>
        <v>2.8077280527923039</v>
      </c>
      <c r="E86" s="36">
        <f t="shared" si="15"/>
        <v>7.5502965672116025</v>
      </c>
      <c r="F86" s="36">
        <f t="shared" si="15"/>
        <v>0.99181289514649229</v>
      </c>
      <c r="G86" s="36">
        <f t="shared" si="15"/>
        <v>0.32380235146733055</v>
      </c>
      <c r="H86" s="36">
        <f t="shared" si="15"/>
        <v>0.78748081509600731</v>
      </c>
      <c r="I86" s="38">
        <f t="shared" ref="I86" si="16">I40/I$46*100</f>
        <v>2.2447216525296203</v>
      </c>
    </row>
    <row r="87" spans="1:10" x14ac:dyDescent="0.35">
      <c r="A87" s="21" t="s">
        <v>167</v>
      </c>
      <c r="B87" s="53">
        <f t="shared" ref="B87:H87" si="17">B41/B$46*100</f>
        <v>30.658049043270612</v>
      </c>
      <c r="C87" s="36">
        <f t="shared" si="17"/>
        <v>3.1185827540468187</v>
      </c>
      <c r="D87" s="36">
        <f t="shared" si="17"/>
        <v>23.186257471163216</v>
      </c>
      <c r="E87" s="36">
        <f t="shared" si="17"/>
        <v>2.1055071378514474</v>
      </c>
      <c r="F87" s="36">
        <f t="shared" si="17"/>
        <v>1.5373692663237004</v>
      </c>
      <c r="G87" s="36">
        <f t="shared" si="17"/>
        <v>1.8986270469979856</v>
      </c>
      <c r="H87" s="36">
        <f t="shared" si="17"/>
        <v>1.6016787408612843</v>
      </c>
      <c r="I87" s="38">
        <f t="shared" ref="I87" si="18">I41/I$46*100</f>
        <v>13.557303930025553</v>
      </c>
    </row>
    <row r="88" spans="1:10" x14ac:dyDescent="0.35">
      <c r="A88" s="21" t="s">
        <v>9</v>
      </c>
      <c r="B88" s="53">
        <f t="shared" ref="B88:H88" si="19">B42/B$46*100</f>
        <v>1.0119650972105951</v>
      </c>
      <c r="C88" s="36">
        <f t="shared" si="19"/>
        <v>2.4268395578084254</v>
      </c>
      <c r="D88" s="36">
        <f t="shared" si="19"/>
        <v>0.56911006924570207</v>
      </c>
      <c r="E88" s="36">
        <f t="shared" si="19"/>
        <v>0.73240609745247143</v>
      </c>
      <c r="F88" s="36">
        <f t="shared" si="19"/>
        <v>0.68018772107287417</v>
      </c>
      <c r="G88" s="36">
        <f t="shared" si="19"/>
        <v>6.0349086936346525</v>
      </c>
      <c r="H88" s="36">
        <f t="shared" si="19"/>
        <v>0.64676330087600964</v>
      </c>
      <c r="I88" s="38">
        <f t="shared" ref="I88" si="20">I42/I$46*100</f>
        <v>1.0645199645650532</v>
      </c>
    </row>
    <row r="89" spans="1:10" x14ac:dyDescent="0.35">
      <c r="A89" s="21" t="s">
        <v>185</v>
      </c>
      <c r="B89" s="60">
        <f t="shared" ref="B89:H89" si="21">B43/B$46*100</f>
        <v>1.2366091903101444</v>
      </c>
      <c r="C89" s="33">
        <f t="shared" si="21"/>
        <v>20.439876022006757</v>
      </c>
      <c r="D89" s="33">
        <f t="shared" si="21"/>
        <v>8.8166802188067841</v>
      </c>
      <c r="E89" s="33">
        <f t="shared" si="21"/>
        <v>12.435493767838929</v>
      </c>
      <c r="F89" s="33">
        <f t="shared" si="21"/>
        <v>10.104295582079329</v>
      </c>
      <c r="G89" s="33">
        <f t="shared" si="21"/>
        <v>4.6798091535807744</v>
      </c>
      <c r="H89" s="33">
        <f t="shared" si="21"/>
        <v>13.593502391475692</v>
      </c>
      <c r="I89" s="35">
        <f t="shared" ref="I89" si="22">I43/I$46*100</f>
        <v>8.8711802329756875</v>
      </c>
    </row>
    <row r="90" spans="1:10" x14ac:dyDescent="0.35">
      <c r="A90" s="20" t="s">
        <v>10</v>
      </c>
      <c r="B90" s="52">
        <f t="shared" ref="B90:H90" si="23">B44/B$46*100</f>
        <v>28.594891723640163</v>
      </c>
      <c r="C90" s="30">
        <f t="shared" si="23"/>
        <v>10.012487772814888</v>
      </c>
      <c r="D90" s="30">
        <f t="shared" si="23"/>
        <v>10.208694175493784</v>
      </c>
      <c r="E90" s="30">
        <f t="shared" si="23"/>
        <v>21.241784957079847</v>
      </c>
      <c r="F90" s="30">
        <f t="shared" si="23"/>
        <v>13.544602173675004</v>
      </c>
      <c r="G90" s="30">
        <f t="shared" si="23"/>
        <v>43.09373907896142</v>
      </c>
      <c r="H90" s="30">
        <f t="shared" si="23"/>
        <v>7.1168485748320949</v>
      </c>
      <c r="I90" s="32">
        <f t="shared" ref="I90" si="24">I44/I$46*100</f>
        <v>16.871861395392244</v>
      </c>
    </row>
    <row r="91" spans="1:10" x14ac:dyDescent="0.35">
      <c r="A91" s="22" t="s">
        <v>11</v>
      </c>
      <c r="B91" s="60">
        <f t="shared" ref="B91:H91" si="25">B45/B$46*100</f>
        <v>14.918088395494546</v>
      </c>
      <c r="C91" s="33">
        <f t="shared" si="25"/>
        <v>43.785355602359132</v>
      </c>
      <c r="D91" s="33">
        <f t="shared" si="25"/>
        <v>13.833630182778778</v>
      </c>
      <c r="E91" s="33">
        <f t="shared" si="25"/>
        <v>8.8351110788138509</v>
      </c>
      <c r="F91" s="33">
        <f t="shared" si="25"/>
        <v>60.705875165879796</v>
      </c>
      <c r="G91" s="33">
        <f t="shared" si="25"/>
        <v>22.149353852575171</v>
      </c>
      <c r="H91" s="33">
        <f t="shared" si="25"/>
        <v>61.880301014962811</v>
      </c>
      <c r="I91" s="35">
        <f t="shared" ref="I91" si="26">I45/I$46*100</f>
        <v>28.251211450621334</v>
      </c>
      <c r="J91" s="50">
        <v>28.251211450621334</v>
      </c>
    </row>
    <row r="92" spans="1:10" x14ac:dyDescent="0.35">
      <c r="A92" s="23" t="s">
        <v>17</v>
      </c>
      <c r="B92" s="60">
        <f t="shared" ref="B92:H92" si="27">B46/B$46*100</f>
        <v>100</v>
      </c>
      <c r="C92" s="25">
        <f t="shared" si="27"/>
        <v>100</v>
      </c>
      <c r="D92" s="25">
        <f t="shared" si="27"/>
        <v>100</v>
      </c>
      <c r="E92" s="25">
        <f t="shared" si="27"/>
        <v>100</v>
      </c>
      <c r="F92" s="25">
        <f t="shared" si="27"/>
        <v>100</v>
      </c>
      <c r="G92" s="25">
        <f t="shared" si="27"/>
        <v>100</v>
      </c>
      <c r="H92" s="25">
        <f t="shared" si="27"/>
        <v>100</v>
      </c>
      <c r="I92" s="27">
        <f t="shared" ref="I92" si="28">I46/I$46*100</f>
        <v>100</v>
      </c>
      <c r="J92" s="50">
        <v>100</v>
      </c>
    </row>
    <row r="95" spans="1:10" x14ac:dyDescent="0.35">
      <c r="A95" s="29" t="s">
        <v>55</v>
      </c>
      <c r="B95" s="28" t="s">
        <v>192</v>
      </c>
    </row>
    <row r="96" spans="1:10" x14ac:dyDescent="0.35">
      <c r="A96" s="29" t="s">
        <v>56</v>
      </c>
      <c r="B96" s="57">
        <f>B85/100</f>
        <v>7.9584001868790999E-2</v>
      </c>
    </row>
    <row r="97" spans="1:10" x14ac:dyDescent="0.35">
      <c r="A97" s="29"/>
      <c r="B97" s="28"/>
    </row>
    <row r="98" spans="1:10" x14ac:dyDescent="0.35">
      <c r="A98" s="29" t="s">
        <v>57</v>
      </c>
      <c r="B98" s="28" t="s">
        <v>54</v>
      </c>
    </row>
    <row r="99" spans="1:10" x14ac:dyDescent="0.35">
      <c r="A99" s="29" t="s">
        <v>58</v>
      </c>
      <c r="B99" s="67">
        <f>F87/100</f>
        <v>1.5373692663237005E-2</v>
      </c>
    </row>
    <row r="102" spans="1:10" ht="18.5" x14ac:dyDescent="0.45">
      <c r="A102" s="39" t="s">
        <v>60</v>
      </c>
    </row>
    <row r="104" spans="1:10" x14ac:dyDescent="0.35">
      <c r="A104" s="24" t="s">
        <v>59</v>
      </c>
      <c r="B104" s="24"/>
      <c r="C104" s="24"/>
      <c r="D104" s="24"/>
      <c r="E104" s="24"/>
      <c r="F104" s="24"/>
      <c r="G104" s="24"/>
      <c r="H104" s="24"/>
      <c r="I104" s="24"/>
    </row>
    <row r="105" spans="1:10" x14ac:dyDescent="0.35">
      <c r="A105" t="s">
        <v>61</v>
      </c>
    </row>
    <row r="106" spans="1:10" x14ac:dyDescent="0.35">
      <c r="B106" s="2" t="s">
        <v>5</v>
      </c>
      <c r="C106" s="3" t="s">
        <v>6</v>
      </c>
      <c r="D106" s="3" t="s">
        <v>7</v>
      </c>
      <c r="E106" s="3" t="s">
        <v>8</v>
      </c>
      <c r="F106" s="3" t="s">
        <v>167</v>
      </c>
      <c r="G106" s="3" t="s">
        <v>9</v>
      </c>
      <c r="H106" s="4" t="s">
        <v>185</v>
      </c>
      <c r="I106" s="20" t="s">
        <v>17</v>
      </c>
    </row>
    <row r="107" spans="1:10" x14ac:dyDescent="0.35">
      <c r="A107" s="20" t="s">
        <v>62</v>
      </c>
      <c r="B107" s="3">
        <v>328.81261545020141</v>
      </c>
      <c r="C107" s="3">
        <v>93.755641288083851</v>
      </c>
      <c r="D107" s="3">
        <v>2722.8792245821969</v>
      </c>
      <c r="E107" s="3">
        <v>17.091488771126929</v>
      </c>
      <c r="F107" s="3">
        <v>429.30168697189976</v>
      </c>
      <c r="G107" s="3">
        <v>15.434895863642307</v>
      </c>
      <c r="H107" s="3">
        <v>141.74270912340452</v>
      </c>
      <c r="I107" s="14">
        <v>3749.0182620505557</v>
      </c>
      <c r="J107" s="49"/>
    </row>
    <row r="108" spans="1:10" x14ac:dyDescent="0.35">
      <c r="A108" s="22" t="s">
        <v>63</v>
      </c>
      <c r="B108" s="9">
        <v>27.336233064363579</v>
      </c>
      <c r="C108" s="9">
        <v>1.528441489711593</v>
      </c>
      <c r="D108" s="9">
        <v>2974.6066423700495</v>
      </c>
      <c r="E108" s="9">
        <v>8.2793568529079646</v>
      </c>
      <c r="F108" s="9">
        <v>32.204977881374774</v>
      </c>
      <c r="G108" s="9">
        <v>113.87969181879257</v>
      </c>
      <c r="H108" s="10">
        <v>105.53056204332788</v>
      </c>
      <c r="I108" s="16">
        <v>3263.3659055205276</v>
      </c>
      <c r="J108" s="49">
        <v>3263.3659055205276</v>
      </c>
    </row>
    <row r="111" spans="1:10" x14ac:dyDescent="0.35">
      <c r="A111" s="24" t="s">
        <v>68</v>
      </c>
      <c r="B111" s="24"/>
      <c r="C111" s="24"/>
      <c r="D111" s="24"/>
      <c r="E111" s="24"/>
      <c r="F111" s="24"/>
      <c r="G111" s="24"/>
      <c r="H111" s="24"/>
      <c r="I111" s="24"/>
    </row>
    <row r="112" spans="1:10" x14ac:dyDescent="0.35">
      <c r="A112" t="s">
        <v>69</v>
      </c>
    </row>
    <row r="113" spans="1:11" x14ac:dyDescent="0.35">
      <c r="B113" s="2" t="s">
        <v>5</v>
      </c>
      <c r="C113" s="3" t="s">
        <v>6</v>
      </c>
      <c r="D113" s="3" t="s">
        <v>7</v>
      </c>
      <c r="E113" s="3" t="s">
        <v>8</v>
      </c>
      <c r="F113" s="3" t="s">
        <v>167</v>
      </c>
      <c r="G113" s="3" t="s">
        <v>9</v>
      </c>
      <c r="H113" s="4" t="s">
        <v>185</v>
      </c>
      <c r="I113" s="20" t="s">
        <v>17</v>
      </c>
    </row>
    <row r="114" spans="1:11" x14ac:dyDescent="0.35">
      <c r="A114" s="20" t="s">
        <v>62</v>
      </c>
      <c r="B114" s="52">
        <f>B107/$I107*100</f>
        <v>8.7706325354188781</v>
      </c>
      <c r="C114" s="30">
        <f t="shared" ref="C114:I114" si="29">C107/$I107*100</f>
        <v>2.5008051370975037</v>
      </c>
      <c r="D114" s="30">
        <f t="shared" si="29"/>
        <v>72.629126727510155</v>
      </c>
      <c r="E114" s="30">
        <f t="shared" si="29"/>
        <v>0.45589238505812457</v>
      </c>
      <c r="F114" s="30">
        <f t="shared" si="29"/>
        <v>11.451042832133066</v>
      </c>
      <c r="G114" s="30">
        <f t="shared" si="29"/>
        <v>0.41170500607804639</v>
      </c>
      <c r="H114" s="31">
        <f t="shared" si="29"/>
        <v>3.7807953767042255</v>
      </c>
      <c r="I114" s="32">
        <f t="shared" si="29"/>
        <v>100</v>
      </c>
    </row>
    <row r="115" spans="1:11" x14ac:dyDescent="0.35">
      <c r="A115" s="22" t="s">
        <v>63</v>
      </c>
      <c r="B115" s="60">
        <f t="shared" ref="B115:I115" si="30">B108/$I108*100</f>
        <v>0.83766987385998548</v>
      </c>
      <c r="C115" s="33">
        <f t="shared" si="30"/>
        <v>4.6836350380629381E-2</v>
      </c>
      <c r="D115" s="33">
        <f t="shared" si="30"/>
        <v>91.151489857083035</v>
      </c>
      <c r="E115" s="33">
        <f t="shared" si="30"/>
        <v>0.25370605358418596</v>
      </c>
      <c r="F115" s="33">
        <f t="shared" si="30"/>
        <v>0.98686383365391794</v>
      </c>
      <c r="G115" s="33">
        <f t="shared" si="30"/>
        <v>3.4896390755981757</v>
      </c>
      <c r="H115" s="34">
        <f t="shared" si="30"/>
        <v>3.2337949558400831</v>
      </c>
      <c r="I115" s="35">
        <f t="shared" si="30"/>
        <v>100</v>
      </c>
    </row>
    <row r="116" spans="1:11" x14ac:dyDescent="0.35">
      <c r="H116" s="50">
        <v>3.2337949558400831</v>
      </c>
    </row>
    <row r="118" spans="1:11" x14ac:dyDescent="0.35">
      <c r="A118" s="29" t="s">
        <v>70</v>
      </c>
      <c r="B118" s="28" t="s">
        <v>197</v>
      </c>
    </row>
    <row r="119" spans="1:11" x14ac:dyDescent="0.35">
      <c r="A119" s="29" t="s">
        <v>71</v>
      </c>
      <c r="B119" s="28" t="s">
        <v>198</v>
      </c>
    </row>
    <row r="120" spans="1:11" x14ac:dyDescent="0.35">
      <c r="A120" s="29"/>
      <c r="B120" s="28"/>
    </row>
    <row r="121" spans="1:11" x14ac:dyDescent="0.35">
      <c r="A121" s="29" t="s">
        <v>72</v>
      </c>
      <c r="B121" s="28" t="s">
        <v>212</v>
      </c>
    </row>
    <row r="122" spans="1:11" x14ac:dyDescent="0.35">
      <c r="A122" s="29" t="s">
        <v>73</v>
      </c>
      <c r="B122" s="28" t="s">
        <v>199</v>
      </c>
    </row>
    <row r="125" spans="1:11" x14ac:dyDescent="0.35">
      <c r="A125" s="24" t="s">
        <v>76</v>
      </c>
      <c r="B125" s="24"/>
      <c r="C125" s="24"/>
      <c r="D125" s="24"/>
      <c r="E125" s="24"/>
      <c r="F125" s="24"/>
      <c r="G125" s="24"/>
      <c r="H125" s="24"/>
      <c r="I125" s="24"/>
    </row>
    <row r="126" spans="1:11" x14ac:dyDescent="0.35">
      <c r="A126" t="s">
        <v>77</v>
      </c>
    </row>
    <row r="127" spans="1:11" x14ac:dyDescent="0.35">
      <c r="B127" s="40" t="s">
        <v>5</v>
      </c>
      <c r="C127" s="41" t="s">
        <v>6</v>
      </c>
      <c r="D127" s="41" t="s">
        <v>7</v>
      </c>
      <c r="E127" s="41" t="s">
        <v>8</v>
      </c>
      <c r="F127" s="3" t="s">
        <v>167</v>
      </c>
      <c r="G127" s="41" t="s">
        <v>9</v>
      </c>
      <c r="H127" s="42" t="s">
        <v>185</v>
      </c>
      <c r="I127" s="42" t="s">
        <v>17</v>
      </c>
    </row>
    <row r="128" spans="1:11" x14ac:dyDescent="0.35">
      <c r="A128" s="43" t="s">
        <v>78</v>
      </c>
      <c r="B128" s="2">
        <f t="array" ref="B128:H128">TRANSPOSE(X14:X20)</f>
        <v>6428.5703532211328</v>
      </c>
      <c r="C128" s="3">
        <v>634.83870384962336</v>
      </c>
      <c r="D128" s="3">
        <v>15149.928070463553</v>
      </c>
      <c r="E128" s="3">
        <v>4981.8058560754589</v>
      </c>
      <c r="F128" s="3">
        <v>5378.5714066022902</v>
      </c>
      <c r="G128" s="3">
        <v>2277.9121662753387</v>
      </c>
      <c r="H128" s="4">
        <v>5779.0603770187263</v>
      </c>
      <c r="I128" s="4">
        <f>SUM(B128:H128)</f>
        <v>40630.68693350612</v>
      </c>
      <c r="J128" s="49">
        <v>13700.655862697891</v>
      </c>
      <c r="K128" s="51" t="s">
        <v>83</v>
      </c>
    </row>
    <row r="129" spans="1:22" x14ac:dyDescent="0.35">
      <c r="A129" s="46" t="s">
        <v>79</v>
      </c>
      <c r="B129" s="5">
        <f>SUM(B14:H14)</f>
        <v>2860.7980276361909</v>
      </c>
      <c r="C129" s="6">
        <f>SUM(B15:H15)</f>
        <v>633.3102623599118</v>
      </c>
      <c r="D129" s="6">
        <f>SUM(B16:H16)</f>
        <v>7002.1647133535807</v>
      </c>
      <c r="E129" s="6">
        <f>SUM(B17:H17)</f>
        <v>808.57436616614427</v>
      </c>
      <c r="F129" s="6">
        <f>SUM(B18:H18)</f>
        <v>4883.4956529192823</v>
      </c>
      <c r="G129" s="6">
        <f>SUM(B19:H19)</f>
        <v>383.45224435707019</v>
      </c>
      <c r="H129" s="7">
        <f>SUM(B20:H20)</f>
        <v>3195.500397984998</v>
      </c>
      <c r="I129" s="7">
        <f t="shared" ref="I129:I130" si="31">SUM(B129:H129)</f>
        <v>19767.295664777179</v>
      </c>
      <c r="J129" s="49">
        <v>5876.6053797057857</v>
      </c>
      <c r="K129" s="51" t="s">
        <v>84</v>
      </c>
      <c r="V129" s="6"/>
    </row>
    <row r="130" spans="1:22" x14ac:dyDescent="0.35">
      <c r="A130" s="48" t="s">
        <v>80</v>
      </c>
      <c r="B130" s="8">
        <f>B128-B129</f>
        <v>3567.7723255849419</v>
      </c>
      <c r="C130" s="9">
        <f t="shared" ref="C130:H130" si="32">C128-C129</f>
        <v>1.5284414897115539</v>
      </c>
      <c r="D130" s="9">
        <f t="shared" si="32"/>
        <v>8147.7633571099723</v>
      </c>
      <c r="E130" s="9">
        <f t="shared" si="32"/>
        <v>4173.2314899093144</v>
      </c>
      <c r="F130" s="9">
        <f t="shared" si="32"/>
        <v>495.07575368300786</v>
      </c>
      <c r="G130" s="9">
        <f t="shared" si="32"/>
        <v>1894.4599219182685</v>
      </c>
      <c r="H130" s="10">
        <f t="shared" si="32"/>
        <v>2583.5599790337283</v>
      </c>
      <c r="I130" s="10">
        <f t="shared" si="31"/>
        <v>20863.391268728945</v>
      </c>
      <c r="K130" s="51" t="s">
        <v>85</v>
      </c>
    </row>
    <row r="131" spans="1:22" x14ac:dyDescent="0.35">
      <c r="H131" s="49">
        <v>2583.5599790337283</v>
      </c>
      <c r="K131" s="51"/>
    </row>
    <row r="132" spans="1:22" x14ac:dyDescent="0.35">
      <c r="K132" s="51"/>
    </row>
    <row r="133" spans="1:22" x14ac:dyDescent="0.35">
      <c r="A133" s="24" t="s">
        <v>81</v>
      </c>
      <c r="K133" s="51"/>
    </row>
    <row r="134" spans="1:22" x14ac:dyDescent="0.35">
      <c r="A134" t="s">
        <v>82</v>
      </c>
      <c r="K134" s="51"/>
      <c r="V134" s="6"/>
    </row>
    <row r="135" spans="1:22" x14ac:dyDescent="0.35">
      <c r="B135" s="2" t="s">
        <v>5</v>
      </c>
      <c r="C135" s="3" t="s">
        <v>6</v>
      </c>
      <c r="D135" s="3" t="s">
        <v>7</v>
      </c>
      <c r="E135" s="3" t="s">
        <v>8</v>
      </c>
      <c r="F135" s="3" t="s">
        <v>167</v>
      </c>
      <c r="G135" s="3" t="s">
        <v>9</v>
      </c>
      <c r="H135" s="4" t="s">
        <v>185</v>
      </c>
      <c r="I135" s="20" t="s">
        <v>17</v>
      </c>
      <c r="K135" s="51"/>
    </row>
    <row r="136" spans="1:22" x14ac:dyDescent="0.35">
      <c r="A136" s="20" t="s">
        <v>86</v>
      </c>
      <c r="B136" s="30">
        <f>B107/B128*100</f>
        <v>5.1148637626007289</v>
      </c>
      <c r="C136" s="30">
        <f t="shared" ref="C136:I136" si="33">C107/C128*100</f>
        <v>14.768419240911957</v>
      </c>
      <c r="D136" s="30">
        <f t="shared" si="33"/>
        <v>17.972885494359204</v>
      </c>
      <c r="E136" s="30">
        <f t="shared" si="33"/>
        <v>0.34307817817274744</v>
      </c>
      <c r="F136" s="30">
        <f t="shared" si="33"/>
        <v>7.9817047040581155</v>
      </c>
      <c r="G136" s="30">
        <f t="shared" si="33"/>
        <v>0.67758959683156816</v>
      </c>
      <c r="H136" s="30">
        <f t="shared" si="33"/>
        <v>2.4526947267598209</v>
      </c>
      <c r="I136" s="32">
        <f t="shared" si="33"/>
        <v>9.2270609851760241</v>
      </c>
      <c r="J136" s="50">
        <v>15.447254437412589</v>
      </c>
      <c r="K136" s="51" t="s">
        <v>88</v>
      </c>
    </row>
    <row r="137" spans="1:22" x14ac:dyDescent="0.35">
      <c r="A137" s="22" t="s">
        <v>87</v>
      </c>
      <c r="B137" s="33">
        <f>B108/B46*100</f>
        <v>0.44931732729037721</v>
      </c>
      <c r="C137" s="33">
        <f t="shared" ref="C137:I137" si="34">C108/C46*100</f>
        <v>0.28784320856488443</v>
      </c>
      <c r="D137" s="33">
        <f t="shared" si="34"/>
        <v>25.659935718986738</v>
      </c>
      <c r="E137" s="33">
        <f t="shared" si="34"/>
        <v>0.16676401179154587</v>
      </c>
      <c r="F137" s="33">
        <f t="shared" si="34"/>
        <v>0.65070161267710924</v>
      </c>
      <c r="G137" s="33">
        <f t="shared" si="34"/>
        <v>5.033407111226806</v>
      </c>
      <c r="H137" s="33">
        <f t="shared" si="34"/>
        <v>1.8719995618541665</v>
      </c>
      <c r="I137" s="35">
        <f t="shared" si="34"/>
        <v>9.0595848876362481</v>
      </c>
      <c r="J137" s="50">
        <v>7.5643762251545317</v>
      </c>
      <c r="K137" s="51" t="s">
        <v>89</v>
      </c>
    </row>
    <row r="138" spans="1:22" x14ac:dyDescent="0.35">
      <c r="H138" s="50">
        <v>1.8719995618541665</v>
      </c>
    </row>
    <row r="140" spans="1:22" x14ac:dyDescent="0.35">
      <c r="A140" s="29" t="s">
        <v>90</v>
      </c>
      <c r="B140" s="28" t="s">
        <v>169</v>
      </c>
    </row>
    <row r="141" spans="1:22" x14ac:dyDescent="0.35">
      <c r="A141" s="29" t="s">
        <v>91</v>
      </c>
      <c r="B141" s="28" t="s">
        <v>198</v>
      </c>
    </row>
    <row r="142" spans="1:22" x14ac:dyDescent="0.35">
      <c r="A142" s="29"/>
      <c r="B142" s="28"/>
    </row>
    <row r="143" spans="1:22" x14ac:dyDescent="0.35">
      <c r="A143" s="29" t="s">
        <v>93</v>
      </c>
      <c r="B143" s="28" t="s">
        <v>92</v>
      </c>
    </row>
    <row r="144" spans="1:22" x14ac:dyDescent="0.35">
      <c r="A144" s="29" t="s">
        <v>94</v>
      </c>
      <c r="B144" s="28" t="s">
        <v>198</v>
      </c>
    </row>
    <row r="147" spans="1:8" ht="18.5" x14ac:dyDescent="0.45">
      <c r="A147" s="39" t="s">
        <v>95</v>
      </c>
    </row>
    <row r="149" spans="1:8" x14ac:dyDescent="0.35">
      <c r="A149" s="24" t="s">
        <v>96</v>
      </c>
    </row>
    <row r="150" spans="1:8" x14ac:dyDescent="0.35">
      <c r="A150" t="s">
        <v>97</v>
      </c>
    </row>
    <row r="151" spans="1:8" x14ac:dyDescent="0.35">
      <c r="B151" s="43" t="s">
        <v>100</v>
      </c>
      <c r="C151" s="44" t="s">
        <v>99</v>
      </c>
      <c r="D151" s="44" t="s">
        <v>102</v>
      </c>
      <c r="E151" s="44" t="s">
        <v>104</v>
      </c>
      <c r="F151" s="45" t="s">
        <v>63</v>
      </c>
      <c r="G151" s="45" t="s">
        <v>78</v>
      </c>
    </row>
    <row r="152" spans="1:8" x14ac:dyDescent="0.35">
      <c r="B152" s="46" t="s">
        <v>98</v>
      </c>
      <c r="C152" t="s">
        <v>101</v>
      </c>
      <c r="D152" t="s">
        <v>101</v>
      </c>
      <c r="E152" t="s">
        <v>103</v>
      </c>
      <c r="F152" s="47"/>
      <c r="G152" s="47"/>
    </row>
    <row r="153" spans="1:8" x14ac:dyDescent="0.35">
      <c r="A153" s="43" t="s">
        <v>5</v>
      </c>
      <c r="B153" s="2">
        <f>SUM(B14:H14)</f>
        <v>2860.7980276361909</v>
      </c>
      <c r="C153" s="3">
        <f>SUM(S14:T14)</f>
        <v>3540.4360925205783</v>
      </c>
      <c r="D153" s="3">
        <f>U14</f>
        <v>0</v>
      </c>
      <c r="E153" s="3">
        <f t="shared" ref="E153:F153" si="35">V14</f>
        <v>0</v>
      </c>
      <c r="F153" s="4">
        <f t="shared" si="35"/>
        <v>27.336233064363579</v>
      </c>
      <c r="G153" s="4">
        <f>SUM(B153:F153)</f>
        <v>6428.5703532211328</v>
      </c>
    </row>
    <row r="154" spans="1:8" x14ac:dyDescent="0.35">
      <c r="A154" s="46" t="s">
        <v>6</v>
      </c>
      <c r="B154" s="5">
        <f t="shared" ref="B154:B159" si="36">SUM(B15:H15)</f>
        <v>633.3102623599118</v>
      </c>
      <c r="C154" s="6">
        <f t="shared" ref="C154:C159" si="37">SUM(S15:T15)</f>
        <v>0</v>
      </c>
      <c r="D154" s="6">
        <f t="shared" ref="D154:D159" si="38">U15</f>
        <v>0</v>
      </c>
      <c r="E154" s="6">
        <f t="shared" ref="E154:E159" si="39">V15</f>
        <v>0</v>
      </c>
      <c r="F154" s="7">
        <f t="shared" ref="F154:F159" si="40">W15</f>
        <v>1.528441489711593</v>
      </c>
      <c r="G154" s="7">
        <f t="shared" ref="G154:G159" si="41">SUM(B154:F154)</f>
        <v>634.83870384962336</v>
      </c>
    </row>
    <row r="155" spans="1:8" x14ac:dyDescent="0.35">
      <c r="A155" s="46" t="s">
        <v>7</v>
      </c>
      <c r="B155" s="5">
        <f t="shared" si="36"/>
        <v>7002.1647133535807</v>
      </c>
      <c r="C155" s="6">
        <f t="shared" si="37"/>
        <v>3609.698820792355</v>
      </c>
      <c r="D155" s="6">
        <f t="shared" si="38"/>
        <v>0</v>
      </c>
      <c r="E155" s="6">
        <f t="shared" si="39"/>
        <v>1563.4578939475657</v>
      </c>
      <c r="F155" s="7">
        <f t="shared" si="40"/>
        <v>2974.6066423700495</v>
      </c>
      <c r="G155" s="7">
        <f t="shared" si="41"/>
        <v>15149.928070463549</v>
      </c>
    </row>
    <row r="156" spans="1:8" x14ac:dyDescent="0.35">
      <c r="A156" s="46" t="s">
        <v>8</v>
      </c>
      <c r="B156" s="5">
        <f t="shared" si="36"/>
        <v>808.57436616614427</v>
      </c>
      <c r="C156" s="6">
        <f t="shared" si="37"/>
        <v>510.40812108755995</v>
      </c>
      <c r="D156" s="6">
        <f t="shared" si="38"/>
        <v>0</v>
      </c>
      <c r="E156" s="6">
        <f t="shared" si="39"/>
        <v>3654.5440119688465</v>
      </c>
      <c r="F156" s="7">
        <f t="shared" si="40"/>
        <v>8.2793568529079646</v>
      </c>
      <c r="G156" s="7">
        <f t="shared" si="41"/>
        <v>4981.8058560754589</v>
      </c>
    </row>
    <row r="157" spans="1:8" x14ac:dyDescent="0.35">
      <c r="A157" s="46" t="s">
        <v>167</v>
      </c>
      <c r="B157" s="5">
        <f t="shared" si="36"/>
        <v>4883.4956529192823</v>
      </c>
      <c r="C157" s="6">
        <f t="shared" si="37"/>
        <v>462.87077580163367</v>
      </c>
      <c r="D157" s="6">
        <f t="shared" si="38"/>
        <v>0</v>
      </c>
      <c r="E157" s="6">
        <f t="shared" si="39"/>
        <v>0</v>
      </c>
      <c r="F157" s="7">
        <f t="shared" si="40"/>
        <v>32.204977881374774</v>
      </c>
      <c r="G157" s="7">
        <f t="shared" si="41"/>
        <v>5378.5714066022902</v>
      </c>
    </row>
    <row r="158" spans="1:8" x14ac:dyDescent="0.35">
      <c r="A158" s="46" t="s">
        <v>9</v>
      </c>
      <c r="B158" s="5">
        <f t="shared" si="36"/>
        <v>383.45224435707019</v>
      </c>
      <c r="C158" s="6">
        <f t="shared" si="37"/>
        <v>752.31298733021845</v>
      </c>
      <c r="D158" s="6">
        <f t="shared" si="38"/>
        <v>1028.2672427692576</v>
      </c>
      <c r="E158" s="6">
        <f t="shared" si="39"/>
        <v>0</v>
      </c>
      <c r="F158" s="7">
        <f t="shared" si="40"/>
        <v>113.87969181879257</v>
      </c>
      <c r="G158" s="7">
        <f t="shared" si="41"/>
        <v>2277.9121662753387</v>
      </c>
    </row>
    <row r="159" spans="1:8" x14ac:dyDescent="0.35">
      <c r="A159" s="46" t="s">
        <v>185</v>
      </c>
      <c r="B159" s="5">
        <f t="shared" si="36"/>
        <v>3195.500397984998</v>
      </c>
      <c r="C159" s="6">
        <f t="shared" si="37"/>
        <v>2478.0294169904005</v>
      </c>
      <c r="D159" s="6">
        <f t="shared" si="38"/>
        <v>0</v>
      </c>
      <c r="E159" s="9">
        <f t="shared" si="39"/>
        <v>0</v>
      </c>
      <c r="F159" s="10">
        <f t="shared" si="40"/>
        <v>105.53056204332788</v>
      </c>
      <c r="G159" s="7">
        <f t="shared" si="41"/>
        <v>5779.0603770187263</v>
      </c>
    </row>
    <row r="160" spans="1:8" x14ac:dyDescent="0.35">
      <c r="A160" s="40" t="s">
        <v>17</v>
      </c>
      <c r="B160" s="11">
        <f>SUM(B153:B159)</f>
        <v>19767.295664777179</v>
      </c>
      <c r="C160" s="12">
        <f>SUM(C153:C159)</f>
        <v>11353.756214522746</v>
      </c>
      <c r="D160" s="12">
        <f>SUM(D153:D159)</f>
        <v>1028.2672427692576</v>
      </c>
      <c r="E160" s="12">
        <f>SUM(E153:E159)</f>
        <v>5218.0019059164124</v>
      </c>
      <c r="F160" s="13">
        <f>SUM(F153:F159)</f>
        <v>3263.3659055205276</v>
      </c>
      <c r="G160" s="13">
        <f>SUM(B160:F160)</f>
        <v>40630.68693350612</v>
      </c>
      <c r="H160" s="49">
        <v>40630.68693350612</v>
      </c>
    </row>
    <row r="163" spans="1:8" x14ac:dyDescent="0.35">
      <c r="A163" s="24" t="s">
        <v>110</v>
      </c>
    </row>
    <row r="164" spans="1:8" x14ac:dyDescent="0.35">
      <c r="A164" t="s">
        <v>170</v>
      </c>
    </row>
    <row r="165" spans="1:8" x14ac:dyDescent="0.35">
      <c r="B165" s="43" t="s">
        <v>100</v>
      </c>
      <c r="C165" s="44" t="s">
        <v>99</v>
      </c>
      <c r="D165" s="44" t="s">
        <v>102</v>
      </c>
      <c r="E165" s="44" t="s">
        <v>104</v>
      </c>
      <c r="F165" s="45" t="s">
        <v>63</v>
      </c>
      <c r="G165" s="45" t="s">
        <v>78</v>
      </c>
    </row>
    <row r="166" spans="1:8" x14ac:dyDescent="0.35">
      <c r="B166" s="46" t="s">
        <v>98</v>
      </c>
      <c r="C166" t="s">
        <v>101</v>
      </c>
      <c r="D166" t="s">
        <v>101</v>
      </c>
      <c r="E166" t="s">
        <v>103</v>
      </c>
      <c r="F166" s="47"/>
      <c r="G166" s="47"/>
    </row>
    <row r="167" spans="1:8" x14ac:dyDescent="0.35">
      <c r="A167" s="43" t="s">
        <v>5</v>
      </c>
      <c r="B167" s="52">
        <f>B153/B$160*100</f>
        <v>14.472379409661846</v>
      </c>
      <c r="C167" s="30">
        <f t="shared" ref="C167:G167" si="42">C153/C$160*100</f>
        <v>31.182949727174496</v>
      </c>
      <c r="D167" s="30">
        <f t="shared" si="42"/>
        <v>0</v>
      </c>
      <c r="E167" s="30">
        <f t="shared" si="42"/>
        <v>0</v>
      </c>
      <c r="F167" s="31">
        <f t="shared" si="42"/>
        <v>0.83766987385998548</v>
      </c>
      <c r="G167" s="31">
        <f t="shared" si="42"/>
        <v>15.821958323623145</v>
      </c>
    </row>
    <row r="168" spans="1:8" x14ac:dyDescent="0.35">
      <c r="A168" s="46" t="s">
        <v>6</v>
      </c>
      <c r="B168" s="53">
        <f t="shared" ref="B168:G168" si="43">B154/B$160*100</f>
        <v>3.2038285514613443</v>
      </c>
      <c r="C168" s="36">
        <f t="shared" si="43"/>
        <v>0</v>
      </c>
      <c r="D168" s="36">
        <f t="shared" si="43"/>
        <v>0</v>
      </c>
      <c r="E168" s="36">
        <f t="shared" si="43"/>
        <v>0</v>
      </c>
      <c r="F168" s="37">
        <f t="shared" si="43"/>
        <v>4.6836350380629381E-2</v>
      </c>
      <c r="G168" s="37">
        <f t="shared" si="43"/>
        <v>1.5624611636238501</v>
      </c>
    </row>
    <row r="169" spans="1:8" x14ac:dyDescent="0.35">
      <c r="A169" s="46" t="s">
        <v>7</v>
      </c>
      <c r="B169" s="53">
        <f t="shared" ref="B169:G169" si="44">B155/B$160*100</f>
        <v>35.422977589344974</v>
      </c>
      <c r="C169" s="36">
        <f t="shared" si="44"/>
        <v>31.792992139245861</v>
      </c>
      <c r="D169" s="36">
        <f t="shared" si="44"/>
        <v>0</v>
      </c>
      <c r="E169" s="36">
        <f t="shared" si="44"/>
        <v>29.962769698777702</v>
      </c>
      <c r="F169" s="37">
        <f t="shared" si="44"/>
        <v>91.151489857083035</v>
      </c>
      <c r="G169" s="37">
        <f t="shared" si="44"/>
        <v>37.286910987394975</v>
      </c>
    </row>
    <row r="170" spans="1:8" x14ac:dyDescent="0.35">
      <c r="A170" s="46" t="s">
        <v>8</v>
      </c>
      <c r="B170" s="53">
        <f t="shared" ref="B170:G170" si="45">B156/B$160*100</f>
        <v>4.0904652810294202</v>
      </c>
      <c r="C170" s="36">
        <f t="shared" si="45"/>
        <v>4.4955000921606008</v>
      </c>
      <c r="D170" s="36">
        <f t="shared" si="45"/>
        <v>0</v>
      </c>
      <c r="E170" s="36">
        <f t="shared" si="45"/>
        <v>70.037230301222294</v>
      </c>
      <c r="F170" s="37">
        <f t="shared" si="45"/>
        <v>0.25370605358418596</v>
      </c>
      <c r="G170" s="37">
        <f t="shared" si="45"/>
        <v>12.261190326977243</v>
      </c>
    </row>
    <row r="171" spans="1:8" x14ac:dyDescent="0.35">
      <c r="A171" s="46" t="s">
        <v>167</v>
      </c>
      <c r="B171" s="53">
        <f t="shared" ref="B171:G171" si="46">B157/B$160*100</f>
        <v>24.704925427007467</v>
      </c>
      <c r="C171" s="36">
        <f t="shared" si="46"/>
        <v>4.0768074199934761</v>
      </c>
      <c r="D171" s="36">
        <f t="shared" si="46"/>
        <v>0</v>
      </c>
      <c r="E171" s="36">
        <f t="shared" si="46"/>
        <v>0</v>
      </c>
      <c r="F171" s="37">
        <f t="shared" si="46"/>
        <v>0.98686383365391794</v>
      </c>
      <c r="G171" s="37">
        <f t="shared" si="46"/>
        <v>13.237707291054553</v>
      </c>
    </row>
    <row r="172" spans="1:8" x14ac:dyDescent="0.35">
      <c r="A172" s="46" t="s">
        <v>9</v>
      </c>
      <c r="B172" s="53">
        <f t="shared" ref="B172:G172" si="47">B158/B$160*100</f>
        <v>1.9398315827305279</v>
      </c>
      <c r="C172" s="36">
        <f t="shared" si="47"/>
        <v>6.6261153852143178</v>
      </c>
      <c r="D172" s="36">
        <f t="shared" si="47"/>
        <v>100</v>
      </c>
      <c r="E172" s="36">
        <f t="shared" si="47"/>
        <v>0</v>
      </c>
      <c r="F172" s="37">
        <f t="shared" si="47"/>
        <v>3.4896390755981757</v>
      </c>
      <c r="G172" s="37">
        <f t="shared" si="47"/>
        <v>5.6063835937680322</v>
      </c>
    </row>
    <row r="173" spans="1:8" x14ac:dyDescent="0.35">
      <c r="A173" s="46" t="s">
        <v>185</v>
      </c>
      <c r="B173" s="53">
        <f t="shared" ref="B173:G173" si="48">B159/B$160*100</f>
        <v>16.165592158764415</v>
      </c>
      <c r="C173" s="36">
        <f t="shared" si="48"/>
        <v>21.825635236211248</v>
      </c>
      <c r="D173" s="36">
        <f t="shared" si="48"/>
        <v>0</v>
      </c>
      <c r="E173" s="36">
        <f t="shared" si="48"/>
        <v>0</v>
      </c>
      <c r="F173" s="37">
        <f t="shared" si="48"/>
        <v>3.2337949558400831</v>
      </c>
      <c r="G173" s="37">
        <f t="shared" si="48"/>
        <v>14.223388313558196</v>
      </c>
      <c r="H173" s="50">
        <v>14.223388313558196</v>
      </c>
    </row>
    <row r="174" spans="1:8" x14ac:dyDescent="0.35">
      <c r="A174" s="40" t="s">
        <v>17</v>
      </c>
      <c r="B174" s="54">
        <f t="shared" ref="B174:G174" si="49">B160/B$160*100</f>
        <v>100</v>
      </c>
      <c r="C174" s="25">
        <f t="shared" si="49"/>
        <v>100</v>
      </c>
      <c r="D174" s="25">
        <f t="shared" si="49"/>
        <v>100</v>
      </c>
      <c r="E174" s="25">
        <f t="shared" si="49"/>
        <v>100</v>
      </c>
      <c r="F174" s="26">
        <f t="shared" si="49"/>
        <v>100</v>
      </c>
      <c r="G174" s="26">
        <f t="shared" si="49"/>
        <v>100</v>
      </c>
    </row>
    <row r="175" spans="1:8" x14ac:dyDescent="0.35">
      <c r="F175" s="50">
        <v>100</v>
      </c>
    </row>
    <row r="177" spans="1:7" x14ac:dyDescent="0.35">
      <c r="A177" s="29" t="s">
        <v>105</v>
      </c>
      <c r="B177" s="28" t="s">
        <v>171</v>
      </c>
    </row>
    <row r="178" spans="1:7" x14ac:dyDescent="0.35">
      <c r="A178" s="29" t="s">
        <v>106</v>
      </c>
      <c r="B178" s="28" t="s">
        <v>200</v>
      </c>
    </row>
    <row r="179" spans="1:7" x14ac:dyDescent="0.35">
      <c r="A179" s="29"/>
      <c r="B179" s="28"/>
    </row>
    <row r="180" spans="1:7" x14ac:dyDescent="0.35">
      <c r="A180" s="29" t="s">
        <v>108</v>
      </c>
      <c r="B180" s="28" t="s">
        <v>107</v>
      </c>
    </row>
    <row r="181" spans="1:7" x14ac:dyDescent="0.35">
      <c r="A181" s="29" t="s">
        <v>109</v>
      </c>
      <c r="B181" s="28" t="s">
        <v>201</v>
      </c>
    </row>
    <row r="184" spans="1:7" x14ac:dyDescent="0.35">
      <c r="A184" s="24" t="s">
        <v>111</v>
      </c>
    </row>
    <row r="185" spans="1:7" x14ac:dyDescent="0.35">
      <c r="A185" t="s">
        <v>112</v>
      </c>
    </row>
    <row r="186" spans="1:7" x14ac:dyDescent="0.35">
      <c r="A186" s="45"/>
      <c r="B186" s="43" t="s">
        <v>100</v>
      </c>
      <c r="C186" s="44" t="s">
        <v>99</v>
      </c>
      <c r="D186" s="44" t="s">
        <v>102</v>
      </c>
      <c r="E186" s="44" t="s">
        <v>104</v>
      </c>
      <c r="F186" s="45" t="s">
        <v>63</v>
      </c>
      <c r="G186" s="45" t="s">
        <v>78</v>
      </c>
    </row>
    <row r="187" spans="1:7" x14ac:dyDescent="0.35">
      <c r="A187" s="56"/>
      <c r="B187" s="46" t="s">
        <v>98</v>
      </c>
      <c r="C187" t="s">
        <v>101</v>
      </c>
      <c r="D187" t="s">
        <v>101</v>
      </c>
      <c r="E187" t="s">
        <v>103</v>
      </c>
      <c r="F187" s="47"/>
      <c r="G187" s="47"/>
    </row>
    <row r="188" spans="1:7" x14ac:dyDescent="0.35">
      <c r="A188" s="43" t="s">
        <v>5</v>
      </c>
      <c r="B188" s="52">
        <f>B153/$G153*100</f>
        <v>44.501310096151386</v>
      </c>
      <c r="C188" s="30">
        <f t="shared" ref="C188:G188" si="50">C153/$G153*100</f>
        <v>55.07345954060515</v>
      </c>
      <c r="D188" s="30">
        <f t="shared" si="50"/>
        <v>0</v>
      </c>
      <c r="E188" s="30">
        <f t="shared" si="50"/>
        <v>0</v>
      </c>
      <c r="F188" s="31">
        <f t="shared" si="50"/>
        <v>0.42523036324345964</v>
      </c>
      <c r="G188" s="31">
        <f t="shared" si="50"/>
        <v>100</v>
      </c>
    </row>
    <row r="189" spans="1:7" x14ac:dyDescent="0.35">
      <c r="A189" s="46" t="s">
        <v>6</v>
      </c>
      <c r="B189" s="53">
        <f t="shared" ref="B189:G189" si="51">B154/$G154*100</f>
        <v>99.759239397276318</v>
      </c>
      <c r="C189" s="36">
        <f t="shared" si="51"/>
        <v>0</v>
      </c>
      <c r="D189" s="36">
        <f t="shared" si="51"/>
        <v>0</v>
      </c>
      <c r="E189" s="36">
        <f t="shared" si="51"/>
        <v>0</v>
      </c>
      <c r="F189" s="37">
        <f t="shared" si="51"/>
        <v>0.2407606027236866</v>
      </c>
      <c r="G189" s="37">
        <f t="shared" si="51"/>
        <v>100</v>
      </c>
    </row>
    <row r="190" spans="1:7" x14ac:dyDescent="0.35">
      <c r="A190" s="46" t="s">
        <v>7</v>
      </c>
      <c r="B190" s="53">
        <f t="shared" ref="B190:G190" si="52">B155/$G155*100</f>
        <v>46.219128439329502</v>
      </c>
      <c r="C190" s="36">
        <f t="shared" si="52"/>
        <v>23.826507980786126</v>
      </c>
      <c r="D190" s="36">
        <f t="shared" si="52"/>
        <v>0</v>
      </c>
      <c r="E190" s="36">
        <f t="shared" si="52"/>
        <v>10.319903082547954</v>
      </c>
      <c r="F190" s="37">
        <f t="shared" si="52"/>
        <v>19.634460497336434</v>
      </c>
      <c r="G190" s="37">
        <f t="shared" si="52"/>
        <v>100</v>
      </c>
    </row>
    <row r="191" spans="1:7" x14ac:dyDescent="0.35">
      <c r="A191" s="46" t="s">
        <v>8</v>
      </c>
      <c r="B191" s="53">
        <f t="shared" ref="B191:G191" si="53">B156/$G156*100</f>
        <v>16.230547506785399</v>
      </c>
      <c r="C191" s="36">
        <f t="shared" si="53"/>
        <v>10.245443837701989</v>
      </c>
      <c r="D191" s="36">
        <f t="shared" si="53"/>
        <v>0</v>
      </c>
      <c r="E191" s="36">
        <f t="shared" si="53"/>
        <v>73.357816774654566</v>
      </c>
      <c r="F191" s="37">
        <f t="shared" si="53"/>
        <v>0.16619188085804357</v>
      </c>
      <c r="G191" s="37">
        <f t="shared" si="53"/>
        <v>100</v>
      </c>
    </row>
    <row r="192" spans="1:7" x14ac:dyDescent="0.35">
      <c r="A192" s="46" t="s">
        <v>167</v>
      </c>
      <c r="B192" s="53">
        <f t="shared" ref="B192:G192" si="54">B157/$G157*100</f>
        <v>90.795404276397747</v>
      </c>
      <c r="C192" s="36">
        <f t="shared" si="54"/>
        <v>8.6058311921535839</v>
      </c>
      <c r="D192" s="36">
        <f t="shared" si="54"/>
        <v>0</v>
      </c>
      <c r="E192" s="36">
        <f t="shared" si="54"/>
        <v>0</v>
      </c>
      <c r="F192" s="37">
        <f t="shared" si="54"/>
        <v>0.59876453144867803</v>
      </c>
      <c r="G192" s="37">
        <f t="shared" si="54"/>
        <v>100</v>
      </c>
    </row>
    <row r="193" spans="1:8" x14ac:dyDescent="0.35">
      <c r="A193" s="46" t="s">
        <v>9</v>
      </c>
      <c r="B193" s="53">
        <f t="shared" ref="B193:G193" si="55">B158/$G158*100</f>
        <v>16.833495603303302</v>
      </c>
      <c r="C193" s="36">
        <f t="shared" si="55"/>
        <v>33.026426500032308</v>
      </c>
      <c r="D193" s="36">
        <f t="shared" si="55"/>
        <v>45.140776628389432</v>
      </c>
      <c r="E193" s="36">
        <f t="shared" si="55"/>
        <v>0</v>
      </c>
      <c r="F193" s="37">
        <f t="shared" si="55"/>
        <v>4.9993012682749578</v>
      </c>
      <c r="G193" s="37">
        <f t="shared" si="55"/>
        <v>100</v>
      </c>
    </row>
    <row r="194" spans="1:8" x14ac:dyDescent="0.35">
      <c r="A194" s="46" t="s">
        <v>185</v>
      </c>
      <c r="B194" s="53">
        <f t="shared" ref="B194:G194" si="56">B159/$G159*100</f>
        <v>55.294462931939073</v>
      </c>
      <c r="C194" s="36">
        <f t="shared" si="56"/>
        <v>42.879451940745327</v>
      </c>
      <c r="D194" s="36">
        <f t="shared" si="56"/>
        <v>0</v>
      </c>
      <c r="E194" s="36">
        <f t="shared" si="56"/>
        <v>0</v>
      </c>
      <c r="F194" s="37">
        <f t="shared" si="56"/>
        <v>1.8260851273156014</v>
      </c>
      <c r="G194" s="37">
        <f t="shared" si="56"/>
        <v>100</v>
      </c>
      <c r="H194" s="50">
        <v>100</v>
      </c>
    </row>
    <row r="195" spans="1:8" x14ac:dyDescent="0.35">
      <c r="A195" s="40" t="s">
        <v>17</v>
      </c>
      <c r="B195" s="54">
        <f t="shared" ref="B195:G195" si="57">B160/$G160*100</f>
        <v>48.651148077134934</v>
      </c>
      <c r="C195" s="25">
        <f t="shared" si="57"/>
        <v>27.943795863219488</v>
      </c>
      <c r="D195" s="25">
        <f t="shared" si="57"/>
        <v>2.5307650949934994</v>
      </c>
      <c r="E195" s="25">
        <f t="shared" si="57"/>
        <v>12.842514610830721</v>
      </c>
      <c r="F195" s="26">
        <f t="shared" si="57"/>
        <v>8.0317763538213551</v>
      </c>
      <c r="G195" s="26">
        <f t="shared" si="57"/>
        <v>100</v>
      </c>
    </row>
    <row r="196" spans="1:8" x14ac:dyDescent="0.35">
      <c r="F196" s="50">
        <v>8.0317763538213551</v>
      </c>
    </row>
    <row r="198" spans="1:8" ht="18.5" x14ac:dyDescent="0.45">
      <c r="A198" s="39" t="s">
        <v>113</v>
      </c>
    </row>
    <row r="200" spans="1:8" x14ac:dyDescent="0.35">
      <c r="A200" s="24" t="s">
        <v>114</v>
      </c>
    </row>
    <row r="201" spans="1:8" x14ac:dyDescent="0.35">
      <c r="A201" t="s">
        <v>115</v>
      </c>
    </row>
    <row r="202" spans="1:8" x14ac:dyDescent="0.35">
      <c r="B202" s="2" t="s">
        <v>12</v>
      </c>
      <c r="C202" s="45" t="s">
        <v>13</v>
      </c>
      <c r="D202" s="45" t="s">
        <v>17</v>
      </c>
    </row>
    <row r="203" spans="1:8" x14ac:dyDescent="0.35">
      <c r="A203" s="43" t="s">
        <v>5</v>
      </c>
      <c r="B203" s="2">
        <f>S14</f>
        <v>2389.8171633002544</v>
      </c>
      <c r="C203" s="4">
        <f t="shared" ref="C203:C209" si="58">T14</f>
        <v>1150.6189292203239</v>
      </c>
      <c r="D203" s="4">
        <f>SUM(B203:C203)</f>
        <v>3540.4360925205783</v>
      </c>
      <c r="E203" s="51" t="s">
        <v>119</v>
      </c>
    </row>
    <row r="204" spans="1:8" x14ac:dyDescent="0.35">
      <c r="A204" s="46" t="s">
        <v>6</v>
      </c>
      <c r="B204" s="5">
        <f t="shared" ref="B204:B209" si="59">S15</f>
        <v>0</v>
      </c>
      <c r="C204" s="7">
        <f t="shared" si="58"/>
        <v>0</v>
      </c>
      <c r="D204" s="7">
        <f t="shared" ref="D204:D211" si="60">SUM(B204:C204)</f>
        <v>0</v>
      </c>
      <c r="E204" s="51" t="s">
        <v>120</v>
      </c>
    </row>
    <row r="205" spans="1:8" x14ac:dyDescent="0.35">
      <c r="A205" s="46" t="s">
        <v>7</v>
      </c>
      <c r="B205" s="5">
        <f t="shared" si="59"/>
        <v>2431.8074116070011</v>
      </c>
      <c r="C205" s="7">
        <f t="shared" si="58"/>
        <v>1177.8914091853542</v>
      </c>
      <c r="D205" s="7">
        <f t="shared" si="60"/>
        <v>3609.698820792355</v>
      </c>
      <c r="E205" s="51" t="s">
        <v>121</v>
      </c>
    </row>
    <row r="206" spans="1:8" x14ac:dyDescent="0.35">
      <c r="A206" s="46" t="s">
        <v>8</v>
      </c>
      <c r="B206" s="5">
        <f t="shared" si="59"/>
        <v>308.76027280970169</v>
      </c>
      <c r="C206" s="7">
        <f t="shared" si="58"/>
        <v>201.64784827785829</v>
      </c>
      <c r="D206" s="7">
        <f t="shared" si="60"/>
        <v>510.40812108755995</v>
      </c>
      <c r="E206" s="51" t="s">
        <v>122</v>
      </c>
    </row>
    <row r="207" spans="1:8" x14ac:dyDescent="0.35">
      <c r="A207" s="46" t="s">
        <v>167</v>
      </c>
      <c r="B207" s="5">
        <f t="shared" si="59"/>
        <v>293.3816602956594</v>
      </c>
      <c r="C207" s="7">
        <f t="shared" si="58"/>
        <v>169.48911550597427</v>
      </c>
      <c r="D207" s="7">
        <f t="shared" si="60"/>
        <v>462.87077580163367</v>
      </c>
      <c r="E207" s="51" t="s">
        <v>123</v>
      </c>
    </row>
    <row r="208" spans="1:8" x14ac:dyDescent="0.35">
      <c r="A208" s="46" t="s">
        <v>9</v>
      </c>
      <c r="B208" s="5">
        <f t="shared" si="59"/>
        <v>453.56827700775597</v>
      </c>
      <c r="C208" s="7">
        <f t="shared" si="58"/>
        <v>298.74471032246248</v>
      </c>
      <c r="D208" s="7">
        <f t="shared" si="60"/>
        <v>752.31298733021845</v>
      </c>
      <c r="E208" s="51" t="s">
        <v>124</v>
      </c>
    </row>
    <row r="209" spans="1:5" x14ac:dyDescent="0.35">
      <c r="A209" s="46" t="s">
        <v>185</v>
      </c>
      <c r="B209" s="5">
        <f t="shared" si="59"/>
        <v>1343.7712181114325</v>
      </c>
      <c r="C209" s="7">
        <f t="shared" si="58"/>
        <v>1134.258198878968</v>
      </c>
      <c r="D209" s="7">
        <f t="shared" si="60"/>
        <v>2478.0294169904005</v>
      </c>
      <c r="E209" s="51" t="s">
        <v>125</v>
      </c>
    </row>
    <row r="210" spans="1:5" x14ac:dyDescent="0.35">
      <c r="A210" s="46" t="s">
        <v>14</v>
      </c>
      <c r="B210" s="5">
        <f>S26</f>
        <v>38.99790246900352</v>
      </c>
      <c r="C210" s="7">
        <f t="shared" ref="C210:C211" si="61">T26</f>
        <v>112.15152368848706</v>
      </c>
      <c r="D210" s="7">
        <f t="shared" si="60"/>
        <v>151.14942615749058</v>
      </c>
      <c r="E210" s="51" t="s">
        <v>116</v>
      </c>
    </row>
    <row r="211" spans="1:5" x14ac:dyDescent="0.35">
      <c r="A211" s="46" t="s">
        <v>15</v>
      </c>
      <c r="B211" s="8">
        <f t="shared" ref="B211" si="62">S27</f>
        <v>1354.5511285622044</v>
      </c>
      <c r="C211" s="10">
        <f t="shared" si="61"/>
        <v>1529.5725700363889</v>
      </c>
      <c r="D211" s="7">
        <f t="shared" si="60"/>
        <v>2884.1236985985934</v>
      </c>
      <c r="E211" s="51" t="s">
        <v>117</v>
      </c>
    </row>
    <row r="212" spans="1:5" x14ac:dyDescent="0.35">
      <c r="A212" s="40" t="s">
        <v>17</v>
      </c>
      <c r="B212" s="11">
        <f>SUM(B203:B211)</f>
        <v>8614.6550341630136</v>
      </c>
      <c r="C212" s="13">
        <f>SUM(C203:C211)</f>
        <v>5774.3743051158172</v>
      </c>
      <c r="D212" s="13">
        <f>SUM(D203:D211)</f>
        <v>14389.02933927883</v>
      </c>
      <c r="E212" s="51" t="s">
        <v>118</v>
      </c>
    </row>
    <row r="213" spans="1:5" x14ac:dyDescent="0.35">
      <c r="C213" s="49">
        <v>5774.3743051158172</v>
      </c>
    </row>
    <row r="215" spans="1:5" x14ac:dyDescent="0.35">
      <c r="A215" s="29" t="s">
        <v>134</v>
      </c>
      <c r="B215" s="28" t="s">
        <v>126</v>
      </c>
    </row>
    <row r="216" spans="1:5" x14ac:dyDescent="0.35">
      <c r="A216" s="29" t="s">
        <v>135</v>
      </c>
      <c r="B216" s="28" t="s">
        <v>202</v>
      </c>
    </row>
    <row r="217" spans="1:5" x14ac:dyDescent="0.35">
      <c r="A217" s="29"/>
      <c r="B217" s="28"/>
    </row>
    <row r="218" spans="1:5" x14ac:dyDescent="0.35">
      <c r="A218" s="29" t="s">
        <v>132</v>
      </c>
      <c r="B218" s="28" t="s">
        <v>127</v>
      </c>
    </row>
    <row r="219" spans="1:5" x14ac:dyDescent="0.35">
      <c r="A219" s="29" t="s">
        <v>133</v>
      </c>
      <c r="B219" s="28" t="s">
        <v>202</v>
      </c>
    </row>
    <row r="220" spans="1:5" x14ac:dyDescent="0.35">
      <c r="A220" s="29"/>
      <c r="B220" s="28"/>
      <c r="C220" s="28"/>
    </row>
    <row r="221" spans="1:5" x14ac:dyDescent="0.35">
      <c r="A221" s="29" t="s">
        <v>130</v>
      </c>
      <c r="B221" s="28" t="s">
        <v>189</v>
      </c>
    </row>
    <row r="222" spans="1:5" x14ac:dyDescent="0.35">
      <c r="A222" s="29" t="s">
        <v>131</v>
      </c>
      <c r="B222" s="28" t="s">
        <v>203</v>
      </c>
    </row>
    <row r="223" spans="1:5" x14ac:dyDescent="0.35">
      <c r="A223" s="29"/>
      <c r="B223" s="28"/>
    </row>
    <row r="224" spans="1:5" x14ac:dyDescent="0.35">
      <c r="A224" s="29" t="s">
        <v>128</v>
      </c>
      <c r="B224" s="28" t="s">
        <v>172</v>
      </c>
    </row>
    <row r="225" spans="1:5" x14ac:dyDescent="0.35">
      <c r="A225" s="29" t="s">
        <v>129</v>
      </c>
      <c r="B225" s="28" t="s">
        <v>213</v>
      </c>
    </row>
    <row r="226" spans="1:5" x14ac:dyDescent="0.35">
      <c r="B226" s="28"/>
    </row>
    <row r="227" spans="1:5" x14ac:dyDescent="0.35">
      <c r="B227" s="28"/>
    </row>
    <row r="228" spans="1:5" x14ac:dyDescent="0.35">
      <c r="A228" s="24" t="s">
        <v>136</v>
      </c>
    </row>
    <row r="229" spans="1:5" x14ac:dyDescent="0.35">
      <c r="A229" t="s">
        <v>137</v>
      </c>
    </row>
    <row r="230" spans="1:5" x14ac:dyDescent="0.35">
      <c r="B230" s="2" t="s">
        <v>12</v>
      </c>
      <c r="C230" s="45" t="s">
        <v>13</v>
      </c>
      <c r="D230" s="45" t="s">
        <v>17</v>
      </c>
    </row>
    <row r="231" spans="1:5" x14ac:dyDescent="0.35">
      <c r="A231" s="43" t="s">
        <v>5</v>
      </c>
      <c r="B231" s="52">
        <f>B203/B$212*100</f>
        <v>27.741298448086322</v>
      </c>
      <c r="C231" s="31">
        <f t="shared" ref="C231:D231" si="63">C203/C$212*100</f>
        <v>19.926296225738795</v>
      </c>
      <c r="D231" s="31">
        <f t="shared" si="63"/>
        <v>24.605107189933793</v>
      </c>
    </row>
    <row r="232" spans="1:5" x14ac:dyDescent="0.35">
      <c r="A232" s="46" t="s">
        <v>6</v>
      </c>
      <c r="B232" s="53">
        <f t="shared" ref="B232:D232" si="64">B204/B$212*100</f>
        <v>0</v>
      </c>
      <c r="C232" s="37">
        <f t="shared" si="64"/>
        <v>0</v>
      </c>
      <c r="D232" s="37">
        <f t="shared" si="64"/>
        <v>0</v>
      </c>
    </row>
    <row r="233" spans="1:5" x14ac:dyDescent="0.35">
      <c r="A233" s="46" t="s">
        <v>7</v>
      </c>
      <c r="B233" s="53">
        <f t="shared" ref="B233:D233" si="65">B205/B$212*100</f>
        <v>28.228726535922998</v>
      </c>
      <c r="C233" s="37">
        <f t="shared" si="65"/>
        <v>20.39859813281933</v>
      </c>
      <c r="D233" s="37">
        <f t="shared" si="65"/>
        <v>25.086465081690289</v>
      </c>
    </row>
    <row r="234" spans="1:5" x14ac:dyDescent="0.35">
      <c r="A234" s="46" t="s">
        <v>8</v>
      </c>
      <c r="B234" s="53">
        <f t="shared" ref="B234:D234" si="66">B206/B$212*100</f>
        <v>3.5841281117497505</v>
      </c>
      <c r="C234" s="37">
        <f t="shared" si="66"/>
        <v>3.4921159873409664</v>
      </c>
      <c r="D234" s="37">
        <f t="shared" si="66"/>
        <v>3.5472032828111622</v>
      </c>
    </row>
    <row r="235" spans="1:5" x14ac:dyDescent="0.35">
      <c r="A235" s="46" t="s">
        <v>167</v>
      </c>
      <c r="B235" s="53">
        <f t="shared" ref="B235:D235" si="67">B207/B$212*100</f>
        <v>3.4056112419150852</v>
      </c>
      <c r="C235" s="37">
        <f t="shared" si="67"/>
        <v>2.9351944738984983</v>
      </c>
      <c r="D235" s="37">
        <f t="shared" si="67"/>
        <v>3.2168311349404233</v>
      </c>
    </row>
    <row r="236" spans="1:5" x14ac:dyDescent="0.35">
      <c r="A236" s="46" t="s">
        <v>9</v>
      </c>
      <c r="B236" s="53">
        <f t="shared" ref="B236:D236" si="68">B208/B$212*100</f>
        <v>5.2650776520829536</v>
      </c>
      <c r="C236" s="37">
        <f t="shared" si="68"/>
        <v>5.1736291161068149</v>
      </c>
      <c r="D236" s="37">
        <f t="shared" si="68"/>
        <v>5.2283789934083487</v>
      </c>
    </row>
    <row r="237" spans="1:5" x14ac:dyDescent="0.35">
      <c r="A237" s="46" t="s">
        <v>185</v>
      </c>
      <c r="B237" s="53">
        <f t="shared" ref="B237:D237" si="69">B209/B$212*100</f>
        <v>15.598665446062068</v>
      </c>
      <c r="C237" s="37">
        <f t="shared" si="69"/>
        <v>19.642962837966181</v>
      </c>
      <c r="D237" s="37">
        <f t="shared" si="69"/>
        <v>17.221657962889374</v>
      </c>
    </row>
    <row r="238" spans="1:5" x14ac:dyDescent="0.35">
      <c r="A238" s="46" t="s">
        <v>14</v>
      </c>
      <c r="B238" s="53">
        <f t="shared" ref="B238:D238" si="70">B210/B$212*100</f>
        <v>0.45269256069279734</v>
      </c>
      <c r="C238" s="37">
        <f t="shared" si="70"/>
        <v>1.9422281577612006</v>
      </c>
      <c r="D238" s="37">
        <f t="shared" si="70"/>
        <v>1.0504490789026781</v>
      </c>
    </row>
    <row r="239" spans="1:5" x14ac:dyDescent="0.35">
      <c r="A239" s="46" t="s">
        <v>15</v>
      </c>
      <c r="B239" s="53">
        <f t="shared" ref="B239:D239" si="71">B211/B$212*100</f>
        <v>15.723800003488014</v>
      </c>
      <c r="C239" s="37">
        <f t="shared" si="71"/>
        <v>26.488975068368209</v>
      </c>
      <c r="D239" s="37">
        <f t="shared" si="71"/>
        <v>20.04390727542393</v>
      </c>
      <c r="E239" s="50">
        <v>20.04390727542393</v>
      </c>
    </row>
    <row r="240" spans="1:5" x14ac:dyDescent="0.35">
      <c r="A240" s="40" t="s">
        <v>17</v>
      </c>
      <c r="B240" s="54">
        <f>SUM(B231:B239)</f>
        <v>99.999999999999986</v>
      </c>
      <c r="C240" s="26">
        <f t="shared" ref="C240:D240" si="72">SUM(C231:C239)</f>
        <v>100</v>
      </c>
      <c r="D240" s="26">
        <f t="shared" si="72"/>
        <v>100</v>
      </c>
    </row>
    <row r="241" spans="1:7" x14ac:dyDescent="0.35">
      <c r="B241" s="28"/>
    </row>
    <row r="242" spans="1:7" x14ac:dyDescent="0.35">
      <c r="B242" s="28"/>
    </row>
    <row r="243" spans="1:7" x14ac:dyDescent="0.35">
      <c r="A243" s="29" t="s">
        <v>138</v>
      </c>
      <c r="B243" s="28" t="s">
        <v>173</v>
      </c>
    </row>
    <row r="244" spans="1:7" x14ac:dyDescent="0.35">
      <c r="A244" s="29" t="s">
        <v>139</v>
      </c>
      <c r="B244" s="57">
        <f>C238/100</f>
        <v>1.9422281577612006E-2</v>
      </c>
    </row>
    <row r="245" spans="1:7" x14ac:dyDescent="0.35">
      <c r="A245" s="29"/>
      <c r="B245" s="28"/>
    </row>
    <row r="246" spans="1:7" x14ac:dyDescent="0.35">
      <c r="A246" s="29" t="s">
        <v>141</v>
      </c>
      <c r="B246" s="28" t="s">
        <v>140</v>
      </c>
    </row>
    <row r="247" spans="1:7" x14ac:dyDescent="0.35">
      <c r="A247" s="29" t="s">
        <v>142</v>
      </c>
      <c r="B247" s="57">
        <f>B237/100</f>
        <v>0.15598665446062068</v>
      </c>
    </row>
    <row r="248" spans="1:7" x14ac:dyDescent="0.35">
      <c r="A248" s="29"/>
      <c r="B248" s="28"/>
    </row>
    <row r="249" spans="1:7" x14ac:dyDescent="0.35">
      <c r="A249" s="29" t="s">
        <v>143</v>
      </c>
      <c r="B249" s="28" t="s">
        <v>190</v>
      </c>
    </row>
    <row r="250" spans="1:7" x14ac:dyDescent="0.35">
      <c r="A250" s="29" t="s">
        <v>144</v>
      </c>
      <c r="B250" s="57">
        <f>B239/100</f>
        <v>0.15723800003488014</v>
      </c>
    </row>
    <row r="253" spans="1:7" x14ac:dyDescent="0.35">
      <c r="A253" s="24" t="s">
        <v>145</v>
      </c>
    </row>
    <row r="254" spans="1:7" x14ac:dyDescent="0.35">
      <c r="A254" t="s">
        <v>155</v>
      </c>
    </row>
    <row r="255" spans="1:7" x14ac:dyDescent="0.35">
      <c r="B255" s="40" t="s">
        <v>10</v>
      </c>
      <c r="C255" s="41" t="s">
        <v>11</v>
      </c>
      <c r="D255" s="41" t="s">
        <v>188</v>
      </c>
      <c r="E255" s="41" t="s">
        <v>14</v>
      </c>
      <c r="F255" s="42" t="s">
        <v>16</v>
      </c>
      <c r="G255" s="42" t="s">
        <v>17</v>
      </c>
    </row>
    <row r="256" spans="1:7" x14ac:dyDescent="0.35">
      <c r="A256" s="43" t="s">
        <v>12</v>
      </c>
      <c r="B256" s="6">
        <f>P24</f>
        <v>3875.9851679290277</v>
      </c>
      <c r="C256" s="3">
        <f t="shared" ref="C256:D256" si="73">Q24</f>
        <v>257.22629258193376</v>
      </c>
      <c r="D256" s="3">
        <f t="shared" si="73"/>
        <v>3792.8106428235851</v>
      </c>
      <c r="E256" s="3">
        <f>U24</f>
        <v>145.32560292431208</v>
      </c>
      <c r="F256" s="4">
        <f t="shared" ref="F256" si="74">W24</f>
        <v>545.33287619288387</v>
      </c>
      <c r="G256" s="4">
        <f>SUM(B256:F256)</f>
        <v>8616.6805824517432</v>
      </c>
    </row>
    <row r="257" spans="1:8" x14ac:dyDescent="0.35">
      <c r="A257" s="46" t="s">
        <v>13</v>
      </c>
      <c r="B257" s="8">
        <f t="shared" ref="B257:D257" si="75">P25</f>
        <v>2203.2535118372534</v>
      </c>
      <c r="C257" s="9">
        <f t="shared" si="75"/>
        <v>25.057628249654258</v>
      </c>
      <c r="D257" s="9">
        <f t="shared" si="75"/>
        <v>3333.8548263374014</v>
      </c>
      <c r="E257" s="9">
        <f t="shared" ref="E257" si="76">U25</f>
        <v>18.847655017626018</v>
      </c>
      <c r="F257" s="10">
        <f t="shared" ref="F257" si="77">W25</f>
        <v>194.38611785013975</v>
      </c>
      <c r="G257" s="7">
        <f>SUM(B257:F257)</f>
        <v>5775.3997392920746</v>
      </c>
    </row>
    <row r="258" spans="1:8" x14ac:dyDescent="0.35">
      <c r="A258" s="40" t="s">
        <v>17</v>
      </c>
      <c r="B258" s="11">
        <f>SUM(B256:B257)</f>
        <v>6079.2386797662812</v>
      </c>
      <c r="C258" s="12">
        <f t="shared" ref="C258:F258" si="78">SUM(C256:C257)</f>
        <v>282.28392083158803</v>
      </c>
      <c r="D258" s="12">
        <f t="shared" si="78"/>
        <v>7126.6654691609865</v>
      </c>
      <c r="E258" s="12">
        <f t="shared" si="78"/>
        <v>164.17325794193809</v>
      </c>
      <c r="F258" s="13">
        <f t="shared" si="78"/>
        <v>739.7189940430236</v>
      </c>
      <c r="G258" s="13">
        <f>SUM(B258:F258)</f>
        <v>14392.080321743819</v>
      </c>
      <c r="H258" s="49">
        <v>14392.080321743819</v>
      </c>
    </row>
    <row r="261" spans="1:8" x14ac:dyDescent="0.35">
      <c r="A261" s="24" t="s">
        <v>153</v>
      </c>
    </row>
    <row r="262" spans="1:8" x14ac:dyDescent="0.35">
      <c r="A262" t="s">
        <v>154</v>
      </c>
    </row>
    <row r="263" spans="1:8" x14ac:dyDescent="0.35">
      <c r="B263" s="40" t="s">
        <v>10</v>
      </c>
      <c r="C263" s="41" t="s">
        <v>11</v>
      </c>
      <c r="D263" s="41" t="s">
        <v>188</v>
      </c>
      <c r="E263" s="41" t="s">
        <v>14</v>
      </c>
      <c r="F263" s="41" t="s">
        <v>16</v>
      </c>
      <c r="G263" s="23" t="s">
        <v>17</v>
      </c>
    </row>
    <row r="264" spans="1:8" x14ac:dyDescent="0.35">
      <c r="A264" s="43" t="s">
        <v>12</v>
      </c>
      <c r="B264" s="52">
        <f>B256/$G256*100</f>
        <v>44.98234709805358</v>
      </c>
      <c r="C264" s="30">
        <f t="shared" ref="C264:G264" si="79">C256/$G256*100</f>
        <v>2.9852132746545887</v>
      </c>
      <c r="D264" s="30">
        <f t="shared" si="79"/>
        <v>44.017073704087565</v>
      </c>
      <c r="E264" s="30">
        <f t="shared" si="79"/>
        <v>1.6865613333778926</v>
      </c>
      <c r="F264" s="30">
        <f t="shared" si="79"/>
        <v>6.3288045898263743</v>
      </c>
      <c r="G264" s="32">
        <f t="shared" si="79"/>
        <v>100</v>
      </c>
    </row>
    <row r="265" spans="1:8" x14ac:dyDescent="0.35">
      <c r="A265" s="46" t="s">
        <v>13</v>
      </c>
      <c r="B265" s="53">
        <f t="shared" ref="B265:G266" si="80">B257/$G257*100</f>
        <v>38.148935334254794</v>
      </c>
      <c r="C265" s="36">
        <f t="shared" si="80"/>
        <v>0.43386829277250549</v>
      </c>
      <c r="D265" s="36">
        <f t="shared" si="80"/>
        <v>57.725092233114452</v>
      </c>
      <c r="E265" s="36">
        <f t="shared" si="80"/>
        <v>0.32634373148924734</v>
      </c>
      <c r="F265" s="36">
        <f t="shared" si="80"/>
        <v>3.3657604083690118</v>
      </c>
      <c r="G265" s="38">
        <f t="shared" si="80"/>
        <v>100</v>
      </c>
    </row>
    <row r="266" spans="1:8" x14ac:dyDescent="0.35">
      <c r="A266" s="40" t="s">
        <v>17</v>
      </c>
      <c r="B266" s="54">
        <f t="shared" si="80"/>
        <v>42.240166423902295</v>
      </c>
      <c r="C266" s="25">
        <f t="shared" si="80"/>
        <v>1.9613837229987405</v>
      </c>
      <c r="D266" s="25">
        <f t="shared" si="80"/>
        <v>49.517966199743128</v>
      </c>
      <c r="E266" s="25">
        <f t="shared" si="80"/>
        <v>1.1407194392453615</v>
      </c>
      <c r="F266" s="25">
        <f t="shared" si="80"/>
        <v>5.1397642141104685</v>
      </c>
      <c r="G266" s="27">
        <f t="shared" si="80"/>
        <v>100</v>
      </c>
    </row>
    <row r="267" spans="1:8" x14ac:dyDescent="0.35">
      <c r="F267" s="50">
        <v>5.1397642141104685</v>
      </c>
    </row>
    <row r="269" spans="1:8" x14ac:dyDescent="0.35">
      <c r="A269" s="29" t="s">
        <v>147</v>
      </c>
      <c r="B269" s="28" t="s">
        <v>146</v>
      </c>
    </row>
    <row r="270" spans="1:8" x14ac:dyDescent="0.35">
      <c r="A270" s="29" t="s">
        <v>148</v>
      </c>
      <c r="B270" s="28" t="s">
        <v>204</v>
      </c>
    </row>
    <row r="271" spans="1:8" x14ac:dyDescent="0.35">
      <c r="A271" s="29"/>
      <c r="B271" s="28"/>
    </row>
    <row r="272" spans="1:8" x14ac:dyDescent="0.35">
      <c r="A272" s="29" t="s">
        <v>149</v>
      </c>
      <c r="B272" s="28" t="s">
        <v>191</v>
      </c>
    </row>
    <row r="273" spans="1:12" x14ac:dyDescent="0.35">
      <c r="A273" s="29" t="s">
        <v>150</v>
      </c>
      <c r="B273" s="28" t="s">
        <v>205</v>
      </c>
    </row>
    <row r="274" spans="1:12" x14ac:dyDescent="0.35">
      <c r="A274" s="29"/>
      <c r="B274" s="28"/>
    </row>
    <row r="275" spans="1:12" x14ac:dyDescent="0.35">
      <c r="A275" s="29" t="s">
        <v>151</v>
      </c>
      <c r="B275" s="28" t="s">
        <v>174</v>
      </c>
    </row>
    <row r="276" spans="1:12" x14ac:dyDescent="0.35">
      <c r="A276" s="29" t="s">
        <v>152</v>
      </c>
      <c r="B276" s="28" t="s">
        <v>205</v>
      </c>
    </row>
    <row r="279" spans="1:12" ht="18.5" x14ac:dyDescent="0.45">
      <c r="A279" s="39" t="s">
        <v>156</v>
      </c>
    </row>
    <row r="281" spans="1:12" x14ac:dyDescent="0.35">
      <c r="A281" s="24" t="s">
        <v>157</v>
      </c>
    </row>
    <row r="282" spans="1:12" x14ac:dyDescent="0.35">
      <c r="A282" t="s">
        <v>158</v>
      </c>
    </row>
    <row r="283" spans="1:12" x14ac:dyDescent="0.35">
      <c r="A283" s="43" t="s">
        <v>159</v>
      </c>
      <c r="B283" s="44"/>
      <c r="C283" s="45"/>
      <c r="D283" s="14">
        <f>SUM(B21:H22)</f>
        <v>16253.84598790595</v>
      </c>
      <c r="L283" s="6"/>
    </row>
    <row r="284" spans="1:12" x14ac:dyDescent="0.35">
      <c r="A284" s="46" t="s">
        <v>181</v>
      </c>
      <c r="C284" s="47"/>
      <c r="D284" s="15">
        <f>U27</f>
        <v>-34.256569842259047</v>
      </c>
      <c r="L284" s="6"/>
    </row>
    <row r="285" spans="1:12" x14ac:dyDescent="0.35">
      <c r="A285" s="46" t="s">
        <v>160</v>
      </c>
      <c r="C285" s="47"/>
      <c r="D285" s="15">
        <f>W27</f>
        <v>-88.289671394354244</v>
      </c>
      <c r="E285" s="51" t="s">
        <v>194</v>
      </c>
      <c r="L285" s="6"/>
    </row>
    <row r="286" spans="1:12" x14ac:dyDescent="0.35">
      <c r="A286" s="46" t="s">
        <v>117</v>
      </c>
      <c r="C286" s="47"/>
      <c r="D286" s="15">
        <f>S27+T27</f>
        <v>2884.1236985985934</v>
      </c>
      <c r="L286" s="6"/>
    </row>
    <row r="287" spans="1:12" x14ac:dyDescent="0.35">
      <c r="A287" s="46" t="s">
        <v>62</v>
      </c>
      <c r="C287" s="47"/>
      <c r="D287" s="15">
        <f>SUM(I28:O28)</f>
        <v>3749.0182620505557</v>
      </c>
      <c r="E287" s="6"/>
      <c r="L287" s="6"/>
    </row>
    <row r="288" spans="1:12" x14ac:dyDescent="0.35">
      <c r="A288" s="46" t="s">
        <v>63</v>
      </c>
      <c r="C288" s="47"/>
      <c r="D288" s="15">
        <f>SUM(W14:W20)</f>
        <v>3263.3659055205276</v>
      </c>
      <c r="L288" s="6"/>
    </row>
    <row r="289" spans="1:6" x14ac:dyDescent="0.35">
      <c r="A289" s="48" t="s">
        <v>176</v>
      </c>
      <c r="B289" s="55"/>
      <c r="C289" s="56"/>
      <c r="D289" s="16">
        <f>SUM(S14:W20)-SUM(I28:O28)</f>
        <v>17114.373006678386</v>
      </c>
    </row>
    <row r="292" spans="1:6" x14ac:dyDescent="0.35">
      <c r="A292" s="24" t="s">
        <v>161</v>
      </c>
    </row>
    <row r="293" spans="1:6" x14ac:dyDescent="0.35">
      <c r="A293" t="s">
        <v>177</v>
      </c>
    </row>
    <row r="294" spans="1:6" x14ac:dyDescent="0.35">
      <c r="A294" s="43" t="s">
        <v>178</v>
      </c>
      <c r="B294" s="44"/>
      <c r="C294" s="44"/>
      <c r="D294" s="44"/>
      <c r="E294" s="32">
        <f>SUM(D287:D288)/$D$289*100</f>
        <v>40.973655095834964</v>
      </c>
      <c r="F294" s="51" t="s">
        <v>175</v>
      </c>
    </row>
    <row r="295" spans="1:6" x14ac:dyDescent="0.35">
      <c r="A295" s="46" t="s">
        <v>179</v>
      </c>
      <c r="E295" s="38">
        <f>D284/D$289*100</f>
        <v>-0.20016257580041885</v>
      </c>
      <c r="F295" s="51"/>
    </row>
    <row r="296" spans="1:6" x14ac:dyDescent="0.35">
      <c r="A296" s="46" t="s">
        <v>180</v>
      </c>
      <c r="E296" s="38">
        <f t="shared" ref="E296" si="81">D285/D$289*100</f>
        <v>-0.51588025667023718</v>
      </c>
      <c r="F296" s="51"/>
    </row>
    <row r="297" spans="1:6" x14ac:dyDescent="0.35">
      <c r="A297" s="48" t="s">
        <v>193</v>
      </c>
      <c r="B297" s="55"/>
      <c r="C297" s="55"/>
      <c r="D297" s="55"/>
      <c r="E297" s="35">
        <f>D286/V29*100</f>
        <v>55.272568898996376</v>
      </c>
      <c r="F297" s="51" t="s">
        <v>162</v>
      </c>
    </row>
    <row r="300" spans="1:6" x14ac:dyDescent="0.35">
      <c r="A300" s="29" t="s">
        <v>163</v>
      </c>
      <c r="B300" s="28" t="s">
        <v>206</v>
      </c>
    </row>
    <row r="301" spans="1:6" x14ac:dyDescent="0.35">
      <c r="A301" s="29" t="s">
        <v>164</v>
      </c>
      <c r="B301" s="28" t="s">
        <v>207</v>
      </c>
    </row>
    <row r="302" spans="1:6" x14ac:dyDescent="0.35">
      <c r="A302" s="29"/>
      <c r="B302" s="28"/>
    </row>
    <row r="303" spans="1:6" x14ac:dyDescent="0.35">
      <c r="A303" s="29" t="s">
        <v>165</v>
      </c>
      <c r="B303" s="28" t="s">
        <v>182</v>
      </c>
    </row>
    <row r="304" spans="1:6" x14ac:dyDescent="0.35">
      <c r="A304" s="29" t="s">
        <v>166</v>
      </c>
      <c r="B304" s="28" t="s">
        <v>208</v>
      </c>
    </row>
    <row r="305" spans="2:2" x14ac:dyDescent="0.35">
      <c r="B305" s="28" t="s">
        <v>209</v>
      </c>
    </row>
  </sheetData>
  <mergeCells count="1">
    <mergeCell ref="B35:H35"/>
  </mergeCells>
  <pageMargins left="0.7" right="0.7" top="0.75" bottom="0.75" header="0.3" footer="0.3"/>
  <pageSetup orientation="portrait" r:id="rId1"/>
  <ignoredErrors>
    <ignoredError sqref="D287:D289 C153:D16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Ex2_Question</vt:lpstr>
      <vt:lpstr>Ex2_Answer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Aragie, Emerta (IFPRI)</cp:lastModifiedBy>
  <dcterms:created xsi:type="dcterms:W3CDTF">2009-02-07T16:06:26Z</dcterms:created>
  <dcterms:modified xsi:type="dcterms:W3CDTF">2026-02-03T19:30:44Z</dcterms:modified>
</cp:coreProperties>
</file>