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ARAGIE\IFPRI Dropbox\Emerta Aragie\Rwanda MINECOFIN-GIZ project 2026\4 CGE model (Rwanda)\data\rwa_2017\"/>
    </mc:Choice>
  </mc:AlternateContent>
  <xr:revisionPtr revIDLastSave="0" documentId="13_ncr:1_{C1D19350-C87A-45AC-803B-E53F138C350E}" xr6:coauthVersionLast="47" xr6:coauthVersionMax="47" xr10:uidLastSave="{00000000-0000-0000-0000-000000000000}"/>
  <bookViews>
    <workbookView xWindow="-110" yWindow="-110" windowWidth="19420" windowHeight="11500" tabRatio="670" firstSheet="1" activeTab="1" xr2:uid="{00000000-000D-0000-FFFF-FFFF00000000}"/>
  </bookViews>
  <sheets>
    <sheet name="Notes" sheetId="3" r:id="rId1"/>
    <sheet name="Base" sheetId="4" r:id="rId2"/>
    <sheet name="Macro" sheetId="5" r:id="rId3"/>
    <sheet name="GDP" sheetId="6" r:id="rId4"/>
    <sheet name="Sector" sheetId="13" r:id="rId5"/>
    <sheet name="Trade" sheetId="12" r:id="rId6"/>
    <sheet name="Prices" sheetId="11" r:id="rId7"/>
    <sheet name="Factors" sheetId="7" r:id="rId8"/>
    <sheet name="Households" sheetId="14" r:id="rId9"/>
    <sheet name="Sets" sheetId="10" r:id="rId10"/>
    <sheet name="RA" sheetId="8" r:id="rId11"/>
    <sheet name="RF" sheetId="9" r:id="rId12"/>
    <sheet name="RH" sheetId="2" r:id="rId13"/>
    <sheet name="Index" sheetId="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9" i="8" l="1"/>
  <c r="D120" i="8"/>
  <c r="D118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C152" i="12"/>
  <c r="W149" i="12"/>
  <c r="CE128" i="11"/>
  <c r="BK146" i="11"/>
  <c r="C136" i="11"/>
  <c r="W158" i="3"/>
  <c r="V158" i="3"/>
  <c r="C157" i="7" s="1"/>
  <c r="U158" i="3"/>
  <c r="AQ157" i="11" s="1"/>
  <c r="T158" i="3"/>
  <c r="W157" i="3"/>
  <c r="C155" i="2" s="1"/>
  <c r="V157" i="3"/>
  <c r="W156" i="7" s="1"/>
  <c r="U157" i="3"/>
  <c r="BK156" i="11" s="1"/>
  <c r="T157" i="3"/>
  <c r="W156" i="13" s="1"/>
  <c r="W156" i="3"/>
  <c r="V156" i="3"/>
  <c r="C154" i="9" s="1"/>
  <c r="U156" i="3"/>
  <c r="W155" i="12" s="1"/>
  <c r="T156" i="3"/>
  <c r="C154" i="8" s="1"/>
  <c r="W155" i="3"/>
  <c r="C153" i="2" s="1"/>
  <c r="V155" i="3"/>
  <c r="W154" i="7" s="1"/>
  <c r="U155" i="3"/>
  <c r="CE154" i="11" s="1"/>
  <c r="T155" i="3"/>
  <c r="C153" i="8" s="1"/>
  <c r="W154" i="3"/>
  <c r="W153" i="14" s="1"/>
  <c r="V154" i="3"/>
  <c r="W153" i="7" s="1"/>
  <c r="U154" i="3"/>
  <c r="CE153" i="11" s="1"/>
  <c r="T154" i="3"/>
  <c r="C152" i="8" s="1"/>
  <c r="W153" i="3"/>
  <c r="W152" i="14" s="1"/>
  <c r="V153" i="3"/>
  <c r="W152" i="7" s="1"/>
  <c r="U153" i="3"/>
  <c r="CY152" i="11" s="1"/>
  <c r="T153" i="3"/>
  <c r="W152" i="13" s="1"/>
  <c r="W152" i="3"/>
  <c r="W151" i="14" s="1"/>
  <c r="V152" i="3"/>
  <c r="W151" i="7" s="1"/>
  <c r="U152" i="3"/>
  <c r="C153" i="4" s="1"/>
  <c r="T152" i="3"/>
  <c r="C150" i="8" s="1"/>
  <c r="W151" i="3"/>
  <c r="W150" i="14" s="1"/>
  <c r="V151" i="3"/>
  <c r="AQ150" i="7" s="1"/>
  <c r="U151" i="3"/>
  <c r="AQ150" i="14" s="1"/>
  <c r="T151" i="3"/>
  <c r="C150" i="13" s="1"/>
  <c r="W150" i="3"/>
  <c r="V150" i="3"/>
  <c r="W149" i="7" s="1"/>
  <c r="U150" i="3"/>
  <c r="AQ149" i="11" s="1"/>
  <c r="T150" i="3"/>
  <c r="C148" i="8" s="1"/>
  <c r="W149" i="3"/>
  <c r="V149" i="3"/>
  <c r="W148" i="7" s="1"/>
  <c r="U149" i="3"/>
  <c r="BK148" i="11" s="1"/>
  <c r="T149" i="3"/>
  <c r="C147" i="8" s="1"/>
  <c r="W148" i="3"/>
  <c r="V148" i="3"/>
  <c r="C146" i="9" s="1"/>
  <c r="U148" i="3"/>
  <c r="X149" i="4" s="1"/>
  <c r="T148" i="3"/>
  <c r="C146" i="8" s="1"/>
  <c r="W147" i="3"/>
  <c r="BK146" i="14" s="1"/>
  <c r="V147" i="3"/>
  <c r="C145" i="9" s="1"/>
  <c r="U147" i="3"/>
  <c r="X148" i="4" s="1"/>
  <c r="T147" i="3"/>
  <c r="W146" i="13" s="1"/>
  <c r="W146" i="3"/>
  <c r="C144" i="2" s="1"/>
  <c r="V146" i="3"/>
  <c r="AQ145" i="7" s="1"/>
  <c r="U146" i="3"/>
  <c r="X147" i="4" s="1"/>
  <c r="T146" i="3"/>
  <c r="C145" i="13" s="1"/>
  <c r="W145" i="3"/>
  <c r="C143" i="2" s="1"/>
  <c r="V145" i="3"/>
  <c r="C144" i="7" s="1"/>
  <c r="U145" i="3"/>
  <c r="CY144" i="11" s="1"/>
  <c r="T145" i="3"/>
  <c r="C144" i="13" s="1"/>
  <c r="W144" i="3"/>
  <c r="C142" i="2" s="1"/>
  <c r="V144" i="3"/>
  <c r="C143" i="7" s="1"/>
  <c r="U144" i="3"/>
  <c r="C143" i="12" s="1"/>
  <c r="T144" i="3"/>
  <c r="C143" i="13" s="1"/>
  <c r="W143" i="3"/>
  <c r="C141" i="2" s="1"/>
  <c r="V143" i="3"/>
  <c r="C142" i="7" s="1"/>
  <c r="U143" i="3"/>
  <c r="AQ142" i="11" s="1"/>
  <c r="T143" i="3"/>
  <c r="C142" i="13" s="1"/>
  <c r="W142" i="3"/>
  <c r="W141" i="14" s="1"/>
  <c r="V142" i="3"/>
  <c r="AQ141" i="7" s="1"/>
  <c r="U142" i="3"/>
  <c r="AQ141" i="11" s="1"/>
  <c r="T142" i="3"/>
  <c r="C140" i="8" s="1"/>
  <c r="W141" i="3"/>
  <c r="W140" i="14" s="1"/>
  <c r="V141" i="3"/>
  <c r="U141" i="3"/>
  <c r="BK140" i="11" s="1"/>
  <c r="T141" i="3"/>
  <c r="C139" i="8" s="1"/>
  <c r="W140" i="3"/>
  <c r="W139" i="14" s="1"/>
  <c r="V140" i="3"/>
  <c r="W139" i="7" s="1"/>
  <c r="U140" i="3"/>
  <c r="W139" i="12" s="1"/>
  <c r="T140" i="3"/>
  <c r="C138" i="8" s="1"/>
  <c r="W139" i="3"/>
  <c r="C137" i="2" s="1"/>
  <c r="V139" i="3"/>
  <c r="C138" i="7" s="1"/>
  <c r="U139" i="3"/>
  <c r="CE138" i="11" s="1"/>
  <c r="T139" i="3"/>
  <c r="C138" i="13" s="1"/>
  <c r="W138" i="3"/>
  <c r="C136" i="2" s="1"/>
  <c r="V138" i="3"/>
  <c r="AQ137" i="7" s="1"/>
  <c r="U138" i="3"/>
  <c r="CE137" i="11" s="1"/>
  <c r="T138" i="3"/>
  <c r="C137" i="13" s="1"/>
  <c r="W137" i="3"/>
  <c r="C135" i="2" s="1"/>
  <c r="V137" i="3"/>
  <c r="C136" i="7" s="1"/>
  <c r="U137" i="3"/>
  <c r="CY136" i="11" s="1"/>
  <c r="T137" i="3"/>
  <c r="C136" i="13" s="1"/>
  <c r="W136" i="3"/>
  <c r="V136" i="3"/>
  <c r="C134" i="9" s="1"/>
  <c r="U136" i="3"/>
  <c r="C137" i="4" s="1"/>
  <c r="T136" i="3"/>
  <c r="C135" i="13" s="1"/>
  <c r="W135" i="3"/>
  <c r="W134" i="14" s="1"/>
  <c r="V135" i="3"/>
  <c r="C133" i="9" s="1"/>
  <c r="U135" i="3"/>
  <c r="C136" i="4" s="1"/>
  <c r="T135" i="3"/>
  <c r="C134" i="13" s="1"/>
  <c r="W134" i="3"/>
  <c r="C132" i="2" s="1"/>
  <c r="V134" i="3"/>
  <c r="AQ133" i="7" s="1"/>
  <c r="U134" i="3"/>
  <c r="AQ133" i="11" s="1"/>
  <c r="T134" i="3"/>
  <c r="W133" i="13" s="1"/>
  <c r="W133" i="3"/>
  <c r="C131" i="2" s="1"/>
  <c r="V133" i="3"/>
  <c r="C131" i="9" s="1"/>
  <c r="U133" i="3"/>
  <c r="BK132" i="11" s="1"/>
  <c r="T133" i="3"/>
  <c r="C132" i="13" s="1"/>
  <c r="W132" i="3"/>
  <c r="C130" i="2" s="1"/>
  <c r="V132" i="3"/>
  <c r="W131" i="7" s="1"/>
  <c r="U132" i="3"/>
  <c r="W131" i="12" s="1"/>
  <c r="T132" i="3"/>
  <c r="C131" i="13" s="1"/>
  <c r="W131" i="3"/>
  <c r="C129" i="2" s="1"/>
  <c r="V131" i="3"/>
  <c r="C129" i="9" s="1"/>
  <c r="U131" i="3"/>
  <c r="C132" i="4" s="1"/>
  <c r="T131" i="3"/>
  <c r="C129" i="8" s="1"/>
  <c r="W130" i="3"/>
  <c r="V130" i="3"/>
  <c r="C128" i="9" s="1"/>
  <c r="U130" i="3"/>
  <c r="C129" i="12" s="1"/>
  <c r="T130" i="3"/>
  <c r="W129" i="13" s="1"/>
  <c r="W129" i="3"/>
  <c r="V129" i="3"/>
  <c r="C127" i="9" s="1"/>
  <c r="U129" i="3"/>
  <c r="CY128" i="11" s="1"/>
  <c r="T129" i="3"/>
  <c r="W128" i="13" s="1"/>
  <c r="W128" i="3"/>
  <c r="W127" i="14" s="1"/>
  <c r="V128" i="3"/>
  <c r="C126" i="9" s="1"/>
  <c r="U128" i="3"/>
  <c r="C127" i="12" s="1"/>
  <c r="T128" i="3"/>
  <c r="W127" i="13" s="1"/>
  <c r="W127" i="3"/>
  <c r="W126" i="14" s="1"/>
  <c r="V127" i="3"/>
  <c r="C125" i="9" s="1"/>
  <c r="U127" i="3"/>
  <c r="AQ126" i="11" s="1"/>
  <c r="T127" i="3"/>
  <c r="W126" i="13" s="1"/>
  <c r="W126" i="3"/>
  <c r="V126" i="3"/>
  <c r="C124" i="9" s="1"/>
  <c r="U126" i="3"/>
  <c r="AQ125" i="11" s="1"/>
  <c r="T126" i="3"/>
  <c r="W125" i="13" s="1"/>
  <c r="W125" i="3"/>
  <c r="V125" i="3"/>
  <c r="C124" i="7" s="1"/>
  <c r="U125" i="3"/>
  <c r="BK124" i="11" s="1"/>
  <c r="T125" i="3"/>
  <c r="W124" i="13" s="1"/>
  <c r="W124" i="3"/>
  <c r="V124" i="3"/>
  <c r="C123" i="7" s="1"/>
  <c r="U124" i="3"/>
  <c r="BK123" i="11" s="1"/>
  <c r="T124" i="3"/>
  <c r="W123" i="3"/>
  <c r="C121" i="2" s="1"/>
  <c r="V123" i="3"/>
  <c r="W122" i="7" s="1"/>
  <c r="U123" i="3"/>
  <c r="C122" i="11" s="1"/>
  <c r="T123" i="3"/>
  <c r="W122" i="3"/>
  <c r="C120" i="2" s="1"/>
  <c r="V122" i="3"/>
  <c r="C120" i="9" s="1"/>
  <c r="U122" i="3"/>
  <c r="CE121" i="11" s="1"/>
  <c r="T122" i="3"/>
  <c r="C120" i="8" s="1"/>
  <c r="W121" i="3"/>
  <c r="BK120" i="14" s="1"/>
  <c r="V121" i="3"/>
  <c r="W120" i="7" s="1"/>
  <c r="U121" i="3"/>
  <c r="AQ120" i="11" s="1"/>
  <c r="T121" i="3"/>
  <c r="C119" i="8" s="1"/>
  <c r="W120" i="3"/>
  <c r="W119" i="14" s="1"/>
  <c r="V120" i="3"/>
  <c r="W119" i="7" s="1"/>
  <c r="U120" i="3"/>
  <c r="C121" i="4" s="1"/>
  <c r="T120" i="3"/>
  <c r="C118" i="8" s="1"/>
  <c r="W119" i="3"/>
  <c r="W118" i="14" s="1"/>
  <c r="V119" i="3"/>
  <c r="AQ118" i="7" s="1"/>
  <c r="U119" i="3"/>
  <c r="AQ118" i="14" s="1"/>
  <c r="T119" i="3"/>
  <c r="C118" i="13" s="1"/>
  <c r="W118" i="3"/>
  <c r="W117" i="14" s="1"/>
  <c r="V118" i="3"/>
  <c r="C116" i="9" s="1"/>
  <c r="U118" i="3"/>
  <c r="X119" i="4" s="1"/>
  <c r="T118" i="3"/>
  <c r="W117" i="13" s="1"/>
  <c r="W117" i="3"/>
  <c r="W116" i="14" s="1"/>
  <c r="V117" i="3"/>
  <c r="C115" i="9" s="1"/>
  <c r="U117" i="3"/>
  <c r="BK116" i="11" s="1"/>
  <c r="T117" i="3"/>
  <c r="C115" i="8" s="1"/>
  <c r="W116" i="3"/>
  <c r="C114" i="2" s="1"/>
  <c r="V116" i="3"/>
  <c r="C114" i="9" s="1"/>
  <c r="U116" i="3"/>
  <c r="X117" i="4" s="1"/>
  <c r="T116" i="3"/>
  <c r="C114" i="8" s="1"/>
  <c r="W115" i="3"/>
  <c r="C113" i="2" s="1"/>
  <c r="V115" i="3"/>
  <c r="AQ114" i="7" s="1"/>
  <c r="U115" i="3"/>
  <c r="X116" i="4" s="1"/>
  <c r="T115" i="3"/>
  <c r="C113" i="8" s="1"/>
  <c r="W114" i="3"/>
  <c r="W113" i="14" s="1"/>
  <c r="V114" i="3"/>
  <c r="AQ113" i="7" s="1"/>
  <c r="U114" i="3"/>
  <c r="X115" i="4" s="1"/>
  <c r="T114" i="3"/>
  <c r="C113" i="13" s="1"/>
  <c r="W113" i="3"/>
  <c r="C111" i="2" s="1"/>
  <c r="V113" i="3"/>
  <c r="C112" i="7" s="1"/>
  <c r="U113" i="3"/>
  <c r="AQ112" i="11" s="1"/>
  <c r="T113" i="3"/>
  <c r="C112" i="13" s="1"/>
  <c r="W112" i="3"/>
  <c r="C110" i="2" s="1"/>
  <c r="V112" i="3"/>
  <c r="C111" i="7" s="1"/>
  <c r="U112" i="3"/>
  <c r="AQ111" i="11" s="1"/>
  <c r="T112" i="3"/>
  <c r="C111" i="13" s="1"/>
  <c r="W111" i="3"/>
  <c r="C109" i="2" s="1"/>
  <c r="V111" i="3"/>
  <c r="C110" i="7" s="1"/>
  <c r="U111" i="3"/>
  <c r="CY110" i="11" s="1"/>
  <c r="T111" i="3"/>
  <c r="C110" i="13" s="1"/>
  <c r="W110" i="3"/>
  <c r="C108" i="2" s="1"/>
  <c r="V110" i="3"/>
  <c r="W109" i="7" s="1"/>
  <c r="U110" i="3"/>
  <c r="C111" i="4" s="1"/>
  <c r="T110" i="3"/>
  <c r="W109" i="13" s="1"/>
  <c r="W109" i="3"/>
  <c r="C107" i="2" s="1"/>
  <c r="V109" i="3"/>
  <c r="W108" i="7" s="1"/>
  <c r="U109" i="3"/>
  <c r="CE108" i="11" s="1"/>
  <c r="T109" i="3"/>
  <c r="W108" i="13" s="1"/>
  <c r="W108" i="3"/>
  <c r="BK107" i="14" s="1"/>
  <c r="V108" i="3"/>
  <c r="W107" i="7" s="1"/>
  <c r="U108" i="3"/>
  <c r="CY107" i="11" s="1"/>
  <c r="T108" i="3"/>
  <c r="C106" i="8" s="1"/>
  <c r="W107" i="3"/>
  <c r="C105" i="2" s="1"/>
  <c r="V107" i="3"/>
  <c r="C106" i="7" s="1"/>
  <c r="U107" i="3"/>
  <c r="W106" i="11" s="1"/>
  <c r="T107" i="3"/>
  <c r="W106" i="13" s="1"/>
  <c r="W106" i="3"/>
  <c r="C104" i="2" s="1"/>
  <c r="V106" i="3"/>
  <c r="C104" i="9" s="1"/>
  <c r="U106" i="3"/>
  <c r="CY105" i="11" s="1"/>
  <c r="T106" i="3"/>
  <c r="W105" i="13" s="1"/>
  <c r="W105" i="3"/>
  <c r="V105" i="3"/>
  <c r="C104" i="7" s="1"/>
  <c r="U105" i="3"/>
  <c r="BK104" i="11" s="1"/>
  <c r="T105" i="3"/>
  <c r="C104" i="13" s="1"/>
  <c r="W104" i="3"/>
  <c r="C102" i="2" s="1"/>
  <c r="V104" i="3"/>
  <c r="C102" i="9" s="1"/>
  <c r="U104" i="3"/>
  <c r="C105" i="4" s="1"/>
  <c r="T104" i="3"/>
  <c r="C103" i="13" s="1"/>
  <c r="W103" i="3"/>
  <c r="W102" i="14" s="1"/>
  <c r="V103" i="3"/>
  <c r="C101" i="9" s="1"/>
  <c r="U103" i="3"/>
  <c r="CY102" i="11" s="1"/>
  <c r="T103" i="3"/>
  <c r="C102" i="13" s="1"/>
  <c r="W102" i="3"/>
  <c r="W101" i="14" s="1"/>
  <c r="V102" i="3"/>
  <c r="C101" i="7" s="1"/>
  <c r="U102" i="3"/>
  <c r="CE101" i="11" s="1"/>
  <c r="T102" i="3"/>
  <c r="C101" i="13" s="1"/>
  <c r="W101" i="3"/>
  <c r="V101" i="3"/>
  <c r="C99" i="9" s="1"/>
  <c r="U101" i="3"/>
  <c r="BK100" i="11" s="1"/>
  <c r="T101" i="3"/>
  <c r="C99" i="8" s="1"/>
  <c r="W100" i="3"/>
  <c r="V100" i="3"/>
  <c r="C99" i="7" s="1"/>
  <c r="U100" i="3"/>
  <c r="AQ99" i="11" s="1"/>
  <c r="T100" i="3"/>
  <c r="C99" i="13" s="1"/>
  <c r="W99" i="3"/>
  <c r="C97" i="2" s="1"/>
  <c r="V99" i="3"/>
  <c r="C97" i="9" s="1"/>
  <c r="U99" i="3"/>
  <c r="C100" i="4" s="1"/>
  <c r="T99" i="3"/>
  <c r="C97" i="8" s="1"/>
  <c r="W98" i="3"/>
  <c r="BK97" i="14" s="1"/>
  <c r="V98" i="3"/>
  <c r="C96" i="9" s="1"/>
  <c r="U98" i="3"/>
  <c r="CE97" i="11" s="1"/>
  <c r="T98" i="3"/>
  <c r="W97" i="3"/>
  <c r="BK96" i="14" s="1"/>
  <c r="V97" i="3"/>
  <c r="C95" i="9" s="1"/>
  <c r="U97" i="3"/>
  <c r="AQ96" i="14" s="1"/>
  <c r="T97" i="3"/>
  <c r="W96" i="13" s="1"/>
  <c r="W96" i="3"/>
  <c r="V96" i="3"/>
  <c r="C94" i="9" s="1"/>
  <c r="U96" i="3"/>
  <c r="W95" i="11" s="1"/>
  <c r="T96" i="3"/>
  <c r="W95" i="13" s="1"/>
  <c r="W95" i="3"/>
  <c r="W94" i="14" s="1"/>
  <c r="V95" i="3"/>
  <c r="C93" i="9" s="1"/>
  <c r="U95" i="3"/>
  <c r="CY94" i="11" s="1"/>
  <c r="T95" i="3"/>
  <c r="W94" i="13" s="1"/>
  <c r="W94" i="3"/>
  <c r="BK93" i="14" s="1"/>
  <c r="V94" i="3"/>
  <c r="C93" i="7" s="1"/>
  <c r="U94" i="3"/>
  <c r="X95" i="4" s="1"/>
  <c r="T94" i="3"/>
  <c r="C93" i="13" s="1"/>
  <c r="W93" i="3"/>
  <c r="BK92" i="14" s="1"/>
  <c r="V93" i="3"/>
  <c r="AQ92" i="7" s="1"/>
  <c r="U93" i="3"/>
  <c r="BK92" i="11" s="1"/>
  <c r="T93" i="3"/>
  <c r="W92" i="3"/>
  <c r="BK91" i="14" s="1"/>
  <c r="V92" i="3"/>
  <c r="AQ91" i="7" s="1"/>
  <c r="U92" i="3"/>
  <c r="BK91" i="11" s="1"/>
  <c r="T92" i="3"/>
  <c r="C90" i="8" s="1"/>
  <c r="W91" i="3"/>
  <c r="C89" i="2" s="1"/>
  <c r="V91" i="3"/>
  <c r="W90" i="7" s="1"/>
  <c r="U91" i="3"/>
  <c r="CE90" i="11" s="1"/>
  <c r="T91" i="3"/>
  <c r="C89" i="8" s="1"/>
  <c r="W90" i="3"/>
  <c r="V90" i="3"/>
  <c r="AQ89" i="7" s="1"/>
  <c r="U90" i="3"/>
  <c r="CE89" i="11" s="1"/>
  <c r="T90" i="3"/>
  <c r="C88" i="8" s="1"/>
  <c r="W89" i="3"/>
  <c r="BK88" i="14" s="1"/>
  <c r="V89" i="3"/>
  <c r="W88" i="7" s="1"/>
  <c r="U89" i="3"/>
  <c r="CE88" i="11" s="1"/>
  <c r="T89" i="3"/>
  <c r="C87" i="8" s="1"/>
  <c r="W88" i="3"/>
  <c r="BK87" i="14" s="1"/>
  <c r="V88" i="3"/>
  <c r="W87" i="7" s="1"/>
  <c r="U88" i="3"/>
  <c r="AQ87" i="11" s="1"/>
  <c r="T88" i="3"/>
  <c r="C86" i="8" s="1"/>
  <c r="W87" i="3"/>
  <c r="W86" i="14" s="1"/>
  <c r="V87" i="3"/>
  <c r="AQ86" i="7" s="1"/>
  <c r="U87" i="3"/>
  <c r="AQ86" i="11" s="1"/>
  <c r="T87" i="3"/>
  <c r="C86" i="13" s="1"/>
  <c r="W86" i="3"/>
  <c r="C84" i="2" s="1"/>
  <c r="V86" i="3"/>
  <c r="C84" i="9" s="1"/>
  <c r="U86" i="3"/>
  <c r="CE85" i="11" s="1"/>
  <c r="T86" i="3"/>
  <c r="C85" i="13" s="1"/>
  <c r="W85" i="3"/>
  <c r="C83" i="2" s="1"/>
  <c r="V85" i="3"/>
  <c r="C83" i="9" s="1"/>
  <c r="U85" i="3"/>
  <c r="BK84" i="11" s="1"/>
  <c r="T85" i="3"/>
  <c r="C83" i="8" s="1"/>
  <c r="W84" i="3"/>
  <c r="C82" i="2" s="1"/>
  <c r="V84" i="3"/>
  <c r="C82" i="9" s="1"/>
  <c r="U84" i="3"/>
  <c r="X85" i="4" s="1"/>
  <c r="T84" i="3"/>
  <c r="C82" i="8" s="1"/>
  <c r="W83" i="3"/>
  <c r="W82" i="14" s="1"/>
  <c r="V83" i="3"/>
  <c r="C81" i="9" s="1"/>
  <c r="U83" i="3"/>
  <c r="C82" i="11" s="1"/>
  <c r="T83" i="3"/>
  <c r="C81" i="8" s="1"/>
  <c r="W82" i="3"/>
  <c r="BK81" i="14" s="1"/>
  <c r="V82" i="3"/>
  <c r="C80" i="9" s="1"/>
  <c r="U82" i="3"/>
  <c r="C81" i="11" s="1"/>
  <c r="T82" i="3"/>
  <c r="C81" i="13" s="1"/>
  <c r="W81" i="3"/>
  <c r="C79" i="2" s="1"/>
  <c r="V81" i="3"/>
  <c r="C80" i="7" s="1"/>
  <c r="U81" i="3"/>
  <c r="AQ80" i="11" s="1"/>
  <c r="T81" i="3"/>
  <c r="C80" i="13" s="1"/>
  <c r="W80" i="3"/>
  <c r="C78" i="2" s="1"/>
  <c r="V80" i="3"/>
  <c r="C79" i="7" s="1"/>
  <c r="U80" i="3"/>
  <c r="AQ79" i="11" s="1"/>
  <c r="T80" i="3"/>
  <c r="C79" i="13" s="1"/>
  <c r="W79" i="3"/>
  <c r="C77" i="2" s="1"/>
  <c r="V79" i="3"/>
  <c r="C78" i="7" s="1"/>
  <c r="U79" i="3"/>
  <c r="AQ78" i="11" s="1"/>
  <c r="T79" i="3"/>
  <c r="C78" i="13" s="1"/>
  <c r="W78" i="3"/>
  <c r="C76" i="2" s="1"/>
  <c r="V78" i="3"/>
  <c r="C77" i="7" s="1"/>
  <c r="U78" i="3"/>
  <c r="C77" i="11" s="1"/>
  <c r="T78" i="3"/>
  <c r="W77" i="13" s="1"/>
  <c r="W77" i="3"/>
  <c r="C75" i="2" s="1"/>
  <c r="V77" i="3"/>
  <c r="C75" i="9" s="1"/>
  <c r="U77" i="3"/>
  <c r="C76" i="11" s="1"/>
  <c r="T77" i="3"/>
  <c r="C75" i="8" s="1"/>
  <c r="W76" i="3"/>
  <c r="BK75" i="14" s="1"/>
  <c r="V76" i="3"/>
  <c r="C75" i="7" s="1"/>
  <c r="U76" i="3"/>
  <c r="AQ75" i="11" s="1"/>
  <c r="T76" i="3"/>
  <c r="C74" i="8" s="1"/>
  <c r="W75" i="3"/>
  <c r="C73" i="2" s="1"/>
  <c r="V75" i="3"/>
  <c r="C74" i="7" s="1"/>
  <c r="U75" i="3"/>
  <c r="CY74" i="11" s="1"/>
  <c r="T75" i="3"/>
  <c r="W74" i="13" s="1"/>
  <c r="W74" i="3"/>
  <c r="C72" i="2" s="1"/>
  <c r="V74" i="3"/>
  <c r="C73" i="7" s="1"/>
  <c r="U74" i="3"/>
  <c r="W73" i="11" s="1"/>
  <c r="T74" i="3"/>
  <c r="C73" i="13" s="1"/>
  <c r="W73" i="3"/>
  <c r="BK72" i="14" s="1"/>
  <c r="V73" i="3"/>
  <c r="C72" i="7" s="1"/>
  <c r="U73" i="3"/>
  <c r="BK72" i="11" s="1"/>
  <c r="T73" i="3"/>
  <c r="C72" i="13" s="1"/>
  <c r="W72" i="3"/>
  <c r="BK71" i="14" s="1"/>
  <c r="V72" i="3"/>
  <c r="C70" i="9" s="1"/>
  <c r="U72" i="3"/>
  <c r="AQ71" i="11" s="1"/>
  <c r="T72" i="3"/>
  <c r="C71" i="13" s="1"/>
  <c r="W71" i="3"/>
  <c r="W70" i="14" s="1"/>
  <c r="V71" i="3"/>
  <c r="C69" i="9" s="1"/>
  <c r="U71" i="3"/>
  <c r="C72" i="4" s="1"/>
  <c r="T71" i="3"/>
  <c r="C70" i="13" s="1"/>
  <c r="W70" i="3"/>
  <c r="W69" i="14" s="1"/>
  <c r="V70" i="3"/>
  <c r="C69" i="7" s="1"/>
  <c r="U70" i="3"/>
  <c r="CE69" i="11" s="1"/>
  <c r="T70" i="3"/>
  <c r="C69" i="13" s="1"/>
  <c r="W69" i="3"/>
  <c r="BK68" i="14" s="1"/>
  <c r="V69" i="3"/>
  <c r="C67" i="9" s="1"/>
  <c r="U69" i="3"/>
  <c r="CE68" i="11" s="1"/>
  <c r="T69" i="3"/>
  <c r="C67" i="8" s="1"/>
  <c r="W68" i="3"/>
  <c r="BK67" i="14" s="1"/>
  <c r="V68" i="3"/>
  <c r="C66" i="9" s="1"/>
  <c r="U68" i="3"/>
  <c r="W67" i="11" s="1"/>
  <c r="T68" i="3"/>
  <c r="W67" i="13" s="1"/>
  <c r="W67" i="3"/>
  <c r="C65" i="2" s="1"/>
  <c r="V67" i="3"/>
  <c r="C65" i="9" s="1"/>
  <c r="U67" i="3"/>
  <c r="AQ66" i="11" s="1"/>
  <c r="T67" i="3"/>
  <c r="W66" i="13" s="1"/>
  <c r="W66" i="3"/>
  <c r="V66" i="3"/>
  <c r="C64" i="9" s="1"/>
  <c r="U66" i="3"/>
  <c r="CY65" i="11" s="1"/>
  <c r="T66" i="3"/>
  <c r="W65" i="13" s="1"/>
  <c r="W65" i="3"/>
  <c r="V65" i="3"/>
  <c r="C63" i="9" s="1"/>
  <c r="U65" i="3"/>
  <c r="BK64" i="11" s="1"/>
  <c r="T65" i="3"/>
  <c r="W64" i="13" s="1"/>
  <c r="W64" i="3"/>
  <c r="C62" i="2" s="1"/>
  <c r="V64" i="3"/>
  <c r="C62" i="9" s="1"/>
  <c r="U64" i="3"/>
  <c r="BK63" i="11" s="1"/>
  <c r="T64" i="3"/>
  <c r="W63" i="13" s="1"/>
  <c r="W63" i="3"/>
  <c r="W62" i="14" s="1"/>
  <c r="V63" i="3"/>
  <c r="C61" i="9" s="1"/>
  <c r="U63" i="3"/>
  <c r="CY62" i="11" s="1"/>
  <c r="T63" i="3"/>
  <c r="W62" i="13" s="1"/>
  <c r="W62" i="3"/>
  <c r="BK61" i="14" s="1"/>
  <c r="V62" i="3"/>
  <c r="AQ61" i="7" s="1"/>
  <c r="U62" i="3"/>
  <c r="AQ61" i="11" s="1"/>
  <c r="T62" i="3"/>
  <c r="C61" i="13" s="1"/>
  <c r="W61" i="3"/>
  <c r="V61" i="3"/>
  <c r="C59" i="9" s="1"/>
  <c r="U61" i="3"/>
  <c r="AQ60" i="11" s="1"/>
  <c r="T61" i="3"/>
  <c r="C60" i="13" s="1"/>
  <c r="W60" i="3"/>
  <c r="C58" i="2" s="1"/>
  <c r="V60" i="3"/>
  <c r="W59" i="7" s="1"/>
  <c r="U60" i="3"/>
  <c r="BK59" i="11" s="1"/>
  <c r="T60" i="3"/>
  <c r="C58" i="8" s="1"/>
  <c r="W59" i="3"/>
  <c r="C57" i="2" s="1"/>
  <c r="V59" i="3"/>
  <c r="W58" i="7" s="1"/>
  <c r="U59" i="3"/>
  <c r="CE58" i="11" s="1"/>
  <c r="T59" i="3"/>
  <c r="C57" i="8" s="1"/>
  <c r="W58" i="3"/>
  <c r="C56" i="2" s="1"/>
  <c r="V58" i="3"/>
  <c r="C56" i="9" s="1"/>
  <c r="U58" i="3"/>
  <c r="BK57" i="11" s="1"/>
  <c r="T58" i="3"/>
  <c r="C56" i="8" s="1"/>
  <c r="W57" i="3"/>
  <c r="C55" i="2" s="1"/>
  <c r="V57" i="3"/>
  <c r="W56" i="7" s="1"/>
  <c r="U57" i="3"/>
  <c r="BK56" i="11" s="1"/>
  <c r="T57" i="3"/>
  <c r="W56" i="13" s="1"/>
  <c r="W56" i="3"/>
  <c r="C54" i="2" s="1"/>
  <c r="V56" i="3"/>
  <c r="W55" i="7" s="1"/>
  <c r="U56" i="3"/>
  <c r="C57" i="4" s="1"/>
  <c r="T56" i="3"/>
  <c r="C54" i="8" s="1"/>
  <c r="W55" i="3"/>
  <c r="W54" i="14" s="1"/>
  <c r="V55" i="3"/>
  <c r="AQ54" i="7" s="1"/>
  <c r="U55" i="3"/>
  <c r="AQ54" i="14" s="1"/>
  <c r="T55" i="3"/>
  <c r="C54" i="13" s="1"/>
  <c r="W54" i="3"/>
  <c r="C52" i="2" s="1"/>
  <c r="V54" i="3"/>
  <c r="AQ53" i="7" s="1"/>
  <c r="U54" i="3"/>
  <c r="AQ53" i="11" s="1"/>
  <c r="T54" i="3"/>
  <c r="C52" i="8" s="1"/>
  <c r="W53" i="3"/>
  <c r="BK52" i="14" s="1"/>
  <c r="V53" i="3"/>
  <c r="C52" i="7" s="1"/>
  <c r="U53" i="3"/>
  <c r="W52" i="12" s="1"/>
  <c r="T53" i="3"/>
  <c r="C52" i="13" s="1"/>
  <c r="W52" i="3"/>
  <c r="BK51" i="14" s="1"/>
  <c r="V52" i="3"/>
  <c r="C50" i="9" s="1"/>
  <c r="U52" i="3"/>
  <c r="X53" i="4" s="1"/>
  <c r="T52" i="3"/>
  <c r="C50" i="8" s="1"/>
  <c r="W51" i="3"/>
  <c r="C49" i="2" s="1"/>
  <c r="V51" i="3"/>
  <c r="C49" i="9" s="1"/>
  <c r="U51" i="3"/>
  <c r="X52" i="4" s="1"/>
  <c r="T51" i="3"/>
  <c r="C50" i="13" s="1"/>
  <c r="W50" i="3"/>
  <c r="BK49" i="14" s="1"/>
  <c r="V50" i="3"/>
  <c r="C48" i="9" s="1"/>
  <c r="U50" i="3"/>
  <c r="X51" i="4" s="1"/>
  <c r="T50" i="3"/>
  <c r="C49" i="13" s="1"/>
  <c r="W49" i="3"/>
  <c r="C47" i="2" s="1"/>
  <c r="V49" i="3"/>
  <c r="C48" i="7" s="1"/>
  <c r="U49" i="3"/>
  <c r="AQ48" i="11" s="1"/>
  <c r="T49" i="3"/>
  <c r="C48" i="13" s="1"/>
  <c r="W48" i="3"/>
  <c r="C46" i="2" s="1"/>
  <c r="V48" i="3"/>
  <c r="C47" i="7" s="1"/>
  <c r="U48" i="3"/>
  <c r="AQ47" i="11" s="1"/>
  <c r="T48" i="3"/>
  <c r="C47" i="13" s="1"/>
  <c r="W47" i="3"/>
  <c r="C45" i="2" s="1"/>
  <c r="V47" i="3"/>
  <c r="C46" i="7" s="1"/>
  <c r="U47" i="3"/>
  <c r="CE46" i="11" s="1"/>
  <c r="T47" i="3"/>
  <c r="C46" i="13" s="1"/>
  <c r="W46" i="3"/>
  <c r="C44" i="2" s="1"/>
  <c r="V46" i="3"/>
  <c r="C44" i="9" s="1"/>
  <c r="U46" i="3"/>
  <c r="X47" i="4" s="1"/>
  <c r="T46" i="3"/>
  <c r="C44" i="8" s="1"/>
  <c r="W45" i="3"/>
  <c r="C43" i="2" s="1"/>
  <c r="V45" i="3"/>
  <c r="C43" i="9" s="1"/>
  <c r="U45" i="3"/>
  <c r="X46" i="4" s="1"/>
  <c r="T45" i="3"/>
  <c r="C43" i="8" s="1"/>
  <c r="W44" i="3"/>
  <c r="BK43" i="14" s="1"/>
  <c r="V44" i="3"/>
  <c r="C43" i="7" s="1"/>
  <c r="U44" i="3"/>
  <c r="CE43" i="11" s="1"/>
  <c r="T44" i="3"/>
  <c r="C42" i="8" s="1"/>
  <c r="W43" i="3"/>
  <c r="C41" i="2" s="1"/>
  <c r="V43" i="3"/>
  <c r="C42" i="7" s="1"/>
  <c r="U43" i="3"/>
  <c r="AQ42" i="14" s="1"/>
  <c r="T43" i="3"/>
  <c r="C41" i="8" s="1"/>
  <c r="W42" i="3"/>
  <c r="C40" i="2" s="1"/>
  <c r="V42" i="3"/>
  <c r="C40" i="9" s="1"/>
  <c r="U42" i="3"/>
  <c r="CE41" i="11" s="1"/>
  <c r="T42" i="3"/>
  <c r="C40" i="8" s="1"/>
  <c r="W41" i="3"/>
  <c r="C39" i="2" s="1"/>
  <c r="V41" i="3"/>
  <c r="C40" i="7" s="1"/>
  <c r="U41" i="3"/>
  <c r="C40" i="12" s="1"/>
  <c r="T41" i="3"/>
  <c r="C40" i="13" s="1"/>
  <c r="W40" i="3"/>
  <c r="W39" i="14" s="1"/>
  <c r="V40" i="3"/>
  <c r="C38" i="9" s="1"/>
  <c r="U40" i="3"/>
  <c r="C41" i="4" s="1"/>
  <c r="T40" i="3"/>
  <c r="C39" i="13" s="1"/>
  <c r="W39" i="3"/>
  <c r="W38" i="14" s="1"/>
  <c r="V39" i="3"/>
  <c r="C37" i="9" s="1"/>
  <c r="U39" i="3"/>
  <c r="C40" i="4" s="1"/>
  <c r="T39" i="3"/>
  <c r="C38" i="13" s="1"/>
  <c r="W38" i="3"/>
  <c r="W37" i="14" s="1"/>
  <c r="V38" i="3"/>
  <c r="W37" i="7" s="1"/>
  <c r="U38" i="3"/>
  <c r="BK37" i="11" s="1"/>
  <c r="T38" i="3"/>
  <c r="C36" i="8" s="1"/>
  <c r="W37" i="3"/>
  <c r="C35" i="2" s="1"/>
  <c r="V37" i="3"/>
  <c r="C35" i="9" s="1"/>
  <c r="U37" i="3"/>
  <c r="CY36" i="11" s="1"/>
  <c r="T37" i="3"/>
  <c r="C35" i="8" s="1"/>
  <c r="W36" i="3"/>
  <c r="BK35" i="14" s="1"/>
  <c r="V36" i="3"/>
  <c r="W35" i="7" s="1"/>
  <c r="U36" i="3"/>
  <c r="CY35" i="11" s="1"/>
  <c r="T36" i="3"/>
  <c r="C35" i="13" s="1"/>
  <c r="W35" i="3"/>
  <c r="C33" i="2" s="1"/>
  <c r="V35" i="3"/>
  <c r="C33" i="9" s="1"/>
  <c r="U35" i="3"/>
  <c r="C36" i="4" s="1"/>
  <c r="T35" i="3"/>
  <c r="C34" i="13" s="1"/>
  <c r="W34" i="3"/>
  <c r="BK33" i="14" s="1"/>
  <c r="V34" i="3"/>
  <c r="C32" i="9" s="1"/>
  <c r="U34" i="3"/>
  <c r="C33" i="12" s="1"/>
  <c r="T34" i="3"/>
  <c r="W33" i="13" s="1"/>
  <c r="W33" i="3"/>
  <c r="C31" i="2" s="1"/>
  <c r="V33" i="3"/>
  <c r="C31" i="9" s="1"/>
  <c r="U33" i="3"/>
  <c r="C32" i="12" s="1"/>
  <c r="T33" i="3"/>
  <c r="W32" i="13" s="1"/>
  <c r="W32" i="3"/>
  <c r="BK31" i="14" s="1"/>
  <c r="V32" i="3"/>
  <c r="C30" i="9" s="1"/>
  <c r="U32" i="3"/>
  <c r="C31" i="12" s="1"/>
  <c r="T32" i="3"/>
  <c r="W31" i="13" s="1"/>
  <c r="W31" i="3"/>
  <c r="W30" i="14" s="1"/>
  <c r="V31" i="3"/>
  <c r="C29" i="9" s="1"/>
  <c r="U31" i="3"/>
  <c r="CY30" i="11" s="1"/>
  <c r="T31" i="3"/>
  <c r="W30" i="13" s="1"/>
  <c r="W30" i="3"/>
  <c r="BK29" i="14" s="1"/>
  <c r="V30" i="3"/>
  <c r="C29" i="7" s="1"/>
  <c r="U30" i="3"/>
  <c r="C29" i="11" s="1"/>
  <c r="T30" i="3"/>
  <c r="C28" i="8" s="1"/>
  <c r="W29" i="3"/>
  <c r="BK28" i="14" s="1"/>
  <c r="V29" i="3"/>
  <c r="C28" i="7" s="1"/>
  <c r="U29" i="3"/>
  <c r="BK28" i="11" s="1"/>
  <c r="T29" i="3"/>
  <c r="C27" i="8" s="1"/>
  <c r="W28" i="3"/>
  <c r="BK27" i="14" s="1"/>
  <c r="V28" i="3"/>
  <c r="C26" i="9" s="1"/>
  <c r="U28" i="3"/>
  <c r="BK27" i="11" s="1"/>
  <c r="T28" i="3"/>
  <c r="C26" i="8" s="1"/>
  <c r="W27" i="3"/>
  <c r="C25" i="2" s="1"/>
  <c r="V27" i="3"/>
  <c r="W26" i="7" s="1"/>
  <c r="U27" i="3"/>
  <c r="W26" i="12" s="1"/>
  <c r="T27" i="3"/>
  <c r="C25" i="8" s="1"/>
  <c r="W26" i="3"/>
  <c r="C24" i="2" s="1"/>
  <c r="V26" i="3"/>
  <c r="AQ25" i="7" s="1"/>
  <c r="U26" i="3"/>
  <c r="BK25" i="11" s="1"/>
  <c r="T26" i="3"/>
  <c r="C24" i="8" s="1"/>
  <c r="W25" i="3"/>
  <c r="C23" i="2" s="1"/>
  <c r="V25" i="3"/>
  <c r="W24" i="7" s="1"/>
  <c r="U25" i="3"/>
  <c r="BK24" i="11" s="1"/>
  <c r="T25" i="3"/>
  <c r="C24" i="13" s="1"/>
  <c r="W24" i="3"/>
  <c r="C22" i="2" s="1"/>
  <c r="V24" i="3"/>
  <c r="W23" i="7" s="1"/>
  <c r="U24" i="3"/>
  <c r="W23" i="11" s="1"/>
  <c r="T24" i="3"/>
  <c r="C22" i="8" s="1"/>
  <c r="W23" i="3"/>
  <c r="W22" i="14" s="1"/>
  <c r="V23" i="3"/>
  <c r="AQ22" i="7" s="1"/>
  <c r="U23" i="3"/>
  <c r="AQ22" i="14" s="1"/>
  <c r="T23" i="3"/>
  <c r="C22" i="13" s="1"/>
  <c r="W22" i="3"/>
  <c r="C20" i="2" s="1"/>
  <c r="V22" i="3"/>
  <c r="AQ21" i="7" s="1"/>
  <c r="U22" i="3"/>
  <c r="BK21" i="11" s="1"/>
  <c r="T22" i="3"/>
  <c r="C20" i="8" s="1"/>
  <c r="W21" i="3"/>
  <c r="W20" i="14" s="1"/>
  <c r="V21" i="3"/>
  <c r="W20" i="7" s="1"/>
  <c r="U21" i="3"/>
  <c r="W20" i="12" s="1"/>
  <c r="T21" i="3"/>
  <c r="C20" i="13" s="1"/>
  <c r="W20" i="3"/>
  <c r="W19" i="14" s="1"/>
  <c r="V20" i="3"/>
  <c r="AQ19" i="7" s="1"/>
  <c r="U20" i="3"/>
  <c r="X21" i="4" s="1"/>
  <c r="T20" i="3"/>
  <c r="C18" i="8" s="1"/>
  <c r="W19" i="3"/>
  <c r="C17" i="2" s="1"/>
  <c r="V19" i="3"/>
  <c r="AQ18" i="7" s="1"/>
  <c r="U19" i="3"/>
  <c r="X20" i="4" s="1"/>
  <c r="T19" i="3"/>
  <c r="W18" i="13" s="1"/>
  <c r="W18" i="3"/>
  <c r="W17" i="14" s="1"/>
  <c r="V18" i="3"/>
  <c r="AQ17" i="7" s="1"/>
  <c r="U18" i="3"/>
  <c r="X19" i="4" s="1"/>
  <c r="T18" i="3"/>
  <c r="C17" i="13" s="1"/>
  <c r="W17" i="3"/>
  <c r="C15" i="2" s="1"/>
  <c r="V17" i="3"/>
  <c r="C15" i="9" s="1"/>
  <c r="U17" i="3"/>
  <c r="AQ16" i="11" s="1"/>
  <c r="T17" i="3"/>
  <c r="C16" i="13" s="1"/>
  <c r="W16" i="3"/>
  <c r="C14" i="2" s="1"/>
  <c r="V16" i="3"/>
  <c r="AQ15" i="7" s="1"/>
  <c r="U16" i="3"/>
  <c r="AQ15" i="11" s="1"/>
  <c r="T16" i="3"/>
  <c r="C15" i="13" s="1"/>
  <c r="W15" i="3"/>
  <c r="C13" i="2" s="1"/>
  <c r="V15" i="3"/>
  <c r="AQ14" i="7" s="1"/>
  <c r="U15" i="3"/>
  <c r="CE14" i="11" s="1"/>
  <c r="T15" i="3"/>
  <c r="C14" i="13" s="1"/>
  <c r="W14" i="3"/>
  <c r="C12" i="2" s="1"/>
  <c r="V14" i="3"/>
  <c r="C12" i="9" s="1"/>
  <c r="U14" i="3"/>
  <c r="W13" i="12" s="1"/>
  <c r="T14" i="3"/>
  <c r="W13" i="13" s="1"/>
  <c r="W13" i="3"/>
  <c r="BK12" i="14" s="1"/>
  <c r="V13" i="3"/>
  <c r="AQ12" i="7" s="1"/>
  <c r="U13" i="3"/>
  <c r="W12" i="12" s="1"/>
  <c r="T13" i="3"/>
  <c r="C11" i="8" s="1"/>
  <c r="W12" i="3"/>
  <c r="C10" i="2" s="1"/>
  <c r="V12" i="3"/>
  <c r="C10" i="9" s="1"/>
  <c r="U12" i="3"/>
  <c r="CE11" i="11" s="1"/>
  <c r="T12" i="3"/>
  <c r="C10" i="8" s="1"/>
  <c r="W11" i="3"/>
  <c r="C9" i="2" s="1"/>
  <c r="V11" i="3"/>
  <c r="C10" i="7" s="1"/>
  <c r="U11" i="3"/>
  <c r="C10" i="11" s="1"/>
  <c r="T11" i="3"/>
  <c r="W10" i="13" s="1"/>
  <c r="W10" i="3"/>
  <c r="C8" i="2" s="1"/>
  <c r="V10" i="3"/>
  <c r="U10" i="3"/>
  <c r="C9" i="12" s="1"/>
  <c r="T10" i="3"/>
  <c r="C156" i="2"/>
  <c r="C154" i="2"/>
  <c r="C152" i="2"/>
  <c r="C151" i="2"/>
  <c r="C148" i="2"/>
  <c r="C147" i="2"/>
  <c r="C146" i="2"/>
  <c r="C145" i="2"/>
  <c r="C139" i="2"/>
  <c r="C134" i="2"/>
  <c r="C128" i="2"/>
  <c r="C127" i="2"/>
  <c r="C124" i="2"/>
  <c r="C123" i="2"/>
  <c r="C122" i="2"/>
  <c r="C119" i="2"/>
  <c r="C118" i="2"/>
  <c r="C116" i="2"/>
  <c r="C115" i="2"/>
  <c r="C103" i="2"/>
  <c r="C99" i="2"/>
  <c r="C98" i="2"/>
  <c r="C94" i="2"/>
  <c r="C92" i="2"/>
  <c r="C91" i="2"/>
  <c r="C88" i="2"/>
  <c r="C87" i="2"/>
  <c r="C86" i="2"/>
  <c r="C74" i="2"/>
  <c r="C68" i="2"/>
  <c r="C67" i="2"/>
  <c r="C64" i="2"/>
  <c r="C63" i="2"/>
  <c r="C59" i="2"/>
  <c r="C156" i="9"/>
  <c r="C141" i="9"/>
  <c r="C140" i="9"/>
  <c r="C139" i="9"/>
  <c r="C100" i="9"/>
  <c r="C91" i="9"/>
  <c r="C71" i="9"/>
  <c r="C68" i="9"/>
  <c r="C156" i="8"/>
  <c r="C151" i="8"/>
  <c r="C143" i="8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7" i="8"/>
  <c r="D7" i="2"/>
  <c r="X159" i="4"/>
  <c r="X158" i="4"/>
  <c r="X156" i="4"/>
  <c r="X155" i="4"/>
  <c r="X154" i="4"/>
  <c r="X153" i="4"/>
  <c r="X152" i="4"/>
  <c r="X151" i="4"/>
  <c r="X150" i="4"/>
  <c r="X145" i="4"/>
  <c r="X144" i="4"/>
  <c r="X143" i="4"/>
  <c r="X142" i="4"/>
  <c r="X140" i="4"/>
  <c r="X139" i="4"/>
  <c r="X138" i="4"/>
  <c r="X137" i="4"/>
  <c r="X136" i="4"/>
  <c r="X135" i="4"/>
  <c r="X134" i="4"/>
  <c r="X131" i="4"/>
  <c r="X129" i="4"/>
  <c r="X126" i="4"/>
  <c r="X122" i="4"/>
  <c r="C159" i="4"/>
  <c r="C158" i="4"/>
  <c r="C157" i="4"/>
  <c r="C156" i="4"/>
  <c r="C155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4" i="4"/>
  <c r="C129" i="4"/>
  <c r="C128" i="4"/>
  <c r="C127" i="4"/>
  <c r="M2" i="4"/>
  <c r="M1" i="4"/>
  <c r="N1" i="5"/>
  <c r="O2" i="6"/>
  <c r="O1" i="6"/>
  <c r="W157" i="13"/>
  <c r="W153" i="13"/>
  <c r="W150" i="13"/>
  <c r="W143" i="13"/>
  <c r="C157" i="13"/>
  <c r="C155" i="13"/>
  <c r="C154" i="13"/>
  <c r="C153" i="13"/>
  <c r="C152" i="13"/>
  <c r="M2" i="13"/>
  <c r="M1" i="13"/>
  <c r="M2" i="12"/>
  <c r="M1" i="12"/>
  <c r="Q3" i="11"/>
  <c r="M3" i="11"/>
  <c r="Q2" i="11"/>
  <c r="M2" i="11"/>
  <c r="Q1" i="11"/>
  <c r="M1" i="11"/>
  <c r="AQ155" i="7"/>
  <c r="AQ149" i="7"/>
  <c r="AQ148" i="7"/>
  <c r="AQ147" i="7"/>
  <c r="AQ146" i="7"/>
  <c r="AQ140" i="7"/>
  <c r="AQ132" i="7"/>
  <c r="AQ130" i="7"/>
  <c r="AQ126" i="7"/>
  <c r="AQ125" i="7"/>
  <c r="AQ124" i="7"/>
  <c r="AQ122" i="7"/>
  <c r="AQ101" i="7"/>
  <c r="AQ90" i="7"/>
  <c r="AQ80" i="7"/>
  <c r="AQ77" i="7"/>
  <c r="AQ59" i="7"/>
  <c r="AQ57" i="7"/>
  <c r="AQ50" i="7"/>
  <c r="W150" i="7"/>
  <c r="W147" i="7"/>
  <c r="W146" i="7"/>
  <c r="W145" i="7"/>
  <c r="W144" i="7"/>
  <c r="W142" i="7"/>
  <c r="W140" i="7"/>
  <c r="W137" i="7"/>
  <c r="W130" i="7"/>
  <c r="W127" i="7"/>
  <c r="W125" i="7"/>
  <c r="W118" i="7"/>
  <c r="W116" i="7"/>
  <c r="W112" i="7"/>
  <c r="W105" i="7"/>
  <c r="W92" i="7"/>
  <c r="W80" i="7"/>
  <c r="W73" i="7"/>
  <c r="W71" i="7"/>
  <c r="W60" i="7"/>
  <c r="W52" i="7"/>
  <c r="W51" i="7"/>
  <c r="W29" i="7"/>
  <c r="C150" i="7"/>
  <c r="C149" i="7"/>
  <c r="C146" i="7"/>
  <c r="C145" i="7"/>
  <c r="C140" i="7"/>
  <c r="C132" i="7"/>
  <c r="C130" i="7"/>
  <c r="C125" i="7"/>
  <c r="C122" i="7"/>
  <c r="C120" i="7"/>
  <c r="C107" i="7"/>
  <c r="C105" i="7"/>
  <c r="C90" i="7"/>
  <c r="C87" i="7"/>
  <c r="C65" i="7"/>
  <c r="C50" i="7"/>
  <c r="C45" i="7"/>
  <c r="C37" i="7"/>
  <c r="AQ157" i="14"/>
  <c r="AQ156" i="14"/>
  <c r="AQ154" i="14"/>
  <c r="AQ153" i="14"/>
  <c r="AQ152" i="14"/>
  <c r="AQ151" i="14"/>
  <c r="AQ149" i="14"/>
  <c r="AQ148" i="14"/>
  <c r="AQ147" i="14"/>
  <c r="AQ146" i="14"/>
  <c r="AQ145" i="14"/>
  <c r="AQ144" i="14"/>
  <c r="AQ143" i="14"/>
  <c r="AQ142" i="14"/>
  <c r="AQ141" i="14"/>
  <c r="AQ140" i="14"/>
  <c r="AQ139" i="14"/>
  <c r="AQ138" i="14"/>
  <c r="AQ137" i="14"/>
  <c r="AQ136" i="14"/>
  <c r="AQ135" i="14"/>
  <c r="AQ134" i="14"/>
  <c r="AQ133" i="14"/>
  <c r="AQ132" i="14"/>
  <c r="AQ131" i="14"/>
  <c r="AQ130" i="14"/>
  <c r="AQ129" i="14"/>
  <c r="AQ127" i="14"/>
  <c r="AQ126" i="14"/>
  <c r="BK157" i="14"/>
  <c r="BK155" i="14"/>
  <c r="BK154" i="14"/>
  <c r="BK153" i="14"/>
  <c r="BK150" i="14"/>
  <c r="BK149" i="14"/>
  <c r="BK148" i="14"/>
  <c r="BK147" i="14"/>
  <c r="BK145" i="14"/>
  <c r="BK144" i="14"/>
  <c r="BK140" i="14"/>
  <c r="BK135" i="14"/>
  <c r="BK134" i="14"/>
  <c r="BK130" i="14"/>
  <c r="BK129" i="14"/>
  <c r="BK128" i="14"/>
  <c r="BK127" i="14"/>
  <c r="BK125" i="14"/>
  <c r="BK124" i="14"/>
  <c r="BK123" i="14"/>
  <c r="BK122" i="14"/>
  <c r="BK121" i="14"/>
  <c r="BK115" i="14"/>
  <c r="BK114" i="14"/>
  <c r="BK109" i="14"/>
  <c r="BK108" i="14"/>
  <c r="BK105" i="14"/>
  <c r="BK104" i="14"/>
  <c r="BK103" i="14"/>
  <c r="BK102" i="14"/>
  <c r="BK100" i="14"/>
  <c r="BK99" i="14"/>
  <c r="BK95" i="14"/>
  <c r="BK90" i="14"/>
  <c r="BK89" i="14"/>
  <c r="BK85" i="14"/>
  <c r="BK84" i="14"/>
  <c r="BK83" i="14"/>
  <c r="BK82" i="14"/>
  <c r="BK80" i="14"/>
  <c r="BK79" i="14"/>
  <c r="BK77" i="14"/>
  <c r="BK76" i="14"/>
  <c r="BK70" i="14"/>
  <c r="BK65" i="14"/>
  <c r="BK64" i="14"/>
  <c r="BK60" i="14"/>
  <c r="BK59" i="14"/>
  <c r="BK58" i="14"/>
  <c r="BK57" i="14"/>
  <c r="BK55" i="14"/>
  <c r="BK54" i="14"/>
  <c r="BK53" i="14"/>
  <c r="BK50" i="14"/>
  <c r="BK45" i="14"/>
  <c r="BK44" i="14"/>
  <c r="W157" i="14"/>
  <c r="W155" i="14"/>
  <c r="W149" i="14"/>
  <c r="W148" i="14"/>
  <c r="W147" i="14"/>
  <c r="W145" i="14"/>
  <c r="W144" i="14"/>
  <c r="W143" i="14"/>
  <c r="W142" i="14"/>
  <c r="W135" i="14"/>
  <c r="W133" i="14"/>
  <c r="W130" i="14"/>
  <c r="W129" i="14"/>
  <c r="W128" i="14"/>
  <c r="W125" i="14"/>
  <c r="W124" i="14"/>
  <c r="W123" i="14"/>
  <c r="W122" i="14"/>
  <c r="W121" i="14"/>
  <c r="W120" i="14"/>
  <c r="W110" i="14"/>
  <c r="W109" i="14"/>
  <c r="W108" i="14"/>
  <c r="W105" i="14"/>
  <c r="W104" i="14"/>
  <c r="W103" i="14"/>
  <c r="W100" i="14"/>
  <c r="W99" i="14"/>
  <c r="W98" i="14"/>
  <c r="W95" i="14"/>
  <c r="W90" i="14"/>
  <c r="W89" i="14"/>
  <c r="W85" i="14"/>
  <c r="W84" i="14"/>
  <c r="W83" i="14"/>
  <c r="W80" i="14"/>
  <c r="W79" i="14"/>
  <c r="W78" i="14"/>
  <c r="W77" i="14"/>
  <c r="W76" i="14"/>
  <c r="W65" i="14"/>
  <c r="W64" i="14"/>
  <c r="W63" i="14"/>
  <c r="W60" i="14"/>
  <c r="W59" i="14"/>
  <c r="W58" i="14"/>
  <c r="W57" i="14"/>
  <c r="W55" i="14"/>
  <c r="W53" i="14"/>
  <c r="W50" i="14"/>
  <c r="W45" i="14"/>
  <c r="AQ124" i="14" l="1"/>
  <c r="AQ125" i="14"/>
  <c r="C135" i="4"/>
  <c r="X128" i="4"/>
  <c r="W134" i="11"/>
  <c r="AQ128" i="14"/>
  <c r="C126" i="4"/>
  <c r="X132" i="4"/>
  <c r="X127" i="4"/>
  <c r="W145" i="13"/>
  <c r="W148" i="13"/>
  <c r="C130" i="8"/>
  <c r="W149" i="13"/>
  <c r="C142" i="8"/>
  <c r="C147" i="13"/>
  <c r="W131" i="13"/>
  <c r="W151" i="13"/>
  <c r="C144" i="8"/>
  <c r="C149" i="13"/>
  <c r="W138" i="13"/>
  <c r="C151" i="13"/>
  <c r="W140" i="13"/>
  <c r="W132" i="13"/>
  <c r="C132" i="8"/>
  <c r="W137" i="13"/>
  <c r="C134" i="8"/>
  <c r="C130" i="13"/>
  <c r="W141" i="13"/>
  <c r="C139" i="13"/>
  <c r="C141" i="13"/>
  <c r="C125" i="13"/>
  <c r="C123" i="8"/>
  <c r="C124" i="8"/>
  <c r="W130" i="13"/>
  <c r="C128" i="8"/>
  <c r="C127" i="13"/>
  <c r="C129" i="13"/>
  <c r="C128" i="13"/>
  <c r="W139" i="13"/>
  <c r="C131" i="8"/>
  <c r="C133" i="8"/>
  <c r="C133" i="13"/>
  <c r="C125" i="8"/>
  <c r="C136" i="8"/>
  <c r="W135" i="13"/>
  <c r="C126" i="8"/>
  <c r="C113" i="12"/>
  <c r="C88" i="7"/>
  <c r="W54" i="7"/>
  <c r="W86" i="7"/>
  <c r="AQ52" i="7"/>
  <c r="AQ82" i="7"/>
  <c r="C140" i="13"/>
  <c r="C155" i="8"/>
  <c r="C89" i="9"/>
  <c r="C152" i="11"/>
  <c r="CE144" i="11"/>
  <c r="C136" i="12"/>
  <c r="CY126" i="11"/>
  <c r="C60" i="7"/>
  <c r="C92" i="7"/>
  <c r="W30" i="7"/>
  <c r="W70" i="7"/>
  <c r="W96" i="7"/>
  <c r="AQ100" i="7"/>
  <c r="C146" i="13"/>
  <c r="C19" i="9"/>
  <c r="W150" i="11"/>
  <c r="CY142" i="11"/>
  <c r="C62" i="7"/>
  <c r="C100" i="7"/>
  <c r="W32" i="7"/>
  <c r="W100" i="7"/>
  <c r="AQ60" i="7"/>
  <c r="C124" i="13"/>
  <c r="C156" i="13"/>
  <c r="W134" i="13"/>
  <c r="C127" i="8"/>
  <c r="C135" i="8"/>
  <c r="C145" i="8"/>
  <c r="C28" i="9"/>
  <c r="C103" i="9"/>
  <c r="AQ132" i="11"/>
  <c r="W92" i="12"/>
  <c r="W48" i="7"/>
  <c r="W102" i="7"/>
  <c r="AQ70" i="7"/>
  <c r="AQ102" i="7"/>
  <c r="C148" i="13"/>
  <c r="W144" i="13"/>
  <c r="C39" i="9"/>
  <c r="C109" i="9"/>
  <c r="AQ148" i="11"/>
  <c r="W117" i="12"/>
  <c r="W50" i="7"/>
  <c r="AQ30" i="7"/>
  <c r="C126" i="13"/>
  <c r="W136" i="13"/>
  <c r="W154" i="13"/>
  <c r="BK130" i="11"/>
  <c r="W133" i="12"/>
  <c r="C34" i="7"/>
  <c r="C70" i="7"/>
  <c r="W74" i="7"/>
  <c r="AQ76" i="7"/>
  <c r="C137" i="8"/>
  <c r="C51" i="9"/>
  <c r="C36" i="7"/>
  <c r="C82" i="7"/>
  <c r="C116" i="7"/>
  <c r="W76" i="7"/>
  <c r="W110" i="7"/>
  <c r="AQ32" i="7"/>
  <c r="C67" i="7"/>
  <c r="C89" i="7"/>
  <c r="C115" i="7"/>
  <c r="C147" i="7"/>
  <c r="W95" i="7"/>
  <c r="AQ35" i="7"/>
  <c r="AQ105" i="7"/>
  <c r="AQ127" i="7"/>
  <c r="C34" i="9"/>
  <c r="C144" i="9"/>
  <c r="C139" i="11"/>
  <c r="C155" i="11"/>
  <c r="W137" i="11"/>
  <c r="W153" i="11"/>
  <c r="AQ135" i="11"/>
  <c r="AQ151" i="11"/>
  <c r="BK133" i="11"/>
  <c r="BK149" i="11"/>
  <c r="CE131" i="11"/>
  <c r="CE147" i="11"/>
  <c r="CY129" i="11"/>
  <c r="CY145" i="11"/>
  <c r="W96" i="12"/>
  <c r="W120" i="12"/>
  <c r="W136" i="12"/>
  <c r="W152" i="12"/>
  <c r="C116" i="12"/>
  <c r="C137" i="12"/>
  <c r="C153" i="12"/>
  <c r="C55" i="7"/>
  <c r="C131" i="7"/>
  <c r="W41" i="7"/>
  <c r="W57" i="7"/>
  <c r="W75" i="7"/>
  <c r="W115" i="7"/>
  <c r="W135" i="7"/>
  <c r="AQ41" i="7"/>
  <c r="AQ67" i="7"/>
  <c r="AQ107" i="7"/>
  <c r="C36" i="9"/>
  <c r="C74" i="9"/>
  <c r="C106" i="9"/>
  <c r="C124" i="11"/>
  <c r="C140" i="11"/>
  <c r="C156" i="11"/>
  <c r="W138" i="11"/>
  <c r="W154" i="11"/>
  <c r="AQ136" i="11"/>
  <c r="AQ152" i="11"/>
  <c r="BK134" i="11"/>
  <c r="BK150" i="11"/>
  <c r="CE132" i="11"/>
  <c r="CE148" i="11"/>
  <c r="CY130" i="11"/>
  <c r="CY146" i="11"/>
  <c r="W100" i="12"/>
  <c r="W121" i="12"/>
  <c r="W137" i="12"/>
  <c r="W153" i="12"/>
  <c r="C120" i="12"/>
  <c r="C140" i="12"/>
  <c r="C156" i="12"/>
  <c r="C127" i="11"/>
  <c r="C143" i="11"/>
  <c r="W125" i="11"/>
  <c r="W141" i="11"/>
  <c r="W157" i="11"/>
  <c r="AQ139" i="11"/>
  <c r="AQ155" i="11"/>
  <c r="BK137" i="11"/>
  <c r="BK153" i="11"/>
  <c r="CE135" i="11"/>
  <c r="CE151" i="11"/>
  <c r="CY133" i="11"/>
  <c r="CY149" i="11"/>
  <c r="W104" i="12"/>
  <c r="W124" i="12"/>
  <c r="W140" i="12"/>
  <c r="W156" i="12"/>
  <c r="C121" i="12"/>
  <c r="C141" i="12"/>
  <c r="C57" i="7"/>
  <c r="C117" i="7"/>
  <c r="W97" i="7"/>
  <c r="AQ115" i="7"/>
  <c r="C76" i="9"/>
  <c r="C59" i="7"/>
  <c r="C81" i="7"/>
  <c r="C119" i="7"/>
  <c r="C137" i="7"/>
  <c r="C155" i="7"/>
  <c r="W65" i="7"/>
  <c r="W77" i="7"/>
  <c r="W99" i="7"/>
  <c r="W117" i="7"/>
  <c r="W155" i="7"/>
  <c r="AQ73" i="7"/>
  <c r="AQ97" i="7"/>
  <c r="AQ117" i="7"/>
  <c r="AQ135" i="7"/>
  <c r="AQ157" i="7"/>
  <c r="C88" i="9"/>
  <c r="C128" i="11"/>
  <c r="C144" i="11"/>
  <c r="W126" i="11"/>
  <c r="W142" i="11"/>
  <c r="AQ124" i="11"/>
  <c r="AQ140" i="11"/>
  <c r="AQ156" i="11"/>
  <c r="BK138" i="11"/>
  <c r="BK154" i="11"/>
  <c r="CE136" i="11"/>
  <c r="CE152" i="11"/>
  <c r="CY134" i="11"/>
  <c r="CY150" i="11"/>
  <c r="W108" i="12"/>
  <c r="W125" i="12"/>
  <c r="W141" i="12"/>
  <c r="C100" i="12"/>
  <c r="C124" i="12"/>
  <c r="C144" i="12"/>
  <c r="W49" i="7"/>
  <c r="W157" i="7"/>
  <c r="AQ51" i="7"/>
  <c r="AQ75" i="7"/>
  <c r="AQ99" i="7"/>
  <c r="C138" i="9"/>
  <c r="C131" i="11"/>
  <c r="C147" i="11"/>
  <c r="W129" i="11"/>
  <c r="W145" i="11"/>
  <c r="AQ127" i="11"/>
  <c r="AQ143" i="11"/>
  <c r="BK125" i="11"/>
  <c r="BK141" i="11"/>
  <c r="BK157" i="11"/>
  <c r="CE139" i="11"/>
  <c r="CE155" i="11"/>
  <c r="CY137" i="11"/>
  <c r="CY153" i="11"/>
  <c r="W109" i="12"/>
  <c r="W128" i="12"/>
  <c r="W144" i="12"/>
  <c r="C104" i="12"/>
  <c r="C128" i="12"/>
  <c r="C145" i="12"/>
  <c r="C33" i="7"/>
  <c r="C91" i="7"/>
  <c r="W45" i="7"/>
  <c r="AQ45" i="7"/>
  <c r="AQ95" i="7"/>
  <c r="C35" i="7"/>
  <c r="C97" i="7"/>
  <c r="W67" i="7"/>
  <c r="W141" i="7"/>
  <c r="C61" i="7"/>
  <c r="C85" i="7"/>
  <c r="C121" i="7"/>
  <c r="C141" i="7"/>
  <c r="C15" i="7"/>
  <c r="W85" i="7"/>
  <c r="W121" i="7"/>
  <c r="AQ29" i="7"/>
  <c r="C60" i="9"/>
  <c r="C132" i="11"/>
  <c r="C148" i="11"/>
  <c r="W130" i="11"/>
  <c r="W146" i="11"/>
  <c r="AQ128" i="11"/>
  <c r="AQ144" i="11"/>
  <c r="BK126" i="11"/>
  <c r="BK142" i="11"/>
  <c r="CE124" i="11"/>
  <c r="CE140" i="11"/>
  <c r="CE156" i="11"/>
  <c r="CY138" i="11"/>
  <c r="CY154" i="11"/>
  <c r="W112" i="12"/>
  <c r="W129" i="12"/>
  <c r="W145" i="12"/>
  <c r="C108" i="12"/>
  <c r="C132" i="12"/>
  <c r="C148" i="12"/>
  <c r="C24" i="9"/>
  <c r="C135" i="11"/>
  <c r="C151" i="11"/>
  <c r="W133" i="11"/>
  <c r="W149" i="11"/>
  <c r="AQ131" i="11"/>
  <c r="AQ147" i="11"/>
  <c r="BK129" i="11"/>
  <c r="BK145" i="11"/>
  <c r="CE127" i="11"/>
  <c r="CE143" i="11"/>
  <c r="CY125" i="11"/>
  <c r="CY141" i="11"/>
  <c r="CY157" i="11"/>
  <c r="W116" i="12"/>
  <c r="W132" i="12"/>
  <c r="W148" i="12"/>
  <c r="C112" i="12"/>
  <c r="C133" i="12"/>
  <c r="C149" i="12"/>
  <c r="BK63" i="14"/>
  <c r="C28" i="2"/>
  <c r="C125" i="11"/>
  <c r="C133" i="11"/>
  <c r="C141" i="11"/>
  <c r="C149" i="11"/>
  <c r="C157" i="11"/>
  <c r="W131" i="11"/>
  <c r="W139" i="11"/>
  <c r="W147" i="11"/>
  <c r="W155" i="11"/>
  <c r="AQ129" i="11"/>
  <c r="AQ137" i="11"/>
  <c r="AQ145" i="11"/>
  <c r="AQ153" i="11"/>
  <c r="BK127" i="11"/>
  <c r="BK135" i="11"/>
  <c r="BK143" i="11"/>
  <c r="BK151" i="11"/>
  <c r="CE125" i="11"/>
  <c r="CE133" i="11"/>
  <c r="CE141" i="11"/>
  <c r="CE149" i="11"/>
  <c r="CE157" i="11"/>
  <c r="CY131" i="11"/>
  <c r="CY139" i="11"/>
  <c r="CY147" i="11"/>
  <c r="CY155" i="11"/>
  <c r="W14" i="12"/>
  <c r="W22" i="12"/>
  <c r="W30" i="12"/>
  <c r="W38" i="12"/>
  <c r="W46" i="12"/>
  <c r="W54" i="12"/>
  <c r="W62" i="12"/>
  <c r="W70" i="12"/>
  <c r="W78" i="12"/>
  <c r="W86" i="12"/>
  <c r="W94" i="12"/>
  <c r="W102" i="12"/>
  <c r="W110" i="12"/>
  <c r="W118" i="12"/>
  <c r="W126" i="12"/>
  <c r="W134" i="12"/>
  <c r="W142" i="12"/>
  <c r="W150" i="12"/>
  <c r="C10" i="12"/>
  <c r="C18" i="12"/>
  <c r="C26" i="12"/>
  <c r="C34" i="12"/>
  <c r="C42" i="12"/>
  <c r="C50" i="12"/>
  <c r="C58" i="12"/>
  <c r="C66" i="12"/>
  <c r="C74" i="12"/>
  <c r="C82" i="12"/>
  <c r="C90" i="12"/>
  <c r="C98" i="12"/>
  <c r="C106" i="12"/>
  <c r="C114" i="12"/>
  <c r="C122" i="12"/>
  <c r="C130" i="12"/>
  <c r="C138" i="12"/>
  <c r="C146" i="12"/>
  <c r="C154" i="12"/>
  <c r="C126" i="11"/>
  <c r="C134" i="11"/>
  <c r="C142" i="11"/>
  <c r="C150" i="11"/>
  <c r="W124" i="11"/>
  <c r="W132" i="11"/>
  <c r="W140" i="11"/>
  <c r="W148" i="11"/>
  <c r="W156" i="11"/>
  <c r="AQ130" i="11"/>
  <c r="AQ138" i="11"/>
  <c r="AQ146" i="11"/>
  <c r="AQ154" i="11"/>
  <c r="BK128" i="11"/>
  <c r="BK136" i="11"/>
  <c r="BK144" i="11"/>
  <c r="BK152" i="11"/>
  <c r="CE126" i="11"/>
  <c r="CE134" i="11"/>
  <c r="CE142" i="11"/>
  <c r="CE150" i="11"/>
  <c r="CY124" i="11"/>
  <c r="CY132" i="11"/>
  <c r="CY140" i="11"/>
  <c r="CY148" i="11"/>
  <c r="CY156" i="11"/>
  <c r="W15" i="12"/>
  <c r="W23" i="12"/>
  <c r="W31" i="12"/>
  <c r="W39" i="12"/>
  <c r="W47" i="12"/>
  <c r="W55" i="12"/>
  <c r="W63" i="12"/>
  <c r="W71" i="12"/>
  <c r="W79" i="12"/>
  <c r="W87" i="12"/>
  <c r="W95" i="12"/>
  <c r="W103" i="12"/>
  <c r="W111" i="12"/>
  <c r="W119" i="12"/>
  <c r="W127" i="12"/>
  <c r="W135" i="12"/>
  <c r="W143" i="12"/>
  <c r="W151" i="12"/>
  <c r="C11" i="12"/>
  <c r="C19" i="12"/>
  <c r="C27" i="12"/>
  <c r="C35" i="12"/>
  <c r="C43" i="12"/>
  <c r="C51" i="12"/>
  <c r="C59" i="12"/>
  <c r="C67" i="12"/>
  <c r="C75" i="12"/>
  <c r="C83" i="12"/>
  <c r="C91" i="12"/>
  <c r="C99" i="12"/>
  <c r="C107" i="12"/>
  <c r="C115" i="12"/>
  <c r="C123" i="12"/>
  <c r="C131" i="12"/>
  <c r="C139" i="12"/>
  <c r="C147" i="12"/>
  <c r="C155" i="12"/>
  <c r="W16" i="12"/>
  <c r="W24" i="12"/>
  <c r="W32" i="12"/>
  <c r="W40" i="12"/>
  <c r="W48" i="12"/>
  <c r="W56" i="12"/>
  <c r="W64" i="12"/>
  <c r="W72" i="12"/>
  <c r="W80" i="12"/>
  <c r="W88" i="12"/>
  <c r="C12" i="12"/>
  <c r="C20" i="12"/>
  <c r="C28" i="12"/>
  <c r="C36" i="12"/>
  <c r="C44" i="12"/>
  <c r="C52" i="12"/>
  <c r="C60" i="12"/>
  <c r="C68" i="12"/>
  <c r="C76" i="12"/>
  <c r="C84" i="12"/>
  <c r="C92" i="12"/>
  <c r="W9" i="12"/>
  <c r="W17" i="12"/>
  <c r="W25" i="12"/>
  <c r="W33" i="12"/>
  <c r="W41" i="12"/>
  <c r="W49" i="12"/>
  <c r="W57" i="12"/>
  <c r="W65" i="12"/>
  <c r="W73" i="12"/>
  <c r="W81" i="12"/>
  <c r="W89" i="12"/>
  <c r="W97" i="12"/>
  <c r="W105" i="12"/>
  <c r="W113" i="12"/>
  <c r="C13" i="12"/>
  <c r="C21" i="12"/>
  <c r="C29" i="12"/>
  <c r="C37" i="12"/>
  <c r="C45" i="12"/>
  <c r="C53" i="12"/>
  <c r="C61" i="12"/>
  <c r="C69" i="12"/>
  <c r="C77" i="12"/>
  <c r="C85" i="12"/>
  <c r="C93" i="12"/>
  <c r="C101" i="12"/>
  <c r="C109" i="12"/>
  <c r="C117" i="12"/>
  <c r="C125" i="12"/>
  <c r="C129" i="11"/>
  <c r="C137" i="11"/>
  <c r="C145" i="11"/>
  <c r="C153" i="11"/>
  <c r="W127" i="11"/>
  <c r="W135" i="11"/>
  <c r="W143" i="11"/>
  <c r="W151" i="11"/>
  <c r="BK131" i="11"/>
  <c r="BK139" i="11"/>
  <c r="BK147" i="11"/>
  <c r="BK155" i="11"/>
  <c r="CE129" i="11"/>
  <c r="CE145" i="11"/>
  <c r="CY127" i="11"/>
  <c r="CY135" i="11"/>
  <c r="CY143" i="11"/>
  <c r="CY151" i="11"/>
  <c r="W10" i="12"/>
  <c r="W18" i="12"/>
  <c r="W34" i="12"/>
  <c r="W42" i="12"/>
  <c r="W50" i="12"/>
  <c r="W58" i="12"/>
  <c r="W66" i="12"/>
  <c r="W74" i="12"/>
  <c r="W82" i="12"/>
  <c r="W90" i="12"/>
  <c r="W98" i="12"/>
  <c r="W106" i="12"/>
  <c r="W114" i="12"/>
  <c r="W122" i="12"/>
  <c r="W130" i="12"/>
  <c r="W138" i="12"/>
  <c r="W146" i="12"/>
  <c r="W154" i="12"/>
  <c r="C14" i="12"/>
  <c r="C22" i="12"/>
  <c r="C30" i="12"/>
  <c r="C38" i="12"/>
  <c r="C46" i="12"/>
  <c r="C54" i="12"/>
  <c r="C62" i="12"/>
  <c r="C70" i="12"/>
  <c r="C78" i="12"/>
  <c r="C86" i="12"/>
  <c r="C94" i="12"/>
  <c r="C102" i="12"/>
  <c r="C110" i="12"/>
  <c r="C118" i="12"/>
  <c r="C126" i="12"/>
  <c r="C134" i="12"/>
  <c r="C142" i="12"/>
  <c r="C150" i="12"/>
  <c r="C130" i="11"/>
  <c r="C138" i="11"/>
  <c r="C146" i="11"/>
  <c r="C154" i="11"/>
  <c r="W128" i="11"/>
  <c r="W136" i="11"/>
  <c r="W144" i="11"/>
  <c r="W152" i="11"/>
  <c r="AQ134" i="11"/>
  <c r="AQ150" i="11"/>
  <c r="CE130" i="11"/>
  <c r="CE146" i="11"/>
  <c r="W11" i="12"/>
  <c r="W19" i="12"/>
  <c r="W27" i="12"/>
  <c r="W35" i="12"/>
  <c r="W43" i="12"/>
  <c r="W51" i="12"/>
  <c r="W59" i="12"/>
  <c r="W67" i="12"/>
  <c r="W75" i="12"/>
  <c r="W83" i="12"/>
  <c r="W91" i="12"/>
  <c r="W99" i="12"/>
  <c r="W107" i="12"/>
  <c r="W115" i="12"/>
  <c r="W123" i="12"/>
  <c r="W147" i="12"/>
  <c r="C15" i="12"/>
  <c r="C23" i="12"/>
  <c r="C39" i="12"/>
  <c r="C47" i="12"/>
  <c r="C55" i="12"/>
  <c r="C63" i="12"/>
  <c r="C71" i="12"/>
  <c r="C79" i="12"/>
  <c r="C87" i="12"/>
  <c r="C95" i="12"/>
  <c r="C103" i="12"/>
  <c r="C111" i="12"/>
  <c r="C119" i="12"/>
  <c r="C135" i="12"/>
  <c r="C151" i="12"/>
  <c r="W28" i="12"/>
  <c r="W36" i="12"/>
  <c r="W44" i="12"/>
  <c r="W60" i="12"/>
  <c r="W68" i="12"/>
  <c r="W76" i="12"/>
  <c r="W84" i="12"/>
  <c r="C16" i="12"/>
  <c r="C24" i="12"/>
  <c r="C48" i="12"/>
  <c r="C56" i="12"/>
  <c r="C64" i="12"/>
  <c r="C72" i="12"/>
  <c r="C80" i="12"/>
  <c r="C88" i="12"/>
  <c r="C96" i="12"/>
  <c r="W21" i="12"/>
  <c r="W29" i="12"/>
  <c r="W37" i="12"/>
  <c r="W45" i="12"/>
  <c r="W53" i="12"/>
  <c r="W61" i="12"/>
  <c r="W69" i="12"/>
  <c r="W77" i="12"/>
  <c r="W85" i="12"/>
  <c r="W93" i="12"/>
  <c r="W101" i="12"/>
  <c r="C17" i="12"/>
  <c r="C25" i="12"/>
  <c r="C41" i="12"/>
  <c r="C49" i="12"/>
  <c r="C57" i="12"/>
  <c r="C65" i="12"/>
  <c r="C73" i="12"/>
  <c r="C81" i="12"/>
  <c r="C89" i="12"/>
  <c r="C97" i="12"/>
  <c r="C105" i="12"/>
  <c r="C38" i="2"/>
  <c r="W29" i="14"/>
  <c r="C48" i="2"/>
  <c r="C32" i="2"/>
  <c r="C34" i="2"/>
  <c r="BK120" i="11"/>
  <c r="C90" i="11"/>
  <c r="C95" i="11"/>
  <c r="CE103" i="11"/>
  <c r="C102" i="11"/>
  <c r="CE117" i="11"/>
  <c r="BK118" i="11"/>
  <c r="C119" i="4"/>
  <c r="BK110" i="11"/>
  <c r="AQ105" i="11"/>
  <c r="CE20" i="11"/>
  <c r="CE70" i="11"/>
  <c r="CE45" i="11"/>
  <c r="BK109" i="11"/>
  <c r="C62" i="13"/>
  <c r="AQ110" i="11"/>
  <c r="AQ105" i="14"/>
  <c r="C76" i="13"/>
  <c r="C63" i="11"/>
  <c r="W70" i="11"/>
  <c r="C84" i="11"/>
  <c r="W82" i="11"/>
  <c r="CE75" i="11"/>
  <c r="CE80" i="11"/>
  <c r="C65" i="8"/>
  <c r="C84" i="8"/>
  <c r="C85" i="11"/>
  <c r="BK114" i="11"/>
  <c r="C94" i="11"/>
  <c r="CE79" i="11"/>
  <c r="AQ104" i="14"/>
  <c r="C99" i="11"/>
  <c r="W75" i="11"/>
  <c r="CE94" i="11"/>
  <c r="AQ109" i="14"/>
  <c r="W79" i="11"/>
  <c r="CE95" i="11"/>
  <c r="AQ110" i="14"/>
  <c r="C105" i="11"/>
  <c r="CE99" i="11"/>
  <c r="CY70" i="11"/>
  <c r="AQ115" i="14"/>
  <c r="C107" i="4"/>
  <c r="C110" i="11"/>
  <c r="W84" i="11"/>
  <c r="CY75" i="11"/>
  <c r="AQ120" i="14"/>
  <c r="C112" i="4"/>
  <c r="C120" i="11"/>
  <c r="W85" i="11"/>
  <c r="CE104" i="11"/>
  <c r="CY79" i="11"/>
  <c r="C116" i="4"/>
  <c r="W89" i="11"/>
  <c r="CE105" i="11"/>
  <c r="CY80" i="11"/>
  <c r="W104" i="11"/>
  <c r="AQ65" i="11"/>
  <c r="CE110" i="11"/>
  <c r="CY84" i="11"/>
  <c r="W105" i="11"/>
  <c r="AQ70" i="11"/>
  <c r="CY85" i="11"/>
  <c r="W109" i="11"/>
  <c r="AQ84" i="11"/>
  <c r="CY90" i="11"/>
  <c r="W110" i="11"/>
  <c r="AQ85" i="11"/>
  <c r="W119" i="11"/>
  <c r="AQ89" i="11"/>
  <c r="CY115" i="11"/>
  <c r="W120" i="11"/>
  <c r="AQ90" i="11"/>
  <c r="CY119" i="11"/>
  <c r="C65" i="11"/>
  <c r="AQ94" i="11"/>
  <c r="BK75" i="11"/>
  <c r="CY120" i="11"/>
  <c r="X120" i="4"/>
  <c r="C70" i="11"/>
  <c r="AQ95" i="11"/>
  <c r="BK79" i="11"/>
  <c r="CY121" i="11"/>
  <c r="X121" i="4"/>
  <c r="C75" i="11"/>
  <c r="AQ104" i="11"/>
  <c r="BK85" i="11"/>
  <c r="CE65" i="11"/>
  <c r="CY122" i="11"/>
  <c r="AQ109" i="11"/>
  <c r="CE74" i="11"/>
  <c r="W40" i="14"/>
  <c r="BK39" i="14"/>
  <c r="BK40" i="14"/>
  <c r="BK38" i="14"/>
  <c r="W28" i="14"/>
  <c r="W33" i="14"/>
  <c r="W35" i="14"/>
  <c r="W10" i="7"/>
  <c r="C27" i="7"/>
  <c r="C13" i="9"/>
  <c r="C11" i="7"/>
  <c r="W13" i="7"/>
  <c r="C12" i="7"/>
  <c r="AQ27" i="7"/>
  <c r="C13" i="7"/>
  <c r="BK119" i="11"/>
  <c r="C119" i="11"/>
  <c r="BK115" i="11"/>
  <c r="C115" i="13"/>
  <c r="W115" i="11"/>
  <c r="CE115" i="11"/>
  <c r="C100" i="13"/>
  <c r="CE100" i="11"/>
  <c r="C100" i="11"/>
  <c r="W100" i="11"/>
  <c r="AQ100" i="11"/>
  <c r="CY100" i="11"/>
  <c r="CY99" i="11"/>
  <c r="BK95" i="11"/>
  <c r="BK90" i="11"/>
  <c r="BK89" i="11"/>
  <c r="CY89" i="11"/>
  <c r="W80" i="11"/>
  <c r="BK80" i="11"/>
  <c r="BK77" i="11"/>
  <c r="BK74" i="11"/>
  <c r="W69" i="11"/>
  <c r="BK65" i="11"/>
  <c r="W65" i="11"/>
  <c r="C64" i="8"/>
  <c r="CY64" i="11"/>
  <c r="C64" i="11"/>
  <c r="CE64" i="11"/>
  <c r="AQ64" i="11"/>
  <c r="C61" i="8"/>
  <c r="C123" i="11"/>
  <c r="C93" i="11"/>
  <c r="BK113" i="11"/>
  <c r="CE98" i="11"/>
  <c r="BK78" i="11"/>
  <c r="CE63" i="11"/>
  <c r="CY118" i="11"/>
  <c r="W107" i="11"/>
  <c r="AQ93" i="11"/>
  <c r="CY83" i="11"/>
  <c r="X124" i="4"/>
  <c r="C69" i="8"/>
  <c r="C97" i="11"/>
  <c r="W78" i="11"/>
  <c r="W108" i="11"/>
  <c r="BK117" i="11"/>
  <c r="CE102" i="11"/>
  <c r="C98" i="11"/>
  <c r="W118" i="11"/>
  <c r="C73" i="11"/>
  <c r="C103" i="11"/>
  <c r="AQ68" i="11"/>
  <c r="BK93" i="11"/>
  <c r="CE77" i="11"/>
  <c r="CE113" i="11"/>
  <c r="C74" i="11"/>
  <c r="C104" i="11"/>
  <c r="AQ69" i="11"/>
  <c r="AQ107" i="11"/>
  <c r="BK94" i="11"/>
  <c r="CE78" i="11"/>
  <c r="CE114" i="11"/>
  <c r="CY95" i="11"/>
  <c r="CE73" i="11"/>
  <c r="W87" i="11"/>
  <c r="W123" i="11"/>
  <c r="AQ108" i="11"/>
  <c r="CY98" i="11"/>
  <c r="C78" i="11"/>
  <c r="AQ73" i="11"/>
  <c r="BK98" i="11"/>
  <c r="CE83" i="11"/>
  <c r="CE118" i="11"/>
  <c r="C79" i="11"/>
  <c r="C114" i="11"/>
  <c r="W90" i="11"/>
  <c r="AQ74" i="11"/>
  <c r="AQ113" i="11"/>
  <c r="BK68" i="11"/>
  <c r="BK99" i="11"/>
  <c r="CE84" i="11"/>
  <c r="CE119" i="11"/>
  <c r="CY103" i="11"/>
  <c r="BK88" i="11"/>
  <c r="CY88" i="11"/>
  <c r="W83" i="11"/>
  <c r="W88" i="11"/>
  <c r="AQ72" i="11"/>
  <c r="BK97" i="11"/>
  <c r="CY63" i="11"/>
  <c r="C120" i="4"/>
  <c r="C113" i="11"/>
  <c r="W118" i="13"/>
  <c r="CE60" i="11"/>
  <c r="W119" i="13"/>
  <c r="C80" i="11"/>
  <c r="C115" i="11"/>
  <c r="AQ114" i="11"/>
  <c r="BK69" i="11"/>
  <c r="CE120" i="11"/>
  <c r="CY67" i="11"/>
  <c r="CY104" i="11"/>
  <c r="W120" i="13"/>
  <c r="C117" i="11"/>
  <c r="W63" i="11"/>
  <c r="W98" i="11"/>
  <c r="AQ115" i="11"/>
  <c r="BK70" i="11"/>
  <c r="BK105" i="11"/>
  <c r="CE122" i="11"/>
  <c r="CY68" i="11"/>
  <c r="C120" i="13"/>
  <c r="C83" i="11"/>
  <c r="C118" i="11"/>
  <c r="W64" i="11"/>
  <c r="W99" i="11"/>
  <c r="AQ83" i="11"/>
  <c r="BK108" i="11"/>
  <c r="CE93" i="11"/>
  <c r="CE123" i="11"/>
  <c r="CY69" i="11"/>
  <c r="CY123" i="11"/>
  <c r="AQ123" i="11"/>
  <c r="BK73" i="11"/>
  <c r="CY108" i="11"/>
  <c r="AQ63" i="11"/>
  <c r="AQ103" i="11"/>
  <c r="W102" i="11"/>
  <c r="CY109" i="11"/>
  <c r="CY87" i="11"/>
  <c r="W112" i="13"/>
  <c r="W68" i="11"/>
  <c r="W103" i="11"/>
  <c r="AQ88" i="11"/>
  <c r="BK112" i="11"/>
  <c r="CY78" i="11"/>
  <c r="BK42" i="11"/>
  <c r="C9" i="8"/>
  <c r="BK41" i="11"/>
  <c r="C96" i="11"/>
  <c r="CY86" i="11"/>
  <c r="C118" i="4"/>
  <c r="CE116" i="11"/>
  <c r="W101" i="11"/>
  <c r="BK111" i="11"/>
  <c r="AQ106" i="11"/>
  <c r="C101" i="11"/>
  <c r="CE96" i="11"/>
  <c r="W81" i="11"/>
  <c r="C77" i="13"/>
  <c r="CY101" i="11"/>
  <c r="AQ101" i="14"/>
  <c r="X63" i="4"/>
  <c r="CY66" i="11"/>
  <c r="C73" i="4"/>
  <c r="CE71" i="11"/>
  <c r="C71" i="11"/>
  <c r="CY71" i="11"/>
  <c r="W71" i="11"/>
  <c r="CY76" i="11"/>
  <c r="W76" i="11"/>
  <c r="AQ76" i="11"/>
  <c r="X83" i="4"/>
  <c r="AQ81" i="11"/>
  <c r="BK81" i="11"/>
  <c r="AQ86" i="14"/>
  <c r="BK86" i="11"/>
  <c r="CE86" i="11"/>
  <c r="C86" i="11"/>
  <c r="CE91" i="11"/>
  <c r="C91" i="11"/>
  <c r="CY91" i="11"/>
  <c r="W91" i="11"/>
  <c r="CY96" i="11"/>
  <c r="W96" i="11"/>
  <c r="AQ96" i="11"/>
  <c r="C108" i="4"/>
  <c r="BK106" i="11"/>
  <c r="CE106" i="11"/>
  <c r="C106" i="11"/>
  <c r="X118" i="4"/>
  <c r="CY116" i="11"/>
  <c r="W116" i="11"/>
  <c r="AQ116" i="11"/>
  <c r="AQ121" i="11"/>
  <c r="AQ121" i="14"/>
  <c r="BK121" i="11"/>
  <c r="C123" i="4"/>
  <c r="AQ106" i="14"/>
  <c r="W86" i="11"/>
  <c r="BK96" i="11"/>
  <c r="CE76" i="11"/>
  <c r="C116" i="11"/>
  <c r="BK71" i="11"/>
  <c r="C91" i="8"/>
  <c r="C92" i="13"/>
  <c r="C121" i="8"/>
  <c r="W122" i="13"/>
  <c r="AQ91" i="11"/>
  <c r="CY81" i="11"/>
  <c r="BK67" i="11"/>
  <c r="C67" i="11"/>
  <c r="CE67" i="11"/>
  <c r="CY77" i="11"/>
  <c r="W77" i="11"/>
  <c r="AQ77" i="11"/>
  <c r="X84" i="4"/>
  <c r="AQ82" i="11"/>
  <c r="BK82" i="11"/>
  <c r="C89" i="4"/>
  <c r="BK87" i="11"/>
  <c r="CE87" i="11"/>
  <c r="C87" i="11"/>
  <c r="CE92" i="11"/>
  <c r="C92" i="11"/>
  <c r="CY92" i="11"/>
  <c r="W92" i="11"/>
  <c r="C104" i="4"/>
  <c r="AQ102" i="11"/>
  <c r="BK102" i="11"/>
  <c r="BK107" i="11"/>
  <c r="CE107" i="11"/>
  <c r="C107" i="11"/>
  <c r="CE112" i="11"/>
  <c r="C112" i="11"/>
  <c r="CY112" i="11"/>
  <c r="W112" i="11"/>
  <c r="AQ122" i="11"/>
  <c r="AQ122" i="14"/>
  <c r="C124" i="4"/>
  <c r="BK122" i="11"/>
  <c r="W121" i="11"/>
  <c r="AQ92" i="11"/>
  <c r="CY82" i="11"/>
  <c r="W122" i="11"/>
  <c r="AQ67" i="11"/>
  <c r="C68" i="4"/>
  <c r="BK66" i="11"/>
  <c r="CE66" i="11"/>
  <c r="C66" i="11"/>
  <c r="AQ101" i="11"/>
  <c r="BK101" i="11"/>
  <c r="C116" i="8"/>
  <c r="C117" i="13"/>
  <c r="CE72" i="11"/>
  <c r="C72" i="11"/>
  <c r="CY72" i="11"/>
  <c r="W72" i="11"/>
  <c r="CY97" i="11"/>
  <c r="W97" i="11"/>
  <c r="AQ97" i="11"/>
  <c r="CY117" i="11"/>
  <c r="W117" i="11"/>
  <c r="AQ117" i="14"/>
  <c r="AQ117" i="11"/>
  <c r="C14" i="4"/>
  <c r="CE81" i="11"/>
  <c r="CE111" i="11"/>
  <c r="C111" i="11"/>
  <c r="CY111" i="11"/>
  <c r="W111" i="11"/>
  <c r="AQ111" i="14"/>
  <c r="CY106" i="11"/>
  <c r="X123" i="4"/>
  <c r="W97" i="13"/>
  <c r="C97" i="13"/>
  <c r="W21" i="11"/>
  <c r="W72" i="13"/>
  <c r="C96" i="8"/>
  <c r="C122" i="8"/>
  <c r="C123" i="13"/>
  <c r="C121" i="11"/>
  <c r="W66" i="11"/>
  <c r="BK76" i="11"/>
  <c r="CE82" i="11"/>
  <c r="C125" i="4"/>
  <c r="C68" i="11"/>
  <c r="C88" i="11"/>
  <c r="C108" i="11"/>
  <c r="W93" i="11"/>
  <c r="W113" i="11"/>
  <c r="AQ98" i="11"/>
  <c r="AQ118" i="11"/>
  <c r="BK83" i="11"/>
  <c r="BK103" i="11"/>
  <c r="CY73" i="11"/>
  <c r="CY93" i="11"/>
  <c r="CY113" i="11"/>
  <c r="AQ119" i="14"/>
  <c r="C89" i="11"/>
  <c r="C109" i="11"/>
  <c r="W74" i="11"/>
  <c r="W114" i="11"/>
  <c r="AQ119" i="11"/>
  <c r="C119" i="13"/>
  <c r="C69" i="11"/>
  <c r="W94" i="11"/>
  <c r="CE109" i="11"/>
  <c r="CY114" i="11"/>
  <c r="C106" i="13"/>
  <c r="C76" i="8"/>
  <c r="W121" i="13"/>
  <c r="C110" i="8"/>
  <c r="C111" i="8"/>
  <c r="C122" i="13"/>
  <c r="C100" i="8"/>
  <c r="C121" i="13"/>
  <c r="C12" i="13"/>
  <c r="W12" i="13"/>
  <c r="W52" i="13"/>
  <c r="C51" i="8"/>
  <c r="C27" i="2"/>
  <c r="BK15" i="14"/>
  <c r="W9" i="14"/>
  <c r="BK23" i="14"/>
  <c r="BK24" i="14"/>
  <c r="C16" i="2"/>
  <c r="W15" i="14"/>
  <c r="BK25" i="14"/>
  <c r="C18" i="9"/>
  <c r="C14" i="7"/>
  <c r="W14" i="7"/>
  <c r="AQ20" i="7"/>
  <c r="C23" i="7"/>
  <c r="W25" i="7"/>
  <c r="AQ28" i="7"/>
  <c r="C17" i="9"/>
  <c r="C20" i="7"/>
  <c r="W18" i="7"/>
  <c r="W19" i="7"/>
  <c r="C25" i="7"/>
  <c r="W61" i="11"/>
  <c r="W60" i="11"/>
  <c r="AQ114" i="14"/>
  <c r="AQ116" i="14"/>
  <c r="C105" i="13"/>
  <c r="C107" i="13"/>
  <c r="W82" i="13"/>
  <c r="C101" i="8"/>
  <c r="C109" i="13"/>
  <c r="W107" i="13"/>
  <c r="C108" i="8"/>
  <c r="C114" i="13"/>
  <c r="X78" i="4"/>
  <c r="AQ81" i="14"/>
  <c r="W114" i="13"/>
  <c r="X108" i="4"/>
  <c r="AQ84" i="14"/>
  <c r="X111" i="4"/>
  <c r="AQ85" i="14"/>
  <c r="C110" i="4"/>
  <c r="X113" i="4"/>
  <c r="AQ90" i="14"/>
  <c r="C53" i="4"/>
  <c r="C47" i="4"/>
  <c r="W42" i="13"/>
  <c r="AQ21" i="14"/>
  <c r="C23" i="4"/>
  <c r="X23" i="4"/>
  <c r="CY21" i="11"/>
  <c r="AQ21" i="11"/>
  <c r="CE21" i="11"/>
  <c r="C22" i="4"/>
  <c r="C15" i="4"/>
  <c r="CE13" i="11"/>
  <c r="C52" i="4"/>
  <c r="X22" i="4"/>
  <c r="W40" i="13"/>
  <c r="X15" i="4"/>
  <c r="BK45" i="11"/>
  <c r="W41" i="13"/>
  <c r="CY11" i="11"/>
  <c r="W45" i="13"/>
  <c r="CY10" i="11"/>
  <c r="CY20" i="11"/>
  <c r="C21" i="11"/>
  <c r="X27" i="4"/>
  <c r="X32" i="4"/>
  <c r="X38" i="4"/>
  <c r="AQ25" i="11"/>
  <c r="X103" i="4"/>
  <c r="AQ60" i="14"/>
  <c r="AQ45" i="11"/>
  <c r="AQ71" i="14"/>
  <c r="W100" i="13"/>
  <c r="W50" i="13"/>
  <c r="X36" i="4"/>
  <c r="W60" i="13"/>
  <c r="CY44" i="11"/>
  <c r="CY45" i="11"/>
  <c r="AQ44" i="11"/>
  <c r="W81" i="13"/>
  <c r="CY46" i="11"/>
  <c r="CY50" i="11"/>
  <c r="W86" i="13"/>
  <c r="AQ74" i="14"/>
  <c r="CY60" i="11"/>
  <c r="W41" i="11"/>
  <c r="AQ75" i="14"/>
  <c r="CY61" i="11"/>
  <c r="W43" i="11"/>
  <c r="C36" i="13"/>
  <c r="AQ76" i="14"/>
  <c r="W44" i="11"/>
  <c r="C37" i="13"/>
  <c r="X75" i="4"/>
  <c r="AQ93" i="14"/>
  <c r="C44" i="13"/>
  <c r="W69" i="13"/>
  <c r="X81" i="4"/>
  <c r="AQ41" i="14"/>
  <c r="CE61" i="11"/>
  <c r="BK46" i="11"/>
  <c r="C45" i="13"/>
  <c r="C60" i="4"/>
  <c r="X88" i="4"/>
  <c r="AQ44" i="14"/>
  <c r="AQ98" i="14"/>
  <c r="BK49" i="11"/>
  <c r="C62" i="4"/>
  <c r="X97" i="4"/>
  <c r="AQ45" i="14"/>
  <c r="AQ99" i="14"/>
  <c r="BK53" i="11"/>
  <c r="C65" i="13"/>
  <c r="C63" i="4"/>
  <c r="X102" i="4"/>
  <c r="X71" i="4"/>
  <c r="CE53" i="11"/>
  <c r="CE59" i="11"/>
  <c r="BK44" i="11"/>
  <c r="BK60" i="11"/>
  <c r="C35" i="11"/>
  <c r="AQ65" i="14"/>
  <c r="C38" i="11"/>
  <c r="W85" i="13"/>
  <c r="AQ66" i="14"/>
  <c r="C45" i="11"/>
  <c r="W90" i="13"/>
  <c r="C103" i="4"/>
  <c r="X55" i="4"/>
  <c r="C68" i="8"/>
  <c r="AQ94" i="14"/>
  <c r="C74" i="13"/>
  <c r="C70" i="4"/>
  <c r="AQ61" i="14"/>
  <c r="BK61" i="11"/>
  <c r="W84" i="13"/>
  <c r="C78" i="4"/>
  <c r="C92" i="4"/>
  <c r="C41" i="11"/>
  <c r="C83" i="13"/>
  <c r="C95" i="4"/>
  <c r="AQ68" i="14"/>
  <c r="C44" i="11"/>
  <c r="C84" i="13"/>
  <c r="W87" i="13"/>
  <c r="C96" i="4"/>
  <c r="AQ69" i="14"/>
  <c r="AQ70" i="14"/>
  <c r="C55" i="11"/>
  <c r="W38" i="11"/>
  <c r="C90" i="13"/>
  <c r="W92" i="13"/>
  <c r="C28" i="13"/>
  <c r="C29" i="13"/>
  <c r="C38" i="4"/>
  <c r="W33" i="11"/>
  <c r="W34" i="11"/>
  <c r="W36" i="11"/>
  <c r="CE36" i="11"/>
  <c r="AQ36" i="14"/>
  <c r="AQ35" i="11"/>
  <c r="AQ36" i="11"/>
  <c r="C28" i="11"/>
  <c r="AQ29" i="11"/>
  <c r="C30" i="11"/>
  <c r="AQ33" i="11"/>
  <c r="C31" i="11"/>
  <c r="AQ34" i="11"/>
  <c r="C36" i="11"/>
  <c r="BK26" i="11"/>
  <c r="C34" i="11"/>
  <c r="AQ31" i="14"/>
  <c r="BK36" i="11"/>
  <c r="AQ33" i="14"/>
  <c r="CE25" i="11"/>
  <c r="W29" i="13"/>
  <c r="AQ34" i="14"/>
  <c r="CE26" i="11"/>
  <c r="W36" i="13"/>
  <c r="AQ35" i="14"/>
  <c r="CE31" i="11"/>
  <c r="W26" i="11"/>
  <c r="W37" i="13"/>
  <c r="X26" i="4"/>
  <c r="C19" i="8"/>
  <c r="W20" i="13"/>
  <c r="C21" i="13"/>
  <c r="C14" i="8"/>
  <c r="W146" i="14"/>
  <c r="C126" i="2"/>
  <c r="BK131" i="14"/>
  <c r="W43" i="14"/>
  <c r="W87" i="14"/>
  <c r="W131" i="14"/>
  <c r="BK41" i="14"/>
  <c r="BK111" i="14"/>
  <c r="BK132" i="14"/>
  <c r="C42" i="2"/>
  <c r="C70" i="2"/>
  <c r="W44" i="14"/>
  <c r="W66" i="14"/>
  <c r="W88" i="14"/>
  <c r="W132" i="14"/>
  <c r="W154" i="14"/>
  <c r="BK112" i="14"/>
  <c r="BK133" i="14"/>
  <c r="C71" i="2"/>
  <c r="C100" i="2"/>
  <c r="W27" i="14"/>
  <c r="W56" i="14"/>
  <c r="BK101" i="14"/>
  <c r="C60" i="2"/>
  <c r="C90" i="2"/>
  <c r="C150" i="2"/>
  <c r="W36" i="14"/>
  <c r="W81" i="14"/>
  <c r="BK36" i="14"/>
  <c r="BK37" i="14"/>
  <c r="W61" i="14"/>
  <c r="BK151" i="14"/>
  <c r="C66" i="2"/>
  <c r="W41" i="14"/>
  <c r="W107" i="14"/>
  <c r="C96" i="2"/>
  <c r="W67" i="14"/>
  <c r="W111" i="14"/>
  <c r="BK113" i="14"/>
  <c r="BK156" i="14"/>
  <c r="W156" i="14"/>
  <c r="W13" i="14"/>
  <c r="W47" i="14"/>
  <c r="W91" i="14"/>
  <c r="W136" i="14"/>
  <c r="BK69" i="14"/>
  <c r="BK136" i="14"/>
  <c r="C106" i="2"/>
  <c r="W48" i="14"/>
  <c r="W71" i="14"/>
  <c r="W92" i="14"/>
  <c r="W114" i="14"/>
  <c r="W137" i="14"/>
  <c r="BK9" i="14"/>
  <c r="BK48" i="14"/>
  <c r="BK116" i="14"/>
  <c r="BK137" i="14"/>
  <c r="C50" i="2"/>
  <c r="C80" i="2"/>
  <c r="W23" i="14"/>
  <c r="W49" i="14"/>
  <c r="W72" i="14"/>
  <c r="W93" i="14"/>
  <c r="W115" i="14"/>
  <c r="W138" i="14"/>
  <c r="BK13" i="14"/>
  <c r="BK117" i="14"/>
  <c r="BK139" i="14"/>
  <c r="C51" i="2"/>
  <c r="C81" i="2"/>
  <c r="C138" i="2"/>
  <c r="C95" i="2"/>
  <c r="W46" i="14"/>
  <c r="BK47" i="14"/>
  <c r="C112" i="2"/>
  <c r="C30" i="2"/>
  <c r="W106" i="14"/>
  <c r="BK152" i="14"/>
  <c r="W68" i="14"/>
  <c r="BK118" i="14"/>
  <c r="W25" i="14"/>
  <c r="W51" i="14"/>
  <c r="W74" i="14"/>
  <c r="W96" i="14"/>
  <c r="BK16" i="14"/>
  <c r="BK73" i="14"/>
  <c r="BK119" i="14"/>
  <c r="BK141" i="14"/>
  <c r="C140" i="2"/>
  <c r="BK56" i="14"/>
  <c r="W42" i="14"/>
  <c r="BK86" i="14"/>
  <c r="W112" i="14"/>
  <c r="W24" i="14"/>
  <c r="W73" i="14"/>
  <c r="W26" i="14"/>
  <c r="W52" i="14"/>
  <c r="W75" i="14"/>
  <c r="W97" i="14"/>
  <c r="BK18" i="14"/>
  <c r="BK143" i="14"/>
  <c r="C26" i="2"/>
  <c r="W31" i="14"/>
  <c r="BK17" i="14"/>
  <c r="W32" i="14"/>
  <c r="C36" i="2"/>
  <c r="BK21" i="14"/>
  <c r="W34" i="14"/>
  <c r="BK22" i="14"/>
  <c r="W14" i="14"/>
  <c r="BK26" i="14"/>
  <c r="W16" i="14"/>
  <c r="W18" i="14"/>
  <c r="W21" i="14"/>
  <c r="BK32" i="14"/>
  <c r="C54" i="7"/>
  <c r="W43" i="7"/>
  <c r="W66" i="7"/>
  <c r="W89" i="7"/>
  <c r="W111" i="7"/>
  <c r="W134" i="7"/>
  <c r="AQ43" i="7"/>
  <c r="AQ68" i="7"/>
  <c r="AQ94" i="7"/>
  <c r="AQ116" i="7"/>
  <c r="AQ139" i="7"/>
  <c r="C52" i="9"/>
  <c r="C123" i="9"/>
  <c r="C118" i="7"/>
  <c r="C26" i="7"/>
  <c r="C83" i="7"/>
  <c r="C108" i="7"/>
  <c r="C133" i="7"/>
  <c r="W44" i="7"/>
  <c r="W91" i="7"/>
  <c r="AQ44" i="7"/>
  <c r="AQ69" i="7"/>
  <c r="C90" i="9"/>
  <c r="C53" i="7"/>
  <c r="W133" i="7"/>
  <c r="AQ93" i="7"/>
  <c r="AQ138" i="7"/>
  <c r="C122" i="9"/>
  <c r="C56" i="7"/>
  <c r="C84" i="7"/>
  <c r="C109" i="7"/>
  <c r="C134" i="7"/>
  <c r="W68" i="7"/>
  <c r="W113" i="7"/>
  <c r="AQ96" i="7"/>
  <c r="AQ121" i="7"/>
  <c r="C57" i="9"/>
  <c r="C130" i="9"/>
  <c r="C113" i="7"/>
  <c r="W46" i="7"/>
  <c r="W69" i="7"/>
  <c r="W93" i="7"/>
  <c r="W114" i="7"/>
  <c r="W138" i="7"/>
  <c r="AQ48" i="7"/>
  <c r="AQ71" i="7"/>
  <c r="AQ144" i="7"/>
  <c r="C58" i="9"/>
  <c r="C92" i="9"/>
  <c r="C132" i="9"/>
  <c r="C30" i="7"/>
  <c r="C58" i="7"/>
  <c r="C86" i="7"/>
  <c r="C114" i="7"/>
  <c r="C139" i="7"/>
  <c r="W47" i="7"/>
  <c r="W94" i="7"/>
  <c r="AQ49" i="7"/>
  <c r="AQ72" i="7"/>
  <c r="AQ98" i="7"/>
  <c r="AQ123" i="7"/>
  <c r="C98" i="9"/>
  <c r="C136" i="9"/>
  <c r="W123" i="7"/>
  <c r="AQ103" i="7"/>
  <c r="AQ128" i="7"/>
  <c r="AQ153" i="7"/>
  <c r="C72" i="9"/>
  <c r="C107" i="9"/>
  <c r="C38" i="7"/>
  <c r="C66" i="7"/>
  <c r="C148" i="7"/>
  <c r="W31" i="7"/>
  <c r="W53" i="7"/>
  <c r="W124" i="7"/>
  <c r="AQ58" i="7"/>
  <c r="AQ81" i="7"/>
  <c r="AQ104" i="7"/>
  <c r="AQ129" i="7"/>
  <c r="AQ154" i="7"/>
  <c r="C108" i="9"/>
  <c r="W98" i="7"/>
  <c r="AQ31" i="7"/>
  <c r="C41" i="7"/>
  <c r="W78" i="7"/>
  <c r="AQ33" i="7"/>
  <c r="C68" i="7"/>
  <c r="W126" i="7"/>
  <c r="AQ83" i="7"/>
  <c r="AQ106" i="7"/>
  <c r="AQ131" i="7"/>
  <c r="AQ156" i="7"/>
  <c r="C42" i="9"/>
  <c r="C112" i="9"/>
  <c r="C147" i="9"/>
  <c r="C44" i="7"/>
  <c r="C151" i="7"/>
  <c r="W34" i="7"/>
  <c r="W103" i="7"/>
  <c r="AQ84" i="7"/>
  <c r="C77" i="9"/>
  <c r="C113" i="9"/>
  <c r="C148" i="9"/>
  <c r="C98" i="7"/>
  <c r="C152" i="7"/>
  <c r="W81" i="7"/>
  <c r="W128" i="7"/>
  <c r="AQ36" i="7"/>
  <c r="AQ62" i="7"/>
  <c r="AQ85" i="7"/>
  <c r="AQ108" i="7"/>
  <c r="C152" i="9"/>
  <c r="AQ34" i="7"/>
  <c r="C49" i="7"/>
  <c r="C153" i="7"/>
  <c r="W36" i="7"/>
  <c r="W61" i="7"/>
  <c r="W82" i="7"/>
  <c r="W106" i="7"/>
  <c r="W129" i="7"/>
  <c r="AQ37" i="7"/>
  <c r="AQ134" i="7"/>
  <c r="C45" i="9"/>
  <c r="C153" i="9"/>
  <c r="AQ63" i="7"/>
  <c r="C126" i="7"/>
  <c r="C154" i="7"/>
  <c r="W62" i="7"/>
  <c r="W83" i="7"/>
  <c r="AQ38" i="7"/>
  <c r="AQ64" i="7"/>
  <c r="AQ112" i="7"/>
  <c r="W101" i="7"/>
  <c r="W33" i="7"/>
  <c r="C51" i="7"/>
  <c r="C76" i="7"/>
  <c r="C129" i="7"/>
  <c r="W38" i="7"/>
  <c r="W63" i="7"/>
  <c r="W84" i="7"/>
  <c r="AQ39" i="7"/>
  <c r="AQ65" i="7"/>
  <c r="AQ136" i="7"/>
  <c r="C155" i="9"/>
  <c r="W143" i="7"/>
  <c r="C94" i="7"/>
  <c r="W79" i="7"/>
  <c r="AQ109" i="7"/>
  <c r="C102" i="7"/>
  <c r="C156" i="7"/>
  <c r="W39" i="7"/>
  <c r="W64" i="7"/>
  <c r="W132" i="7"/>
  <c r="AQ40" i="7"/>
  <c r="AQ66" i="7"/>
  <c r="C121" i="9"/>
  <c r="C16" i="9"/>
  <c r="C20" i="9"/>
  <c r="W17" i="7"/>
  <c r="W11" i="7"/>
  <c r="C25" i="9"/>
  <c r="W12" i="7"/>
  <c r="W21" i="7"/>
  <c r="W16" i="7"/>
  <c r="C18" i="7"/>
  <c r="W28" i="7"/>
  <c r="AQ13" i="7"/>
  <c r="W22" i="7"/>
  <c r="AQ11" i="7"/>
  <c r="C19" i="7"/>
  <c r="AQ16" i="7"/>
  <c r="C17" i="7"/>
  <c r="W27" i="7"/>
  <c r="C21" i="7"/>
  <c r="C22" i="7"/>
  <c r="C16" i="7"/>
  <c r="C11" i="9"/>
  <c r="C24" i="7"/>
  <c r="AQ28" i="14"/>
  <c r="BK38" i="11"/>
  <c r="C54" i="4"/>
  <c r="C102" i="4"/>
  <c r="X62" i="4"/>
  <c r="C59" i="8"/>
  <c r="C104" i="8"/>
  <c r="CE12" i="11"/>
  <c r="W37" i="11"/>
  <c r="AQ62" i="14"/>
  <c r="AQ87" i="14"/>
  <c r="BK39" i="11"/>
  <c r="C13" i="13"/>
  <c r="C68" i="13"/>
  <c r="W21" i="13"/>
  <c r="W76" i="13"/>
  <c r="C55" i="4"/>
  <c r="X110" i="4"/>
  <c r="C60" i="8"/>
  <c r="C105" i="8"/>
  <c r="C116" i="13"/>
  <c r="W116" i="13"/>
  <c r="C19" i="4"/>
  <c r="CY47" i="11"/>
  <c r="C37" i="11"/>
  <c r="CY37" i="11"/>
  <c r="C62" i="11"/>
  <c r="AQ62" i="11"/>
  <c r="CY39" i="11"/>
  <c r="CE38" i="11"/>
  <c r="C108" i="13"/>
  <c r="W73" i="13"/>
  <c r="AQ29" i="14"/>
  <c r="AQ63" i="14"/>
  <c r="AQ112" i="14"/>
  <c r="CY42" i="11"/>
  <c r="CE42" i="11"/>
  <c r="W28" i="11"/>
  <c r="AQ27" i="11"/>
  <c r="AQ30" i="14"/>
  <c r="AQ64" i="14"/>
  <c r="AQ92" i="14"/>
  <c r="AQ113" i="14"/>
  <c r="CY43" i="11"/>
  <c r="CE44" i="11"/>
  <c r="C33" i="11"/>
  <c r="W29" i="11"/>
  <c r="AQ28" i="11"/>
  <c r="C19" i="13"/>
  <c r="W28" i="13"/>
  <c r="W113" i="13"/>
  <c r="C56" i="4"/>
  <c r="X14" i="4"/>
  <c r="X70" i="4"/>
  <c r="C107" i="8"/>
  <c r="CE47" i="11"/>
  <c r="CE52" i="11"/>
  <c r="C64" i="4"/>
  <c r="C72" i="8"/>
  <c r="X79" i="4"/>
  <c r="AQ37" i="14"/>
  <c r="CY12" i="11"/>
  <c r="CY52" i="11"/>
  <c r="AQ37" i="11"/>
  <c r="BK50" i="11"/>
  <c r="C30" i="4"/>
  <c r="C71" i="4"/>
  <c r="X30" i="4"/>
  <c r="X86" i="4"/>
  <c r="C73" i="8"/>
  <c r="AQ40" i="14"/>
  <c r="AQ100" i="14"/>
  <c r="CY13" i="11"/>
  <c r="CY53" i="11"/>
  <c r="CE22" i="11"/>
  <c r="C42" i="11"/>
  <c r="W42" i="11"/>
  <c r="AQ42" i="11"/>
  <c r="BK10" i="11"/>
  <c r="BK52" i="11"/>
  <c r="C42" i="13"/>
  <c r="W44" i="13"/>
  <c r="C31" i="4"/>
  <c r="C75" i="4"/>
  <c r="C117" i="4"/>
  <c r="X31" i="4"/>
  <c r="X87" i="4"/>
  <c r="C12" i="8"/>
  <c r="C112" i="8"/>
  <c r="BK12" i="11"/>
  <c r="AQ67" i="14"/>
  <c r="CE62" i="11"/>
  <c r="W93" i="13"/>
  <c r="C39" i="4"/>
  <c r="AQ103" i="14"/>
  <c r="CY23" i="11"/>
  <c r="CE28" i="11"/>
  <c r="C17" i="11"/>
  <c r="C52" i="11"/>
  <c r="W45" i="11"/>
  <c r="AQ49" i="11"/>
  <c r="BK20" i="11"/>
  <c r="C51" i="13"/>
  <c r="C96" i="13"/>
  <c r="W98" i="13"/>
  <c r="C44" i="4"/>
  <c r="C84" i="4"/>
  <c r="X92" i="4"/>
  <c r="AQ12" i="14"/>
  <c r="AQ47" i="14"/>
  <c r="AQ77" i="14"/>
  <c r="CY28" i="11"/>
  <c r="CE29" i="11"/>
  <c r="C18" i="11"/>
  <c r="C53" i="11"/>
  <c r="W46" i="11"/>
  <c r="AQ50" i="11"/>
  <c r="W53" i="13"/>
  <c r="W99" i="13"/>
  <c r="C45" i="4"/>
  <c r="C86" i="4"/>
  <c r="X39" i="4"/>
  <c r="X94" i="4"/>
  <c r="C92" i="8"/>
  <c r="C13" i="11"/>
  <c r="BK13" i="11"/>
  <c r="C79" i="4"/>
  <c r="X89" i="4"/>
  <c r="AQ13" i="14"/>
  <c r="AQ52" i="14"/>
  <c r="AQ78" i="14"/>
  <c r="CY29" i="11"/>
  <c r="C20" i="11"/>
  <c r="W12" i="11"/>
  <c r="W52" i="11"/>
  <c r="AQ52" i="11"/>
  <c r="C53" i="13"/>
  <c r="C98" i="13"/>
  <c r="W54" i="13"/>
  <c r="C46" i="4"/>
  <c r="C87" i="4"/>
  <c r="X41" i="4"/>
  <c r="C33" i="8"/>
  <c r="C93" i="8"/>
  <c r="AQ97" i="14"/>
  <c r="C115" i="4"/>
  <c r="C12" i="11"/>
  <c r="AQ102" i="14"/>
  <c r="AQ18" i="14"/>
  <c r="AQ53" i="14"/>
  <c r="CY33" i="11"/>
  <c r="CE33" i="11"/>
  <c r="C58" i="11"/>
  <c r="W13" i="11"/>
  <c r="W53" i="11"/>
  <c r="AQ12" i="11"/>
  <c r="C56" i="13"/>
  <c r="W101" i="13"/>
  <c r="AQ107" i="14"/>
  <c r="CY34" i="11"/>
  <c r="CE34" i="11"/>
  <c r="C22" i="11"/>
  <c r="C60" i="11"/>
  <c r="W18" i="11"/>
  <c r="W58" i="11"/>
  <c r="AQ13" i="11"/>
  <c r="BK29" i="11"/>
  <c r="W61" i="13"/>
  <c r="W103" i="13"/>
  <c r="C48" i="4"/>
  <c r="C93" i="4"/>
  <c r="X99" i="4"/>
  <c r="AQ19" i="14"/>
  <c r="AQ57" i="14"/>
  <c r="AQ82" i="14"/>
  <c r="AQ20" i="14"/>
  <c r="AQ58" i="14"/>
  <c r="AQ83" i="14"/>
  <c r="AQ108" i="14"/>
  <c r="CE35" i="11"/>
  <c r="C23" i="11"/>
  <c r="C61" i="11"/>
  <c r="W20" i="11"/>
  <c r="W59" i="11"/>
  <c r="AQ20" i="11"/>
  <c r="BK31" i="11"/>
  <c r="W11" i="13"/>
  <c r="W68" i="13"/>
  <c r="C49" i="4"/>
  <c r="C94" i="4"/>
  <c r="X54" i="4"/>
  <c r="X100" i="4"/>
  <c r="C46" i="8"/>
  <c r="AQ23" i="14"/>
  <c r="CY38" i="11"/>
  <c r="CE37" i="11"/>
  <c r="W25" i="11"/>
  <c r="AQ24" i="11"/>
  <c r="C11" i="13"/>
  <c r="C64" i="13"/>
  <c r="X56" i="4"/>
  <c r="BK19" i="14"/>
  <c r="BK20" i="14"/>
  <c r="W10" i="14"/>
  <c r="W12" i="14"/>
  <c r="W11" i="14"/>
  <c r="C11" i="2"/>
  <c r="C18" i="2"/>
  <c r="BK11" i="14"/>
  <c r="C19" i="2"/>
  <c r="C27" i="9"/>
  <c r="C47" i="8"/>
  <c r="CY24" i="11"/>
  <c r="AQ55" i="14"/>
  <c r="AQ89" i="14"/>
  <c r="CY25" i="11"/>
  <c r="CE23" i="11"/>
  <c r="AQ26" i="11"/>
  <c r="C94" i="13"/>
  <c r="W34" i="13"/>
  <c r="C88" i="4"/>
  <c r="X28" i="4"/>
  <c r="X72" i="4"/>
  <c r="C48" i="8"/>
  <c r="C94" i="8"/>
  <c r="AQ88" i="14"/>
  <c r="AQ56" i="14"/>
  <c r="CY26" i="11"/>
  <c r="CE24" i="11"/>
  <c r="W24" i="11"/>
  <c r="BK30" i="11"/>
  <c r="C10" i="13"/>
  <c r="C55" i="13"/>
  <c r="C95" i="13"/>
  <c r="W35" i="13"/>
  <c r="W75" i="13"/>
  <c r="C91" i="4"/>
  <c r="X73" i="4"/>
  <c r="C49" i="8"/>
  <c r="C95" i="8"/>
  <c r="AQ24" i="14"/>
  <c r="C57" i="13"/>
  <c r="BK32" i="11"/>
  <c r="CY31" i="11"/>
  <c r="CE27" i="11"/>
  <c r="C26" i="11"/>
  <c r="W27" i="11"/>
  <c r="AQ30" i="11"/>
  <c r="BK33" i="11"/>
  <c r="C58" i="13"/>
  <c r="W38" i="13"/>
  <c r="W79" i="13"/>
  <c r="C50" i="4"/>
  <c r="X33" i="4"/>
  <c r="X76" i="4"/>
  <c r="C55" i="8"/>
  <c r="C98" i="8"/>
  <c r="X74" i="4"/>
  <c r="AQ25" i="14"/>
  <c r="AQ26" i="14"/>
  <c r="AQ95" i="14"/>
  <c r="CY32" i="11"/>
  <c r="AQ31" i="11"/>
  <c r="BK34" i="11"/>
  <c r="C18" i="13"/>
  <c r="C59" i="13"/>
  <c r="W39" i="13"/>
  <c r="W80" i="13"/>
  <c r="C51" i="4"/>
  <c r="X35" i="4"/>
  <c r="AQ32" i="11"/>
  <c r="CE32" i="11"/>
  <c r="C16" i="8"/>
  <c r="C62" i="8"/>
  <c r="C102" i="8"/>
  <c r="C32" i="11"/>
  <c r="C23" i="13"/>
  <c r="C63" i="13"/>
  <c r="W43" i="13"/>
  <c r="C12" i="4"/>
  <c r="C106" i="4"/>
  <c r="X40" i="4"/>
  <c r="C17" i="8"/>
  <c r="C63" i="8"/>
  <c r="C103" i="8"/>
  <c r="CY40" i="11"/>
  <c r="W39" i="11"/>
  <c r="AQ38" i="11"/>
  <c r="C26" i="13"/>
  <c r="C66" i="13"/>
  <c r="W47" i="13"/>
  <c r="W88" i="13"/>
  <c r="C16" i="4"/>
  <c r="C61" i="4"/>
  <c r="C109" i="4"/>
  <c r="X43" i="4"/>
  <c r="X90" i="4"/>
  <c r="C23" i="8"/>
  <c r="C66" i="8"/>
  <c r="C25" i="13"/>
  <c r="X42" i="4"/>
  <c r="CY41" i="11"/>
  <c r="W40" i="11"/>
  <c r="AQ39" i="11"/>
  <c r="C27" i="13"/>
  <c r="C67" i="13"/>
  <c r="W48" i="13"/>
  <c r="W89" i="13"/>
  <c r="C17" i="4"/>
  <c r="X44" i="4"/>
  <c r="X91" i="4"/>
  <c r="AQ40" i="11"/>
  <c r="W49" i="13"/>
  <c r="C18" i="4"/>
  <c r="C29" i="8"/>
  <c r="C39" i="11"/>
  <c r="BK47" i="11"/>
  <c r="C30" i="13"/>
  <c r="C20" i="4"/>
  <c r="C113" i="4"/>
  <c r="X49" i="4"/>
  <c r="C30" i="8"/>
  <c r="C70" i="8"/>
  <c r="BK40" i="11"/>
  <c r="AQ38" i="14"/>
  <c r="AQ72" i="14"/>
  <c r="AQ39" i="14"/>
  <c r="AQ73" i="14"/>
  <c r="C40" i="11"/>
  <c r="BK48" i="11"/>
  <c r="C31" i="13"/>
  <c r="C21" i="4"/>
  <c r="C114" i="4"/>
  <c r="X96" i="4"/>
  <c r="C31" i="8"/>
  <c r="C71" i="8"/>
  <c r="CY48" i="11"/>
  <c r="CE49" i="11"/>
  <c r="W47" i="11"/>
  <c r="AQ10" i="11"/>
  <c r="AQ51" i="11"/>
  <c r="C24" i="4"/>
  <c r="C76" i="4"/>
  <c r="X57" i="4"/>
  <c r="C34" i="8"/>
  <c r="C74" i="4"/>
  <c r="CY49" i="11"/>
  <c r="CE10" i="11"/>
  <c r="CE50" i="11"/>
  <c r="W48" i="11"/>
  <c r="BK14" i="11"/>
  <c r="C82" i="13"/>
  <c r="W16" i="13"/>
  <c r="W57" i="13"/>
  <c r="W102" i="13"/>
  <c r="C28" i="4"/>
  <c r="C77" i="4"/>
  <c r="X58" i="4"/>
  <c r="C15" i="8"/>
  <c r="C32" i="8"/>
  <c r="C29" i="4"/>
  <c r="X12" i="4"/>
  <c r="X59" i="4"/>
  <c r="C78" i="8"/>
  <c r="C75" i="13"/>
  <c r="AQ43" i="14"/>
  <c r="CY14" i="11"/>
  <c r="CE51" i="11"/>
  <c r="C46" i="11"/>
  <c r="W49" i="11"/>
  <c r="BK15" i="11"/>
  <c r="BK54" i="11"/>
  <c r="W17" i="13"/>
  <c r="AQ10" i="14"/>
  <c r="AQ79" i="14"/>
  <c r="CY15" i="11"/>
  <c r="C47" i="11"/>
  <c r="W10" i="11"/>
  <c r="W50" i="11"/>
  <c r="AQ17" i="11"/>
  <c r="AQ54" i="11"/>
  <c r="BK16" i="11"/>
  <c r="BK55" i="11"/>
  <c r="W104" i="13"/>
  <c r="X60" i="4"/>
  <c r="X104" i="4"/>
  <c r="C37" i="8"/>
  <c r="C79" i="8"/>
  <c r="AQ46" i="14"/>
  <c r="AQ80" i="14"/>
  <c r="CY16" i="11"/>
  <c r="CE15" i="11"/>
  <c r="C48" i="11"/>
  <c r="AQ18" i="11"/>
  <c r="AQ55" i="11"/>
  <c r="BK17" i="11"/>
  <c r="BK58" i="11"/>
  <c r="C41" i="13"/>
  <c r="C80" i="4"/>
  <c r="X105" i="4"/>
  <c r="C38" i="8"/>
  <c r="C80" i="8"/>
  <c r="CY17" i="11"/>
  <c r="CY54" i="11"/>
  <c r="CE16" i="11"/>
  <c r="CE54" i="11"/>
  <c r="C49" i="11"/>
  <c r="AQ19" i="11"/>
  <c r="AQ56" i="11"/>
  <c r="BK18" i="11"/>
  <c r="X106" i="4"/>
  <c r="C39" i="8"/>
  <c r="X17" i="4"/>
  <c r="CY18" i="11"/>
  <c r="CY55" i="11"/>
  <c r="CE17" i="11"/>
  <c r="CE55" i="11"/>
  <c r="C50" i="11"/>
  <c r="W14" i="11"/>
  <c r="W54" i="11"/>
  <c r="AQ57" i="11"/>
  <c r="C43" i="13"/>
  <c r="C88" i="13"/>
  <c r="W22" i="13"/>
  <c r="C82" i="4"/>
  <c r="X64" i="4"/>
  <c r="X107" i="4"/>
  <c r="CY56" i="11"/>
  <c r="CE18" i="11"/>
  <c r="CE56" i="11"/>
  <c r="C14" i="11"/>
  <c r="W15" i="11"/>
  <c r="W55" i="11"/>
  <c r="AQ58" i="11"/>
  <c r="BK62" i="11"/>
  <c r="C89" i="13"/>
  <c r="W23" i="13"/>
  <c r="C83" i="4"/>
  <c r="X65" i="4"/>
  <c r="C87" i="13"/>
  <c r="C32" i="4"/>
  <c r="C81" i="4"/>
  <c r="AQ14" i="14"/>
  <c r="AQ48" i="14"/>
  <c r="AQ15" i="14"/>
  <c r="AQ49" i="14"/>
  <c r="AQ16" i="14"/>
  <c r="AQ50" i="14"/>
  <c r="CY57" i="11"/>
  <c r="CE19" i="11"/>
  <c r="CE57" i="11"/>
  <c r="C15" i="11"/>
  <c r="W16" i="11"/>
  <c r="W56" i="11"/>
  <c r="AQ22" i="11"/>
  <c r="AQ59" i="11"/>
  <c r="BK22" i="11"/>
  <c r="W24" i="13"/>
  <c r="W70" i="13"/>
  <c r="C42" i="4"/>
  <c r="X24" i="4"/>
  <c r="X67" i="4"/>
  <c r="AQ32" i="14"/>
  <c r="C32" i="13"/>
  <c r="CE48" i="11"/>
  <c r="C33" i="13"/>
  <c r="W55" i="13"/>
  <c r="AQ17" i="14"/>
  <c r="AQ51" i="14"/>
  <c r="CY22" i="11"/>
  <c r="CY58" i="11"/>
  <c r="C16" i="11"/>
  <c r="C54" i="11"/>
  <c r="W17" i="11"/>
  <c r="W57" i="11"/>
  <c r="AQ23" i="11"/>
  <c r="BK23" i="11"/>
  <c r="C91" i="13"/>
  <c r="W25" i="13"/>
  <c r="W71" i="13"/>
  <c r="W111" i="13"/>
  <c r="C43" i="4"/>
  <c r="C85" i="4"/>
  <c r="X25" i="4"/>
  <c r="X68" i="4"/>
  <c r="C135" i="9"/>
  <c r="C13" i="4"/>
  <c r="C9" i="9"/>
  <c r="C41" i="9"/>
  <c r="C73" i="9"/>
  <c r="C105" i="9"/>
  <c r="C137" i="9"/>
  <c r="W11" i="11"/>
  <c r="C21" i="2"/>
  <c r="C53" i="2"/>
  <c r="C85" i="2"/>
  <c r="C117" i="2"/>
  <c r="C149" i="2"/>
  <c r="W15" i="7"/>
  <c r="BK35" i="11"/>
  <c r="X29" i="4"/>
  <c r="X61" i="4"/>
  <c r="X93" i="4"/>
  <c r="X125" i="4"/>
  <c r="X157" i="4"/>
  <c r="C14" i="9"/>
  <c r="C46" i="9"/>
  <c r="C78" i="9"/>
  <c r="C110" i="9"/>
  <c r="C142" i="9"/>
  <c r="C47" i="9"/>
  <c r="C79" i="9"/>
  <c r="C111" i="9"/>
  <c r="C143" i="9"/>
  <c r="BK30" i="14"/>
  <c r="BK62" i="14"/>
  <c r="BK94" i="14"/>
  <c r="BK126" i="14"/>
  <c r="W40" i="7"/>
  <c r="W72" i="7"/>
  <c r="W104" i="7"/>
  <c r="W136" i="7"/>
  <c r="AQ10" i="7"/>
  <c r="AQ42" i="7"/>
  <c r="AQ74" i="7"/>
  <c r="W14" i="13"/>
  <c r="W46" i="13"/>
  <c r="W78" i="13"/>
  <c r="W110" i="13"/>
  <c r="W142" i="13"/>
  <c r="W19" i="11"/>
  <c r="W51" i="11"/>
  <c r="W15" i="13"/>
  <c r="X34" i="4"/>
  <c r="X66" i="4"/>
  <c r="X98" i="4"/>
  <c r="X130" i="4"/>
  <c r="C29" i="2"/>
  <c r="C61" i="2"/>
  <c r="C93" i="2"/>
  <c r="C125" i="2"/>
  <c r="AQ11" i="14"/>
  <c r="C31" i="7"/>
  <c r="C63" i="7"/>
  <c r="C95" i="7"/>
  <c r="C127" i="7"/>
  <c r="CY19" i="11"/>
  <c r="CY51" i="11"/>
  <c r="CE30" i="11"/>
  <c r="C25" i="4"/>
  <c r="C21" i="9"/>
  <c r="C53" i="9"/>
  <c r="C85" i="9"/>
  <c r="C117" i="9"/>
  <c r="C149" i="9"/>
  <c r="BK34" i="14"/>
  <c r="BK66" i="14"/>
  <c r="BK98" i="14"/>
  <c r="C32" i="7"/>
  <c r="C64" i="7"/>
  <c r="C96" i="7"/>
  <c r="C128" i="7"/>
  <c r="AQ46" i="7"/>
  <c r="AQ78" i="7"/>
  <c r="AQ110" i="7"/>
  <c r="AQ142" i="7"/>
  <c r="C11" i="11"/>
  <c r="C43" i="11"/>
  <c r="W22" i="11"/>
  <c r="BK11" i="11"/>
  <c r="BK43" i="11"/>
  <c r="C26" i="4"/>
  <c r="C58" i="4"/>
  <c r="C90" i="4"/>
  <c r="C122" i="4"/>
  <c r="C154" i="4"/>
  <c r="X37" i="4"/>
  <c r="X69" i="4"/>
  <c r="X101" i="4"/>
  <c r="X133" i="4"/>
  <c r="C22" i="9"/>
  <c r="C54" i="9"/>
  <c r="C86" i="9"/>
  <c r="C118" i="9"/>
  <c r="C150" i="9"/>
  <c r="W42" i="7"/>
  <c r="AQ47" i="7"/>
  <c r="AQ79" i="7"/>
  <c r="AQ111" i="7"/>
  <c r="AQ143" i="7"/>
  <c r="W19" i="13"/>
  <c r="W51" i="13"/>
  <c r="W83" i="13"/>
  <c r="W115" i="13"/>
  <c r="W147" i="13"/>
  <c r="C27" i="4"/>
  <c r="C59" i="4"/>
  <c r="C23" i="9"/>
  <c r="C55" i="9"/>
  <c r="C87" i="9"/>
  <c r="C119" i="9"/>
  <c r="C151" i="9"/>
  <c r="C13" i="8"/>
  <c r="C45" i="8"/>
  <c r="C77" i="8"/>
  <c r="C109" i="8"/>
  <c r="C141" i="8"/>
  <c r="C37" i="2"/>
  <c r="C69" i="2"/>
  <c r="C101" i="2"/>
  <c r="C133" i="2"/>
  <c r="C39" i="7"/>
  <c r="C71" i="7"/>
  <c r="C103" i="7"/>
  <c r="C135" i="7"/>
  <c r="C33" i="4"/>
  <c r="C65" i="4"/>
  <c r="C97" i="4"/>
  <c r="CY27" i="11"/>
  <c r="CY59" i="11"/>
  <c r="BK74" i="14"/>
  <c r="CE39" i="11"/>
  <c r="C19" i="11"/>
  <c r="C51" i="11"/>
  <c r="W30" i="11"/>
  <c r="W62" i="11"/>
  <c r="AQ41" i="11"/>
  <c r="BK19" i="11"/>
  <c r="BK51" i="11"/>
  <c r="W26" i="13"/>
  <c r="W58" i="13"/>
  <c r="C34" i="4"/>
  <c r="C66" i="4"/>
  <c r="C98" i="4"/>
  <c r="C130" i="4"/>
  <c r="X13" i="4"/>
  <c r="X45" i="4"/>
  <c r="X77" i="4"/>
  <c r="X109" i="4"/>
  <c r="X141" i="4"/>
  <c r="BK10" i="14"/>
  <c r="BK42" i="14"/>
  <c r="BK106" i="14"/>
  <c r="BK138" i="14"/>
  <c r="AQ23" i="7"/>
  <c r="AQ55" i="7"/>
  <c r="AQ87" i="7"/>
  <c r="AQ119" i="7"/>
  <c r="AQ151" i="7"/>
  <c r="CE40" i="11"/>
  <c r="W31" i="11"/>
  <c r="W27" i="13"/>
  <c r="W59" i="13"/>
  <c r="W91" i="13"/>
  <c r="W123" i="13"/>
  <c r="W155" i="13"/>
  <c r="C35" i="4"/>
  <c r="C67" i="4"/>
  <c r="C99" i="4"/>
  <c r="C131" i="4"/>
  <c r="AQ24" i="7"/>
  <c r="AQ56" i="7"/>
  <c r="AQ88" i="7"/>
  <c r="AQ120" i="7"/>
  <c r="AQ152" i="7"/>
  <c r="W32" i="11"/>
  <c r="AQ11" i="11"/>
  <c r="AQ43" i="11"/>
  <c r="C21" i="8"/>
  <c r="C53" i="8"/>
  <c r="C85" i="8"/>
  <c r="C117" i="8"/>
  <c r="C149" i="8"/>
  <c r="C37" i="4"/>
  <c r="C69" i="4"/>
  <c r="C101" i="4"/>
  <c r="C133" i="4"/>
  <c r="X16" i="4"/>
  <c r="X48" i="4"/>
  <c r="X80" i="4"/>
  <c r="X112" i="4"/>
  <c r="BK14" i="14"/>
  <c r="BK46" i="14"/>
  <c r="BK78" i="14"/>
  <c r="BK110" i="14"/>
  <c r="BK142" i="14"/>
  <c r="AQ26" i="7"/>
  <c r="C24" i="11"/>
  <c r="C56" i="11"/>
  <c r="W35" i="11"/>
  <c r="AQ14" i="11"/>
  <c r="AQ46" i="11"/>
  <c r="X18" i="4"/>
  <c r="X50" i="4"/>
  <c r="X82" i="4"/>
  <c r="X114" i="4"/>
  <c r="X146" i="4"/>
  <c r="AQ27" i="14"/>
  <c r="AQ59" i="14"/>
  <c r="AQ91" i="14"/>
  <c r="AQ123" i="14"/>
  <c r="AQ155" i="14"/>
  <c r="C25" i="11"/>
  <c r="C57" i="11"/>
  <c r="C27" i="11"/>
  <c r="C59" i="11"/>
  <c r="A1" i="3"/>
  <c r="U9" i="3"/>
  <c r="T9" i="3"/>
  <c r="V9" i="3"/>
  <c r="C7" i="9" l="1"/>
  <c r="AQ8" i="7"/>
  <c r="C8" i="7"/>
  <c r="W8" i="7"/>
  <c r="C8" i="12"/>
  <c r="AQ8" i="14"/>
  <c r="C8" i="11"/>
  <c r="W8" i="11"/>
  <c r="X10" i="4"/>
  <c r="CE8" i="11"/>
  <c r="BK8" i="11"/>
  <c r="CY8" i="11"/>
  <c r="W8" i="12"/>
  <c r="AQ8" i="11"/>
  <c r="C10" i="4"/>
  <c r="W8" i="13"/>
  <c r="C7" i="8"/>
  <c r="C8" i="13"/>
  <c r="AQ9" i="7"/>
  <c r="C9" i="7"/>
  <c r="C8" i="9"/>
  <c r="W9" i="7"/>
  <c r="C9" i="11"/>
  <c r="BK9" i="11"/>
  <c r="C11" i="4"/>
  <c r="CY9" i="11"/>
  <c r="X11" i="4"/>
  <c r="AQ9" i="14"/>
  <c r="W9" i="11"/>
  <c r="AQ9" i="11"/>
  <c r="CE9" i="11"/>
  <c r="M3" i="7"/>
  <c r="M2" i="7"/>
  <c r="M1" i="7"/>
  <c r="Q2" i="14"/>
  <c r="Q1" i="14"/>
  <c r="M3" i="14"/>
  <c r="M2" i="14"/>
  <c r="M1" i="14"/>
  <c r="CE157" i="14"/>
  <c r="CE156" i="14"/>
  <c r="C149" i="14"/>
  <c r="C148" i="14"/>
  <c r="C147" i="14"/>
  <c r="C135" i="14"/>
  <c r="CE134" i="14"/>
  <c r="CE133" i="14"/>
  <c r="CE132" i="14"/>
  <c r="CE131" i="14"/>
  <c r="CE130" i="14"/>
  <c r="CE129" i="14"/>
  <c r="CE128" i="14"/>
  <c r="CE127" i="14"/>
  <c r="CE126" i="14"/>
  <c r="CE125" i="14"/>
  <c r="CE124" i="14"/>
  <c r="C117" i="14"/>
  <c r="C115" i="14"/>
  <c r="C103" i="14"/>
  <c r="CE102" i="14"/>
  <c r="CE101" i="14"/>
  <c r="CE100" i="14"/>
  <c r="CE99" i="14"/>
  <c r="CE98" i="14"/>
  <c r="CE97" i="14"/>
  <c r="CE96" i="14"/>
  <c r="CE95" i="14"/>
  <c r="CE94" i="14"/>
  <c r="CE93" i="14"/>
  <c r="CE92" i="14"/>
  <c r="CE85" i="14"/>
  <c r="CE84" i="14"/>
  <c r="CE83" i="14"/>
  <c r="C71" i="14"/>
  <c r="CE70" i="14"/>
  <c r="CE69" i="14"/>
  <c r="CE68" i="14"/>
  <c r="CE67" i="14"/>
  <c r="CE66" i="14"/>
  <c r="CE65" i="14"/>
  <c r="CE64" i="14"/>
  <c r="CE63" i="14"/>
  <c r="CE62" i="14"/>
  <c r="CE61" i="14"/>
  <c r="CE60" i="14"/>
  <c r="CE53" i="14"/>
  <c r="CE52" i="14"/>
  <c r="CE51" i="14"/>
  <c r="C39" i="14"/>
  <c r="CE38" i="14"/>
  <c r="CE37" i="14"/>
  <c r="CE36" i="14"/>
  <c r="CE35" i="14"/>
  <c r="CE34" i="14"/>
  <c r="CE33" i="14"/>
  <c r="CE32" i="14"/>
  <c r="CE31" i="14"/>
  <c r="CE30" i="14"/>
  <c r="CE29" i="14"/>
  <c r="CE28" i="14"/>
  <c r="W9" i="3"/>
  <c r="BK8" i="14" l="1"/>
  <c r="C7" i="2"/>
  <c r="C8" i="8"/>
  <c r="W9" i="13"/>
  <c r="C9" i="13"/>
  <c r="CE135" i="14"/>
  <c r="CE136" i="14"/>
  <c r="CE122" i="14"/>
  <c r="CE148" i="14"/>
  <c r="CE123" i="14"/>
  <c r="CE140" i="14"/>
  <c r="CE154" i="14"/>
  <c r="CE155" i="14"/>
  <c r="C8" i="14"/>
  <c r="W8" i="14"/>
  <c r="CE8" i="14"/>
  <c r="CE26" i="14"/>
  <c r="C20" i="14"/>
  <c r="CE39" i="14"/>
  <c r="C116" i="14"/>
  <c r="CE40" i="14"/>
  <c r="CE71" i="14"/>
  <c r="CE72" i="14"/>
  <c r="CE116" i="14"/>
  <c r="CE112" i="14"/>
  <c r="C17" i="14"/>
  <c r="CE27" i="14"/>
  <c r="CE113" i="14"/>
  <c r="C18" i="14"/>
  <c r="CE114" i="14"/>
  <c r="C19" i="14"/>
  <c r="CE115" i="14"/>
  <c r="CE44" i="14"/>
  <c r="C21" i="14"/>
  <c r="CE45" i="14"/>
  <c r="CE117" i="14"/>
  <c r="C44" i="14"/>
  <c r="CE46" i="14"/>
  <c r="C49" i="14"/>
  <c r="CE48" i="14"/>
  <c r="C50" i="14"/>
  <c r="CE49" i="14"/>
  <c r="C51" i="14"/>
  <c r="CE50" i="14"/>
  <c r="C52" i="14"/>
  <c r="C53" i="14"/>
  <c r="CE141" i="14"/>
  <c r="C76" i="14"/>
  <c r="CE142" i="14"/>
  <c r="C81" i="14"/>
  <c r="CE58" i="14"/>
  <c r="CE144" i="14"/>
  <c r="C82" i="14"/>
  <c r="CE59" i="14"/>
  <c r="CE145" i="14"/>
  <c r="C83" i="14"/>
  <c r="CE146" i="14"/>
  <c r="C84" i="14"/>
  <c r="CE147" i="14"/>
  <c r="C85" i="14"/>
  <c r="CE76" i="14"/>
  <c r="C108" i="14"/>
  <c r="CE77" i="14"/>
  <c r="CE149" i="14"/>
  <c r="C113" i="14"/>
  <c r="CE78" i="14"/>
  <c r="C114" i="14"/>
  <c r="CE80" i="14"/>
  <c r="CE81" i="14"/>
  <c r="CE82" i="14"/>
  <c r="CE12" i="14"/>
  <c r="C140" i="14"/>
  <c r="CE13" i="14"/>
  <c r="C145" i="14"/>
  <c r="CE14" i="14"/>
  <c r="C146" i="14"/>
  <c r="CE16" i="14"/>
  <c r="CE90" i="14"/>
  <c r="CE17" i="14"/>
  <c r="CE91" i="14"/>
  <c r="CE18" i="14"/>
  <c r="CE103" i="14"/>
  <c r="CE19" i="14"/>
  <c r="CE104" i="14"/>
  <c r="CE20" i="14"/>
  <c r="CE108" i="14"/>
  <c r="CE21" i="14"/>
  <c r="CE109" i="14"/>
  <c r="C12" i="14"/>
  <c r="C40" i="14"/>
  <c r="C72" i="14"/>
  <c r="C104" i="14"/>
  <c r="C136" i="14"/>
  <c r="C9" i="14"/>
  <c r="C41" i="14"/>
  <c r="C73" i="14"/>
  <c r="C105" i="14"/>
  <c r="C137" i="14"/>
  <c r="CE9" i="14"/>
  <c r="CE41" i="14"/>
  <c r="CE73" i="14"/>
  <c r="CE105" i="14"/>
  <c r="CE137" i="14"/>
  <c r="C10" i="14"/>
  <c r="C42" i="14"/>
  <c r="C74" i="14"/>
  <c r="C106" i="14"/>
  <c r="C138" i="14"/>
  <c r="CE10" i="14"/>
  <c r="CE42" i="14"/>
  <c r="CE74" i="14"/>
  <c r="CE106" i="14"/>
  <c r="CE138" i="14"/>
  <c r="C11" i="14"/>
  <c r="C43" i="14"/>
  <c r="C75" i="14"/>
  <c r="C107" i="14"/>
  <c r="C139" i="14"/>
  <c r="CE11" i="14"/>
  <c r="CE43" i="14"/>
  <c r="CE75" i="14"/>
  <c r="CE107" i="14"/>
  <c r="CE139" i="14"/>
  <c r="C13" i="14"/>
  <c r="C45" i="14"/>
  <c r="C77" i="14"/>
  <c r="C109" i="14"/>
  <c r="C141" i="14"/>
  <c r="C14" i="14"/>
  <c r="C46" i="14"/>
  <c r="C78" i="14"/>
  <c r="C110" i="14"/>
  <c r="C142" i="14"/>
  <c r="C15" i="14"/>
  <c r="C47" i="14"/>
  <c r="C79" i="14"/>
  <c r="C111" i="14"/>
  <c r="C143" i="14"/>
  <c r="CE110" i="14"/>
  <c r="CE15" i="14"/>
  <c r="CE47" i="14"/>
  <c r="CE79" i="14"/>
  <c r="CE111" i="14"/>
  <c r="CE143" i="14"/>
  <c r="C16" i="14"/>
  <c r="C48" i="14"/>
  <c r="C80" i="14"/>
  <c r="C112" i="14"/>
  <c r="C144" i="14"/>
  <c r="C22" i="14"/>
  <c r="C54" i="14"/>
  <c r="C86" i="14"/>
  <c r="C118" i="14"/>
  <c r="C150" i="14"/>
  <c r="CE22" i="14"/>
  <c r="CE54" i="14"/>
  <c r="CE86" i="14"/>
  <c r="CE118" i="14"/>
  <c r="CE150" i="14"/>
  <c r="C23" i="14"/>
  <c r="C55" i="14"/>
  <c r="C87" i="14"/>
  <c r="C119" i="14"/>
  <c r="C151" i="14"/>
  <c r="CE23" i="14"/>
  <c r="CE55" i="14"/>
  <c r="CE87" i="14"/>
  <c r="CE119" i="14"/>
  <c r="CE151" i="14"/>
  <c r="C24" i="14"/>
  <c r="C56" i="14"/>
  <c r="C88" i="14"/>
  <c r="C120" i="14"/>
  <c r="C152" i="14"/>
  <c r="CE24" i="14"/>
  <c r="CE56" i="14"/>
  <c r="CE88" i="14"/>
  <c r="CE120" i="14"/>
  <c r="CE152" i="14"/>
  <c r="C25" i="14"/>
  <c r="C57" i="14"/>
  <c r="C89" i="14"/>
  <c r="C121" i="14"/>
  <c r="C153" i="14"/>
  <c r="CE25" i="14"/>
  <c r="CE57" i="14"/>
  <c r="CE89" i="14"/>
  <c r="CE121" i="14"/>
  <c r="CE153" i="14"/>
  <c r="C26" i="14"/>
  <c r="C58" i="14"/>
  <c r="C90" i="14"/>
  <c r="C122" i="14"/>
  <c r="C154" i="14"/>
  <c r="C27" i="14"/>
  <c r="C59" i="14"/>
  <c r="C91" i="14"/>
  <c r="C123" i="14"/>
  <c r="C155" i="14"/>
  <c r="C28" i="14"/>
  <c r="C60" i="14"/>
  <c r="C92" i="14"/>
  <c r="C124" i="14"/>
  <c r="C156" i="14"/>
  <c r="C29" i="14"/>
  <c r="C61" i="14"/>
  <c r="C93" i="14"/>
  <c r="C125" i="14"/>
  <c r="C157" i="14"/>
  <c r="C30" i="14"/>
  <c r="C62" i="14"/>
  <c r="C94" i="14"/>
  <c r="C126" i="14"/>
  <c r="C31" i="14"/>
  <c r="C63" i="14"/>
  <c r="C95" i="14"/>
  <c r="C127" i="14"/>
  <c r="C32" i="14"/>
  <c r="C64" i="14"/>
  <c r="C96" i="14"/>
  <c r="C128" i="14"/>
  <c r="C33" i="14"/>
  <c r="C65" i="14"/>
  <c r="C97" i="14"/>
  <c r="C129" i="14"/>
  <c r="C34" i="14"/>
  <c r="C66" i="14"/>
  <c r="C98" i="14"/>
  <c r="C130" i="14"/>
  <c r="C35" i="14"/>
  <c r="C67" i="14"/>
  <c r="C99" i="14"/>
  <c r="C131" i="14"/>
  <c r="C36" i="14"/>
  <c r="C68" i="14"/>
  <c r="C100" i="14"/>
  <c r="C132" i="14"/>
  <c r="C37" i="14"/>
  <c r="C69" i="14"/>
  <c r="C101" i="14"/>
  <c r="C133" i="14"/>
  <c r="C38" i="14"/>
  <c r="C70" i="14"/>
  <c r="C102" i="14"/>
  <c r="C134" i="14"/>
</calcChain>
</file>

<file path=xl/sharedStrings.xml><?xml version="1.0" encoding="utf-8"?>
<sst xmlns="http://schemas.openxmlformats.org/spreadsheetml/2006/main" count="28514" uniqueCount="811">
  <si>
    <t>Country</t>
  </si>
  <si>
    <t>Year</t>
  </si>
  <si>
    <t>Units</t>
  </si>
  <si>
    <t>Activities and commodities</t>
  </si>
  <si>
    <t>Factors</t>
  </si>
  <si>
    <t>Households</t>
  </si>
  <si>
    <t>flnd</t>
  </si>
  <si>
    <t>f_lnd</t>
  </si>
  <si>
    <t>All households</t>
  </si>
  <si>
    <t>Rural households</t>
  </si>
  <si>
    <t>Urban households</t>
  </si>
  <si>
    <t>Activities</t>
  </si>
  <si>
    <t>RA</t>
  </si>
  <si>
    <t>RF</t>
  </si>
  <si>
    <t>RFA</t>
  </si>
  <si>
    <t>RAA</t>
  </si>
  <si>
    <t>RH</t>
  </si>
  <si>
    <t>RHA</t>
  </si>
  <si>
    <t>rdim</t>
  </si>
  <si>
    <t>cdim</t>
  </si>
  <si>
    <t>dset</t>
  </si>
  <si>
    <t>ra</t>
  </si>
  <si>
    <t>sets!c7</t>
  </si>
  <si>
    <t>sets!d7</t>
  </si>
  <si>
    <t>sets!e7</t>
  </si>
  <si>
    <t>sets!f7</t>
  </si>
  <si>
    <t>raa</t>
  </si>
  <si>
    <t>rf</t>
  </si>
  <si>
    <t>rfa</t>
  </si>
  <si>
    <t>rh</t>
  </si>
  <si>
    <t>rha</t>
  </si>
  <si>
    <t>GAMS GDX Index</t>
  </si>
  <si>
    <t>mapra</t>
  </si>
  <si>
    <t>maprf</t>
  </si>
  <si>
    <t>maprh</t>
  </si>
  <si>
    <t>par</t>
  </si>
  <si>
    <t>Mapping Activities to Reporting Accounts</t>
  </si>
  <si>
    <t>Level</t>
  </si>
  <si>
    <t>Mapping Factors to Reporting Accounts</t>
  </si>
  <si>
    <t>Mapping Households to Reporting Accounts</t>
  </si>
  <si>
    <t>r_strucbase</t>
  </si>
  <si>
    <t>r_taxbase</t>
  </si>
  <si>
    <t>base</t>
  </si>
  <si>
    <t>sim11</t>
  </si>
  <si>
    <t>sim12</t>
  </si>
  <si>
    <t>sim13</t>
  </si>
  <si>
    <t>sim14</t>
  </si>
  <si>
    <t>sim15</t>
  </si>
  <si>
    <t>Eps</t>
  </si>
  <si>
    <t>Household Incomes and Expenditures</t>
  </si>
  <si>
    <r>
      <t>Total household income</t>
    </r>
    <r>
      <rPr>
        <sz val="12"/>
        <color theme="0" tint="-4.9989318521683403E-2"/>
        <rFont val="Calibri"/>
        <family val="2"/>
        <scheme val="minor"/>
      </rPr>
      <t xml:space="preserve"> (YI)</t>
    </r>
  </si>
  <si>
    <r>
      <t>Total household consumption</t>
    </r>
    <r>
      <rPr>
        <sz val="12"/>
        <color theme="0" tint="-4.9989318521683403E-2"/>
        <rFont val="Calibri"/>
        <family val="2"/>
        <scheme val="minor"/>
      </rPr>
      <t xml:space="preserve"> (QH)</t>
    </r>
  </si>
  <si>
    <r>
      <t xml:space="preserve">Household direct tax rates </t>
    </r>
    <r>
      <rPr>
        <sz val="12"/>
        <color theme="0" tint="-4.9989318521683403E-2"/>
        <rFont val="Calibri"/>
        <family val="2"/>
        <scheme val="minor"/>
      </rPr>
      <t>(TINS)</t>
    </r>
  </si>
  <si>
    <r>
      <t xml:space="preserve">Household marginal savings rates </t>
    </r>
    <r>
      <rPr>
        <sz val="12"/>
        <color theme="0" tint="-4.9989318521683403E-2"/>
        <rFont val="Calibri"/>
        <family val="2"/>
        <scheme val="minor"/>
      </rPr>
      <t>(MPS)</t>
    </r>
  </si>
  <si>
    <t>Factor Supply and Earnings</t>
  </si>
  <si>
    <r>
      <t>Total factor income</t>
    </r>
    <r>
      <rPr>
        <sz val="12"/>
        <color theme="0" tint="-4.9989318521683403E-2"/>
        <rFont val="Calibri"/>
        <family val="2"/>
        <scheme val="minor"/>
      </rPr>
      <t xml:space="preserve"> (YF)</t>
    </r>
  </si>
  <si>
    <r>
      <t xml:space="preserve">Total factor supply </t>
    </r>
    <r>
      <rPr>
        <sz val="12"/>
        <color theme="0" tint="-4.9989318521683403E-2"/>
        <rFont val="Calibri"/>
        <family val="2"/>
        <scheme val="minor"/>
      </rPr>
      <t>(QFS)</t>
    </r>
  </si>
  <si>
    <r>
      <t xml:space="preserve">Average economywide wages or rents </t>
    </r>
    <r>
      <rPr>
        <sz val="12"/>
        <color theme="0" tint="-4.9989318521683403E-2"/>
        <rFont val="Calibri"/>
        <family val="2"/>
        <scheme val="minor"/>
      </rPr>
      <t>(WF)</t>
    </r>
  </si>
  <si>
    <t>Account</t>
  </si>
  <si>
    <t>Description (activities)</t>
  </si>
  <si>
    <t>Description (commodities)</t>
  </si>
  <si>
    <t>Description</t>
  </si>
  <si>
    <t>Appearance in reporting tables</t>
  </si>
  <si>
    <t>Commodities</t>
  </si>
  <si>
    <r>
      <t xml:space="preserve">Household commodity consumption </t>
    </r>
    <r>
      <rPr>
        <sz val="12"/>
        <color theme="0" tint="-4.9989318521683403E-2"/>
        <rFont val="Calibri"/>
        <family val="2"/>
        <scheme val="minor"/>
      </rPr>
      <t>(QH+QHA)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</si>
  <si>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Share of total consumption across all households (%)  | 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real household consumption from base year (%)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</si>
  <si>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Share of total income across all households (%)  | 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household income from base year (%)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</si>
  <si>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Share of commodity consumption across all households (%)  | 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real commodity consumption from base year (%)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</si>
  <si>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Base year household marginal savings rates (%)   | 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point deviation in household's marginal savings rate from base year (%-point)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</si>
  <si>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Base year household direct tax rates (%)   | 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point deviation in household's direct tax rate from base year (%-point)</t>
    </r>
  </si>
  <si>
    <t xml:space="preserve">Tables: </t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</si>
  <si>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factor earnings (value)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household's income from base year (%)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</si>
  <si>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factor earnings (value) 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average factor earnings from base year (%)</t>
    </r>
  </si>
  <si>
    <t>households!d7</t>
  </si>
  <si>
    <t>households!x7</t>
  </si>
  <si>
    <t>households!ar7</t>
  </si>
  <si>
    <t>households!bl7</t>
  </si>
  <si>
    <t>households!cf7</t>
  </si>
  <si>
    <t>factors!d7</t>
  </si>
  <si>
    <t>factors!x7</t>
  </si>
  <si>
    <t>factors!ar7</t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</si>
  <si>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Total factor supply quantity (value)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total factor supply from base year (%)</t>
    </r>
  </si>
  <si>
    <r>
      <t xml:space="preserve">Average output price </t>
    </r>
    <r>
      <rPr>
        <sz val="12"/>
        <color theme="0" tint="-4.9989318521683403E-2"/>
        <rFont val="Calibri"/>
        <family val="2"/>
        <scheme val="minor"/>
      </rPr>
      <t>(PX)</t>
    </r>
  </si>
  <si>
    <r>
      <t xml:space="preserve">Composite commodity price </t>
    </r>
    <r>
      <rPr>
        <sz val="12"/>
        <color theme="0" tint="-4.9989318521683403E-2"/>
        <rFont val="Calibri"/>
        <family val="2"/>
        <scheme val="minor"/>
      </rPr>
      <t>(PQ)</t>
    </r>
  </si>
  <si>
    <r>
      <t xml:space="preserve">Export price incl. transaction costs </t>
    </r>
    <r>
      <rPr>
        <sz val="12"/>
        <color theme="0" tint="-4.9989318521683403E-2"/>
        <rFont val="Calibri"/>
        <family val="2"/>
        <scheme val="minor"/>
      </rPr>
      <t>(PE)</t>
    </r>
  </si>
  <si>
    <r>
      <t xml:space="preserve">Import price incl. transaction costs </t>
    </r>
    <r>
      <rPr>
        <sz val="12"/>
        <color theme="0" tint="-4.9989318521683403E-2"/>
        <rFont val="Calibri"/>
        <family val="2"/>
        <scheme val="minor"/>
      </rPr>
      <t>(PM)</t>
    </r>
  </si>
  <si>
    <r>
      <t xml:space="preserve">World export price excl. transaction costs </t>
    </r>
    <r>
      <rPr>
        <sz val="12"/>
        <color theme="0" tint="-4.9989318521683403E-2"/>
        <rFont val="Calibri"/>
        <family val="2"/>
        <scheme val="minor"/>
      </rPr>
      <t>(pwe)</t>
    </r>
  </si>
  <si>
    <r>
      <t xml:space="preserve">World import price excl. transaction costs </t>
    </r>
    <r>
      <rPr>
        <sz val="12"/>
        <color theme="0" tint="-4.9989318521683403E-2"/>
        <rFont val="Calibri"/>
        <family val="2"/>
        <scheme val="minor"/>
      </rPr>
      <t>(pwm)</t>
    </r>
  </si>
  <si>
    <t>prices!d7</t>
  </si>
  <si>
    <t>prices!x7</t>
  </si>
  <si>
    <t>prices!ar7</t>
  </si>
  <si>
    <t>prices!bl7</t>
  </si>
  <si>
    <t>prices!cf7</t>
  </si>
  <si>
    <t>prices!cz7</t>
  </si>
  <si>
    <t>Price Indices</t>
  </si>
  <si>
    <r>
      <t xml:space="preserve">Export value </t>
    </r>
    <r>
      <rPr>
        <sz val="12"/>
        <color theme="0" tint="-4.9989318521683403E-2"/>
        <rFont val="Calibri"/>
        <family val="2"/>
        <scheme val="minor"/>
      </rPr>
      <t>(PE</t>
    </r>
    <r>
      <rPr>
        <sz val="12"/>
        <color theme="0" tint="-4.9989318521683403E-2"/>
        <rFont val="Aptos Narrow"/>
        <family val="2"/>
      </rPr>
      <t>×</t>
    </r>
    <r>
      <rPr>
        <sz val="12"/>
        <color theme="0" tint="-4.9989318521683403E-2"/>
        <rFont val="Calibri"/>
        <family val="2"/>
      </rPr>
      <t>QE)</t>
    </r>
  </si>
  <si>
    <r>
      <t xml:space="preserve">Import value </t>
    </r>
    <r>
      <rPr>
        <sz val="12"/>
        <color theme="0" tint="-4.9989318521683403E-2"/>
        <rFont val="Calibri"/>
        <family val="2"/>
        <scheme val="minor"/>
      </rPr>
      <t>(PM</t>
    </r>
    <r>
      <rPr>
        <sz val="12"/>
        <color theme="0" tint="-4.9989318521683403E-2"/>
        <rFont val="Aptos Narrow"/>
        <family val="2"/>
      </rPr>
      <t>×</t>
    </r>
    <r>
      <rPr>
        <sz val="12"/>
        <color theme="0" tint="-4.9989318521683403E-2"/>
        <rFont val="Calibri"/>
        <family val="2"/>
      </rPr>
      <t>QM)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</si>
  <si>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Share of total export value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export value from base year (%)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</si>
  <si>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Share of total import value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import value from base year (%)</t>
    </r>
  </si>
  <si>
    <t>International Trade</t>
  </si>
  <si>
    <t>trade!d7</t>
  </si>
  <si>
    <t>trade!x7</t>
  </si>
  <si>
    <t>Sectoral Gross Domestic Product (GDP)</t>
  </si>
  <si>
    <r>
      <t xml:space="preserve">GDP at factor cost </t>
    </r>
    <r>
      <rPr>
        <sz val="12"/>
        <color theme="0" tint="-4.9989318521683403E-2"/>
        <rFont val="Calibri"/>
        <family val="2"/>
        <scheme val="minor"/>
      </rPr>
      <t>(PVA</t>
    </r>
    <r>
      <rPr>
        <sz val="12"/>
        <color theme="0" tint="-4.9989318521683403E-2"/>
        <rFont val="Aptos Narrow"/>
        <family val="2"/>
      </rPr>
      <t>×</t>
    </r>
    <r>
      <rPr>
        <sz val="12"/>
        <color theme="0" tint="-4.9989318521683403E-2"/>
        <rFont val="Calibri"/>
        <family val="2"/>
      </rPr>
      <t>QVA)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</si>
  <si>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Price index weights based on output value (%)  | 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prices from base year (%)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</si>
  <si>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Price index weights based on composite supply value (%)  | 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prices from base year (%)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</si>
  <si>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Price index weights based on export earnings value (%)  | 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prices from base year (%)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</si>
  <si>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Price index weights based on import spending value (%)  | 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prices from base year (%)</t>
    </r>
  </si>
  <si>
    <r>
      <t xml:space="preserve">Share of total GDP at factor cost </t>
    </r>
    <r>
      <rPr>
        <sz val="12"/>
        <color theme="0" tint="-4.9989318521683403E-2"/>
        <rFont val="Calibri"/>
        <family val="2"/>
        <scheme val="minor"/>
      </rPr>
      <t>(PVA</t>
    </r>
    <r>
      <rPr>
        <sz val="12"/>
        <color theme="0" tint="-4.9989318521683403E-2"/>
        <rFont val="Aptos Narrow"/>
        <family val="2"/>
      </rPr>
      <t>×</t>
    </r>
    <r>
      <rPr>
        <sz val="12"/>
        <color theme="0" tint="-4.9989318521683403E-2"/>
        <rFont val="Calibri"/>
        <family val="2"/>
      </rPr>
      <t>QVA)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</si>
  <si>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Share of total GDP at factor cost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GDP value from base year (%)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</si>
  <si>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Share of total GDP at factor cost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Percentage-point deviation from base year GDP share (%-point)</t>
    </r>
  </si>
  <si>
    <t>sector!d7</t>
  </si>
  <si>
    <t>sector!x7</t>
  </si>
  <si>
    <t xml:space="preserve">Gross Domestic Product (GDP) </t>
  </si>
  <si>
    <t>NOMINAL</t>
  </si>
  <si>
    <t>r_GDPFC</t>
  </si>
  <si>
    <t>r_NETITAX</t>
  </si>
  <si>
    <t>r_GDPMP</t>
  </si>
  <si>
    <t>r_ABSORP</t>
  </si>
  <si>
    <t>r_PRVCON</t>
  </si>
  <si>
    <t>r_GOVCON</t>
  </si>
  <si>
    <t>r_GCF</t>
  </si>
  <si>
    <t>r_GFCF</t>
  </si>
  <si>
    <t>r_STK</t>
  </si>
  <si>
    <t>r_TRDBAL</t>
  </si>
  <si>
    <t>r_EXP</t>
  </si>
  <si>
    <t>r_IMP</t>
  </si>
  <si>
    <t>REAL</t>
  </si>
  <si>
    <t>gdp!e7</t>
  </si>
  <si>
    <t>gdp!aa7</t>
  </si>
  <si>
    <t>Nominal</t>
  </si>
  <si>
    <t>Real</t>
  </si>
  <si>
    <t>GDP at factor cost</t>
  </si>
  <si>
    <t xml:space="preserve">  Net indirect taxes</t>
  </si>
  <si>
    <t>GDP at market prices</t>
  </si>
  <si>
    <t xml:space="preserve">  Absorption</t>
  </si>
  <si>
    <t xml:space="preserve">    Private consumption</t>
  </si>
  <si>
    <t xml:space="preserve">    Government consumption</t>
  </si>
  <si>
    <t xml:space="preserve">    Gross capital formation</t>
  </si>
  <si>
    <t xml:space="preserve">      Fixed capital formation</t>
  </si>
  <si>
    <t xml:space="preserve">      Change in stocks</t>
  </si>
  <si>
    <t xml:space="preserve">  Net trade balance</t>
  </si>
  <si>
    <t xml:space="preserve">    Exports</t>
  </si>
  <si>
    <t xml:space="preserve">    Imports</t>
  </si>
  <si>
    <t>Share of total GDP at market prices</t>
  </si>
  <si>
    <t>GDP by expenditure component</t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</si>
  <si>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Share of total GDP at market prices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 deviation in GDP value from base year (%)</t>
    </r>
  </si>
  <si>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Share of total GDP at market prices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Percentage-point deviation in GDP value from base year (%-point)</t>
    </r>
  </si>
  <si>
    <t>Macroeconomic Results</t>
  </si>
  <si>
    <t>Quantities, price indices, and GDP shares</t>
  </si>
  <si>
    <t>QABSTOT</t>
  </si>
  <si>
    <t>QHTOT</t>
  </si>
  <si>
    <t>QGTOT</t>
  </si>
  <si>
    <t>QINVTOT</t>
  </si>
  <si>
    <t>QETOT</t>
  </si>
  <si>
    <t>QMTOT</t>
  </si>
  <si>
    <t>REXR</t>
  </si>
  <si>
    <t>NEXR</t>
  </si>
  <si>
    <t>PWEIND</t>
  </si>
  <si>
    <t>PWMIND</t>
  </si>
  <si>
    <t>PWIND</t>
  </si>
  <si>
    <t>PDIND</t>
  </si>
  <si>
    <t>CPI</t>
  </si>
  <si>
    <t>TOFT</t>
  </si>
  <si>
    <t>INVGDP</t>
  </si>
  <si>
    <t>PRVSAVGDP</t>
  </si>
  <si>
    <t>FORSAVGDP</t>
  </si>
  <si>
    <t>TRDDEFGDP</t>
  </si>
  <si>
    <t>GOVSAVGDP</t>
  </si>
  <si>
    <t>TOTTXGDP</t>
  </si>
  <si>
    <t>INDTXGDP</t>
  </si>
  <si>
    <t>ACTTXGDP</t>
  </si>
  <si>
    <t>VADTXGDP</t>
  </si>
  <si>
    <t>COMTXGDP</t>
  </si>
  <si>
    <t>EXPTXGDP</t>
  </si>
  <si>
    <t>IMPTXGDP</t>
  </si>
  <si>
    <t>DIRTXGDP</t>
  </si>
  <si>
    <t>FACTXGDP</t>
  </si>
  <si>
    <t>INSTXGDP</t>
  </si>
  <si>
    <t>Quantities</t>
  </si>
  <si>
    <t>Price indices</t>
  </si>
  <si>
    <t>GDP shares</t>
  </si>
  <si>
    <t>Absorption</t>
  </si>
  <si>
    <t xml:space="preserve">  Private consumption</t>
  </si>
  <si>
    <t xml:space="preserve">  Government consumption</t>
  </si>
  <si>
    <t xml:space="preserve">  Gross capital formation</t>
  </si>
  <si>
    <t>Exports</t>
  </si>
  <si>
    <t>Imports</t>
  </si>
  <si>
    <t>Real exchange rate</t>
  </si>
  <si>
    <t>Nominal exchange rate</t>
  </si>
  <si>
    <t>World export price index</t>
  </si>
  <si>
    <t>World import price index</t>
  </si>
  <si>
    <t>World price index</t>
  </si>
  <si>
    <t>Domestic price index</t>
  </si>
  <si>
    <t>Consumer price index</t>
  </si>
  <si>
    <t>Terms-of-trade</t>
  </si>
  <si>
    <t>r_macrotab</t>
  </si>
  <si>
    <t>macro!e7</t>
  </si>
  <si>
    <t>TSAVGDP</t>
  </si>
  <si>
    <r>
      <t xml:space="preserve">Investment </t>
    </r>
    <r>
      <rPr>
        <sz val="11"/>
        <color theme="0" tint="-0.34998626667073579"/>
        <rFont val="Calibri"/>
        <family val="2"/>
        <scheme val="minor"/>
      </rPr>
      <t>/ GDP</t>
    </r>
  </si>
  <si>
    <r>
      <t xml:space="preserve">Savings </t>
    </r>
    <r>
      <rPr>
        <sz val="11"/>
        <color theme="0" tint="-0.34998626667073579"/>
        <rFont val="Calibri"/>
        <family val="2"/>
        <scheme val="minor"/>
      </rPr>
      <t>/ GDP</t>
    </r>
  </si>
  <si>
    <r>
      <t xml:space="preserve">Tax revenue </t>
    </r>
    <r>
      <rPr>
        <sz val="11"/>
        <color theme="0" tint="-0.34998626667073579"/>
        <rFont val="Calibri"/>
        <family val="2"/>
        <scheme val="minor"/>
      </rPr>
      <t>/ GDP</t>
    </r>
  </si>
  <si>
    <r>
      <t xml:space="preserve">  Indirect tax revenue </t>
    </r>
    <r>
      <rPr>
        <sz val="11"/>
        <color theme="0" tint="-0.34998626667073579"/>
        <rFont val="Calibri"/>
        <family val="2"/>
        <scheme val="minor"/>
      </rPr>
      <t>/ GDP</t>
    </r>
  </si>
  <si>
    <r>
      <t xml:space="preserve">  Private savings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</si>
  <si>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Government savings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</si>
  <si>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Foreign savings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</si>
  <si>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Trade deficit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</si>
  <si>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  Activity taxes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</si>
  <si>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  Value-added taxes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</si>
  <si>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  Sales taxes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</si>
  <si>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  Export taxes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</si>
  <si>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  Import tariffs </t>
    </r>
    <r>
      <rPr>
        <sz val="11"/>
        <color theme="0" tint="-0.249977111117893"/>
        <rFont val="Calibri"/>
        <family val="2"/>
        <scheme val="minor"/>
      </rPr>
      <t>/ GDP</t>
    </r>
  </si>
  <si>
    <t>VAshr</t>
  </si>
  <si>
    <t>PRDshr</t>
  </si>
  <si>
    <t>EMPshr</t>
  </si>
  <si>
    <t>QQshr</t>
  </si>
  <si>
    <t>HHDshr</t>
  </si>
  <si>
    <t>OWNshr</t>
  </si>
  <si>
    <t>MKTshr</t>
  </si>
  <si>
    <t>GOVshr</t>
  </si>
  <si>
    <t>INVshr</t>
  </si>
  <si>
    <t>EXPshr</t>
  </si>
  <si>
    <t>IMPshr</t>
  </si>
  <si>
    <t>OWN-OUTshr</t>
  </si>
  <si>
    <t>EXP-OUTshr</t>
  </si>
  <si>
    <t>IMP-DEMshr</t>
  </si>
  <si>
    <t>Share of total (%)</t>
  </si>
  <si>
    <t>Value-</t>
  </si>
  <si>
    <t>added</t>
  </si>
  <si>
    <t>Output</t>
  </si>
  <si>
    <t>value</t>
  </si>
  <si>
    <t>Employ-</t>
  </si>
  <si>
    <t>ment</t>
  </si>
  <si>
    <t>Comp.</t>
  </si>
  <si>
    <t>supply</t>
  </si>
  <si>
    <t>Private consumption</t>
  </si>
  <si>
    <t>Total</t>
  </si>
  <si>
    <t>Own</t>
  </si>
  <si>
    <t>Market</t>
  </si>
  <si>
    <t>Gov.</t>
  </si>
  <si>
    <t>cons.</t>
  </si>
  <si>
    <t>demand</t>
  </si>
  <si>
    <t>Invest.</t>
  </si>
  <si>
    <t>Import</t>
  </si>
  <si>
    <t>Export</t>
  </si>
  <si>
    <t>Intensity ratios</t>
  </si>
  <si>
    <t>Own con.</t>
  </si>
  <si>
    <t>/ output</t>
  </si>
  <si>
    <t>/ demand</t>
  </si>
  <si>
    <t>tIMPshr</t>
  </si>
  <si>
    <t>tIMPtax</t>
  </si>
  <si>
    <t>tIMPrev</t>
  </si>
  <si>
    <t>tEXPshr</t>
  </si>
  <si>
    <t>tEXPtax</t>
  </si>
  <si>
    <t>tEXPrev</t>
  </si>
  <si>
    <t>tSALshr</t>
  </si>
  <si>
    <t>tSALtax</t>
  </si>
  <si>
    <t>tSALrev</t>
  </si>
  <si>
    <t>tACTshr</t>
  </si>
  <si>
    <t>tACTtax</t>
  </si>
  <si>
    <t>tACTrev</t>
  </si>
  <si>
    <t>tVADshr</t>
  </si>
  <si>
    <t>tVADtax</t>
  </si>
  <si>
    <t>tVADrev</t>
  </si>
  <si>
    <t>base!d9</t>
  </si>
  <si>
    <t>Import tariffs</t>
  </si>
  <si>
    <t>Export taxes</t>
  </si>
  <si>
    <t>Sales taxes</t>
  </si>
  <si>
    <t>Activity taxes</t>
  </si>
  <si>
    <t>Value-added taxes</t>
  </si>
  <si>
    <t>Economic structure</t>
  </si>
  <si>
    <t>Indirect taxes</t>
  </si>
  <si>
    <t>share</t>
  </si>
  <si>
    <t>Tax base</t>
  </si>
  <si>
    <t>shares</t>
  </si>
  <si>
    <t>Tax</t>
  </si>
  <si>
    <t>rate</t>
  </si>
  <si>
    <t>Revenue</t>
  </si>
  <si>
    <t>sets!g7</t>
  </si>
  <si>
    <t>sets!h7</t>
  </si>
  <si>
    <t xml:space="preserve">  Activities</t>
  </si>
  <si>
    <t xml:space="preserve">  Factors</t>
  </si>
  <si>
    <t xml:space="preserve">  Households</t>
  </si>
  <si>
    <t>Reporting Set Definitions</t>
  </si>
  <si>
    <t xml:space="preserve"> All</t>
  </si>
  <si>
    <t xml:space="preserve"> Aggregates</t>
  </si>
  <si>
    <t>ra!d6</t>
  </si>
  <si>
    <t>rf!d6</t>
  </si>
  <si>
    <t>rh!d6</t>
  </si>
  <si>
    <t>r_yi</t>
  </si>
  <si>
    <t>r_qhh</t>
  </si>
  <si>
    <t>r_qhc</t>
  </si>
  <si>
    <t>r_ti</t>
  </si>
  <si>
    <t>r_mps</t>
  </si>
  <si>
    <t>r_yf</t>
  </si>
  <si>
    <t>r_qfs</t>
  </si>
  <si>
    <t>r_wf</t>
  </si>
  <si>
    <t>r_px</t>
  </si>
  <si>
    <t>r_pq</t>
  </si>
  <si>
    <t>r_pe</t>
  </si>
  <si>
    <t>r_pm</t>
  </si>
  <si>
    <t>r_pwe</t>
  </si>
  <si>
    <t>r_pwm</t>
  </si>
  <si>
    <t>r_qe</t>
  </si>
  <si>
    <t>r_qm</t>
  </si>
  <si>
    <t>r_gdpmps</t>
  </si>
  <si>
    <t>r_gdpmpp</t>
  </si>
  <si>
    <t>r_gdpfcs</t>
  </si>
  <si>
    <t>r_gdpfcp</t>
  </si>
  <si>
    <t>aa_GDP</t>
  </si>
  <si>
    <t>All sectors</t>
  </si>
  <si>
    <t>All products</t>
  </si>
  <si>
    <t>Agriculture</t>
  </si>
  <si>
    <t>Crops</t>
  </si>
  <si>
    <t>a_maiz</t>
  </si>
  <si>
    <t>Maize</t>
  </si>
  <si>
    <t>a_ocer</t>
  </si>
  <si>
    <t>Other cereals</t>
  </si>
  <si>
    <t>Pulses</t>
  </si>
  <si>
    <t>a_root</t>
  </si>
  <si>
    <t>a_vege</t>
  </si>
  <si>
    <t>a_sugr</t>
  </si>
  <si>
    <t>Sugarcane</t>
  </si>
  <si>
    <t>a_toba</t>
  </si>
  <si>
    <t>Tobacco</t>
  </si>
  <si>
    <t>Cotton and fibres</t>
  </si>
  <si>
    <t>a_frui</t>
  </si>
  <si>
    <t>a_coff</t>
  </si>
  <si>
    <t>a_ocrp</t>
  </si>
  <si>
    <t>Other crops</t>
  </si>
  <si>
    <t>Livestock</t>
  </si>
  <si>
    <t>a_catt</t>
  </si>
  <si>
    <t>a_poul</t>
  </si>
  <si>
    <t>a_oliv</t>
  </si>
  <si>
    <t>Other livestock</t>
  </si>
  <si>
    <t>Other agriculture</t>
  </si>
  <si>
    <t>a_fore</t>
  </si>
  <si>
    <t>Forestry</t>
  </si>
  <si>
    <t>a_fish</t>
  </si>
  <si>
    <t>Industry</t>
  </si>
  <si>
    <t>Mining</t>
  </si>
  <si>
    <t>Manufacturing</t>
  </si>
  <si>
    <t>a_gmll</t>
  </si>
  <si>
    <t>a_food</t>
  </si>
  <si>
    <t>a_feed</t>
  </si>
  <si>
    <t>a_beve</t>
  </si>
  <si>
    <t>a_ptob</t>
  </si>
  <si>
    <t>a_text</t>
  </si>
  <si>
    <t>Wood and paper products</t>
  </si>
  <si>
    <t>a_wood</t>
  </si>
  <si>
    <t>a_petr</t>
  </si>
  <si>
    <t>a_chem</t>
  </si>
  <si>
    <t>a_nmet</t>
  </si>
  <si>
    <t>Non-metal minerals</t>
  </si>
  <si>
    <t>a_metl</t>
  </si>
  <si>
    <t>a_mach</t>
  </si>
  <si>
    <t>a_vehi</t>
  </si>
  <si>
    <t>a_oman</t>
  </si>
  <si>
    <t>Other manufacturing</t>
  </si>
  <si>
    <t>Utilities</t>
  </si>
  <si>
    <t>a_elec</t>
  </si>
  <si>
    <t>Electricity, gas and steam</t>
  </si>
  <si>
    <t>a_watr</t>
  </si>
  <si>
    <t>Water supply and sewage</t>
  </si>
  <si>
    <t>a_cons</t>
  </si>
  <si>
    <t>Construction</t>
  </si>
  <si>
    <t>Services</t>
  </si>
  <si>
    <t>Trade and food services</t>
  </si>
  <si>
    <t>a_trad</t>
  </si>
  <si>
    <t>Wholesale and retail trade</t>
  </si>
  <si>
    <t>Transport and communication</t>
  </si>
  <si>
    <t>a_tran</t>
  </si>
  <si>
    <t>Transportation and storage</t>
  </si>
  <si>
    <t>a_hotl</t>
  </si>
  <si>
    <t>a_comm</t>
  </si>
  <si>
    <t>Information and communication</t>
  </si>
  <si>
    <t>Finance and business services</t>
  </si>
  <si>
    <t>Finance and insurance</t>
  </si>
  <si>
    <t>a_real</t>
  </si>
  <si>
    <t>Real estate activities</t>
  </si>
  <si>
    <t>Business services</t>
  </si>
  <si>
    <t>Public and social services</t>
  </si>
  <si>
    <t>a_padm</t>
  </si>
  <si>
    <t>Public administration</t>
  </si>
  <si>
    <t>a_educ</t>
  </si>
  <si>
    <t>Education</t>
  </si>
  <si>
    <t>a_heal</t>
  </si>
  <si>
    <t>Health and social work</t>
  </si>
  <si>
    <t>a_osrv</t>
  </si>
  <si>
    <t>Other services</t>
  </si>
  <si>
    <t xml:space="preserve"> </t>
  </si>
  <si>
    <t>ff_LAB</t>
  </si>
  <si>
    <t>Labor</t>
  </si>
  <si>
    <t>Labor - primary</t>
  </si>
  <si>
    <t>Labor - secondary</t>
  </si>
  <si>
    <t>Labor - tertiary</t>
  </si>
  <si>
    <t>f_lab-rn</t>
  </si>
  <si>
    <t>f_lab-rp</t>
  </si>
  <si>
    <t>f_lab-rs</t>
  </si>
  <si>
    <t>f_lab-rt</t>
  </si>
  <si>
    <t>ff_URB</t>
  </si>
  <si>
    <t>f_lab-un</t>
  </si>
  <si>
    <t>f_lab-up</t>
  </si>
  <si>
    <t>f_lab-us</t>
  </si>
  <si>
    <t>f_lab-ut</t>
  </si>
  <si>
    <t>Crop land</t>
  </si>
  <si>
    <t>ff_CAP</t>
  </si>
  <si>
    <t>Capital</t>
  </si>
  <si>
    <t>f_cap-c</t>
  </si>
  <si>
    <t>f_cap-l</t>
  </si>
  <si>
    <t>f_cap-m</t>
  </si>
  <si>
    <t>hh_ALL</t>
  </si>
  <si>
    <t>hh_RUR</t>
  </si>
  <si>
    <t>hh_URB</t>
  </si>
  <si>
    <t>amaiz</t>
  </si>
  <si>
    <t>aocer</t>
  </si>
  <si>
    <t>aroot</t>
  </si>
  <si>
    <t>avege</t>
  </si>
  <si>
    <t>asugr</t>
  </si>
  <si>
    <t>atoba</t>
  </si>
  <si>
    <t>afrui</t>
  </si>
  <si>
    <t>acoff</t>
  </si>
  <si>
    <t>aocrp</t>
  </si>
  <si>
    <t>acatt</t>
  </si>
  <si>
    <t>apoul</t>
  </si>
  <si>
    <t>aoliv</t>
  </si>
  <si>
    <t>afore</t>
  </si>
  <si>
    <t>afish</t>
  </si>
  <si>
    <t>afood</t>
  </si>
  <si>
    <t>abeve</t>
  </si>
  <si>
    <t>atext</t>
  </si>
  <si>
    <t>awood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</si>
  <si>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</si>
  <si>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</si>
  <si>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</si>
  <si>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</si>
  <si>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</si>
  <si>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</si>
  <si>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</si>
  <si>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</si>
  <si>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atrad</t>
  </si>
  <si>
    <t>atran</t>
  </si>
  <si>
    <t>ahotl</t>
  </si>
  <si>
    <t>acomm</t>
  </si>
  <si>
    <t>areal</t>
  </si>
  <si>
    <t>apadm</t>
  </si>
  <si>
    <t>aeduc</t>
  </si>
  <si>
    <t>aheal</t>
  </si>
  <si>
    <t>aosrv</t>
  </si>
  <si>
    <t>Transaction cost rates (%)</t>
  </si>
  <si>
    <t>Domestic</t>
  </si>
  <si>
    <t>TRErate</t>
  </si>
  <si>
    <t>TRMrate</t>
  </si>
  <si>
    <t>TRDrate</t>
  </si>
  <si>
    <t>base!y9</t>
  </si>
  <si>
    <t>sim5</t>
  </si>
  <si>
    <t>sim6</t>
  </si>
  <si>
    <t>sim7</t>
  </si>
  <si>
    <t>sim8</t>
  </si>
  <si>
    <t>sim9</t>
  </si>
  <si>
    <t>sim10</t>
  </si>
  <si>
    <t>Metals and metal products</t>
  </si>
  <si>
    <r>
      <t xml:space="preserve">  Direct tax revenue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</si>
  <si>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  Factor taxes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</si>
  <si>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  Institution taxes </t>
    </r>
    <r>
      <rPr>
        <sz val="11"/>
        <color theme="0" tint="-0.249977111117893"/>
        <rFont val="Calibri"/>
        <family val="2"/>
        <scheme val="minor"/>
      </rPr>
      <t>/ GDP</t>
    </r>
  </si>
  <si>
    <t>sim4</t>
  </si>
  <si>
    <t>a_sorg</t>
  </si>
  <si>
    <t>Sorghum and millet</t>
  </si>
  <si>
    <t>a_whea</t>
  </si>
  <si>
    <t>Wheat and barley</t>
  </si>
  <si>
    <t>a_gnut</t>
  </si>
  <si>
    <t>Groundnuts</t>
  </si>
  <si>
    <t>Other oilseeds</t>
  </si>
  <si>
    <t>a_cass</t>
  </si>
  <si>
    <t>Cassava</t>
  </si>
  <si>
    <t>a_ipot</t>
  </si>
  <si>
    <t>Irish potatoes</t>
  </si>
  <si>
    <t>a_spot</t>
  </si>
  <si>
    <t>Sweet potatoes</t>
  </si>
  <si>
    <t>Other roots</t>
  </si>
  <si>
    <t>Other fruits</t>
  </si>
  <si>
    <t>a_teal</t>
  </si>
  <si>
    <t>Leaf tea</t>
  </si>
  <si>
    <t>Coffee</t>
  </si>
  <si>
    <t>Cocoa</t>
  </si>
  <si>
    <t>Cut flowers</t>
  </si>
  <si>
    <t>Rubber</t>
  </si>
  <si>
    <t>Cattle</t>
  </si>
  <si>
    <t>a_milk</t>
  </si>
  <si>
    <t>Raw milk</t>
  </si>
  <si>
    <t>Poultry</t>
  </si>
  <si>
    <t>a_eggs</t>
  </si>
  <si>
    <t>Eggs</t>
  </si>
  <si>
    <t>a_smlr</t>
  </si>
  <si>
    <t>Small ruminants</t>
  </si>
  <si>
    <t>Aquaculture</t>
  </si>
  <si>
    <t>Capture fisheries</t>
  </si>
  <si>
    <t>Coal and lignite</t>
  </si>
  <si>
    <t>Crude oil</t>
  </si>
  <si>
    <t>a_ngas</t>
  </si>
  <si>
    <t>Natural gas</t>
  </si>
  <si>
    <t>a_omin</t>
  </si>
  <si>
    <t>Other mining</t>
  </si>
  <si>
    <t>Food processing</t>
  </si>
  <si>
    <t>a_meat</t>
  </si>
  <si>
    <t>Fish and seafood processing</t>
  </si>
  <si>
    <t>a_dair</t>
  </si>
  <si>
    <t>Fruit and vegetable processing</t>
  </si>
  <si>
    <t>a_fveg</t>
  </si>
  <si>
    <t>Fats and oils</t>
  </si>
  <si>
    <t>a_foil</t>
  </si>
  <si>
    <t>Dairy</t>
  </si>
  <si>
    <t>Sugar refining</t>
  </si>
  <si>
    <t>Coffee processing</t>
  </si>
  <si>
    <t>Tea processing</t>
  </si>
  <si>
    <t>Other foods</t>
  </si>
  <si>
    <t>Animal feed</t>
  </si>
  <si>
    <t>Beverages and tobacco</t>
  </si>
  <si>
    <t>Beverages</t>
  </si>
  <si>
    <t>Tobacco processing</t>
  </si>
  <si>
    <t>Textiles, clothing and leather</t>
  </si>
  <si>
    <t>Textiles</t>
  </si>
  <si>
    <t>Clothing</t>
  </si>
  <si>
    <t>Leather and footwear</t>
  </si>
  <si>
    <t>Wood products</t>
  </si>
  <si>
    <t>Chemical products</t>
  </si>
  <si>
    <t>Petroleum products</t>
  </si>
  <si>
    <t>Fertilizers and herbicides</t>
  </si>
  <si>
    <t>Other chemicals</t>
  </si>
  <si>
    <t>Machinery and equipment</t>
  </si>
  <si>
    <t>Electrical equipment</t>
  </si>
  <si>
    <t>Machinery and other equipment</t>
  </si>
  <si>
    <t>Accommodation</t>
  </si>
  <si>
    <t>Restaurants and food services</t>
  </si>
  <si>
    <t>ff_LAB_N</t>
  </si>
  <si>
    <t>Labor - uneducated</t>
  </si>
  <si>
    <t>ff_LAB_P</t>
  </si>
  <si>
    <t>ff_LAB_S</t>
  </si>
  <si>
    <t>ff_LAB_T</t>
  </si>
  <si>
    <t>ff_RUR</t>
  </si>
  <si>
    <t>Labor - rural</t>
  </si>
  <si>
    <t>Labor - rural uneducated</t>
  </si>
  <si>
    <t>Labor - rural primary</t>
  </si>
  <si>
    <t>Labor - rural secondary</t>
  </si>
  <si>
    <t>Labor - rural tertiary</t>
  </si>
  <si>
    <t>Labor - urban</t>
  </si>
  <si>
    <t>Labor - urban uneducated</t>
  </si>
  <si>
    <t>Labor - urban primary</t>
  </si>
  <si>
    <t>Labor - urban secondary</t>
  </si>
  <si>
    <t>Labor - urban tertiary</t>
  </si>
  <si>
    <t>Capital - crops</t>
  </si>
  <si>
    <t>Capital - livestock</t>
  </si>
  <si>
    <t>Capital - mining</t>
  </si>
  <si>
    <t>f_cap-n</t>
  </si>
  <si>
    <t>Capital - non-primary</t>
  </si>
  <si>
    <t>asorg</t>
  </si>
  <si>
    <t>awhea</t>
  </si>
  <si>
    <t>agnut</t>
  </si>
  <si>
    <t>acass</t>
  </si>
  <si>
    <t>aipot</t>
  </si>
  <si>
    <t>aspot</t>
  </si>
  <si>
    <t>ateal</t>
  </si>
  <si>
    <t>amilk</t>
  </si>
  <si>
    <t>aeggs</t>
  </si>
  <si>
    <t>asmlr</t>
  </si>
  <si>
    <t>angas</t>
  </si>
  <si>
    <t>aomin</t>
  </si>
  <si>
    <t>ameat</t>
  </si>
  <si>
    <t>adair</t>
  </si>
  <si>
    <t>afveg</t>
  </si>
  <si>
    <t>afoil</t>
  </si>
  <si>
    <t>agmll</t>
  </si>
  <si>
    <t>afeed</t>
  </si>
  <si>
    <t>aptob</t>
  </si>
  <si>
    <t>apetr</t>
  </si>
  <si>
    <t>avehi</t>
  </si>
  <si>
    <t>flab-rn</t>
  </si>
  <si>
    <t>flab-rp</t>
  </si>
  <si>
    <t>flab-rs</t>
  </si>
  <si>
    <t>flab-rt</t>
  </si>
  <si>
    <t>flab-un</t>
  </si>
  <si>
    <t>flab-up</t>
  </si>
  <si>
    <t>flab-us</t>
  </si>
  <si>
    <t>flab-ut</t>
  </si>
  <si>
    <t>fcap-c</t>
  </si>
  <si>
    <t>fcap-l</t>
  </si>
  <si>
    <t>fcap-m</t>
  </si>
  <si>
    <t>fcap-n</t>
  </si>
  <si>
    <t>sim1</t>
  </si>
  <si>
    <t>sim2</t>
  </si>
  <si>
    <t>sim3</t>
  </si>
  <si>
    <t>Rice paddy (Aman)</t>
  </si>
  <si>
    <t>Rice paddy (Boro)</t>
  </si>
  <si>
    <t>Leafy vegetables</t>
  </si>
  <si>
    <t>Other vegetables</t>
  </si>
  <si>
    <t>Jute</t>
  </si>
  <si>
    <t>Nuts</t>
  </si>
  <si>
    <t>Bananas and plantains</t>
  </si>
  <si>
    <t>Meat processing</t>
  </si>
  <si>
    <t>Maize milling</t>
  </si>
  <si>
    <t>Sorghum and millet milling</t>
  </si>
  <si>
    <t>Rice milling</t>
  </si>
  <si>
    <t>Rice milling - coarse</t>
  </si>
  <si>
    <t>Rice milling - other</t>
  </si>
  <si>
    <t>Wheat and barley milling</t>
  </si>
  <si>
    <t>Other grain milling</t>
  </si>
  <si>
    <t>Jute baling</t>
  </si>
  <si>
    <t>Jute fabrication</t>
  </si>
  <si>
    <t>Cotton yarn</t>
  </si>
  <si>
    <t>Paper products and publishing</t>
  </si>
  <si>
    <t>Vehicles and transport equipment</t>
  </si>
  <si>
    <t>h_hhd-r1</t>
  </si>
  <si>
    <t>h_hhd-r2</t>
  </si>
  <si>
    <t>h_hhd-r3</t>
  </si>
  <si>
    <t>h_hhd-r4</t>
  </si>
  <si>
    <t>h_hhd-r5</t>
  </si>
  <si>
    <t>h_hhd-r6</t>
  </si>
  <si>
    <t>h_hhd-r7</t>
  </si>
  <si>
    <t>h_hhd-r8</t>
  </si>
  <si>
    <t>h_hhd-r9</t>
  </si>
  <si>
    <t>h_hhd-u0</t>
  </si>
  <si>
    <t>h_hhd-u1</t>
  </si>
  <si>
    <t>h_hhd-u2</t>
  </si>
  <si>
    <t>h_hhd-u3</t>
  </si>
  <si>
    <t>h_hhd-u4</t>
  </si>
  <si>
    <t>h_hhd-u5</t>
  </si>
  <si>
    <t>h_hhd-u6</t>
  </si>
  <si>
    <t>h_hhd-u7</t>
  </si>
  <si>
    <t>h_hhd-u8</t>
  </si>
  <si>
    <t>h_hhd-u9</t>
  </si>
  <si>
    <t>hhd-r1</t>
  </si>
  <si>
    <t>hhd-r2</t>
  </si>
  <si>
    <t>hhd-r3</t>
  </si>
  <si>
    <t>hhd-r4</t>
  </si>
  <si>
    <t>hhd-r5</t>
  </si>
  <si>
    <t>hhd-u1</t>
  </si>
  <si>
    <t>hhd-u2</t>
  </si>
  <si>
    <t>hhd-u3</t>
  </si>
  <si>
    <t>hhd-u4</t>
  </si>
  <si>
    <t>hhd-u5</t>
  </si>
  <si>
    <t>hhd-k1</t>
  </si>
  <si>
    <t>hhd-k2</t>
  </si>
  <si>
    <t>hhd-k3</t>
  </si>
  <si>
    <t>hhd-k4</t>
  </si>
  <si>
    <t>hhd-k5</t>
  </si>
  <si>
    <t>hh_Q1</t>
  </si>
  <si>
    <t>hh_Q2</t>
  </si>
  <si>
    <t>hh_Q3</t>
  </si>
  <si>
    <t>hh_Q4</t>
  </si>
  <si>
    <t>hh_Q5</t>
  </si>
  <si>
    <t>Quintile 1 (low)</t>
  </si>
  <si>
    <t>Quintile 2</t>
  </si>
  <si>
    <t>Quintile 3</t>
  </si>
  <si>
    <t>Quintile 4</t>
  </si>
  <si>
    <t>Quintile 5 (high)</t>
  </si>
  <si>
    <t>Rural - Quintile 1 (low)</t>
  </si>
  <si>
    <t>Rural - Quintile 2</t>
  </si>
  <si>
    <t>Rural - Quintile 3</t>
  </si>
  <si>
    <t>Rural - Quintile 4</t>
  </si>
  <si>
    <t>Rural - Quintile 5 (high)</t>
  </si>
  <si>
    <t>Urban - Quintile 1 (low)</t>
  </si>
  <si>
    <t>Urban - Quintile 2</t>
  </si>
  <si>
    <t>Urban - Quintile 3</t>
  </si>
  <si>
    <t>Urban - Quintile 4</t>
  </si>
  <si>
    <t>Urban - Quintile 5 (high)</t>
  </si>
  <si>
    <t>flab-kn</t>
  </si>
  <si>
    <t>flab-kp</t>
  </si>
  <si>
    <t>flab-ks</t>
  </si>
  <si>
    <t>flab-kt</t>
  </si>
  <si>
    <t>arice</t>
  </si>
  <si>
    <t>abean</t>
  </si>
  <si>
    <t>apeas</t>
  </si>
  <si>
    <t>abanb</t>
  </si>
  <si>
    <t>abanc</t>
  </si>
  <si>
    <t>abans</t>
  </si>
  <si>
    <t>asoya</t>
  </si>
  <si>
    <t>apyre</t>
  </si>
  <si>
    <t>abake</t>
  </si>
  <si>
    <t>aprnt</t>
  </si>
  <si>
    <t>aphar</t>
  </si>
  <si>
    <t>aprub</t>
  </si>
  <si>
    <t>aceme</t>
  </si>
  <si>
    <t>afurn</t>
  </si>
  <si>
    <t>apost</t>
  </si>
  <si>
    <t>apubl</t>
  </si>
  <si>
    <t>ainfo</t>
  </si>
  <si>
    <t>abank</t>
  </si>
  <si>
    <t>ainsu</t>
  </si>
  <si>
    <t>aofsv</t>
  </si>
  <si>
    <t>arent</t>
  </si>
  <si>
    <t>aobsv</t>
  </si>
  <si>
    <t>asocw</t>
  </si>
  <si>
    <t>acult</t>
  </si>
  <si>
    <t>aarts</t>
  </si>
  <si>
    <t>adsrv</t>
  </si>
  <si>
    <t>aa_AGR</t>
  </si>
  <si>
    <t>aa_CRP</t>
  </si>
  <si>
    <t>a_rice</t>
  </si>
  <si>
    <t>a_bean</t>
  </si>
  <si>
    <t>a_peas</t>
  </si>
  <si>
    <t>a_banb</t>
  </si>
  <si>
    <t>a_banc</t>
  </si>
  <si>
    <t>a_bans</t>
  </si>
  <si>
    <t>a_soya</t>
  </si>
  <si>
    <t>a_pyre</t>
  </si>
  <si>
    <t>aa_LIV</t>
  </si>
  <si>
    <t>aa_OAG</t>
  </si>
  <si>
    <t>aa_FSH</t>
  </si>
  <si>
    <t>aa_NAG</t>
  </si>
  <si>
    <t>aa_IND</t>
  </si>
  <si>
    <t>aa_MIN</t>
  </si>
  <si>
    <t>aa_MAN</t>
  </si>
  <si>
    <t>aa_APR</t>
  </si>
  <si>
    <t>aa_FPR</t>
  </si>
  <si>
    <t>a_bake</t>
  </si>
  <si>
    <t>aa_BTOB</t>
  </si>
  <si>
    <t>aa_OMN</t>
  </si>
  <si>
    <t>aa_TXT</t>
  </si>
  <si>
    <t>aa_WPR</t>
  </si>
  <si>
    <t>a_prnt</t>
  </si>
  <si>
    <t>aa_CHM</t>
  </si>
  <si>
    <t>a_phar</t>
  </si>
  <si>
    <t>aa_MCH</t>
  </si>
  <si>
    <t>a_prub</t>
  </si>
  <si>
    <t>a_ceme</t>
  </si>
  <si>
    <t>a_furn</t>
  </si>
  <si>
    <t>aa_OIN</t>
  </si>
  <si>
    <t>aa_UTL</t>
  </si>
  <si>
    <t>aa_SRV</t>
  </si>
  <si>
    <t>aa_TRD</t>
  </si>
  <si>
    <t>aa_TRN</t>
  </si>
  <si>
    <t>a_post</t>
  </si>
  <si>
    <t>aa_HFS</t>
  </si>
  <si>
    <t>a_publ</t>
  </si>
  <si>
    <t>a_info</t>
  </si>
  <si>
    <t>aa_FBR</t>
  </si>
  <si>
    <t>a_bank</t>
  </si>
  <si>
    <t>a_insu</t>
  </si>
  <si>
    <t>a_ofsv</t>
  </si>
  <si>
    <t>a_rent</t>
  </si>
  <si>
    <t>a_obsv</t>
  </si>
  <si>
    <t>aa_GOV</t>
  </si>
  <si>
    <t>aa_OSRV</t>
  </si>
  <si>
    <t>a_socw</t>
  </si>
  <si>
    <t>a_cult</t>
  </si>
  <si>
    <t>a_arts</t>
  </si>
  <si>
    <t>a_dsrv</t>
  </si>
  <si>
    <t>a_trdc</t>
  </si>
  <si>
    <t>All crops</t>
  </si>
  <si>
    <t>Beans</t>
  </si>
  <si>
    <t>Peas</t>
  </si>
  <si>
    <t>Soya</t>
  </si>
  <si>
    <t>Pyre</t>
  </si>
  <si>
    <t>Fishery and aquaculture</t>
  </si>
  <si>
    <t>Non-agriculture</t>
  </si>
  <si>
    <t>Agro processing</t>
  </si>
  <si>
    <t>Grain millet milling</t>
  </si>
  <si>
    <t>Bakery</t>
  </si>
  <si>
    <t>Beverage and Tobaco</t>
  </si>
  <si>
    <t>Tobaco processing</t>
  </si>
  <si>
    <t>Textiles, clothing and footwear</t>
  </si>
  <si>
    <t>Printing</t>
  </si>
  <si>
    <t>Wood and paper</t>
  </si>
  <si>
    <t>Chemicals</t>
  </si>
  <si>
    <t>Petroleum</t>
  </si>
  <si>
    <t>a_oils</t>
  </si>
  <si>
    <t>a_fsea</t>
  </si>
  <si>
    <t>aoils</t>
  </si>
  <si>
    <t>afsea</t>
  </si>
  <si>
    <t>atrdc</t>
  </si>
  <si>
    <t>Pharmaceutical products (C53)</t>
  </si>
  <si>
    <t>Rubber and plastics products (C54)</t>
  </si>
  <si>
    <t>Non-metallic mineral products n.e.c. (C61)</t>
  </si>
  <si>
    <t>Manufacture of cement, lime and plaster (C62)</t>
  </si>
  <si>
    <t>Metals &amp; metal products, except machinery and equipment (C72)</t>
  </si>
  <si>
    <t>Machinery and equipment (except transport) (C74)</t>
  </si>
  <si>
    <t>Transport equipment (C76)</t>
  </si>
  <si>
    <t>Furniture (C81)</t>
  </si>
  <si>
    <t>Other manufacturing (C82)</t>
  </si>
  <si>
    <t>Electricity, gas, steam and air conditioning supply (D00)</t>
  </si>
  <si>
    <t>Water collection, treatment and supply: sewrage (E01)</t>
  </si>
  <si>
    <t>Construction (modern) (F01)</t>
  </si>
  <si>
    <t>Wholesale and retail trade of motor vehicles and motorcycles (G21)</t>
  </si>
  <si>
    <t>Postal and courier activities (H32)</t>
  </si>
  <si>
    <t>Hotels &amp; restaurants (I00)</t>
  </si>
  <si>
    <t>Publishing, video making, programming &amp; broadcasting activities (J10)</t>
  </si>
  <si>
    <t>Telecommunication (J20)</t>
  </si>
  <si>
    <t>Information technology services (J30)</t>
  </si>
  <si>
    <t>Monetary institutions (K01)</t>
  </si>
  <si>
    <t>Insurance, reinsurance and pension funding, except compulsory social security (K02)</t>
  </si>
  <si>
    <t>Other financial services (K03)</t>
  </si>
  <si>
    <t>Rental value of dwellings (L01)</t>
  </si>
  <si>
    <t>Other real estate activities (L09)</t>
  </si>
  <si>
    <t>Other professional, scientific and technical activities (M03)</t>
  </si>
  <si>
    <t>Public administration and defence; compulsory social security (O00)</t>
  </si>
  <si>
    <t>Education (P00)</t>
  </si>
  <si>
    <t>Human health activities (Q01)</t>
  </si>
  <si>
    <t>Social work activities (Q02)</t>
  </si>
  <si>
    <t>Libraries, archives, museums and other cultural activities (R01)</t>
  </si>
  <si>
    <t>Other arts, entertainment and recreation (R09)</t>
  </si>
  <si>
    <t>Other service activities (S00)</t>
  </si>
  <si>
    <t>Domestic services (T00)</t>
  </si>
  <si>
    <t>Travel debits &amp; credits (V00)</t>
  </si>
  <si>
    <t>Other industry</t>
  </si>
  <si>
    <t>Utility and Construction</t>
  </si>
  <si>
    <t>Trade</t>
  </si>
  <si>
    <t>Transport</t>
  </si>
  <si>
    <t>Hotel and related services</t>
  </si>
  <si>
    <t>Financial and business services</t>
  </si>
  <si>
    <t>Government services</t>
  </si>
  <si>
    <t>Rwnada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</si>
</sst>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2"/>
      <color theme="0" tint="-4.9989318521683403E-2"/>
      <name val="Aptos Narrow"/>
      <family val="2"/>
    </font>
    <font>
      <sz val="12"/>
      <color theme="0" tint="-4.9989318521683403E-2"/>
      <name val="Calibri"/>
      <family val="2"/>
    </font>
    <font>
      <b/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ck">
        <color theme="1" tint="0.499984740745262"/>
      </left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ck">
        <color theme="0" tint="-0.249977111117893"/>
      </left>
      <right/>
      <top/>
      <bottom/>
      <diagonal/>
    </border>
    <border>
      <left/>
      <right/>
      <top style="dashed">
        <color theme="1" tint="0.499984740745262"/>
      </top>
      <bottom/>
      <diagonal/>
    </border>
    <border>
      <left style="dashed">
        <color theme="1" tint="0.499984740745262"/>
      </left>
      <right/>
      <top/>
      <bottom/>
      <diagonal/>
    </border>
    <border>
      <left style="dashed">
        <color theme="1" tint="0.499984740745262"/>
      </left>
      <right style="dashed">
        <color theme="1" tint="0.499984740745262"/>
      </right>
      <top/>
      <bottom style="dashed">
        <color theme="1" tint="0.499984740745262"/>
      </bottom>
      <diagonal/>
    </border>
    <border>
      <left style="dashed">
        <color theme="1" tint="0.499984740745262"/>
      </left>
      <right style="dashed">
        <color theme="1" tint="0.499984740745262"/>
      </right>
      <top/>
      <bottom/>
      <diagonal/>
    </border>
    <border>
      <left/>
      <right/>
      <top/>
      <bottom style="dashed">
        <color theme="1" tint="0.499984740745262"/>
      </bottom>
      <diagonal/>
    </border>
    <border>
      <left style="dashed">
        <color theme="1" tint="0.499984740745262"/>
      </left>
      <right/>
      <top/>
      <bottom style="dashed">
        <color theme="1" tint="0.499984740745262"/>
      </bottom>
      <diagonal/>
    </border>
    <border>
      <left style="dashed">
        <color theme="1" tint="0.499984740745262"/>
      </left>
      <right style="dashed">
        <color theme="1" tint="0.499984740745262"/>
      </right>
      <top style="dashed">
        <color theme="1" tint="0.499984740745262"/>
      </top>
      <bottom/>
      <diagonal/>
    </border>
    <border>
      <left style="dashed">
        <color theme="1" tint="0.499984740745262"/>
      </left>
      <right/>
      <top style="dashed">
        <color theme="1" tint="0.499984740745262"/>
      </top>
      <bottom/>
      <diagonal/>
    </border>
    <border>
      <left/>
      <right style="dashed">
        <color theme="1" tint="0.499984740745262"/>
      </right>
      <top/>
      <bottom/>
      <diagonal/>
    </border>
    <border>
      <left/>
      <right style="dashed">
        <color theme="1" tint="0.499984740745262"/>
      </right>
      <top/>
      <bottom style="dashed">
        <color theme="1" tint="0.499984740745262"/>
      </bottom>
      <diagonal/>
    </border>
    <border>
      <left style="dashed">
        <color theme="0" tint="-0.14999847407452621"/>
      </left>
      <right/>
      <top/>
      <bottom/>
      <diagonal/>
    </border>
    <border>
      <left style="dashed">
        <color theme="0" tint="-0.249977111117893"/>
      </left>
      <right/>
      <top/>
      <bottom/>
      <diagonal/>
    </border>
    <border>
      <left style="dashed">
        <color theme="0" tint="-0.249977111117893"/>
      </left>
      <right style="thick">
        <color theme="1" tint="0.499984740745262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quotePrefix="1" applyFont="1" applyProtection="1">
      <protection locked="0"/>
    </xf>
    <xf numFmtId="0" fontId="0" fillId="0" borderId="0" xfId="0" applyProtection="1">
      <protection locked="0"/>
    </xf>
    <xf numFmtId="0" fontId="7" fillId="2" borderId="0" xfId="0" applyFont="1" applyFill="1"/>
    <xf numFmtId="0" fontId="9" fillId="0" borderId="0" xfId="0" applyFont="1" applyAlignment="1">
      <alignment horizontal="right"/>
    </xf>
    <xf numFmtId="0" fontId="10" fillId="0" borderId="0" xfId="0" applyFont="1"/>
    <xf numFmtId="0" fontId="12" fillId="3" borderId="0" xfId="0" applyFont="1" applyFill="1"/>
    <xf numFmtId="0" fontId="11" fillId="3" borderId="0" xfId="0" applyFont="1" applyFill="1"/>
    <xf numFmtId="0" fontId="13" fillId="2" borderId="0" xfId="0" applyFont="1" applyFill="1"/>
    <xf numFmtId="0" fontId="11" fillId="0" borderId="0" xfId="0" applyFont="1"/>
    <xf numFmtId="0" fontId="0" fillId="2" borderId="1" xfId="0" applyFill="1" applyBorder="1"/>
    <xf numFmtId="0" fontId="0" fillId="0" borderId="1" xfId="0" applyBorder="1"/>
    <xf numFmtId="0" fontId="2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15" fillId="2" borderId="0" xfId="0" applyFont="1" applyFill="1"/>
    <xf numFmtId="0" fontId="0" fillId="2" borderId="0" xfId="0" applyFill="1"/>
    <xf numFmtId="0" fontId="11" fillId="4" borderId="3" xfId="0" applyFont="1" applyFill="1" applyBorder="1"/>
    <xf numFmtId="0" fontId="7" fillId="4" borderId="0" xfId="0" applyFont="1" applyFill="1"/>
    <xf numFmtId="0" fontId="11" fillId="4" borderId="0" xfId="0" applyFont="1" applyFill="1"/>
    <xf numFmtId="0" fontId="0" fillId="0" borderId="0" xfId="0" applyAlignment="1">
      <alignment horizontal="center"/>
    </xf>
    <xf numFmtId="0" fontId="16" fillId="0" borderId="3" xfId="0" applyFont="1" applyBorder="1"/>
    <xf numFmtId="0" fontId="5" fillId="0" borderId="1" xfId="0" applyFont="1" applyBorder="1"/>
    <xf numFmtId="0" fontId="16" fillId="0" borderId="0" xfId="0" applyFont="1"/>
    <xf numFmtId="0" fontId="0" fillId="0" borderId="0" xfId="0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5" borderId="1" xfId="0" applyFill="1" applyBorder="1"/>
    <xf numFmtId="0" fontId="1" fillId="5" borderId="0" xfId="0" applyFont="1" applyFill="1"/>
    <xf numFmtId="0" fontId="16" fillId="5" borderId="3" xfId="0" applyFont="1" applyFill="1" applyBorder="1"/>
    <xf numFmtId="0" fontId="17" fillId="5" borderId="0" xfId="0" applyFont="1" applyFill="1"/>
    <xf numFmtId="0" fontId="8" fillId="0" borderId="1" xfId="0" applyFont="1" applyBorder="1"/>
    <xf numFmtId="0" fontId="6" fillId="5" borderId="0" xfId="0" applyFont="1" applyFill="1" applyProtection="1">
      <protection locked="0"/>
    </xf>
    <xf numFmtId="0" fontId="10" fillId="5" borderId="0" xfId="0" applyFont="1" applyFill="1"/>
    <xf numFmtId="0" fontId="0" fillId="5" borderId="0" xfId="0" applyFill="1"/>
    <xf numFmtId="0" fontId="0" fillId="0" borderId="4" xfId="0" applyBorder="1"/>
    <xf numFmtId="0" fontId="6" fillId="0" borderId="0" xfId="0" applyFont="1"/>
    <xf numFmtId="0" fontId="6" fillId="5" borderId="0" xfId="0" quotePrefix="1" applyFont="1" applyFill="1" applyProtection="1">
      <protection locked="0"/>
    </xf>
    <xf numFmtId="4" fontId="6" fillId="0" borderId="0" xfId="0" applyNumberFormat="1" applyFont="1" applyAlignment="1" applyProtection="1">
      <alignment horizontal="right"/>
      <protection locked="0"/>
    </xf>
    <xf numFmtId="0" fontId="6" fillId="5" borderId="5" xfId="0" quotePrefix="1" applyFont="1" applyFill="1" applyBorder="1" applyProtection="1">
      <protection locked="0"/>
    </xf>
    <xf numFmtId="4" fontId="6" fillId="0" borderId="5" xfId="0" applyNumberFormat="1" applyFont="1" applyBorder="1" applyAlignment="1" applyProtection="1">
      <alignment horizontal="right"/>
      <protection locked="0"/>
    </xf>
    <xf numFmtId="0" fontId="6" fillId="5" borderId="7" xfId="0" quotePrefix="1" applyFont="1" applyFill="1" applyBorder="1" applyProtection="1">
      <protection locked="0"/>
    </xf>
    <xf numFmtId="4" fontId="6" fillId="0" borderId="7" xfId="0" applyNumberFormat="1" applyFont="1" applyBorder="1" applyAlignment="1" applyProtection="1">
      <alignment horizontal="right"/>
      <protection locked="0"/>
    </xf>
    <xf numFmtId="4" fontId="6" fillId="0" borderId="6" xfId="0" applyNumberFormat="1" applyFont="1" applyBorder="1" applyAlignment="1" applyProtection="1">
      <alignment horizontal="right"/>
      <protection locked="0"/>
    </xf>
    <xf numFmtId="4" fontId="6" fillId="0" borderId="7" xfId="0" quotePrefix="1" applyNumberFormat="1" applyFont="1" applyBorder="1" applyAlignment="1" applyProtection="1">
      <alignment horizontal="right"/>
      <protection locked="0"/>
    </xf>
    <xf numFmtId="4" fontId="6" fillId="0" borderId="5" xfId="0" quotePrefix="1" applyNumberFormat="1" applyFont="1" applyBorder="1" applyAlignment="1" applyProtection="1">
      <alignment horizontal="right"/>
      <protection locked="0"/>
    </xf>
    <xf numFmtId="4" fontId="6" fillId="0" borderId="0" xfId="0" quotePrefix="1" applyNumberFormat="1" applyFont="1" applyAlignment="1" applyProtection="1">
      <alignment horizontal="right"/>
      <protection locked="0"/>
    </xf>
    <xf numFmtId="0" fontId="0" fillId="0" borderId="0" xfId="0" quotePrefix="1"/>
    <xf numFmtId="0" fontId="8" fillId="0" borderId="1" xfId="0" quotePrefix="1" applyFont="1" applyBorder="1"/>
    <xf numFmtId="0" fontId="6" fillId="5" borderId="0" xfId="0" applyFont="1" applyFill="1"/>
    <xf numFmtId="0" fontId="20" fillId="0" borderId="0" xfId="0" applyFont="1"/>
    <xf numFmtId="0" fontId="20" fillId="0" borderId="8" xfId="0" applyFont="1" applyBorder="1"/>
    <xf numFmtId="4" fontId="6" fillId="0" borderId="9" xfId="0" applyNumberFormat="1" applyFont="1" applyBorder="1" applyAlignment="1" applyProtection="1">
      <alignment horizontal="right"/>
      <protection locked="0"/>
    </xf>
    <xf numFmtId="4" fontId="6" fillId="0" borderId="8" xfId="0" applyNumberFormat="1" applyFont="1" applyBorder="1" applyAlignment="1" applyProtection="1">
      <alignment horizontal="right"/>
      <protection locked="0"/>
    </xf>
    <xf numFmtId="0" fontId="6" fillId="0" borderId="4" xfId="0" applyFont="1" applyBorder="1"/>
    <xf numFmtId="4" fontId="6" fillId="0" borderId="4" xfId="0" applyNumberFormat="1" applyFont="1" applyBorder="1" applyAlignment="1" applyProtection="1">
      <alignment horizontal="right"/>
      <protection locked="0"/>
    </xf>
    <xf numFmtId="0" fontId="20" fillId="0" borderId="4" xfId="0" applyFont="1" applyBorder="1"/>
    <xf numFmtId="0" fontId="6" fillId="0" borderId="4" xfId="0" quotePrefix="1" applyFont="1" applyBorder="1" applyProtection="1">
      <protection locked="0"/>
    </xf>
    <xf numFmtId="4" fontId="6" fillId="0" borderId="10" xfId="0" quotePrefix="1" applyNumberFormat="1" applyFont="1" applyBorder="1" applyAlignment="1" applyProtection="1">
      <alignment horizontal="right"/>
      <protection locked="0"/>
    </xf>
    <xf numFmtId="4" fontId="6" fillId="0" borderId="11" xfId="0" applyNumberFormat="1" applyFont="1" applyBorder="1" applyAlignment="1" applyProtection="1">
      <alignment horizontal="right"/>
      <protection locked="0"/>
    </xf>
    <xf numFmtId="4" fontId="6" fillId="0" borderId="10" xfId="0" applyNumberFormat="1" applyFont="1" applyBorder="1" applyAlignment="1" applyProtection="1">
      <alignment horizontal="right"/>
      <protection locked="0"/>
    </xf>
    <xf numFmtId="0" fontId="21" fillId="0" borderId="0" xfId="0" applyFont="1"/>
    <xf numFmtId="0" fontId="21" fillId="0" borderId="0" xfId="0" quotePrefix="1" applyFont="1" applyProtection="1">
      <protection locked="0"/>
    </xf>
    <xf numFmtId="4" fontId="21" fillId="0" borderId="7" xfId="0" applyNumberFormat="1" applyFont="1" applyBorder="1" applyAlignment="1" applyProtection="1">
      <alignment horizontal="right"/>
      <protection locked="0"/>
    </xf>
    <xf numFmtId="4" fontId="21" fillId="0" borderId="5" xfId="0" quotePrefix="1" applyNumberFormat="1" applyFont="1" applyBorder="1" applyAlignment="1" applyProtection="1">
      <alignment horizontal="right"/>
      <protection locked="0"/>
    </xf>
    <xf numFmtId="4" fontId="21" fillId="0" borderId="0" xfId="0" quotePrefix="1" applyNumberFormat="1" applyFont="1" applyAlignment="1" applyProtection="1">
      <alignment horizontal="right"/>
      <protection locked="0"/>
    </xf>
    <xf numFmtId="4" fontId="21" fillId="0" borderId="5" xfId="0" applyNumberFormat="1" applyFont="1" applyBorder="1" applyAlignment="1" applyProtection="1">
      <alignment horizontal="right"/>
      <protection locked="0"/>
    </xf>
    <xf numFmtId="4" fontId="21" fillId="0" borderId="0" xfId="0" applyNumberFormat="1" applyFont="1" applyAlignment="1" applyProtection="1">
      <alignment horizontal="right"/>
      <protection locked="0"/>
    </xf>
    <xf numFmtId="4" fontId="6" fillId="0" borderId="12" xfId="0" applyNumberFormat="1" applyFont="1" applyBorder="1" applyAlignment="1" applyProtection="1">
      <alignment horizontal="right"/>
      <protection locked="0"/>
    </xf>
    <xf numFmtId="4" fontId="6" fillId="0" borderId="12" xfId="0" quotePrefix="1" applyNumberFormat="1" applyFont="1" applyBorder="1" applyAlignment="1" applyProtection="1">
      <alignment horizontal="right"/>
      <protection locked="0"/>
    </xf>
    <xf numFmtId="4" fontId="6" fillId="0" borderId="13" xfId="0" applyNumberFormat="1" applyFont="1" applyBorder="1" applyAlignment="1" applyProtection="1">
      <alignment horizontal="right"/>
      <protection locked="0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0" xfId="0" quotePrefix="1" applyFill="1" applyAlignment="1">
      <alignment horizontal="center"/>
    </xf>
    <xf numFmtId="0" fontId="16" fillId="5" borderId="0" xfId="0" quotePrefix="1" applyFont="1" applyFill="1" applyProtection="1">
      <protection locked="0"/>
    </xf>
    <xf numFmtId="0" fontId="16" fillId="5" borderId="5" xfId="0" quotePrefix="1" applyFont="1" applyFill="1" applyBorder="1" applyProtection="1">
      <protection locked="0"/>
    </xf>
    <xf numFmtId="0" fontId="16" fillId="5" borderId="12" xfId="0" quotePrefix="1" applyFont="1" applyFill="1" applyBorder="1" applyProtection="1">
      <protection locked="0"/>
    </xf>
    <xf numFmtId="0" fontId="0" fillId="5" borderId="5" xfId="0" applyFill="1" applyBorder="1"/>
    <xf numFmtId="0" fontId="7" fillId="2" borderId="1" xfId="0" applyFont="1" applyFill="1" applyBorder="1"/>
    <xf numFmtId="0" fontId="8" fillId="5" borderId="1" xfId="0" applyFont="1" applyFill="1" applyBorder="1"/>
    <xf numFmtId="0" fontId="16" fillId="0" borderId="0" xfId="0" applyFont="1" applyProtection="1">
      <protection locked="0"/>
    </xf>
    <xf numFmtId="0" fontId="16" fillId="0" borderId="5" xfId="0" applyFon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9" xfId="0" applyBorder="1" applyProtection="1">
      <protection locked="0"/>
    </xf>
    <xf numFmtId="0" fontId="7" fillId="2" borderId="16" xfId="0" applyFont="1" applyFill="1" applyBorder="1"/>
    <xf numFmtId="0" fontId="0" fillId="0" borderId="0" xfId="0" applyAlignment="1" applyProtection="1">
      <alignment horizontal="left"/>
      <protection locked="0"/>
    </xf>
    <xf numFmtId="3" fontId="6" fillId="0" borderId="7" xfId="0" applyNumberFormat="1" applyFont="1" applyBorder="1" applyAlignment="1" applyProtection="1">
      <alignment horizontal="right"/>
      <protection locked="0"/>
    </xf>
    <xf numFmtId="3" fontId="21" fillId="0" borderId="7" xfId="0" applyNumberFormat="1" applyFont="1" applyBorder="1" applyAlignment="1" applyProtection="1">
      <alignment horizontal="right"/>
      <protection locked="0"/>
    </xf>
    <xf numFmtId="3" fontId="21" fillId="0" borderId="7" xfId="0" quotePrefix="1" applyNumberFormat="1" applyFont="1" applyBorder="1" applyAlignment="1" applyProtection="1">
      <alignment horizontal="right"/>
      <protection locked="0"/>
    </xf>
    <xf numFmtId="3" fontId="6" fillId="0" borderId="7" xfId="0" quotePrefix="1" applyNumberFormat="1" applyFont="1" applyBorder="1" applyAlignment="1" applyProtection="1">
      <alignment horizontal="right"/>
      <protection locked="0"/>
    </xf>
    <xf numFmtId="3" fontId="6" fillId="0" borderId="6" xfId="0" applyNumberFormat="1" applyFont="1" applyBorder="1" applyAlignment="1" applyProtection="1">
      <alignment horizontal="right"/>
      <protection locked="0"/>
    </xf>
    <xf numFmtId="0" fontId="5" fillId="0" borderId="0" xfId="0" quotePrefix="1" applyFont="1" applyProtection="1">
      <protection locked="0"/>
    </xf>
    <xf numFmtId="4" fontId="5" fillId="0" borderId="7" xfId="0" quotePrefix="1" applyNumberFormat="1" applyFont="1" applyBorder="1" applyAlignment="1" applyProtection="1">
      <alignment horizontal="right"/>
      <protection locked="0"/>
    </xf>
    <xf numFmtId="4" fontId="5" fillId="0" borderId="5" xfId="0" applyNumberFormat="1" applyFont="1" applyBorder="1" applyAlignment="1" applyProtection="1">
      <alignment horizontal="right"/>
      <protection locked="0"/>
    </xf>
    <xf numFmtId="4" fontId="5" fillId="0" borderId="0" xfId="0" applyNumberFormat="1" applyFont="1" applyAlignment="1" applyProtection="1">
      <alignment horizontal="right"/>
      <protection locked="0"/>
    </xf>
    <xf numFmtId="4" fontId="21" fillId="0" borderId="7" xfId="0" quotePrefix="1" applyNumberFormat="1" applyFont="1" applyBorder="1" applyAlignment="1" applyProtection="1">
      <alignment horizontal="right"/>
      <protection locked="0"/>
    </xf>
    <xf numFmtId="0" fontId="21" fillId="0" borderId="8" xfId="0" applyFont="1" applyBorder="1"/>
    <xf numFmtId="0" fontId="21" fillId="0" borderId="8" xfId="0" quotePrefix="1" applyFont="1" applyBorder="1" applyProtection="1">
      <protection locked="0"/>
    </xf>
    <xf numFmtId="4" fontId="21" fillId="0" borderId="6" xfId="0" applyNumberFormat="1" applyFont="1" applyBorder="1" applyAlignment="1" applyProtection="1">
      <alignment horizontal="right"/>
      <protection locked="0"/>
    </xf>
    <xf numFmtId="4" fontId="21" fillId="0" borderId="9" xfId="0" applyNumberFormat="1" applyFont="1" applyBorder="1" applyAlignment="1" applyProtection="1">
      <alignment horizontal="right"/>
      <protection locked="0"/>
    </xf>
    <xf numFmtId="4" fontId="21" fillId="0" borderId="8" xfId="0" applyNumberFormat="1" applyFont="1" applyBorder="1" applyAlignment="1" applyProtection="1">
      <alignment horizontal="right"/>
      <protection locked="0"/>
    </xf>
    <xf numFmtId="4" fontId="5" fillId="0" borderId="7" xfId="0" applyNumberFormat="1" applyFont="1" applyBorder="1" applyAlignment="1" applyProtection="1">
      <alignment horizontal="right"/>
      <protection locked="0"/>
    </xf>
    <xf numFmtId="0" fontId="6" fillId="0" borderId="0" xfId="0" applyFont="1" applyProtection="1">
      <protection locked="0"/>
    </xf>
    <xf numFmtId="0" fontId="1" fillId="4" borderId="1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2" xfId="0" applyFill="1" applyBorder="1" applyAlignment="1">
      <alignment horizontal="center"/>
    </xf>
  </cellXfs>
  <cellStyles count="1">
    <cellStyle name="Normal" xfId="0" builtinId="0"/>
  </cellStyles>
  <dxfs count="22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1593-3BDF-4A58-BFA5-28C683454D4E}">
  <sheetPr>
    <tabColor theme="1"/>
  </sheetPr>
  <dimension ref="A1:X159"/>
  <sheetViews>
    <sheetView zoomScale="85" zoomScaleNormal="85" workbookViewId="0">
      <pane ySplit="8" topLeftCell="A9" activePane="bottomLeft" state="frozen"/>
      <selection activeCell="K75" sqref="K75"/>
      <selection pane="bottomLeft" activeCell="D11" sqref="D11"/>
    </sheetView>
  </sheetViews>
  <sheetFormatPr defaultColWidth="0" defaultRowHeight="14.5" zeroHeight="1" x14ac:dyDescent="0.35"/>
  <cols>
    <col min="1" max="2" width="2.453125" customWidth="1"/>
    <col min="3" max="3" width="6.453125" customWidth="1"/>
    <col min="4" max="4" width="14.54296875" customWidth="1"/>
    <col min="5" max="6" width="25.90625" customWidth="1"/>
    <col min="7" max="8" width="2.453125" customWidth="1"/>
    <col min="9" max="9" width="6.453125" customWidth="1"/>
    <col min="10" max="10" width="14.54296875" customWidth="1"/>
    <col min="11" max="11" width="25.90625" customWidth="1"/>
    <col min="12" max="13" width="2.453125" customWidth="1"/>
    <col min="14" max="14" width="6.453125" customWidth="1"/>
    <col min="15" max="15" width="14.54296875" customWidth="1"/>
    <col min="16" max="16" width="25.90625" customWidth="1"/>
    <col min="17" max="19" width="2.453125" customWidth="1"/>
    <col min="20" max="23" width="25.90625" customWidth="1"/>
    <col min="24" max="24" width="2.453125" customWidth="1"/>
    <col min="25" max="16384" width="9.08984375" hidden="1"/>
  </cols>
  <sheetData>
    <row r="1" spans="1:24" ht="18.5" x14ac:dyDescent="0.45">
      <c r="A1" s="9" t="str">
        <f>"Static Standard Reporting  |  "&amp;E3&amp;" ("&amp;E4&amp;")"</f>
        <v>Static Standard Reporting  |  Rwnada (2017)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 x14ac:dyDescent="0.35"/>
    <row r="3" spans="1:24" x14ac:dyDescent="0.35">
      <c r="D3" s="1" t="s">
        <v>0</v>
      </c>
      <c r="E3" s="89" t="s">
        <v>810</v>
      </c>
      <c r="F3" s="17"/>
      <c r="G3" s="17"/>
      <c r="H3" s="17"/>
      <c r="I3" s="17"/>
      <c r="J3" s="17"/>
      <c r="K3" s="17"/>
      <c r="L3" s="17"/>
      <c r="M3" s="17"/>
    </row>
    <row r="4" spans="1:24" x14ac:dyDescent="0.35">
      <c r="D4" s="1" t="s">
        <v>1</v>
      </c>
      <c r="E4" s="89">
        <v>2017</v>
      </c>
      <c r="F4" s="17"/>
      <c r="G4" s="17"/>
      <c r="H4" s="17"/>
      <c r="I4" s="17"/>
      <c r="J4" s="17"/>
      <c r="K4" s="17"/>
      <c r="L4" s="17"/>
      <c r="M4" s="17"/>
    </row>
    <row r="5" spans="1:24" x14ac:dyDescent="0.35">
      <c r="D5" s="1" t="s">
        <v>2</v>
      </c>
      <c r="E5" s="89"/>
      <c r="F5" s="17"/>
      <c r="G5" s="17"/>
      <c r="H5" s="17"/>
      <c r="I5" s="17"/>
      <c r="J5" s="17"/>
      <c r="K5" s="17"/>
      <c r="L5" s="17"/>
      <c r="M5" s="17"/>
    </row>
    <row r="6" spans="1:24" x14ac:dyDescent="0.35"/>
    <row r="7" spans="1:24" ht="15.5" x14ac:dyDescent="0.35">
      <c r="B7" s="13"/>
      <c r="C7" s="18" t="s">
        <v>3</v>
      </c>
      <c r="D7" s="19"/>
      <c r="E7" s="19"/>
      <c r="F7" s="19"/>
      <c r="H7" s="13"/>
      <c r="I7" s="18" t="s">
        <v>4</v>
      </c>
      <c r="J7" s="18"/>
      <c r="K7" s="18"/>
      <c r="M7" s="13"/>
      <c r="N7" s="18" t="s">
        <v>5</v>
      </c>
      <c r="O7" s="18"/>
      <c r="P7" s="18"/>
      <c r="S7" s="20"/>
      <c r="T7" s="21" t="s">
        <v>62</v>
      </c>
      <c r="U7" s="22"/>
      <c r="V7" s="22"/>
      <c r="W7" s="22"/>
    </row>
    <row r="8" spans="1:24" x14ac:dyDescent="0.35">
      <c r="B8" s="29"/>
      <c r="C8" s="30" t="s">
        <v>37</v>
      </c>
      <c r="D8" s="30" t="s">
        <v>58</v>
      </c>
      <c r="E8" s="30" t="s">
        <v>59</v>
      </c>
      <c r="F8" s="30" t="s">
        <v>60</v>
      </c>
      <c r="H8" s="29"/>
      <c r="I8" s="30" t="s">
        <v>37</v>
      </c>
      <c r="J8" s="30" t="s">
        <v>58</v>
      </c>
      <c r="K8" s="30" t="s">
        <v>61</v>
      </c>
      <c r="M8" s="29"/>
      <c r="N8" s="30" t="s">
        <v>37</v>
      </c>
      <c r="O8" s="30" t="s">
        <v>58</v>
      </c>
      <c r="P8" s="30" t="s">
        <v>61</v>
      </c>
      <c r="S8" s="31"/>
      <c r="T8" s="32" t="s">
        <v>11</v>
      </c>
      <c r="U8" s="32" t="s">
        <v>63</v>
      </c>
      <c r="V8" s="32" t="s">
        <v>4</v>
      </c>
      <c r="W8" s="32" t="s">
        <v>5</v>
      </c>
    </row>
    <row r="9" spans="1:24" x14ac:dyDescent="0.35">
      <c r="B9" s="25"/>
      <c r="C9" s="27"/>
      <c r="D9" s="5" t="s">
        <v>309</v>
      </c>
      <c r="E9" s="5" t="s">
        <v>310</v>
      </c>
      <c r="F9" s="5" t="s">
        <v>311</v>
      </c>
      <c r="G9" s="23" t="s">
        <v>390</v>
      </c>
      <c r="H9" s="14"/>
      <c r="I9" s="27">
        <v>1</v>
      </c>
      <c r="J9" s="5" t="s">
        <v>391</v>
      </c>
      <c r="K9" s="5" t="s">
        <v>392</v>
      </c>
      <c r="L9" s="23" t="s">
        <v>390</v>
      </c>
      <c r="M9" s="14"/>
      <c r="N9" s="27">
        <v>1</v>
      </c>
      <c r="O9" s="5" t="s">
        <v>411</v>
      </c>
      <c r="P9" s="5" t="s">
        <v>8</v>
      </c>
      <c r="Q9" s="23" t="s">
        <v>390</v>
      </c>
      <c r="S9" s="24"/>
      <c r="T9" s="26" t="str">
        <f t="shared" ref="T9" si="0">IF(C9=1,E9,IF(C9=2,"   "&amp;E9,IF(C9=3,"      "&amp;E9,IF(C9=4,"         "&amp;E9,"               "&amp;E9))))</f>
        <v xml:space="preserve">               All sectors</v>
      </c>
      <c r="U9" s="26" t="str">
        <f>IF(C9=1,F9,IF(C9=2,"   "&amp;F9,IF(C9=3,"      "&amp;F9,IF(C9=4,"         "&amp;F9,"               "&amp;F9))))</f>
        <v xml:space="preserve">               All products</v>
      </c>
      <c r="V9" s="26" t="str">
        <f>IF(I9=1,K9,IF(I9=2,"   "&amp;K9,IF(I9=3,"      "&amp;K9,IF(I9=4,"         "&amp;K9,"               "&amp;K9))))</f>
        <v>Labor</v>
      </c>
      <c r="W9" s="26" t="str">
        <f>IF(N9=1,P9,IF(N9=2,"   "&amp;P9,IF(N9=3,"      "&amp;P9,IF(N9=4,"         "&amp;P9,"               "&amp;P9))))</f>
        <v>All households</v>
      </c>
    </row>
    <row r="10" spans="1:24" x14ac:dyDescent="0.35">
      <c r="B10" s="25"/>
      <c r="C10" s="27"/>
      <c r="D10" s="5" t="s">
        <v>695</v>
      </c>
      <c r="E10" s="5" t="s">
        <v>312</v>
      </c>
      <c r="F10" s="5" t="s">
        <v>312</v>
      </c>
      <c r="G10" s="23" t="s">
        <v>390</v>
      </c>
      <c r="H10" s="14"/>
      <c r="I10" s="27">
        <v>3</v>
      </c>
      <c r="J10" s="5" t="s">
        <v>534</v>
      </c>
      <c r="K10" s="5" t="s">
        <v>535</v>
      </c>
      <c r="L10" s="23" t="s">
        <v>390</v>
      </c>
      <c r="M10" s="14"/>
      <c r="N10" s="27">
        <v>3</v>
      </c>
      <c r="O10" s="5" t="s">
        <v>645</v>
      </c>
      <c r="P10" s="5" t="s">
        <v>650</v>
      </c>
      <c r="Q10" s="23" t="s">
        <v>390</v>
      </c>
      <c r="S10" s="24"/>
      <c r="T10" s="26" t="str">
        <f t="shared" ref="T10:T73" si="1">IF(C10=1,E10,IF(C10=2,"   "&amp;E10,IF(C10=3,"      "&amp;E10,IF(C10=4,"         "&amp;E10,"               "&amp;E10))))</f>
        <v xml:space="preserve">               Agriculture</v>
      </c>
      <c r="U10" s="26" t="str">
        <f t="shared" ref="U10:U73" si="2">IF(C10=1,F10,IF(C10=2,"   "&amp;F10,IF(C10=3,"      "&amp;F10,IF(C10=4,"         "&amp;F10,"               "&amp;F10))))</f>
        <v xml:space="preserve">               Agriculture</v>
      </c>
      <c r="V10" s="26" t="str">
        <f t="shared" ref="V10:V73" si="3">IF(I10=1,K10,IF(I10=2,"   "&amp;K10,IF(I10=3,"      "&amp;K10,IF(I10=4,"         "&amp;K10,"               "&amp;K10))))</f>
        <v xml:space="preserve">      Labor - uneducated</v>
      </c>
      <c r="W10" s="26" t="str">
        <f t="shared" ref="W10:W73" si="4">IF(N10=1,P10,IF(N10=2,"   "&amp;P10,IF(N10=3,"      "&amp;P10,IF(N10=4,"         "&amp;P10,"               "&amp;P10))))</f>
        <v xml:space="preserve">      Quintile 1 (low)</v>
      </c>
    </row>
    <row r="11" spans="1:24" x14ac:dyDescent="0.35">
      <c r="B11" s="25"/>
      <c r="C11" s="27"/>
      <c r="D11" s="5" t="s">
        <v>696</v>
      </c>
      <c r="E11" s="5" t="s">
        <v>748</v>
      </c>
      <c r="F11" s="5" t="s">
        <v>313</v>
      </c>
      <c r="G11" s="23" t="s">
        <v>390</v>
      </c>
      <c r="H11" s="14"/>
      <c r="I11" s="27">
        <v>3</v>
      </c>
      <c r="J11" s="5" t="s">
        <v>536</v>
      </c>
      <c r="K11" s="5" t="s">
        <v>393</v>
      </c>
      <c r="L11" s="23" t="s">
        <v>390</v>
      </c>
      <c r="M11" s="14"/>
      <c r="N11" s="27">
        <v>3</v>
      </c>
      <c r="O11" s="5" t="s">
        <v>646</v>
      </c>
      <c r="P11" s="5" t="s">
        <v>651</v>
      </c>
      <c r="Q11" s="23" t="s">
        <v>390</v>
      </c>
      <c r="S11" s="24"/>
      <c r="T11" s="26" t="str">
        <f t="shared" si="1"/>
        <v xml:space="preserve">               All crops</v>
      </c>
      <c r="U11" s="26" t="str">
        <f t="shared" si="2"/>
        <v xml:space="preserve">               Crops</v>
      </c>
      <c r="V11" s="26" t="str">
        <f t="shared" si="3"/>
        <v xml:space="preserve">      Labor - primary</v>
      </c>
      <c r="W11" s="26" t="str">
        <f t="shared" si="4"/>
        <v xml:space="preserve">      Quintile 2</v>
      </c>
    </row>
    <row r="12" spans="1:24" x14ac:dyDescent="0.35">
      <c r="B12" s="25"/>
      <c r="C12" s="27"/>
      <c r="D12" s="5" t="s">
        <v>466</v>
      </c>
      <c r="E12" s="5" t="s">
        <v>467</v>
      </c>
      <c r="F12" s="5" t="s">
        <v>315</v>
      </c>
      <c r="G12" s="23" t="s">
        <v>390</v>
      </c>
      <c r="H12" s="14"/>
      <c r="I12" s="27">
        <v>3</v>
      </c>
      <c r="J12" s="5" t="s">
        <v>537</v>
      </c>
      <c r="K12" s="5" t="s">
        <v>394</v>
      </c>
      <c r="L12" s="23" t="s">
        <v>390</v>
      </c>
      <c r="M12" s="14"/>
      <c r="N12" s="27">
        <v>3</v>
      </c>
      <c r="O12" s="5" t="s">
        <v>647</v>
      </c>
      <c r="P12" s="5" t="s">
        <v>652</v>
      </c>
      <c r="Q12" s="23" t="s">
        <v>390</v>
      </c>
      <c r="S12" s="24"/>
      <c r="T12" s="26" t="str">
        <f t="shared" si="1"/>
        <v xml:space="preserve">               Sorghum and millet</v>
      </c>
      <c r="U12" s="26" t="str">
        <f t="shared" si="2"/>
        <v xml:space="preserve">               Maize</v>
      </c>
      <c r="V12" s="26" t="str">
        <f t="shared" si="3"/>
        <v xml:space="preserve">      Labor - secondary</v>
      </c>
      <c r="W12" s="26" t="str">
        <f t="shared" si="4"/>
        <v xml:space="preserve">      Quintile 3</v>
      </c>
    </row>
    <row r="13" spans="1:24" x14ac:dyDescent="0.35">
      <c r="B13" s="25"/>
      <c r="C13" s="27"/>
      <c r="D13" s="5" t="s">
        <v>314</v>
      </c>
      <c r="E13" s="5" t="s">
        <v>315</v>
      </c>
      <c r="F13" s="5" t="s">
        <v>467</v>
      </c>
      <c r="G13" s="23" t="s">
        <v>390</v>
      </c>
      <c r="H13" s="14"/>
      <c r="I13" s="27">
        <v>3</v>
      </c>
      <c r="J13" s="5" t="s">
        <v>538</v>
      </c>
      <c r="K13" s="5" t="s">
        <v>395</v>
      </c>
      <c r="L13" s="23" t="s">
        <v>390</v>
      </c>
      <c r="M13" s="14"/>
      <c r="N13" s="27">
        <v>3</v>
      </c>
      <c r="O13" s="5" t="s">
        <v>648</v>
      </c>
      <c r="P13" s="5" t="s">
        <v>653</v>
      </c>
      <c r="Q13" s="23" t="s">
        <v>390</v>
      </c>
      <c r="S13" s="24"/>
      <c r="T13" s="26" t="str">
        <f t="shared" si="1"/>
        <v xml:space="preserve">               Maize</v>
      </c>
      <c r="U13" s="26" t="str">
        <f t="shared" si="2"/>
        <v xml:space="preserve">               Sorghum and millet</v>
      </c>
      <c r="V13" s="26" t="str">
        <f t="shared" si="3"/>
        <v xml:space="preserve">      Labor - tertiary</v>
      </c>
      <c r="W13" s="26" t="str">
        <f t="shared" si="4"/>
        <v xml:space="preserve">      Quintile 4</v>
      </c>
    </row>
    <row r="14" spans="1:24" x14ac:dyDescent="0.35">
      <c r="B14" s="25"/>
      <c r="C14" s="27"/>
      <c r="D14" s="5" t="s">
        <v>468</v>
      </c>
      <c r="E14" s="5" t="s">
        <v>469</v>
      </c>
      <c r="F14" s="5" t="s">
        <v>591</v>
      </c>
      <c r="G14" s="23" t="s">
        <v>390</v>
      </c>
      <c r="H14" s="14"/>
      <c r="I14" s="27">
        <v>2</v>
      </c>
      <c r="J14" s="5" t="s">
        <v>539</v>
      </c>
      <c r="K14" s="5" t="s">
        <v>540</v>
      </c>
      <c r="L14" s="23" t="s">
        <v>390</v>
      </c>
      <c r="M14" s="14"/>
      <c r="N14" s="27">
        <v>3</v>
      </c>
      <c r="O14" s="5" t="s">
        <v>649</v>
      </c>
      <c r="P14" s="5" t="s">
        <v>654</v>
      </c>
      <c r="Q14" s="23" t="s">
        <v>390</v>
      </c>
      <c r="S14" s="24"/>
      <c r="T14" s="26" t="str">
        <f t="shared" si="1"/>
        <v xml:space="preserve">               Wheat and barley</v>
      </c>
      <c r="U14" s="26" t="str">
        <f t="shared" si="2"/>
        <v xml:space="preserve">               Rice paddy (Aman)</v>
      </c>
      <c r="V14" s="26" t="str">
        <f t="shared" si="3"/>
        <v xml:space="preserve">   Labor - rural</v>
      </c>
      <c r="W14" s="26" t="str">
        <f t="shared" si="4"/>
        <v xml:space="preserve">      Quintile 5 (high)</v>
      </c>
    </row>
    <row r="15" spans="1:24" x14ac:dyDescent="0.35">
      <c r="B15" s="25"/>
      <c r="C15" s="27"/>
      <c r="D15" s="5" t="s">
        <v>697</v>
      </c>
      <c r="E15" s="5" t="s">
        <v>591</v>
      </c>
      <c r="F15" s="5" t="s">
        <v>592</v>
      </c>
      <c r="G15" s="23" t="s">
        <v>390</v>
      </c>
      <c r="H15" s="14"/>
      <c r="I15" s="27">
        <v>3</v>
      </c>
      <c r="J15" s="5" t="s">
        <v>396</v>
      </c>
      <c r="K15" s="5" t="s">
        <v>541</v>
      </c>
      <c r="L15" s="23" t="s">
        <v>390</v>
      </c>
      <c r="M15" s="14"/>
      <c r="N15" s="27">
        <v>2</v>
      </c>
      <c r="O15" s="5" t="s">
        <v>412</v>
      </c>
      <c r="P15" s="5" t="s">
        <v>9</v>
      </c>
      <c r="Q15" s="23" t="s">
        <v>390</v>
      </c>
      <c r="S15" s="24"/>
      <c r="T15" s="26" t="str">
        <f t="shared" si="1"/>
        <v xml:space="preserve">               Rice paddy (Aman)</v>
      </c>
      <c r="U15" s="26" t="str">
        <f t="shared" si="2"/>
        <v xml:space="preserve">               Rice paddy (Boro)</v>
      </c>
      <c r="V15" s="26" t="str">
        <f t="shared" si="3"/>
        <v xml:space="preserve">      Labor - rural uneducated</v>
      </c>
      <c r="W15" s="26" t="str">
        <f t="shared" ref="W15:W41" si="5">IF(N15=1,P15,IF(N15=2,"   "&amp;P15,IF(N15=3,"      "&amp;P15,IF(N15=4,"         "&amp;P15,"               "&amp;P15))))</f>
        <v xml:space="preserve">   Rural households</v>
      </c>
    </row>
    <row r="16" spans="1:24" x14ac:dyDescent="0.35">
      <c r="B16" s="25"/>
      <c r="C16" s="27"/>
      <c r="D16" s="5" t="s">
        <v>316</v>
      </c>
      <c r="E16" s="5" t="s">
        <v>317</v>
      </c>
      <c r="F16" s="5" t="s">
        <v>469</v>
      </c>
      <c r="G16" s="23" t="s">
        <v>390</v>
      </c>
      <c r="H16" s="14"/>
      <c r="I16" s="27">
        <v>3</v>
      </c>
      <c r="J16" s="5" t="s">
        <v>397</v>
      </c>
      <c r="K16" s="5" t="s">
        <v>542</v>
      </c>
      <c r="L16" s="23" t="s">
        <v>390</v>
      </c>
      <c r="M16" s="14"/>
      <c r="N16" s="27">
        <v>3</v>
      </c>
      <c r="O16" s="5" t="s">
        <v>611</v>
      </c>
      <c r="P16" s="5" t="s">
        <v>655</v>
      </c>
      <c r="Q16" s="23" t="s">
        <v>390</v>
      </c>
      <c r="S16" s="24"/>
      <c r="T16" s="26" t="str">
        <f t="shared" si="1"/>
        <v xml:space="preserve">               Other cereals</v>
      </c>
      <c r="U16" s="26" t="str">
        <f t="shared" si="2"/>
        <v xml:space="preserve">               Wheat and barley</v>
      </c>
      <c r="V16" s="26" t="str">
        <f t="shared" si="3"/>
        <v xml:space="preserve">      Labor - rural primary</v>
      </c>
      <c r="W16" s="26" t="str">
        <f t="shared" si="5"/>
        <v xml:space="preserve">      Rural - Quintile 1 (low)</v>
      </c>
    </row>
    <row r="17" spans="2:23" x14ac:dyDescent="0.35">
      <c r="B17" s="25"/>
      <c r="C17" s="27"/>
      <c r="D17" s="5" t="s">
        <v>475</v>
      </c>
      <c r="E17" s="5" t="s">
        <v>476</v>
      </c>
      <c r="F17" s="5" t="s">
        <v>317</v>
      </c>
      <c r="G17" s="23" t="s">
        <v>390</v>
      </c>
      <c r="H17" s="14"/>
      <c r="I17" s="27">
        <v>3</v>
      </c>
      <c r="J17" s="5" t="s">
        <v>398</v>
      </c>
      <c r="K17" s="5" t="s">
        <v>543</v>
      </c>
      <c r="L17" s="23" t="s">
        <v>390</v>
      </c>
      <c r="M17" s="14"/>
      <c r="N17" s="27">
        <v>3</v>
      </c>
      <c r="O17" s="5" t="s">
        <v>612</v>
      </c>
      <c r="P17" s="5" t="s">
        <v>656</v>
      </c>
      <c r="Q17" s="23" t="s">
        <v>390</v>
      </c>
      <c r="S17" s="24"/>
      <c r="T17" s="26" t="str">
        <f t="shared" si="1"/>
        <v xml:space="preserve">               Irish potatoes</v>
      </c>
      <c r="U17" s="26" t="str">
        <f t="shared" si="2"/>
        <v xml:space="preserve">               Other cereals</v>
      </c>
      <c r="V17" s="26" t="str">
        <f t="shared" si="3"/>
        <v xml:space="preserve">      Labor - rural secondary</v>
      </c>
      <c r="W17" s="26" t="str">
        <f t="shared" si="5"/>
        <v xml:space="preserve">      Rural - Quintile 2</v>
      </c>
    </row>
    <row r="18" spans="2:23" x14ac:dyDescent="0.35">
      <c r="B18" s="25"/>
      <c r="C18" s="27"/>
      <c r="D18" s="5" t="s">
        <v>477</v>
      </c>
      <c r="E18" s="5" t="s">
        <v>478</v>
      </c>
      <c r="F18" s="5" t="s">
        <v>318</v>
      </c>
      <c r="G18" s="23" t="s">
        <v>390</v>
      </c>
      <c r="H18" s="14"/>
      <c r="I18" s="27">
        <v>3</v>
      </c>
      <c r="J18" s="5" t="s">
        <v>399</v>
      </c>
      <c r="K18" s="5" t="s">
        <v>544</v>
      </c>
      <c r="L18" s="23" t="s">
        <v>390</v>
      </c>
      <c r="M18" s="14"/>
      <c r="N18" s="27">
        <v>3</v>
      </c>
      <c r="O18" s="5" t="s">
        <v>613</v>
      </c>
      <c r="P18" s="5" t="s">
        <v>657</v>
      </c>
      <c r="Q18" s="23" t="s">
        <v>390</v>
      </c>
      <c r="S18" s="24"/>
      <c r="T18" s="26" t="str">
        <f t="shared" si="1"/>
        <v xml:space="preserve">               Sweet potatoes</v>
      </c>
      <c r="U18" s="26" t="str">
        <f t="shared" si="2"/>
        <v xml:space="preserve">               Pulses</v>
      </c>
      <c r="V18" s="26" t="str">
        <f t="shared" si="3"/>
        <v xml:space="preserve">      Labor - rural tertiary</v>
      </c>
      <c r="W18" s="26" t="str">
        <f t="shared" si="5"/>
        <v xml:space="preserve">      Rural - Quintile 3</v>
      </c>
    </row>
    <row r="19" spans="2:23" x14ac:dyDescent="0.35">
      <c r="B19" s="25"/>
      <c r="C19" s="27"/>
      <c r="D19" s="5" t="s">
        <v>473</v>
      </c>
      <c r="E19" s="5" t="s">
        <v>474</v>
      </c>
      <c r="F19" s="5" t="s">
        <v>471</v>
      </c>
      <c r="G19" s="23" t="s">
        <v>390</v>
      </c>
      <c r="H19" s="14"/>
      <c r="I19" s="27">
        <v>2</v>
      </c>
      <c r="J19" s="5" t="s">
        <v>400</v>
      </c>
      <c r="K19" s="5" t="s">
        <v>545</v>
      </c>
      <c r="L19" s="23" t="s">
        <v>390</v>
      </c>
      <c r="M19" s="14"/>
      <c r="N19" s="27">
        <v>3</v>
      </c>
      <c r="O19" s="5" t="s">
        <v>614</v>
      </c>
      <c r="P19" s="5" t="s">
        <v>658</v>
      </c>
      <c r="Q19" s="23" t="s">
        <v>390</v>
      </c>
      <c r="S19" s="24"/>
      <c r="T19" s="26" t="str">
        <f t="shared" si="1"/>
        <v xml:space="preserve">               Cassava</v>
      </c>
      <c r="U19" s="26" t="str">
        <f t="shared" si="2"/>
        <v xml:space="preserve">               Groundnuts</v>
      </c>
      <c r="V19" s="26" t="str">
        <f t="shared" si="3"/>
        <v xml:space="preserve">   Labor - urban</v>
      </c>
      <c r="W19" s="26" t="str">
        <f t="shared" si="5"/>
        <v xml:space="preserve">      Rural - Quintile 4</v>
      </c>
    </row>
    <row r="20" spans="2:23" x14ac:dyDescent="0.35">
      <c r="B20" s="25"/>
      <c r="C20" s="27"/>
      <c r="D20" s="5" t="s">
        <v>319</v>
      </c>
      <c r="E20" s="5" t="s">
        <v>479</v>
      </c>
      <c r="F20" s="5" t="s">
        <v>472</v>
      </c>
      <c r="G20" s="23" t="s">
        <v>390</v>
      </c>
      <c r="H20" s="14"/>
      <c r="I20" s="27">
        <v>3</v>
      </c>
      <c r="J20" s="5" t="s">
        <v>401</v>
      </c>
      <c r="K20" s="5" t="s">
        <v>546</v>
      </c>
      <c r="L20" s="23" t="s">
        <v>390</v>
      </c>
      <c r="M20" s="14"/>
      <c r="N20" s="27">
        <v>3</v>
      </c>
      <c r="O20" s="5" t="s">
        <v>615</v>
      </c>
      <c r="P20" s="5" t="s">
        <v>659</v>
      </c>
      <c r="Q20" s="23" t="s">
        <v>390</v>
      </c>
      <c r="S20" s="24"/>
      <c r="T20" s="26" t="str">
        <f t="shared" si="1"/>
        <v xml:space="preserve">               Other roots</v>
      </c>
      <c r="U20" s="26" t="str">
        <f t="shared" si="2"/>
        <v xml:space="preserve">               Other oilseeds</v>
      </c>
      <c r="V20" s="26" t="str">
        <f t="shared" si="3"/>
        <v xml:space="preserve">      Labor - urban uneducated</v>
      </c>
      <c r="W20" s="26" t="str">
        <f t="shared" si="5"/>
        <v xml:space="preserve">      Rural - Quintile 5 (high)</v>
      </c>
    </row>
    <row r="21" spans="2:23" x14ac:dyDescent="0.35">
      <c r="B21" s="25"/>
      <c r="C21" s="27"/>
      <c r="D21" s="5" t="s">
        <v>698</v>
      </c>
      <c r="E21" s="5" t="s">
        <v>749</v>
      </c>
      <c r="F21" s="5" t="s">
        <v>474</v>
      </c>
      <c r="G21" s="23" t="s">
        <v>390</v>
      </c>
      <c r="H21" s="14"/>
      <c r="I21" s="27">
        <v>3</v>
      </c>
      <c r="J21" s="5" t="s">
        <v>402</v>
      </c>
      <c r="K21" s="5" t="s">
        <v>547</v>
      </c>
      <c r="L21" s="23" t="s">
        <v>390</v>
      </c>
      <c r="M21" s="14"/>
      <c r="N21" s="27">
        <v>2</v>
      </c>
      <c r="O21" s="5" t="s">
        <v>413</v>
      </c>
      <c r="P21" s="5" t="s">
        <v>10</v>
      </c>
      <c r="Q21" s="23" t="s">
        <v>390</v>
      </c>
      <c r="S21" s="24"/>
      <c r="T21" s="26" t="str">
        <f t="shared" si="1"/>
        <v xml:space="preserve">               Beans</v>
      </c>
      <c r="U21" s="26" t="str">
        <f t="shared" si="2"/>
        <v xml:space="preserve">               Cassava</v>
      </c>
      <c r="V21" s="26" t="str">
        <f t="shared" si="3"/>
        <v xml:space="preserve">      Labor - urban primary</v>
      </c>
      <c r="W21" s="26" t="str">
        <f t="shared" si="5"/>
        <v xml:space="preserve">   Urban households</v>
      </c>
    </row>
    <row r="22" spans="2:23" x14ac:dyDescent="0.35">
      <c r="B22" s="25"/>
      <c r="C22" s="27"/>
      <c r="D22" s="5" t="s">
        <v>699</v>
      </c>
      <c r="E22" s="5" t="s">
        <v>750</v>
      </c>
      <c r="F22" s="5" t="s">
        <v>476</v>
      </c>
      <c r="G22" s="23" t="s">
        <v>390</v>
      </c>
      <c r="H22" s="14"/>
      <c r="I22" s="27">
        <v>3</v>
      </c>
      <c r="J22" s="5" t="s">
        <v>403</v>
      </c>
      <c r="K22" s="5" t="s">
        <v>548</v>
      </c>
      <c r="L22" s="23" t="s">
        <v>390</v>
      </c>
      <c r="M22" s="14"/>
      <c r="N22" s="27">
        <v>3</v>
      </c>
      <c r="O22" s="5" t="s">
        <v>621</v>
      </c>
      <c r="P22" s="5" t="s">
        <v>660</v>
      </c>
      <c r="Q22" s="23" t="s">
        <v>390</v>
      </c>
      <c r="S22" s="24"/>
      <c r="T22" s="26" t="str">
        <f t="shared" si="1"/>
        <v xml:space="preserve">               Peas</v>
      </c>
      <c r="U22" s="26" t="str">
        <f t="shared" si="2"/>
        <v xml:space="preserve">               Irish potatoes</v>
      </c>
      <c r="V22" s="26" t="str">
        <f t="shared" si="3"/>
        <v xml:space="preserve">      Labor - urban secondary</v>
      </c>
      <c r="W22" s="26" t="str">
        <f t="shared" si="5"/>
        <v xml:space="preserve">      Urban - Quintile 1 (low)</v>
      </c>
    </row>
    <row r="23" spans="2:23" x14ac:dyDescent="0.35">
      <c r="B23" s="25"/>
      <c r="C23" s="27"/>
      <c r="D23" s="5" t="s">
        <v>320</v>
      </c>
      <c r="E23" s="5" t="s">
        <v>594</v>
      </c>
      <c r="F23" s="5" t="s">
        <v>478</v>
      </c>
      <c r="G23" s="23" t="s">
        <v>390</v>
      </c>
      <c r="H23" s="14"/>
      <c r="I23" s="27">
        <v>3</v>
      </c>
      <c r="J23" s="5" t="s">
        <v>404</v>
      </c>
      <c r="K23" s="5" t="s">
        <v>549</v>
      </c>
      <c r="L23" s="23" t="s">
        <v>390</v>
      </c>
      <c r="M23" s="14"/>
      <c r="N23" s="27">
        <v>3</v>
      </c>
      <c r="O23" s="5" t="s">
        <v>622</v>
      </c>
      <c r="P23" s="5" t="s">
        <v>661</v>
      </c>
      <c r="Q23" s="23" t="s">
        <v>390</v>
      </c>
      <c r="S23" s="24"/>
      <c r="T23" s="26" t="str">
        <f t="shared" si="1"/>
        <v xml:space="preserve">               Other vegetables</v>
      </c>
      <c r="U23" s="26" t="str">
        <f t="shared" si="2"/>
        <v xml:space="preserve">               Sweet potatoes</v>
      </c>
      <c r="V23" s="26" t="str">
        <f t="shared" si="3"/>
        <v xml:space="preserve">      Labor - urban tertiary</v>
      </c>
      <c r="W23" s="26" t="str">
        <f t="shared" si="5"/>
        <v xml:space="preserve">      Urban - Quintile 2</v>
      </c>
    </row>
    <row r="24" spans="2:23" x14ac:dyDescent="0.35">
      <c r="B24" s="25"/>
      <c r="C24" s="27"/>
      <c r="D24" s="5" t="s">
        <v>700</v>
      </c>
      <c r="E24" s="5" t="s">
        <v>597</v>
      </c>
      <c r="F24" s="5" t="s">
        <v>479</v>
      </c>
      <c r="G24" s="23" t="s">
        <v>390</v>
      </c>
      <c r="H24" s="14"/>
      <c r="I24" s="27">
        <v>1</v>
      </c>
      <c r="J24" s="5" t="s">
        <v>7</v>
      </c>
      <c r="K24" s="5" t="s">
        <v>405</v>
      </c>
      <c r="L24" s="23" t="s">
        <v>390</v>
      </c>
      <c r="M24" s="14"/>
      <c r="N24" s="27">
        <v>3</v>
      </c>
      <c r="O24" s="5" t="s">
        <v>623</v>
      </c>
      <c r="P24" s="5" t="s">
        <v>662</v>
      </c>
      <c r="Q24" s="23" t="s">
        <v>390</v>
      </c>
      <c r="S24" s="24"/>
      <c r="T24" s="26" t="str">
        <f t="shared" si="1"/>
        <v xml:space="preserve">               Bananas and plantains</v>
      </c>
      <c r="U24" s="26" t="str">
        <f t="shared" si="2"/>
        <v xml:space="preserve">               Other roots</v>
      </c>
      <c r="V24" s="26" t="str">
        <f t="shared" si="3"/>
        <v>Crop land</v>
      </c>
      <c r="W24" s="26" t="str">
        <f t="shared" si="5"/>
        <v xml:space="preserve">      Urban - Quintile 3</v>
      </c>
    </row>
    <row r="25" spans="2:23" x14ac:dyDescent="0.35">
      <c r="B25" s="25"/>
      <c r="C25" s="27"/>
      <c r="D25" s="5" t="s">
        <v>701</v>
      </c>
      <c r="E25" s="5" t="s">
        <v>597</v>
      </c>
      <c r="F25" s="5" t="s">
        <v>593</v>
      </c>
      <c r="G25" s="23" t="s">
        <v>390</v>
      </c>
      <c r="H25" s="14"/>
      <c r="I25" s="27">
        <v>1</v>
      </c>
      <c r="J25" s="5" t="s">
        <v>406</v>
      </c>
      <c r="K25" s="5" t="s">
        <v>407</v>
      </c>
      <c r="L25" s="23" t="s">
        <v>390</v>
      </c>
      <c r="M25" s="14"/>
      <c r="N25" s="27">
        <v>3</v>
      </c>
      <c r="O25" s="5" t="s">
        <v>624</v>
      </c>
      <c r="P25" s="5" t="s">
        <v>663</v>
      </c>
      <c r="Q25" s="23" t="s">
        <v>390</v>
      </c>
      <c r="S25" s="24"/>
      <c r="T25" s="26" t="str">
        <f t="shared" si="1"/>
        <v xml:space="preserve">               Bananas and plantains</v>
      </c>
      <c r="U25" s="26" t="str">
        <f t="shared" si="2"/>
        <v xml:space="preserve">               Leafy vegetables</v>
      </c>
      <c r="V25" s="26" t="str">
        <f t="shared" si="3"/>
        <v>Capital</v>
      </c>
      <c r="W25" s="26" t="str">
        <f t="shared" si="5"/>
        <v xml:space="preserve">      Urban - Quintile 4</v>
      </c>
    </row>
    <row r="26" spans="2:23" x14ac:dyDescent="0.35">
      <c r="B26" s="25"/>
      <c r="C26" s="27"/>
      <c r="D26" s="5" t="s">
        <v>702</v>
      </c>
      <c r="E26" s="5" t="s">
        <v>597</v>
      </c>
      <c r="F26" s="5" t="s">
        <v>594</v>
      </c>
      <c r="G26" s="23" t="s">
        <v>390</v>
      </c>
      <c r="H26" s="14"/>
      <c r="I26" s="27">
        <v>2</v>
      </c>
      <c r="J26" s="5" t="s">
        <v>408</v>
      </c>
      <c r="K26" s="5" t="s">
        <v>550</v>
      </c>
      <c r="L26" s="23" t="s">
        <v>390</v>
      </c>
      <c r="M26" s="14"/>
      <c r="N26" s="27">
        <v>3</v>
      </c>
      <c r="O26" s="5" t="s">
        <v>625</v>
      </c>
      <c r="P26" s="5" t="s">
        <v>664</v>
      </c>
      <c r="Q26" s="23" t="s">
        <v>390</v>
      </c>
      <c r="S26" s="24"/>
      <c r="T26" s="26" t="str">
        <f t="shared" si="1"/>
        <v xml:space="preserve">               Bananas and plantains</v>
      </c>
      <c r="U26" s="26" t="str">
        <f t="shared" si="2"/>
        <v xml:space="preserve">               Other vegetables</v>
      </c>
      <c r="V26" s="26" t="str">
        <f t="shared" si="3"/>
        <v xml:space="preserve">   Capital - crops</v>
      </c>
      <c r="W26" s="26" t="str">
        <f t="shared" si="5"/>
        <v xml:space="preserve">      Urban - Quintile 5 (high)</v>
      </c>
    </row>
    <row r="27" spans="2:23" x14ac:dyDescent="0.35">
      <c r="B27" s="25"/>
      <c r="C27" s="27"/>
      <c r="D27" s="5" t="s">
        <v>326</v>
      </c>
      <c r="E27" s="5" t="s">
        <v>480</v>
      </c>
      <c r="F27" s="5" t="s">
        <v>322</v>
      </c>
      <c r="G27" s="23" t="s">
        <v>390</v>
      </c>
      <c r="H27" s="14"/>
      <c r="I27" s="27">
        <v>2</v>
      </c>
      <c r="J27" s="5" t="s">
        <v>409</v>
      </c>
      <c r="K27" s="5" t="s">
        <v>551</v>
      </c>
      <c r="L27" s="23" t="s">
        <v>390</v>
      </c>
      <c r="M27" s="14"/>
      <c r="N27" s="27"/>
      <c r="O27" s="5"/>
      <c r="P27" s="5"/>
      <c r="Q27" s="23" t="s">
        <v>390</v>
      </c>
      <c r="S27" s="24"/>
      <c r="T27" s="26" t="str">
        <f t="shared" si="1"/>
        <v xml:space="preserve">               Other fruits</v>
      </c>
      <c r="U27" s="26" t="str">
        <f t="shared" si="2"/>
        <v xml:space="preserve">               Sugarcane</v>
      </c>
      <c r="V27" s="26" t="str">
        <f t="shared" si="3"/>
        <v xml:space="preserve">   Capital - livestock</v>
      </c>
      <c r="W27" s="26" t="str">
        <f t="shared" si="5"/>
        <v xml:space="preserve">               </v>
      </c>
    </row>
    <row r="28" spans="2:23" x14ac:dyDescent="0.35">
      <c r="B28" s="25"/>
      <c r="C28" s="27"/>
      <c r="D28" s="5" t="s">
        <v>470</v>
      </c>
      <c r="E28" s="5" t="s">
        <v>471</v>
      </c>
      <c r="F28" s="5" t="s">
        <v>324</v>
      </c>
      <c r="G28" s="23" t="s">
        <v>390</v>
      </c>
      <c r="H28" s="14"/>
      <c r="I28" s="27">
        <v>2</v>
      </c>
      <c r="J28" s="5" t="s">
        <v>410</v>
      </c>
      <c r="K28" s="5" t="s">
        <v>552</v>
      </c>
      <c r="L28" s="23" t="s">
        <v>390</v>
      </c>
      <c r="M28" s="14"/>
      <c r="N28" s="27"/>
      <c r="O28" s="5"/>
      <c r="P28" s="5"/>
      <c r="Q28" s="23" t="s">
        <v>390</v>
      </c>
      <c r="S28" s="24"/>
      <c r="T28" s="26" t="str">
        <f t="shared" si="1"/>
        <v xml:space="preserve">               Groundnuts</v>
      </c>
      <c r="U28" s="26" t="str">
        <f t="shared" si="2"/>
        <v xml:space="preserve">               Tobacco</v>
      </c>
      <c r="V28" s="26" t="str">
        <f t="shared" si="3"/>
        <v xml:space="preserve">   Capital - mining</v>
      </c>
      <c r="W28" s="26" t="str">
        <f t="shared" si="5"/>
        <v xml:space="preserve">               </v>
      </c>
    </row>
    <row r="29" spans="2:23" x14ac:dyDescent="0.35">
      <c r="B29" s="25"/>
      <c r="C29" s="27"/>
      <c r="D29" s="5" t="s">
        <v>703</v>
      </c>
      <c r="E29" s="5" t="s">
        <v>751</v>
      </c>
      <c r="F29" s="5" t="s">
        <v>325</v>
      </c>
      <c r="G29" s="23" t="s">
        <v>390</v>
      </c>
      <c r="H29" s="14"/>
      <c r="I29" s="27">
        <v>2</v>
      </c>
      <c r="J29" s="5" t="s">
        <v>553</v>
      </c>
      <c r="K29" s="5" t="s">
        <v>554</v>
      </c>
      <c r="L29" s="23" t="s">
        <v>390</v>
      </c>
      <c r="M29" s="14"/>
      <c r="N29" s="27"/>
      <c r="O29" s="5"/>
      <c r="P29" s="5"/>
      <c r="Q29" s="23" t="s">
        <v>390</v>
      </c>
      <c r="S29" s="24"/>
      <c r="T29" s="26" t="str">
        <f t="shared" si="1"/>
        <v xml:space="preserve">               Soya</v>
      </c>
      <c r="U29" s="26" t="str">
        <f t="shared" si="2"/>
        <v xml:space="preserve">               Cotton and fibres</v>
      </c>
      <c r="V29" s="26" t="str">
        <f t="shared" si="3"/>
        <v xml:space="preserve">   Capital - non-primary</v>
      </c>
      <c r="W29" s="26" t="str">
        <f t="shared" si="5"/>
        <v xml:space="preserve">               </v>
      </c>
    </row>
    <row r="30" spans="2:23" x14ac:dyDescent="0.35">
      <c r="B30" s="25"/>
      <c r="C30" s="27"/>
      <c r="D30" s="5" t="s">
        <v>765</v>
      </c>
      <c r="E30" s="5" t="s">
        <v>472</v>
      </c>
      <c r="F30" s="5" t="s">
        <v>595</v>
      </c>
      <c r="G30" s="23" t="s">
        <v>390</v>
      </c>
      <c r="H30" s="14"/>
      <c r="I30" s="27"/>
      <c r="J30" s="5"/>
      <c r="K30" s="5"/>
      <c r="L30" s="23" t="s">
        <v>390</v>
      </c>
      <c r="M30" s="14"/>
      <c r="N30" s="27"/>
      <c r="O30" s="5"/>
      <c r="P30" s="5"/>
      <c r="Q30" s="23" t="s">
        <v>390</v>
      </c>
      <c r="S30" s="24"/>
      <c r="T30" s="26" t="str">
        <f t="shared" si="1"/>
        <v xml:space="preserve">               Other oilseeds</v>
      </c>
      <c r="U30" s="26" t="str">
        <f t="shared" si="2"/>
        <v xml:space="preserve">               Jute</v>
      </c>
      <c r="V30" s="26" t="str">
        <f t="shared" si="3"/>
        <v xml:space="preserve">               </v>
      </c>
      <c r="W30" s="26" t="str">
        <f t="shared" si="5"/>
        <v xml:space="preserve">               </v>
      </c>
    </row>
    <row r="31" spans="2:23" x14ac:dyDescent="0.35">
      <c r="B31" s="25"/>
      <c r="C31" s="27"/>
      <c r="D31" s="5" t="s">
        <v>327</v>
      </c>
      <c r="E31" s="5" t="s">
        <v>483</v>
      </c>
      <c r="F31" s="5" t="s">
        <v>596</v>
      </c>
      <c r="G31" s="23" t="s">
        <v>390</v>
      </c>
      <c r="H31" s="14"/>
      <c r="I31" s="27"/>
      <c r="J31" s="5"/>
      <c r="K31" s="5"/>
      <c r="L31" s="23" t="s">
        <v>390</v>
      </c>
      <c r="M31" s="14"/>
      <c r="N31" s="27"/>
      <c r="O31" s="5"/>
      <c r="P31" s="5"/>
      <c r="Q31" s="23" t="s">
        <v>390</v>
      </c>
      <c r="S31" s="24"/>
      <c r="T31" s="26" t="str">
        <f t="shared" si="1"/>
        <v xml:space="preserve">               Coffee</v>
      </c>
      <c r="U31" s="26" t="str">
        <f t="shared" si="2"/>
        <v xml:space="preserve">               Nuts</v>
      </c>
      <c r="V31" s="26" t="str">
        <f t="shared" si="3"/>
        <v xml:space="preserve">               </v>
      </c>
      <c r="W31" s="26" t="str">
        <f t="shared" si="5"/>
        <v xml:space="preserve">               </v>
      </c>
    </row>
    <row r="32" spans="2:23" x14ac:dyDescent="0.35">
      <c r="B32" s="25"/>
      <c r="C32" s="27"/>
      <c r="D32" s="5" t="s">
        <v>481</v>
      </c>
      <c r="E32" s="5" t="s">
        <v>482</v>
      </c>
      <c r="F32" s="5" t="s">
        <v>597</v>
      </c>
      <c r="G32" s="23" t="s">
        <v>390</v>
      </c>
      <c r="H32" s="14"/>
      <c r="I32" s="27"/>
      <c r="J32" s="5"/>
      <c r="K32" s="5"/>
      <c r="L32" s="23" t="s">
        <v>390</v>
      </c>
      <c r="M32" s="14"/>
      <c r="N32" s="27"/>
      <c r="O32" s="5"/>
      <c r="P32" s="5"/>
      <c r="Q32" s="23" t="s">
        <v>390</v>
      </c>
      <c r="S32" s="24"/>
      <c r="T32" s="26" t="str">
        <f t="shared" si="1"/>
        <v xml:space="preserve">               Leaf tea</v>
      </c>
      <c r="U32" s="26" t="str">
        <f t="shared" si="2"/>
        <v xml:space="preserve">               Bananas and plantains</v>
      </c>
      <c r="V32" s="26" t="str">
        <f t="shared" si="3"/>
        <v xml:space="preserve">               </v>
      </c>
      <c r="W32" s="26" t="str">
        <f t="shared" si="5"/>
        <v xml:space="preserve">               </v>
      </c>
    </row>
    <row r="33" spans="2:23" x14ac:dyDescent="0.35">
      <c r="B33" s="25"/>
      <c r="C33" s="27"/>
      <c r="D33" s="5" t="s">
        <v>323</v>
      </c>
      <c r="E33" s="5" t="s">
        <v>324</v>
      </c>
      <c r="F33" s="5" t="s">
        <v>597</v>
      </c>
      <c r="G33" s="23" t="s">
        <v>390</v>
      </c>
      <c r="H33" s="14"/>
      <c r="I33" s="27"/>
      <c r="J33" s="5"/>
      <c r="K33" s="5"/>
      <c r="L33" s="23" t="s">
        <v>390</v>
      </c>
      <c r="M33" s="14"/>
      <c r="N33" s="27"/>
      <c r="O33" s="5"/>
      <c r="P33" s="5"/>
      <c r="Q33" s="23" t="s">
        <v>390</v>
      </c>
      <c r="S33" s="24"/>
      <c r="T33" s="26" t="str">
        <f t="shared" si="1"/>
        <v xml:space="preserve">               Tobacco</v>
      </c>
      <c r="U33" s="26" t="str">
        <f t="shared" si="2"/>
        <v xml:space="preserve">               Bananas and plantains</v>
      </c>
      <c r="V33" s="26" t="str">
        <f t="shared" si="3"/>
        <v xml:space="preserve">               </v>
      </c>
      <c r="W33" s="26" t="str">
        <f t="shared" si="5"/>
        <v xml:space="preserve">               </v>
      </c>
    </row>
    <row r="34" spans="2:23" x14ac:dyDescent="0.35">
      <c r="B34" s="25"/>
      <c r="C34" s="27"/>
      <c r="D34" s="5" t="s">
        <v>321</v>
      </c>
      <c r="E34" s="5" t="s">
        <v>512</v>
      </c>
      <c r="F34" s="5" t="s">
        <v>480</v>
      </c>
      <c r="G34" s="23" t="s">
        <v>390</v>
      </c>
      <c r="H34" s="14"/>
      <c r="I34" s="27"/>
      <c r="J34" s="5"/>
      <c r="K34" s="5"/>
      <c r="L34" s="23" t="s">
        <v>390</v>
      </c>
      <c r="M34" s="14"/>
      <c r="N34" s="27"/>
      <c r="O34" s="5"/>
      <c r="P34" s="5"/>
      <c r="Q34" s="23" t="s">
        <v>390</v>
      </c>
      <c r="S34" s="24"/>
      <c r="T34" s="26" t="str">
        <f t="shared" si="1"/>
        <v xml:space="preserve">               Sugar refining</v>
      </c>
      <c r="U34" s="26" t="str">
        <f t="shared" si="2"/>
        <v xml:space="preserve">               Other fruits</v>
      </c>
      <c r="V34" s="26" t="str">
        <f t="shared" si="3"/>
        <v xml:space="preserve">               </v>
      </c>
      <c r="W34" s="26" t="str">
        <f t="shared" si="5"/>
        <v xml:space="preserve">               </v>
      </c>
    </row>
    <row r="35" spans="2:23" x14ac:dyDescent="0.35">
      <c r="B35" s="25"/>
      <c r="C35" s="27"/>
      <c r="D35" s="5" t="s">
        <v>704</v>
      </c>
      <c r="E35" s="5" t="s">
        <v>752</v>
      </c>
      <c r="F35" s="5" t="s">
        <v>482</v>
      </c>
      <c r="G35" s="23" t="s">
        <v>390</v>
      </c>
      <c r="H35" s="14"/>
      <c r="I35" s="27"/>
      <c r="J35" s="5"/>
      <c r="K35" s="5"/>
      <c r="L35" s="23" t="s">
        <v>390</v>
      </c>
      <c r="M35" s="14"/>
      <c r="N35" s="27"/>
      <c r="O35" s="5"/>
      <c r="P35" s="5"/>
      <c r="Q35" s="23" t="s">
        <v>390</v>
      </c>
      <c r="S35" s="24"/>
      <c r="T35" s="26" t="str">
        <f t="shared" si="1"/>
        <v xml:space="preserve">               Pyre</v>
      </c>
      <c r="U35" s="26" t="str">
        <f t="shared" si="2"/>
        <v xml:space="preserve">               Leaf tea</v>
      </c>
      <c r="V35" s="26" t="str">
        <f t="shared" si="3"/>
        <v xml:space="preserve">               </v>
      </c>
      <c r="W35" s="26" t="str">
        <f t="shared" si="5"/>
        <v xml:space="preserve">               </v>
      </c>
    </row>
    <row r="36" spans="2:23" x14ac:dyDescent="0.35">
      <c r="B36" s="25"/>
      <c r="C36" s="27"/>
      <c r="D36" s="5" t="s">
        <v>328</v>
      </c>
      <c r="E36" s="5" t="s">
        <v>329</v>
      </c>
      <c r="F36" s="5" t="s">
        <v>483</v>
      </c>
      <c r="G36" s="23" t="s">
        <v>390</v>
      </c>
      <c r="H36" s="14"/>
      <c r="I36" s="27"/>
      <c r="J36" s="5"/>
      <c r="K36" s="5"/>
      <c r="L36" s="23" t="s">
        <v>390</v>
      </c>
      <c r="M36" s="14"/>
      <c r="N36" s="27"/>
      <c r="O36" s="5"/>
      <c r="P36" s="5"/>
      <c r="Q36" s="23" t="s">
        <v>390</v>
      </c>
      <c r="S36" s="24"/>
      <c r="T36" s="26" t="str">
        <f t="shared" si="1"/>
        <v xml:space="preserve">               Other crops</v>
      </c>
      <c r="U36" s="26" t="str">
        <f t="shared" si="2"/>
        <v xml:space="preserve">               Coffee</v>
      </c>
      <c r="V36" s="26" t="str">
        <f t="shared" si="3"/>
        <v xml:space="preserve">               </v>
      </c>
      <c r="W36" s="26" t="str">
        <f t="shared" si="5"/>
        <v xml:space="preserve">               </v>
      </c>
    </row>
    <row r="37" spans="2:23" x14ac:dyDescent="0.35">
      <c r="B37" s="25"/>
      <c r="C37" s="27"/>
      <c r="D37" s="5" t="s">
        <v>705</v>
      </c>
      <c r="E37" s="5" t="s">
        <v>330</v>
      </c>
      <c r="F37" s="5" t="s">
        <v>484</v>
      </c>
      <c r="G37" s="23" t="s">
        <v>390</v>
      </c>
      <c r="H37" s="14"/>
      <c r="I37" s="27"/>
      <c r="J37" s="5"/>
      <c r="K37" s="5"/>
      <c r="L37" s="23" t="s">
        <v>390</v>
      </c>
      <c r="M37" s="14"/>
      <c r="N37" s="27"/>
      <c r="O37" s="5"/>
      <c r="P37" s="5"/>
      <c r="Q37" s="23" t="s">
        <v>390</v>
      </c>
      <c r="S37" s="24"/>
      <c r="T37" s="26" t="str">
        <f t="shared" si="1"/>
        <v xml:space="preserve">               Livestock</v>
      </c>
      <c r="U37" s="26" t="str">
        <f t="shared" si="2"/>
        <v xml:space="preserve">               Cocoa</v>
      </c>
      <c r="V37" s="26" t="str">
        <f t="shared" si="3"/>
        <v xml:space="preserve">               </v>
      </c>
      <c r="W37" s="26" t="str">
        <f t="shared" si="5"/>
        <v xml:space="preserve">               </v>
      </c>
    </row>
    <row r="38" spans="2:23" x14ac:dyDescent="0.35">
      <c r="B38" s="25"/>
      <c r="C38" s="27"/>
      <c r="D38" s="5" t="s">
        <v>331</v>
      </c>
      <c r="E38" s="5" t="s">
        <v>487</v>
      </c>
      <c r="F38" s="5" t="s">
        <v>485</v>
      </c>
      <c r="G38" s="23" t="s">
        <v>390</v>
      </c>
      <c r="H38" s="14"/>
      <c r="I38" s="27"/>
      <c r="J38" s="5"/>
      <c r="K38" s="5"/>
      <c r="L38" s="23" t="s">
        <v>390</v>
      </c>
      <c r="M38" s="14"/>
      <c r="N38" s="27"/>
      <c r="O38" s="5"/>
      <c r="P38" s="5"/>
      <c r="Q38" s="23" t="s">
        <v>390</v>
      </c>
      <c r="S38" s="24"/>
      <c r="T38" s="26" t="str">
        <f t="shared" si="1"/>
        <v xml:space="preserve">               Cattle</v>
      </c>
      <c r="U38" s="26" t="str">
        <f t="shared" si="2"/>
        <v xml:space="preserve">               Cut flowers</v>
      </c>
      <c r="V38" s="26" t="str">
        <f t="shared" si="3"/>
        <v xml:space="preserve">               </v>
      </c>
      <c r="W38" s="26" t="str">
        <f t="shared" si="5"/>
        <v xml:space="preserve">               </v>
      </c>
    </row>
    <row r="39" spans="2:23" x14ac:dyDescent="0.35">
      <c r="B39" s="25"/>
      <c r="C39" s="27"/>
      <c r="D39" s="5" t="s">
        <v>493</v>
      </c>
      <c r="E39" s="5" t="s">
        <v>494</v>
      </c>
      <c r="F39" s="5" t="s">
        <v>486</v>
      </c>
      <c r="G39" s="23" t="s">
        <v>390</v>
      </c>
      <c r="H39" s="14"/>
      <c r="I39" s="27"/>
      <c r="J39" s="5"/>
      <c r="K39" s="5"/>
      <c r="L39" s="23" t="s">
        <v>390</v>
      </c>
      <c r="M39" s="14"/>
      <c r="N39" s="27"/>
      <c r="O39" s="5"/>
      <c r="P39" s="5"/>
      <c r="Q39" s="23" t="s">
        <v>390</v>
      </c>
      <c r="S39" s="24"/>
      <c r="T39" s="26" t="str">
        <f t="shared" si="1"/>
        <v xml:space="preserve">               Small ruminants</v>
      </c>
      <c r="U39" s="26" t="str">
        <f t="shared" si="2"/>
        <v xml:space="preserve">               Rubber</v>
      </c>
      <c r="V39" s="26" t="str">
        <f t="shared" si="3"/>
        <v xml:space="preserve">               </v>
      </c>
      <c r="W39" s="26" t="str">
        <f t="shared" si="5"/>
        <v xml:space="preserve">               </v>
      </c>
    </row>
    <row r="40" spans="2:23" x14ac:dyDescent="0.35">
      <c r="B40" s="25"/>
      <c r="C40" s="27"/>
      <c r="D40" s="5" t="s">
        <v>332</v>
      </c>
      <c r="E40" s="5" t="s">
        <v>490</v>
      </c>
      <c r="F40" s="5" t="s">
        <v>329</v>
      </c>
      <c r="G40" s="23" t="s">
        <v>390</v>
      </c>
      <c r="H40" s="14"/>
      <c r="I40" s="27"/>
      <c r="J40" s="5"/>
      <c r="K40" s="5"/>
      <c r="L40" s="23" t="s">
        <v>390</v>
      </c>
      <c r="M40" s="14"/>
      <c r="N40" s="27"/>
      <c r="O40" s="5"/>
      <c r="P40" s="5"/>
      <c r="Q40" s="23" t="s">
        <v>390</v>
      </c>
      <c r="S40" s="24"/>
      <c r="T40" s="26" t="str">
        <f t="shared" si="1"/>
        <v xml:space="preserve">               Poultry</v>
      </c>
      <c r="U40" s="26" t="str">
        <f t="shared" si="2"/>
        <v xml:space="preserve">               Other crops</v>
      </c>
      <c r="V40" s="26" t="str">
        <f t="shared" si="3"/>
        <v xml:space="preserve">               </v>
      </c>
      <c r="W40" s="26" t="str">
        <f t="shared" si="5"/>
        <v xml:space="preserve">               </v>
      </c>
    </row>
    <row r="41" spans="2:23" x14ac:dyDescent="0.35">
      <c r="B41" s="25"/>
      <c r="C41" s="27"/>
      <c r="D41" s="5" t="s">
        <v>333</v>
      </c>
      <c r="E41" s="5" t="s">
        <v>334</v>
      </c>
      <c r="F41" s="5" t="s">
        <v>330</v>
      </c>
      <c r="G41" s="23" t="s">
        <v>390</v>
      </c>
      <c r="H41" s="14"/>
      <c r="I41" s="27"/>
      <c r="J41" s="5"/>
      <c r="K41" s="5"/>
      <c r="L41" s="23" t="s">
        <v>390</v>
      </c>
      <c r="M41" s="14"/>
      <c r="N41" s="27"/>
      <c r="O41" s="5"/>
      <c r="P41" s="5"/>
      <c r="Q41" s="23" t="s">
        <v>390</v>
      </c>
      <c r="S41" s="24"/>
      <c r="T41" s="26" t="str">
        <f t="shared" si="1"/>
        <v xml:space="preserve">               Other livestock</v>
      </c>
      <c r="U41" s="26" t="str">
        <f t="shared" si="2"/>
        <v xml:space="preserve">               Livestock</v>
      </c>
      <c r="V41" s="26" t="str">
        <f t="shared" si="3"/>
        <v xml:space="preserve">               </v>
      </c>
      <c r="W41" s="26" t="str">
        <f t="shared" si="5"/>
        <v xml:space="preserve">               </v>
      </c>
    </row>
    <row r="42" spans="2:23" x14ac:dyDescent="0.35">
      <c r="B42" s="25"/>
      <c r="C42" s="27"/>
      <c r="D42" s="5" t="s">
        <v>488</v>
      </c>
      <c r="E42" s="5" t="s">
        <v>489</v>
      </c>
      <c r="F42" s="5" t="s">
        <v>487</v>
      </c>
      <c r="G42" s="23" t="s">
        <v>390</v>
      </c>
      <c r="H42" s="14"/>
      <c r="I42" s="27"/>
      <c r="J42" s="5"/>
      <c r="K42" s="5"/>
      <c r="L42" s="23" t="s">
        <v>390</v>
      </c>
      <c r="M42" s="14"/>
      <c r="N42" s="27"/>
      <c r="O42" s="5"/>
      <c r="P42" s="5"/>
      <c r="Q42" s="23" t="s">
        <v>390</v>
      </c>
      <c r="S42" s="24"/>
      <c r="T42" s="26" t="str">
        <f t="shared" si="1"/>
        <v xml:space="preserve">               Raw milk</v>
      </c>
      <c r="U42" s="26" t="str">
        <f t="shared" si="2"/>
        <v xml:space="preserve">               Cattle</v>
      </c>
      <c r="V42" s="26" t="str">
        <f t="shared" si="3"/>
        <v xml:space="preserve">               </v>
      </c>
      <c r="W42" s="26" t="str">
        <f t="shared" si="4"/>
        <v xml:space="preserve">               </v>
      </c>
    </row>
    <row r="43" spans="2:23" x14ac:dyDescent="0.35">
      <c r="B43" s="25"/>
      <c r="C43" s="27"/>
      <c r="D43" s="5" t="s">
        <v>491</v>
      </c>
      <c r="E43" s="5" t="s">
        <v>492</v>
      </c>
      <c r="F43" s="5" t="s">
        <v>489</v>
      </c>
      <c r="G43" s="23" t="s">
        <v>390</v>
      </c>
      <c r="H43" s="14"/>
      <c r="I43" s="27"/>
      <c r="J43" s="5"/>
      <c r="K43" s="5"/>
      <c r="L43" s="23" t="s">
        <v>390</v>
      </c>
      <c r="M43" s="14"/>
      <c r="N43" s="27"/>
      <c r="O43" s="5"/>
      <c r="P43" s="5"/>
      <c r="Q43" s="23" t="s">
        <v>390</v>
      </c>
      <c r="S43" s="24"/>
      <c r="T43" s="26" t="str">
        <f t="shared" si="1"/>
        <v xml:space="preserve">               Eggs</v>
      </c>
      <c r="U43" s="26" t="str">
        <f t="shared" si="2"/>
        <v xml:space="preserve">               Raw milk</v>
      </c>
      <c r="V43" s="26" t="str">
        <f t="shared" si="3"/>
        <v xml:space="preserve">               </v>
      </c>
      <c r="W43" s="26" t="str">
        <f t="shared" si="4"/>
        <v xml:space="preserve">               </v>
      </c>
    </row>
    <row r="44" spans="2:23" x14ac:dyDescent="0.35">
      <c r="B44" s="25"/>
      <c r="C44" s="27"/>
      <c r="D44" s="5" t="s">
        <v>706</v>
      </c>
      <c r="E44" s="5" t="s">
        <v>335</v>
      </c>
      <c r="F44" s="5" t="s">
        <v>490</v>
      </c>
      <c r="G44" s="23" t="s">
        <v>390</v>
      </c>
      <c r="H44" s="14"/>
      <c r="I44" s="27"/>
      <c r="J44" s="5"/>
      <c r="K44" s="5"/>
      <c r="L44" s="23" t="s">
        <v>390</v>
      </c>
      <c r="M44" s="14"/>
      <c r="N44" s="27"/>
      <c r="O44" s="5"/>
      <c r="P44" s="5"/>
      <c r="Q44" s="23" t="s">
        <v>390</v>
      </c>
      <c r="S44" s="24"/>
      <c r="T44" s="26" t="str">
        <f t="shared" si="1"/>
        <v xml:space="preserve">               Other agriculture</v>
      </c>
      <c r="U44" s="26" t="str">
        <f t="shared" si="2"/>
        <v xml:space="preserve">               Poultry</v>
      </c>
      <c r="V44" s="26" t="str">
        <f t="shared" si="3"/>
        <v xml:space="preserve">               </v>
      </c>
      <c r="W44" s="26" t="str">
        <f t="shared" si="4"/>
        <v xml:space="preserve">               </v>
      </c>
    </row>
    <row r="45" spans="2:23" x14ac:dyDescent="0.35">
      <c r="B45" s="25"/>
      <c r="C45" s="27"/>
      <c r="D45" s="5" t="s">
        <v>336</v>
      </c>
      <c r="E45" s="5" t="s">
        <v>337</v>
      </c>
      <c r="F45" s="5" t="s">
        <v>492</v>
      </c>
      <c r="G45" s="23" t="s">
        <v>390</v>
      </c>
      <c r="H45" s="14"/>
      <c r="I45" s="27"/>
      <c r="J45" s="5"/>
      <c r="K45" s="5"/>
      <c r="L45" s="23" t="s">
        <v>390</v>
      </c>
      <c r="M45" s="14"/>
      <c r="N45" s="27"/>
      <c r="O45" s="5"/>
      <c r="P45" s="5"/>
      <c r="Q45" s="23" t="s">
        <v>390</v>
      </c>
      <c r="S45" s="24"/>
      <c r="T45" s="26" t="str">
        <f t="shared" si="1"/>
        <v xml:space="preserve">               Forestry</v>
      </c>
      <c r="U45" s="26" t="str">
        <f t="shared" si="2"/>
        <v xml:space="preserve">               Eggs</v>
      </c>
      <c r="V45" s="26" t="str">
        <f t="shared" si="3"/>
        <v xml:space="preserve">               </v>
      </c>
      <c r="W45" s="26" t="str">
        <f t="shared" si="4"/>
        <v xml:space="preserve">               </v>
      </c>
    </row>
    <row r="46" spans="2:23" x14ac:dyDescent="0.35">
      <c r="B46" s="25"/>
      <c r="C46" s="27"/>
      <c r="D46" s="5" t="s">
        <v>707</v>
      </c>
      <c r="E46" s="5" t="s">
        <v>753</v>
      </c>
      <c r="F46" s="5" t="s">
        <v>494</v>
      </c>
      <c r="G46" s="23" t="s">
        <v>390</v>
      </c>
      <c r="H46" s="14"/>
      <c r="I46" s="27"/>
      <c r="J46" s="5"/>
      <c r="K46" s="5"/>
      <c r="L46" s="23" t="s">
        <v>390</v>
      </c>
      <c r="M46" s="14"/>
      <c r="N46" s="27"/>
      <c r="O46" s="5"/>
      <c r="P46" s="5"/>
      <c r="Q46" s="23" t="s">
        <v>390</v>
      </c>
      <c r="S46" s="24"/>
      <c r="T46" s="26" t="str">
        <f t="shared" si="1"/>
        <v xml:space="preserve">               Fishery and aquaculture</v>
      </c>
      <c r="U46" s="26" t="str">
        <f t="shared" si="2"/>
        <v xml:space="preserve">               Small ruminants</v>
      </c>
      <c r="V46" s="26" t="str">
        <f t="shared" si="3"/>
        <v xml:space="preserve">               </v>
      </c>
      <c r="W46" s="26" t="str">
        <f t="shared" si="4"/>
        <v xml:space="preserve">               </v>
      </c>
    </row>
    <row r="47" spans="2:23" x14ac:dyDescent="0.35">
      <c r="B47" s="25"/>
      <c r="C47" s="27"/>
      <c r="D47" s="5" t="s">
        <v>338</v>
      </c>
      <c r="E47" s="5" t="s">
        <v>496</v>
      </c>
      <c r="F47" s="5" t="s">
        <v>334</v>
      </c>
      <c r="G47" s="23" t="s">
        <v>390</v>
      </c>
      <c r="H47" s="14"/>
      <c r="I47" s="27"/>
      <c r="J47" s="5"/>
      <c r="K47" s="5"/>
      <c r="L47" s="23" t="s">
        <v>390</v>
      </c>
      <c r="M47" s="14"/>
      <c r="N47" s="27"/>
      <c r="O47" s="5"/>
      <c r="P47" s="5"/>
      <c r="Q47" s="23" t="s">
        <v>390</v>
      </c>
      <c r="S47" s="24"/>
      <c r="T47" s="26" t="str">
        <f t="shared" si="1"/>
        <v xml:space="preserve">               Capture fisheries</v>
      </c>
      <c r="U47" s="26" t="str">
        <f t="shared" si="2"/>
        <v xml:space="preserve">               Other livestock</v>
      </c>
      <c r="V47" s="26" t="str">
        <f t="shared" si="3"/>
        <v xml:space="preserve">               </v>
      </c>
      <c r="W47" s="26" t="str">
        <f t="shared" si="4"/>
        <v xml:space="preserve">               </v>
      </c>
    </row>
    <row r="48" spans="2:23" x14ac:dyDescent="0.35">
      <c r="B48" s="25"/>
      <c r="C48" s="27"/>
      <c r="D48" s="5" t="s">
        <v>708</v>
      </c>
      <c r="E48" s="5" t="s">
        <v>754</v>
      </c>
      <c r="F48" s="5" t="s">
        <v>335</v>
      </c>
      <c r="G48" s="23" t="s">
        <v>390</v>
      </c>
      <c r="H48" s="14"/>
      <c r="I48" s="27"/>
      <c r="J48" s="5"/>
      <c r="K48" s="5"/>
      <c r="L48" s="23" t="s">
        <v>390</v>
      </c>
      <c r="M48" s="14"/>
      <c r="N48" s="27"/>
      <c r="O48" s="5"/>
      <c r="P48" s="5"/>
      <c r="Q48" s="23" t="s">
        <v>390</v>
      </c>
      <c r="S48" s="24"/>
      <c r="T48" s="26" t="str">
        <f t="shared" si="1"/>
        <v xml:space="preserve">               Non-agriculture</v>
      </c>
      <c r="U48" s="26" t="str">
        <f t="shared" si="2"/>
        <v xml:space="preserve">               Other agriculture</v>
      </c>
      <c r="V48" s="26" t="str">
        <f t="shared" si="3"/>
        <v xml:space="preserve">               </v>
      </c>
      <c r="W48" s="26" t="str">
        <f t="shared" si="4"/>
        <v xml:space="preserve">               </v>
      </c>
    </row>
    <row r="49" spans="2:23" x14ac:dyDescent="0.35">
      <c r="B49" s="25"/>
      <c r="C49" s="27"/>
      <c r="D49" s="5" t="s">
        <v>709</v>
      </c>
      <c r="E49" s="5" t="s">
        <v>339</v>
      </c>
      <c r="F49" s="5" t="s">
        <v>337</v>
      </c>
      <c r="G49" s="23" t="s">
        <v>390</v>
      </c>
      <c r="H49" s="14"/>
      <c r="I49" s="27"/>
      <c r="J49" s="5"/>
      <c r="K49" s="5"/>
      <c r="L49" s="23" t="s">
        <v>390</v>
      </c>
      <c r="M49" s="14"/>
      <c r="N49" s="27"/>
      <c r="O49" s="5"/>
      <c r="P49" s="5"/>
      <c r="Q49" s="23" t="s">
        <v>390</v>
      </c>
      <c r="S49" s="24"/>
      <c r="T49" s="26" t="str">
        <f t="shared" si="1"/>
        <v xml:space="preserve">               Industry</v>
      </c>
      <c r="U49" s="26" t="str">
        <f t="shared" si="2"/>
        <v xml:space="preserve">               Forestry</v>
      </c>
      <c r="V49" s="26" t="str">
        <f t="shared" si="3"/>
        <v xml:space="preserve">               </v>
      </c>
      <c r="W49" s="26" t="str">
        <f t="shared" si="4"/>
        <v xml:space="preserve">               </v>
      </c>
    </row>
    <row r="50" spans="2:23" x14ac:dyDescent="0.35">
      <c r="B50" s="25"/>
      <c r="C50" s="27"/>
      <c r="D50" s="5" t="s">
        <v>710</v>
      </c>
      <c r="E50" s="5" t="s">
        <v>340</v>
      </c>
      <c r="F50" s="5" t="s">
        <v>495</v>
      </c>
      <c r="G50" s="23" t="s">
        <v>390</v>
      </c>
      <c r="H50" s="14"/>
      <c r="I50" s="27"/>
      <c r="J50" s="5"/>
      <c r="K50" s="5"/>
      <c r="L50" s="23" t="s">
        <v>390</v>
      </c>
      <c r="M50" s="14"/>
      <c r="N50" s="27"/>
      <c r="O50" s="5"/>
      <c r="P50" s="5"/>
      <c r="Q50" s="23" t="s">
        <v>390</v>
      </c>
      <c r="S50" s="24"/>
      <c r="T50" s="26" t="str">
        <f t="shared" si="1"/>
        <v xml:space="preserve">               Mining</v>
      </c>
      <c r="U50" s="26" t="str">
        <f t="shared" si="2"/>
        <v xml:space="preserve">               Aquaculture</v>
      </c>
      <c r="V50" s="26" t="str">
        <f t="shared" si="3"/>
        <v xml:space="preserve">               </v>
      </c>
      <c r="W50" s="26" t="str">
        <f t="shared" si="4"/>
        <v xml:space="preserve">               </v>
      </c>
    </row>
    <row r="51" spans="2:23" x14ac:dyDescent="0.35">
      <c r="B51" s="25"/>
      <c r="C51" s="27"/>
      <c r="D51" s="5" t="s">
        <v>499</v>
      </c>
      <c r="E51" s="5" t="s">
        <v>500</v>
      </c>
      <c r="F51" s="5" t="s">
        <v>496</v>
      </c>
      <c r="G51" s="23" t="s">
        <v>390</v>
      </c>
      <c r="H51" s="14"/>
      <c r="I51" s="27"/>
      <c r="J51" s="5"/>
      <c r="K51" s="5"/>
      <c r="L51" s="23" t="s">
        <v>390</v>
      </c>
      <c r="M51" s="14"/>
      <c r="N51" s="27"/>
      <c r="O51" s="5"/>
      <c r="P51" s="5"/>
      <c r="Q51" s="23" t="s">
        <v>390</v>
      </c>
      <c r="S51" s="24"/>
      <c r="T51" s="26" t="str">
        <f t="shared" si="1"/>
        <v xml:space="preserve">               Natural gas</v>
      </c>
      <c r="U51" s="26" t="str">
        <f t="shared" si="2"/>
        <v xml:space="preserve">               Capture fisheries</v>
      </c>
      <c r="V51" s="26" t="str">
        <f t="shared" si="3"/>
        <v xml:space="preserve">               </v>
      </c>
      <c r="W51" s="26" t="str">
        <f t="shared" si="4"/>
        <v xml:space="preserve">               </v>
      </c>
    </row>
    <row r="52" spans="2:23" x14ac:dyDescent="0.35">
      <c r="B52" s="25"/>
      <c r="C52" s="27"/>
      <c r="D52" s="5" t="s">
        <v>501</v>
      </c>
      <c r="E52" s="5" t="s">
        <v>502</v>
      </c>
      <c r="F52" s="5" t="s">
        <v>339</v>
      </c>
      <c r="G52" s="23" t="s">
        <v>390</v>
      </c>
      <c r="H52" s="14"/>
      <c r="I52" s="27"/>
      <c r="J52" s="5"/>
      <c r="K52" s="5"/>
      <c r="L52" s="23" t="s">
        <v>390</v>
      </c>
      <c r="M52" s="14"/>
      <c r="N52" s="27"/>
      <c r="O52" s="5"/>
      <c r="P52" s="5"/>
      <c r="Q52" s="23" t="s">
        <v>390</v>
      </c>
      <c r="S52" s="24"/>
      <c r="T52" s="26" t="str">
        <f t="shared" si="1"/>
        <v xml:space="preserve">               Other mining</v>
      </c>
      <c r="U52" s="26" t="str">
        <f t="shared" si="2"/>
        <v xml:space="preserve">               Industry</v>
      </c>
      <c r="V52" s="26" t="str">
        <f t="shared" si="3"/>
        <v xml:space="preserve">               </v>
      </c>
      <c r="W52" s="26" t="str">
        <f t="shared" si="4"/>
        <v xml:space="preserve">               </v>
      </c>
    </row>
    <row r="53" spans="2:23" x14ac:dyDescent="0.35">
      <c r="B53" s="25"/>
      <c r="C53" s="27"/>
      <c r="D53" s="5" t="s">
        <v>711</v>
      </c>
      <c r="E53" s="5" t="s">
        <v>341</v>
      </c>
      <c r="F53" s="5" t="s">
        <v>340</v>
      </c>
      <c r="G53" s="23" t="s">
        <v>390</v>
      </c>
      <c r="H53" s="14"/>
      <c r="I53" s="27"/>
      <c r="J53" s="5"/>
      <c r="K53" s="5"/>
      <c r="L53" s="23" t="s">
        <v>390</v>
      </c>
      <c r="M53" s="14"/>
      <c r="N53" s="27"/>
      <c r="O53" s="5"/>
      <c r="P53" s="5"/>
      <c r="Q53" s="23" t="s">
        <v>390</v>
      </c>
      <c r="S53" s="24"/>
      <c r="T53" s="26" t="str">
        <f t="shared" si="1"/>
        <v xml:space="preserve">               Manufacturing</v>
      </c>
      <c r="U53" s="26" t="str">
        <f t="shared" si="2"/>
        <v xml:space="preserve">               Mining</v>
      </c>
      <c r="V53" s="26" t="str">
        <f t="shared" si="3"/>
        <v xml:space="preserve">               </v>
      </c>
      <c r="W53" s="26" t="str">
        <f t="shared" si="4"/>
        <v xml:space="preserve">               </v>
      </c>
    </row>
    <row r="54" spans="2:23" x14ac:dyDescent="0.35">
      <c r="B54" s="25"/>
      <c r="C54" s="27"/>
      <c r="D54" s="5" t="s">
        <v>712</v>
      </c>
      <c r="E54" s="5" t="s">
        <v>755</v>
      </c>
      <c r="F54" s="5" t="s">
        <v>497</v>
      </c>
      <c r="G54" s="23" t="s">
        <v>390</v>
      </c>
      <c r="H54" s="14"/>
      <c r="I54" s="27"/>
      <c r="J54" s="5"/>
      <c r="K54" s="5"/>
      <c r="L54" s="23" t="s">
        <v>390</v>
      </c>
      <c r="M54" s="14"/>
      <c r="N54" s="27"/>
      <c r="O54" s="5"/>
      <c r="P54" s="5"/>
      <c r="Q54" s="23" t="s">
        <v>390</v>
      </c>
      <c r="S54" s="24"/>
      <c r="T54" s="26" t="str">
        <f t="shared" si="1"/>
        <v xml:space="preserve">               Agro processing</v>
      </c>
      <c r="U54" s="26" t="str">
        <f t="shared" si="2"/>
        <v xml:space="preserve">               Coal and lignite</v>
      </c>
      <c r="V54" s="26" t="str">
        <f t="shared" si="3"/>
        <v xml:space="preserve">               </v>
      </c>
      <c r="W54" s="26" t="str">
        <f t="shared" si="4"/>
        <v xml:space="preserve">               </v>
      </c>
    </row>
    <row r="55" spans="2:23" x14ac:dyDescent="0.35">
      <c r="B55" s="25"/>
      <c r="C55" s="27"/>
      <c r="D55" s="5" t="s">
        <v>713</v>
      </c>
      <c r="E55" s="5" t="s">
        <v>503</v>
      </c>
      <c r="F55" s="5" t="s">
        <v>498</v>
      </c>
      <c r="G55" s="23" t="s">
        <v>390</v>
      </c>
      <c r="H55" s="14"/>
      <c r="I55" s="27"/>
      <c r="J55" s="5"/>
      <c r="K55" s="5"/>
      <c r="L55" s="23" t="s">
        <v>390</v>
      </c>
      <c r="M55" s="14"/>
      <c r="N55" s="27"/>
      <c r="O55" s="5"/>
      <c r="P55" s="5"/>
      <c r="Q55" s="23" t="s">
        <v>390</v>
      </c>
      <c r="S55" s="24"/>
      <c r="T55" s="26" t="str">
        <f t="shared" si="1"/>
        <v xml:space="preserve">               Food processing</v>
      </c>
      <c r="U55" s="26" t="str">
        <f t="shared" si="2"/>
        <v xml:space="preserve">               Crude oil</v>
      </c>
      <c r="V55" s="26" t="str">
        <f t="shared" si="3"/>
        <v xml:space="preserve">               </v>
      </c>
      <c r="W55" s="26" t="str">
        <f t="shared" si="4"/>
        <v xml:space="preserve">               </v>
      </c>
    </row>
    <row r="56" spans="2:23" x14ac:dyDescent="0.35">
      <c r="B56" s="25"/>
      <c r="C56" s="27"/>
      <c r="D56" s="5" t="s">
        <v>504</v>
      </c>
      <c r="E56" s="5" t="s">
        <v>598</v>
      </c>
      <c r="F56" s="5" t="s">
        <v>500</v>
      </c>
      <c r="G56" s="23" t="s">
        <v>390</v>
      </c>
      <c r="H56" s="14"/>
      <c r="I56" s="27"/>
      <c r="J56" s="5"/>
      <c r="K56" s="5"/>
      <c r="L56" s="23" t="s">
        <v>390</v>
      </c>
      <c r="M56" s="14"/>
      <c r="N56" s="27"/>
      <c r="O56" s="5"/>
      <c r="P56" s="5"/>
      <c r="Q56" s="23" t="s">
        <v>390</v>
      </c>
      <c r="S56" s="24"/>
      <c r="T56" s="26" t="str">
        <f t="shared" si="1"/>
        <v xml:space="preserve">               Meat processing</v>
      </c>
      <c r="U56" s="26" t="str">
        <f t="shared" si="2"/>
        <v xml:space="preserve">               Natural gas</v>
      </c>
      <c r="V56" s="26" t="str">
        <f t="shared" si="3"/>
        <v xml:space="preserve">               </v>
      </c>
      <c r="W56" s="26" t="str">
        <f t="shared" si="4"/>
        <v xml:space="preserve">               </v>
      </c>
    </row>
    <row r="57" spans="2:23" x14ac:dyDescent="0.35">
      <c r="B57" s="25"/>
      <c r="C57" s="27"/>
      <c r="D57" s="5" t="s">
        <v>766</v>
      </c>
      <c r="E57" s="5" t="s">
        <v>505</v>
      </c>
      <c r="F57" s="5" t="s">
        <v>502</v>
      </c>
      <c r="G57" s="23" t="s">
        <v>390</v>
      </c>
      <c r="H57" s="14"/>
      <c r="I57" s="27"/>
      <c r="J57" s="5"/>
      <c r="K57" s="5"/>
      <c r="L57" s="23" t="s">
        <v>390</v>
      </c>
      <c r="M57" s="14"/>
      <c r="N57" s="27"/>
      <c r="O57" s="5"/>
      <c r="P57" s="5"/>
      <c r="Q57" s="23" t="s">
        <v>390</v>
      </c>
      <c r="S57" s="24"/>
      <c r="T57" s="26" t="str">
        <f t="shared" si="1"/>
        <v xml:space="preserve">               Fish and seafood processing</v>
      </c>
      <c r="U57" s="26" t="str">
        <f t="shared" si="2"/>
        <v xml:space="preserve">               Other mining</v>
      </c>
      <c r="V57" s="26" t="str">
        <f t="shared" si="3"/>
        <v xml:space="preserve">               </v>
      </c>
      <c r="W57" s="26" t="str">
        <f t="shared" si="4"/>
        <v xml:space="preserve">               </v>
      </c>
    </row>
    <row r="58" spans="2:23" x14ac:dyDescent="0.35">
      <c r="B58" s="25"/>
      <c r="C58" s="27"/>
      <c r="D58" s="5" t="s">
        <v>508</v>
      </c>
      <c r="E58" s="5" t="s">
        <v>507</v>
      </c>
      <c r="F58" s="5" t="s">
        <v>341</v>
      </c>
      <c r="G58" s="23" t="s">
        <v>390</v>
      </c>
      <c r="H58" s="14"/>
      <c r="I58" s="27"/>
      <c r="J58" s="5"/>
      <c r="K58" s="5"/>
      <c r="L58" s="23" t="s">
        <v>390</v>
      </c>
      <c r="M58" s="14"/>
      <c r="N58" s="27"/>
      <c r="O58" s="5"/>
      <c r="P58" s="5"/>
      <c r="Q58" s="23" t="s">
        <v>390</v>
      </c>
      <c r="S58" s="24"/>
      <c r="T58" s="26" t="str">
        <f t="shared" si="1"/>
        <v xml:space="preserve">               Fruit and vegetable processing</v>
      </c>
      <c r="U58" s="26" t="str">
        <f t="shared" si="2"/>
        <v xml:space="preserve">               Manufacturing</v>
      </c>
      <c r="V58" s="26" t="str">
        <f t="shared" si="3"/>
        <v xml:space="preserve">               </v>
      </c>
      <c r="W58" s="26" t="str">
        <f t="shared" si="4"/>
        <v xml:space="preserve">               </v>
      </c>
    </row>
    <row r="59" spans="2:23" x14ac:dyDescent="0.35">
      <c r="B59" s="25"/>
      <c r="C59" s="27"/>
      <c r="D59" s="5" t="s">
        <v>510</v>
      </c>
      <c r="E59" s="5" t="s">
        <v>509</v>
      </c>
      <c r="F59" s="5" t="s">
        <v>503</v>
      </c>
      <c r="G59" s="23" t="s">
        <v>390</v>
      </c>
      <c r="H59" s="14"/>
      <c r="I59" s="27"/>
      <c r="J59" s="5"/>
      <c r="K59" s="5"/>
      <c r="L59" s="23" t="s">
        <v>390</v>
      </c>
      <c r="M59" s="14"/>
      <c r="N59" s="27"/>
      <c r="O59" s="5"/>
      <c r="P59" s="5"/>
      <c r="Q59" s="23" t="s">
        <v>390</v>
      </c>
      <c r="S59" s="24"/>
      <c r="T59" s="26" t="str">
        <f t="shared" si="1"/>
        <v xml:space="preserve">               Fats and oils</v>
      </c>
      <c r="U59" s="26" t="str">
        <f t="shared" si="2"/>
        <v xml:space="preserve">               Food processing</v>
      </c>
      <c r="V59" s="26" t="str">
        <f t="shared" si="3"/>
        <v xml:space="preserve">               </v>
      </c>
      <c r="W59" s="26" t="str">
        <f t="shared" si="4"/>
        <v xml:space="preserve">               </v>
      </c>
    </row>
    <row r="60" spans="2:23" x14ac:dyDescent="0.35">
      <c r="B60" s="25"/>
      <c r="C60" s="27"/>
      <c r="D60" s="5" t="s">
        <v>506</v>
      </c>
      <c r="E60" s="5" t="s">
        <v>511</v>
      </c>
      <c r="F60" s="5" t="s">
        <v>503</v>
      </c>
      <c r="G60" s="23" t="s">
        <v>390</v>
      </c>
      <c r="H60" s="14"/>
      <c r="I60" s="27"/>
      <c r="J60" s="5"/>
      <c r="K60" s="5"/>
      <c r="L60" s="23" t="s">
        <v>390</v>
      </c>
      <c r="M60" s="14"/>
      <c r="N60" s="27"/>
      <c r="O60" s="5"/>
      <c r="P60" s="5"/>
      <c r="Q60" s="23" t="s">
        <v>390</v>
      </c>
      <c r="S60" s="24"/>
      <c r="T60" s="26" t="str">
        <f t="shared" si="1"/>
        <v xml:space="preserve">               Dairy</v>
      </c>
      <c r="U60" s="26" t="str">
        <f t="shared" si="2"/>
        <v xml:space="preserve">               Food processing</v>
      </c>
      <c r="V60" s="26" t="str">
        <f t="shared" si="3"/>
        <v xml:space="preserve">               </v>
      </c>
      <c r="W60" s="26" t="str">
        <f t="shared" si="4"/>
        <v xml:space="preserve">               </v>
      </c>
    </row>
    <row r="61" spans="2:23" x14ac:dyDescent="0.35">
      <c r="B61" s="25"/>
      <c r="C61" s="27"/>
      <c r="D61" s="5" t="s">
        <v>342</v>
      </c>
      <c r="E61" s="5" t="s">
        <v>756</v>
      </c>
      <c r="F61" s="5" t="s">
        <v>598</v>
      </c>
      <c r="G61" s="23" t="s">
        <v>390</v>
      </c>
      <c r="H61" s="14"/>
      <c r="I61" s="27"/>
      <c r="J61" s="5"/>
      <c r="K61" s="5"/>
      <c r="L61" s="23" t="s">
        <v>390</v>
      </c>
      <c r="M61" s="14"/>
      <c r="N61" s="27"/>
      <c r="O61" s="5"/>
      <c r="P61" s="5"/>
      <c r="Q61" s="23" t="s">
        <v>390</v>
      </c>
      <c r="S61" s="24"/>
      <c r="T61" s="26" t="str">
        <f t="shared" si="1"/>
        <v xml:space="preserve">               Grain millet milling</v>
      </c>
      <c r="U61" s="26" t="str">
        <f t="shared" si="2"/>
        <v xml:space="preserve">               Meat processing</v>
      </c>
      <c r="V61" s="26" t="str">
        <f t="shared" si="3"/>
        <v xml:space="preserve">               </v>
      </c>
      <c r="W61" s="26" t="str">
        <f t="shared" si="4"/>
        <v xml:space="preserve">               </v>
      </c>
    </row>
    <row r="62" spans="2:23" x14ac:dyDescent="0.35">
      <c r="B62" s="25"/>
      <c r="C62" s="27"/>
      <c r="D62" s="5" t="s">
        <v>714</v>
      </c>
      <c r="E62" s="5" t="s">
        <v>757</v>
      </c>
      <c r="F62" s="5" t="s">
        <v>505</v>
      </c>
      <c r="G62" s="23" t="s">
        <v>390</v>
      </c>
      <c r="H62" s="14"/>
      <c r="I62" s="27"/>
      <c r="J62" s="5"/>
      <c r="K62" s="5"/>
      <c r="L62" s="23" t="s">
        <v>390</v>
      </c>
      <c r="M62" s="14"/>
      <c r="N62" s="27"/>
      <c r="O62" s="5"/>
      <c r="P62" s="5"/>
      <c r="Q62" s="23" t="s">
        <v>390</v>
      </c>
      <c r="S62" s="24"/>
      <c r="T62" s="26" t="str">
        <f t="shared" si="1"/>
        <v xml:space="preserve">               Bakery</v>
      </c>
      <c r="U62" s="26" t="str">
        <f t="shared" si="2"/>
        <v xml:space="preserve">               Fish and seafood processing</v>
      </c>
      <c r="V62" s="26" t="str">
        <f t="shared" si="3"/>
        <v xml:space="preserve">               </v>
      </c>
      <c r="W62" s="26" t="str">
        <f t="shared" si="4"/>
        <v xml:space="preserve">               </v>
      </c>
    </row>
    <row r="63" spans="2:23" x14ac:dyDescent="0.35">
      <c r="B63" s="25"/>
      <c r="C63" s="27"/>
      <c r="D63" s="5" t="s">
        <v>344</v>
      </c>
      <c r="E63" s="5" t="s">
        <v>516</v>
      </c>
      <c r="F63" s="5" t="s">
        <v>511</v>
      </c>
      <c r="G63" s="23" t="s">
        <v>390</v>
      </c>
      <c r="H63" s="14"/>
      <c r="I63" s="27"/>
      <c r="J63" s="5"/>
      <c r="K63" s="5"/>
      <c r="L63" s="23" t="s">
        <v>390</v>
      </c>
      <c r="M63" s="14"/>
      <c r="N63" s="27"/>
      <c r="O63" s="5"/>
      <c r="P63" s="5"/>
      <c r="Q63" s="23" t="s">
        <v>390</v>
      </c>
      <c r="S63" s="24"/>
      <c r="T63" s="26" t="str">
        <f t="shared" si="1"/>
        <v xml:space="preserve">               Animal feed</v>
      </c>
      <c r="U63" s="26" t="str">
        <f t="shared" si="2"/>
        <v xml:space="preserve">               Dairy</v>
      </c>
      <c r="V63" s="26" t="str">
        <f t="shared" si="3"/>
        <v xml:space="preserve">               </v>
      </c>
      <c r="W63" s="26" t="str">
        <f t="shared" si="4"/>
        <v xml:space="preserve">               </v>
      </c>
    </row>
    <row r="64" spans="2:23" x14ac:dyDescent="0.35">
      <c r="B64" s="25"/>
      <c r="C64" s="27"/>
      <c r="D64" s="5" t="s">
        <v>343</v>
      </c>
      <c r="E64" s="5" t="s">
        <v>515</v>
      </c>
      <c r="F64" s="5" t="s">
        <v>507</v>
      </c>
      <c r="G64" s="23" t="s">
        <v>390</v>
      </c>
      <c r="H64" s="14"/>
      <c r="I64" s="27"/>
      <c r="J64" s="5"/>
      <c r="K64" s="5"/>
      <c r="L64" s="23" t="s">
        <v>390</v>
      </c>
      <c r="M64" s="14"/>
      <c r="N64" s="27"/>
      <c r="O64" s="5"/>
      <c r="P64" s="5"/>
      <c r="Q64" s="23" t="s">
        <v>390</v>
      </c>
      <c r="S64" s="24"/>
      <c r="T64" s="26" t="str">
        <f t="shared" si="1"/>
        <v xml:space="preserve">               Other foods</v>
      </c>
      <c r="U64" s="26" t="str">
        <f t="shared" si="2"/>
        <v xml:space="preserve">               Fruit and vegetable processing</v>
      </c>
      <c r="V64" s="26" t="str">
        <f t="shared" si="3"/>
        <v xml:space="preserve">               </v>
      </c>
      <c r="W64" s="26" t="str">
        <f t="shared" si="4"/>
        <v xml:space="preserve">               </v>
      </c>
    </row>
    <row r="65" spans="2:23" x14ac:dyDescent="0.35">
      <c r="B65" s="25"/>
      <c r="C65" s="27"/>
      <c r="D65" s="5" t="s">
        <v>715</v>
      </c>
      <c r="E65" s="5" t="s">
        <v>758</v>
      </c>
      <c r="F65" s="5" t="s">
        <v>509</v>
      </c>
      <c r="G65" s="23" t="s">
        <v>390</v>
      </c>
      <c r="H65" s="14"/>
      <c r="I65" s="27"/>
      <c r="J65" s="5"/>
      <c r="K65" s="5"/>
      <c r="L65" s="23" t="s">
        <v>390</v>
      </c>
      <c r="M65" s="14"/>
      <c r="N65" s="27"/>
      <c r="O65" s="5"/>
      <c r="P65" s="5"/>
      <c r="Q65" s="23" t="s">
        <v>390</v>
      </c>
      <c r="S65" s="24"/>
      <c r="T65" s="26" t="str">
        <f t="shared" si="1"/>
        <v xml:space="preserve">               Beverage and Tobaco</v>
      </c>
      <c r="U65" s="26" t="str">
        <f t="shared" si="2"/>
        <v xml:space="preserve">               Fats and oils</v>
      </c>
      <c r="V65" s="26" t="str">
        <f t="shared" si="3"/>
        <v xml:space="preserve">               </v>
      </c>
      <c r="W65" s="26" t="str">
        <f t="shared" si="4"/>
        <v xml:space="preserve">               </v>
      </c>
    </row>
    <row r="66" spans="2:23" x14ac:dyDescent="0.35">
      <c r="B66" s="25"/>
      <c r="C66" s="27"/>
      <c r="D66" s="5" t="s">
        <v>345</v>
      </c>
      <c r="E66" s="5" t="s">
        <v>518</v>
      </c>
      <c r="F66" s="5" t="s">
        <v>599</v>
      </c>
      <c r="G66" s="23" t="s">
        <v>390</v>
      </c>
      <c r="H66" s="14"/>
      <c r="I66" s="27"/>
      <c r="J66" s="5"/>
      <c r="K66" s="5"/>
      <c r="L66" s="23" t="s">
        <v>390</v>
      </c>
      <c r="M66" s="14"/>
      <c r="N66" s="27"/>
      <c r="O66" s="5"/>
      <c r="P66" s="5"/>
      <c r="Q66" s="23" t="s">
        <v>390</v>
      </c>
      <c r="S66" s="24"/>
      <c r="T66" s="26" t="str">
        <f t="shared" si="1"/>
        <v xml:space="preserve">               Beverages</v>
      </c>
      <c r="U66" s="26" t="str">
        <f t="shared" si="2"/>
        <v xml:space="preserve">               Maize milling</v>
      </c>
      <c r="V66" s="26" t="str">
        <f t="shared" si="3"/>
        <v xml:space="preserve">               </v>
      </c>
      <c r="W66" s="26" t="str">
        <f t="shared" si="4"/>
        <v xml:space="preserve">               </v>
      </c>
    </row>
    <row r="67" spans="2:23" x14ac:dyDescent="0.35">
      <c r="B67" s="25"/>
      <c r="C67" s="27"/>
      <c r="D67" s="5" t="s">
        <v>346</v>
      </c>
      <c r="E67" s="5" t="s">
        <v>759</v>
      </c>
      <c r="F67" s="5" t="s">
        <v>600</v>
      </c>
      <c r="G67" s="23" t="s">
        <v>390</v>
      </c>
      <c r="H67" s="14"/>
      <c r="I67" s="27"/>
      <c r="J67" s="5"/>
      <c r="K67" s="5"/>
      <c r="L67" s="23" t="s">
        <v>390</v>
      </c>
      <c r="M67" s="14"/>
      <c r="N67" s="27"/>
      <c r="O67" s="5"/>
      <c r="P67" s="5"/>
      <c r="Q67" s="23" t="s">
        <v>390</v>
      </c>
      <c r="S67" s="24"/>
      <c r="T67" s="26" t="str">
        <f t="shared" si="1"/>
        <v xml:space="preserve">               Tobaco processing</v>
      </c>
      <c r="U67" s="26" t="str">
        <f t="shared" si="2"/>
        <v xml:space="preserve">               Sorghum and millet milling</v>
      </c>
      <c r="V67" s="26" t="str">
        <f t="shared" si="3"/>
        <v xml:space="preserve">               </v>
      </c>
      <c r="W67" s="26" t="str">
        <f t="shared" si="4"/>
        <v xml:space="preserve">               </v>
      </c>
    </row>
    <row r="68" spans="2:23" x14ac:dyDescent="0.35">
      <c r="B68" s="25"/>
      <c r="C68" s="27"/>
      <c r="D68" s="5" t="s">
        <v>716</v>
      </c>
      <c r="E68" s="5" t="s">
        <v>358</v>
      </c>
      <c r="F68" s="5" t="s">
        <v>601</v>
      </c>
      <c r="G68" s="23" t="s">
        <v>390</v>
      </c>
      <c r="H68" s="14"/>
      <c r="I68" s="27"/>
      <c r="J68" s="5"/>
      <c r="K68" s="5"/>
      <c r="L68" s="23" t="s">
        <v>390</v>
      </c>
      <c r="M68" s="14"/>
      <c r="N68" s="27"/>
      <c r="O68" s="5"/>
      <c r="P68" s="5"/>
      <c r="Q68" s="23" t="s">
        <v>390</v>
      </c>
      <c r="S68" s="24"/>
      <c r="T68" s="26" t="str">
        <f t="shared" si="1"/>
        <v xml:space="preserve">               Other manufacturing</v>
      </c>
      <c r="U68" s="26" t="str">
        <f t="shared" si="2"/>
        <v xml:space="preserve">               Rice milling</v>
      </c>
      <c r="V68" s="26" t="str">
        <f t="shared" si="3"/>
        <v xml:space="preserve">               </v>
      </c>
      <c r="W68" s="26" t="str">
        <f t="shared" si="4"/>
        <v xml:space="preserve">               </v>
      </c>
    </row>
    <row r="69" spans="2:23" x14ac:dyDescent="0.35">
      <c r="B69" s="25"/>
      <c r="C69" s="27"/>
      <c r="D69" s="5" t="s">
        <v>717</v>
      </c>
      <c r="E69" s="5" t="s">
        <v>760</v>
      </c>
      <c r="F69" s="5" t="s">
        <v>602</v>
      </c>
      <c r="G69" s="23" t="s">
        <v>390</v>
      </c>
      <c r="H69" s="14"/>
      <c r="I69" s="27"/>
      <c r="J69" s="5"/>
      <c r="K69" s="5"/>
      <c r="L69" s="23" t="s">
        <v>390</v>
      </c>
      <c r="M69" s="14"/>
      <c r="N69" s="27"/>
      <c r="O69" s="5"/>
      <c r="P69" s="5"/>
      <c r="Q69" s="23" t="s">
        <v>390</v>
      </c>
      <c r="S69" s="24"/>
      <c r="T69" s="26" t="str">
        <f t="shared" si="1"/>
        <v xml:space="preserve">               Textiles, clothing and footwear</v>
      </c>
      <c r="U69" s="26" t="str">
        <f t="shared" si="2"/>
        <v xml:space="preserve">               Rice milling - coarse</v>
      </c>
      <c r="V69" s="26" t="str">
        <f t="shared" si="3"/>
        <v xml:space="preserve">               </v>
      </c>
      <c r="W69" s="26" t="str">
        <f t="shared" si="4"/>
        <v xml:space="preserve">               </v>
      </c>
    </row>
    <row r="70" spans="2:23" x14ac:dyDescent="0.35">
      <c r="B70" s="25"/>
      <c r="C70" s="27"/>
      <c r="D70" s="5" t="s">
        <v>347</v>
      </c>
      <c r="E70" s="5" t="s">
        <v>521</v>
      </c>
      <c r="F70" s="5" t="s">
        <v>603</v>
      </c>
      <c r="G70" s="23" t="s">
        <v>390</v>
      </c>
      <c r="H70" s="14"/>
      <c r="I70" s="27"/>
      <c r="J70" s="5"/>
      <c r="K70" s="5"/>
      <c r="L70" s="23" t="s">
        <v>390</v>
      </c>
      <c r="M70" s="14"/>
      <c r="N70" s="27"/>
      <c r="O70" s="5"/>
      <c r="P70" s="5"/>
      <c r="Q70" s="23" t="s">
        <v>390</v>
      </c>
      <c r="S70" s="24"/>
      <c r="T70" s="26" t="str">
        <f t="shared" si="1"/>
        <v xml:space="preserve">               Textiles</v>
      </c>
      <c r="U70" s="26" t="str">
        <f t="shared" si="2"/>
        <v xml:space="preserve">               Rice milling - other</v>
      </c>
      <c r="V70" s="26" t="str">
        <f t="shared" si="3"/>
        <v xml:space="preserve">               </v>
      </c>
      <c r="W70" s="26" t="str">
        <f t="shared" si="4"/>
        <v xml:space="preserve">               </v>
      </c>
    </row>
    <row r="71" spans="2:23" x14ac:dyDescent="0.35">
      <c r="B71" s="25"/>
      <c r="C71" s="27"/>
      <c r="D71" s="5" t="s">
        <v>718</v>
      </c>
      <c r="E71" s="5" t="s">
        <v>348</v>
      </c>
      <c r="F71" s="5" t="s">
        <v>604</v>
      </c>
      <c r="G71" s="23" t="s">
        <v>390</v>
      </c>
      <c r="H71" s="14"/>
      <c r="I71" s="27"/>
      <c r="J71" s="5"/>
      <c r="K71" s="5"/>
      <c r="L71" s="23" t="s">
        <v>390</v>
      </c>
      <c r="M71" s="14"/>
      <c r="N71" s="27"/>
      <c r="O71" s="5"/>
      <c r="P71" s="5"/>
      <c r="Q71" s="23" t="s">
        <v>390</v>
      </c>
      <c r="S71" s="24"/>
      <c r="T71" s="26" t="str">
        <f t="shared" si="1"/>
        <v xml:space="preserve">               Wood and paper products</v>
      </c>
      <c r="U71" s="26" t="str">
        <f t="shared" si="2"/>
        <v xml:space="preserve">               Wheat and barley milling</v>
      </c>
      <c r="V71" s="26" t="str">
        <f t="shared" si="3"/>
        <v xml:space="preserve">               </v>
      </c>
      <c r="W71" s="26" t="str">
        <f t="shared" si="4"/>
        <v xml:space="preserve">               </v>
      </c>
    </row>
    <row r="72" spans="2:23" x14ac:dyDescent="0.35">
      <c r="B72" s="25"/>
      <c r="C72" s="27"/>
      <c r="D72" s="5" t="s">
        <v>349</v>
      </c>
      <c r="E72" s="5" t="s">
        <v>762</v>
      </c>
      <c r="F72" s="5" t="s">
        <v>605</v>
      </c>
      <c r="G72" s="23" t="s">
        <v>390</v>
      </c>
      <c r="H72" s="14"/>
      <c r="I72" s="27"/>
      <c r="J72" s="5"/>
      <c r="K72" s="5"/>
      <c r="L72" s="23" t="s">
        <v>390</v>
      </c>
      <c r="M72" s="14"/>
      <c r="N72" s="27"/>
      <c r="O72" s="5"/>
      <c r="P72" s="5"/>
      <c r="Q72" s="23" t="s">
        <v>390</v>
      </c>
      <c r="S72" s="24"/>
      <c r="T72" s="26" t="str">
        <f t="shared" si="1"/>
        <v xml:space="preserve">               Wood and paper</v>
      </c>
      <c r="U72" s="26" t="str">
        <f t="shared" si="2"/>
        <v xml:space="preserve">               Other grain milling</v>
      </c>
      <c r="V72" s="26" t="str">
        <f t="shared" si="3"/>
        <v xml:space="preserve">               </v>
      </c>
      <c r="W72" s="26" t="str">
        <f t="shared" si="4"/>
        <v xml:space="preserve">               </v>
      </c>
    </row>
    <row r="73" spans="2:23" x14ac:dyDescent="0.35">
      <c r="B73" s="25"/>
      <c r="C73" s="27"/>
      <c r="D73" s="5" t="s">
        <v>719</v>
      </c>
      <c r="E73" s="5" t="s">
        <v>761</v>
      </c>
      <c r="F73" s="5" t="s">
        <v>512</v>
      </c>
      <c r="G73" s="23" t="s">
        <v>390</v>
      </c>
      <c r="H73" s="14"/>
      <c r="I73" s="27"/>
      <c r="J73" s="5"/>
      <c r="K73" s="5"/>
      <c r="L73" s="23" t="s">
        <v>390</v>
      </c>
      <c r="M73" s="14"/>
      <c r="N73" s="27"/>
      <c r="O73" s="5"/>
      <c r="P73" s="5"/>
      <c r="Q73" s="23" t="s">
        <v>390</v>
      </c>
      <c r="S73" s="24"/>
      <c r="T73" s="26" t="str">
        <f t="shared" si="1"/>
        <v xml:space="preserve">               Printing</v>
      </c>
      <c r="U73" s="26" t="str">
        <f t="shared" si="2"/>
        <v xml:space="preserve">               Sugar refining</v>
      </c>
      <c r="V73" s="26" t="str">
        <f t="shared" si="3"/>
        <v xml:space="preserve">               </v>
      </c>
      <c r="W73" s="26" t="str">
        <f t="shared" si="4"/>
        <v xml:space="preserve">               </v>
      </c>
    </row>
    <row r="74" spans="2:23" x14ac:dyDescent="0.35">
      <c r="B74" s="25"/>
      <c r="C74" s="27"/>
      <c r="D74" s="5" t="s">
        <v>720</v>
      </c>
      <c r="E74" s="5" t="s">
        <v>763</v>
      </c>
      <c r="F74" s="5" t="s">
        <v>513</v>
      </c>
      <c r="G74" s="23" t="s">
        <v>390</v>
      </c>
      <c r="H74" s="14"/>
      <c r="I74" s="27"/>
      <c r="J74" s="5"/>
      <c r="K74" s="5"/>
      <c r="L74" s="23" t="s">
        <v>390</v>
      </c>
      <c r="M74" s="14"/>
      <c r="N74" s="27"/>
      <c r="O74" s="5"/>
      <c r="P74" s="5"/>
      <c r="Q74" s="23" t="s">
        <v>390</v>
      </c>
      <c r="S74" s="24"/>
      <c r="T74" s="26" t="str">
        <f t="shared" ref="T74:T137" si="6">IF(C74=1,E74,IF(C74=2,"   "&amp;E74,IF(C74=3,"      "&amp;E74,IF(C74=4,"         "&amp;E74,"               "&amp;E74))))</f>
        <v xml:space="preserve">               Chemicals</v>
      </c>
      <c r="U74" s="26" t="str">
        <f t="shared" ref="U74:U137" si="7">IF(C74=1,F74,IF(C74=2,"   "&amp;F74,IF(C74=3,"      "&amp;F74,IF(C74=4,"         "&amp;F74,"               "&amp;F74))))</f>
        <v xml:space="preserve">               Coffee processing</v>
      </c>
      <c r="V74" s="26" t="str">
        <f t="shared" ref="V74:V137" si="8">IF(I74=1,K74,IF(I74=2,"   "&amp;K74,IF(I74=3,"      "&amp;K74,IF(I74=4,"         "&amp;K74,"               "&amp;K74))))</f>
        <v xml:space="preserve">               </v>
      </c>
      <c r="W74" s="26" t="str">
        <f t="shared" ref="W74:W137" si="9">IF(N74=1,P74,IF(N74=2,"   "&amp;P74,IF(N74=3,"      "&amp;P74,IF(N74=4,"         "&amp;P74,"               "&amp;P74))))</f>
        <v xml:space="preserve">               </v>
      </c>
    </row>
    <row r="75" spans="2:23" x14ac:dyDescent="0.35">
      <c r="B75" s="25"/>
      <c r="C75" s="27"/>
      <c r="D75" s="5" t="s">
        <v>350</v>
      </c>
      <c r="E75" s="5" t="s">
        <v>764</v>
      </c>
      <c r="F75" s="5" t="s">
        <v>514</v>
      </c>
      <c r="G75" s="23" t="s">
        <v>390</v>
      </c>
      <c r="H75" s="14"/>
      <c r="I75" s="27"/>
      <c r="J75" s="5"/>
      <c r="K75" s="5"/>
      <c r="L75" s="23" t="s">
        <v>390</v>
      </c>
      <c r="M75" s="14"/>
      <c r="N75" s="27"/>
      <c r="O75" s="5"/>
      <c r="P75" s="5"/>
      <c r="Q75" s="23" t="s">
        <v>390</v>
      </c>
      <c r="S75" s="24"/>
      <c r="T75" s="26" t="str">
        <f t="shared" si="6"/>
        <v xml:space="preserve">               Petroleum</v>
      </c>
      <c r="U75" s="26" t="str">
        <f t="shared" si="7"/>
        <v xml:space="preserve">               Tea processing</v>
      </c>
      <c r="V75" s="26" t="str">
        <f t="shared" si="8"/>
        <v xml:space="preserve">               </v>
      </c>
      <c r="W75" s="26" t="str">
        <f t="shared" si="9"/>
        <v xml:space="preserve">               </v>
      </c>
    </row>
    <row r="76" spans="2:23" x14ac:dyDescent="0.35">
      <c r="B76" s="25"/>
      <c r="C76" s="27"/>
      <c r="D76" s="5" t="s">
        <v>351</v>
      </c>
      <c r="E76" s="5" t="s">
        <v>528</v>
      </c>
      <c r="F76" s="5" t="s">
        <v>515</v>
      </c>
      <c r="G76" s="23" t="s">
        <v>390</v>
      </c>
      <c r="H76" s="14"/>
      <c r="I76" s="27"/>
      <c r="J76" s="5"/>
      <c r="K76" s="5"/>
      <c r="L76" s="23" t="s">
        <v>390</v>
      </c>
      <c r="M76" s="14"/>
      <c r="N76" s="27"/>
      <c r="O76" s="5"/>
      <c r="P76" s="5"/>
      <c r="Q76" s="23" t="s">
        <v>390</v>
      </c>
      <c r="S76" s="24"/>
      <c r="T76" s="26" t="str">
        <f t="shared" si="6"/>
        <v xml:space="preserve">               Other chemicals</v>
      </c>
      <c r="U76" s="26" t="str">
        <f t="shared" si="7"/>
        <v xml:space="preserve">               Other foods</v>
      </c>
      <c r="V76" s="26" t="str">
        <f t="shared" si="8"/>
        <v xml:space="preserve">               </v>
      </c>
      <c r="W76" s="26" t="str">
        <f t="shared" si="9"/>
        <v xml:space="preserve">               </v>
      </c>
    </row>
    <row r="77" spans="2:23" x14ac:dyDescent="0.35">
      <c r="B77" s="25"/>
      <c r="C77" s="27"/>
      <c r="D77" s="5" t="s">
        <v>721</v>
      </c>
      <c r="E77" s="5" t="s">
        <v>770</v>
      </c>
      <c r="F77" s="5" t="s">
        <v>516</v>
      </c>
      <c r="G77" s="23" t="s">
        <v>390</v>
      </c>
      <c r="H77" s="14"/>
      <c r="I77" s="27"/>
      <c r="J77" s="5"/>
      <c r="K77" s="5"/>
      <c r="L77" s="23" t="s">
        <v>390</v>
      </c>
      <c r="M77" s="14"/>
      <c r="N77" s="27"/>
      <c r="O77" s="5"/>
      <c r="P77" s="5"/>
      <c r="Q77" s="23" t="s">
        <v>390</v>
      </c>
      <c r="S77" s="24"/>
      <c r="T77" s="26" t="str">
        <f t="shared" si="6"/>
        <v xml:space="preserve">               Pharmaceutical products (C53)</v>
      </c>
      <c r="U77" s="26" t="str">
        <f t="shared" si="7"/>
        <v xml:space="preserve">               Animal feed</v>
      </c>
      <c r="V77" s="26" t="str">
        <f t="shared" si="8"/>
        <v xml:space="preserve">               </v>
      </c>
      <c r="W77" s="26" t="str">
        <f t="shared" si="9"/>
        <v xml:space="preserve">               </v>
      </c>
    </row>
    <row r="78" spans="2:23" x14ac:dyDescent="0.35">
      <c r="B78" s="25"/>
      <c r="C78" s="27"/>
      <c r="D78" s="5" t="s">
        <v>722</v>
      </c>
      <c r="E78" s="5" t="s">
        <v>529</v>
      </c>
      <c r="F78" s="5" t="s">
        <v>517</v>
      </c>
      <c r="G78" s="23" t="s">
        <v>390</v>
      </c>
      <c r="H78" s="14"/>
      <c r="I78" s="27"/>
      <c r="J78" s="5"/>
      <c r="K78" s="5"/>
      <c r="L78" s="23" t="s">
        <v>390</v>
      </c>
      <c r="M78" s="14"/>
      <c r="N78" s="27"/>
      <c r="O78" s="5"/>
      <c r="P78" s="5"/>
      <c r="Q78" s="23" t="s">
        <v>390</v>
      </c>
      <c r="S78" s="24"/>
      <c r="T78" s="26" t="str">
        <f t="shared" si="6"/>
        <v xml:space="preserve">               Machinery and equipment</v>
      </c>
      <c r="U78" s="26" t="str">
        <f t="shared" si="7"/>
        <v xml:space="preserve">               Beverages and tobacco</v>
      </c>
      <c r="V78" s="26" t="str">
        <f t="shared" si="8"/>
        <v xml:space="preserve">               </v>
      </c>
      <c r="W78" s="26" t="str">
        <f t="shared" si="9"/>
        <v xml:space="preserve">               </v>
      </c>
    </row>
    <row r="79" spans="2:23" x14ac:dyDescent="0.35">
      <c r="B79" s="25"/>
      <c r="C79" s="27"/>
      <c r="D79" s="5" t="s">
        <v>723</v>
      </c>
      <c r="E79" s="5" t="s">
        <v>771</v>
      </c>
      <c r="F79" s="5" t="s">
        <v>518</v>
      </c>
      <c r="G79" s="23" t="s">
        <v>390</v>
      </c>
      <c r="H79" s="14"/>
      <c r="I79" s="27"/>
      <c r="J79" s="5"/>
      <c r="K79" s="5"/>
      <c r="L79" s="23" t="s">
        <v>390</v>
      </c>
      <c r="M79" s="14"/>
      <c r="N79" s="27"/>
      <c r="O79" s="5"/>
      <c r="P79" s="5"/>
      <c r="Q79" s="23" t="s">
        <v>390</v>
      </c>
      <c r="S79" s="24"/>
      <c r="T79" s="26" t="str">
        <f t="shared" si="6"/>
        <v xml:space="preserve">               Rubber and plastics products (C54)</v>
      </c>
      <c r="U79" s="26" t="str">
        <f t="shared" si="7"/>
        <v xml:space="preserve">               Beverages</v>
      </c>
      <c r="V79" s="26" t="str">
        <f t="shared" si="8"/>
        <v xml:space="preserve">               </v>
      </c>
      <c r="W79" s="26" t="str">
        <f t="shared" si="9"/>
        <v xml:space="preserve">               </v>
      </c>
    </row>
    <row r="80" spans="2:23" x14ac:dyDescent="0.35">
      <c r="B80" s="25"/>
      <c r="C80" s="27"/>
      <c r="D80" s="5" t="s">
        <v>352</v>
      </c>
      <c r="E80" s="5" t="s">
        <v>772</v>
      </c>
      <c r="F80" s="5" t="s">
        <v>519</v>
      </c>
      <c r="G80" s="23" t="s">
        <v>390</v>
      </c>
      <c r="H80" s="14"/>
      <c r="I80" s="27"/>
      <c r="J80" s="5"/>
      <c r="K80" s="5"/>
      <c r="L80" s="23" t="s">
        <v>390</v>
      </c>
      <c r="M80" s="14"/>
      <c r="N80" s="27"/>
      <c r="O80" s="5"/>
      <c r="P80" s="5"/>
      <c r="Q80" s="23" t="s">
        <v>390</v>
      </c>
      <c r="S80" s="24"/>
      <c r="T80" s="26" t="str">
        <f t="shared" si="6"/>
        <v xml:space="preserve">               Non-metallic mineral products n.e.c. (C61)</v>
      </c>
      <c r="U80" s="26" t="str">
        <f t="shared" si="7"/>
        <v xml:space="preserve">               Tobacco processing</v>
      </c>
      <c r="V80" s="26" t="str">
        <f t="shared" si="8"/>
        <v xml:space="preserve">               </v>
      </c>
      <c r="W80" s="26" t="str">
        <f t="shared" si="9"/>
        <v xml:space="preserve">               </v>
      </c>
    </row>
    <row r="81" spans="2:23" x14ac:dyDescent="0.35">
      <c r="B81" s="25"/>
      <c r="C81" s="27"/>
      <c r="D81" s="5" t="s">
        <v>724</v>
      </c>
      <c r="E81" s="5" t="s">
        <v>773</v>
      </c>
      <c r="F81" s="5" t="s">
        <v>520</v>
      </c>
      <c r="G81" s="23" t="s">
        <v>390</v>
      </c>
      <c r="H81" s="14"/>
      <c r="I81" s="27"/>
      <c r="J81" s="5"/>
      <c r="K81" s="5"/>
      <c r="L81" s="23" t="s">
        <v>390</v>
      </c>
      <c r="M81" s="14"/>
      <c r="N81" s="27"/>
      <c r="O81" s="5"/>
      <c r="P81" s="5"/>
      <c r="Q81" s="23" t="s">
        <v>390</v>
      </c>
      <c r="S81" s="24"/>
      <c r="T81" s="26" t="str">
        <f t="shared" si="6"/>
        <v xml:space="preserve">               Manufacture of cement, lime and plaster (C62)</v>
      </c>
      <c r="U81" s="26" t="str">
        <f t="shared" si="7"/>
        <v xml:space="preserve">               Textiles, clothing and leather</v>
      </c>
      <c r="V81" s="26" t="str">
        <f t="shared" si="8"/>
        <v xml:space="preserve">               </v>
      </c>
      <c r="W81" s="26" t="str">
        <f t="shared" si="9"/>
        <v xml:space="preserve">               </v>
      </c>
    </row>
    <row r="82" spans="2:23" x14ac:dyDescent="0.35">
      <c r="B82" s="25"/>
      <c r="C82" s="27"/>
      <c r="D82" s="5" t="s">
        <v>354</v>
      </c>
      <c r="E82" s="5" t="s">
        <v>774</v>
      </c>
      <c r="F82" s="5" t="s">
        <v>606</v>
      </c>
      <c r="G82" s="23" t="s">
        <v>390</v>
      </c>
      <c r="H82" s="14"/>
      <c r="I82" s="27"/>
      <c r="J82" s="5"/>
      <c r="K82" s="5"/>
      <c r="L82" s="23" t="s">
        <v>390</v>
      </c>
      <c r="M82" s="14"/>
      <c r="N82" s="27"/>
      <c r="O82" s="5"/>
      <c r="P82" s="5"/>
      <c r="Q82" s="23" t="s">
        <v>390</v>
      </c>
      <c r="S82" s="24"/>
      <c r="T82" s="26" t="str">
        <f t="shared" si="6"/>
        <v xml:space="preserve">               Metals &amp; metal products, except machinery and equipment (C72)</v>
      </c>
      <c r="U82" s="26" t="str">
        <f t="shared" si="7"/>
        <v xml:space="preserve">               Jute baling</v>
      </c>
      <c r="V82" s="26" t="str">
        <f t="shared" si="8"/>
        <v xml:space="preserve">               </v>
      </c>
      <c r="W82" s="26" t="str">
        <f t="shared" si="9"/>
        <v xml:space="preserve">               </v>
      </c>
    </row>
    <row r="83" spans="2:23" x14ac:dyDescent="0.35">
      <c r="B83" s="25"/>
      <c r="C83" s="27"/>
      <c r="D83" s="5" t="s">
        <v>355</v>
      </c>
      <c r="E83" s="5" t="s">
        <v>775</v>
      </c>
      <c r="F83" s="5" t="s">
        <v>607</v>
      </c>
      <c r="G83" s="23" t="s">
        <v>390</v>
      </c>
      <c r="H83" s="14"/>
      <c r="I83" s="27"/>
      <c r="J83" s="5"/>
      <c r="K83" s="5"/>
      <c r="L83" s="23" t="s">
        <v>390</v>
      </c>
      <c r="M83" s="14"/>
      <c r="N83" s="27"/>
      <c r="O83" s="5"/>
      <c r="P83" s="5"/>
      <c r="Q83" s="23" t="s">
        <v>390</v>
      </c>
      <c r="S83" s="24"/>
      <c r="T83" s="26" t="str">
        <f t="shared" si="6"/>
        <v xml:space="preserve">               Machinery and equipment (except transport) (C74)</v>
      </c>
      <c r="U83" s="26" t="str">
        <f t="shared" si="7"/>
        <v xml:space="preserve">               Jute fabrication</v>
      </c>
      <c r="V83" s="26" t="str">
        <f t="shared" si="8"/>
        <v xml:space="preserve">               </v>
      </c>
      <c r="W83" s="26" t="str">
        <f t="shared" si="9"/>
        <v xml:space="preserve">               </v>
      </c>
    </row>
    <row r="84" spans="2:23" x14ac:dyDescent="0.35">
      <c r="B84" s="25"/>
      <c r="C84" s="27"/>
      <c r="D84" s="5" t="s">
        <v>356</v>
      </c>
      <c r="E84" s="5" t="s">
        <v>776</v>
      </c>
      <c r="F84" s="5" t="s">
        <v>608</v>
      </c>
      <c r="G84" s="23" t="s">
        <v>390</v>
      </c>
      <c r="H84" s="14"/>
      <c r="I84" s="27"/>
      <c r="J84" s="5"/>
      <c r="K84" s="5"/>
      <c r="L84" s="23" t="s">
        <v>390</v>
      </c>
      <c r="M84" s="14"/>
      <c r="N84" s="27"/>
      <c r="O84" s="5"/>
      <c r="P84" s="5"/>
      <c r="Q84" s="23" t="s">
        <v>390</v>
      </c>
      <c r="S84" s="24"/>
      <c r="T84" s="26" t="str">
        <f t="shared" si="6"/>
        <v xml:space="preserve">               Transport equipment (C76)</v>
      </c>
      <c r="U84" s="26" t="str">
        <f t="shared" si="7"/>
        <v xml:space="preserve">               Cotton yarn</v>
      </c>
      <c r="V84" s="26" t="str">
        <f t="shared" si="8"/>
        <v xml:space="preserve">               </v>
      </c>
      <c r="W84" s="26" t="str">
        <f t="shared" si="9"/>
        <v xml:space="preserve">               </v>
      </c>
    </row>
    <row r="85" spans="2:23" x14ac:dyDescent="0.35">
      <c r="B85" s="25"/>
      <c r="C85" s="27"/>
      <c r="D85" s="5" t="s">
        <v>725</v>
      </c>
      <c r="E85" s="5" t="s">
        <v>777</v>
      </c>
      <c r="F85" s="5" t="s">
        <v>521</v>
      </c>
      <c r="G85" s="23" t="s">
        <v>390</v>
      </c>
      <c r="H85" s="14"/>
      <c r="I85" s="27"/>
      <c r="J85" s="5"/>
      <c r="K85" s="5"/>
      <c r="L85" s="23" t="s">
        <v>390</v>
      </c>
      <c r="M85" s="14"/>
      <c r="N85" s="27"/>
      <c r="O85" s="5"/>
      <c r="P85" s="5"/>
      <c r="Q85" s="23" t="s">
        <v>390</v>
      </c>
      <c r="S85" s="24"/>
      <c r="T85" s="26" t="str">
        <f t="shared" si="6"/>
        <v xml:space="preserve">               Furniture (C81)</v>
      </c>
      <c r="U85" s="26" t="str">
        <f t="shared" si="7"/>
        <v xml:space="preserve">               Textiles</v>
      </c>
      <c r="V85" s="26" t="str">
        <f t="shared" si="8"/>
        <v xml:space="preserve">               </v>
      </c>
      <c r="W85" s="26" t="str">
        <f t="shared" si="9"/>
        <v xml:space="preserve">               </v>
      </c>
    </row>
    <row r="86" spans="2:23" x14ac:dyDescent="0.35">
      <c r="B86" s="25"/>
      <c r="C86" s="27"/>
      <c r="D86" s="5" t="s">
        <v>357</v>
      </c>
      <c r="E86" s="5" t="s">
        <v>778</v>
      </c>
      <c r="F86" s="5" t="s">
        <v>522</v>
      </c>
      <c r="G86" s="23" t="s">
        <v>390</v>
      </c>
      <c r="H86" s="14"/>
      <c r="I86" s="27"/>
      <c r="J86" s="5"/>
      <c r="K86" s="5"/>
      <c r="L86" s="23" t="s">
        <v>390</v>
      </c>
      <c r="M86" s="14"/>
      <c r="N86" s="27"/>
      <c r="O86" s="5"/>
      <c r="P86" s="5"/>
      <c r="Q86" s="23" t="s">
        <v>390</v>
      </c>
      <c r="S86" s="24"/>
      <c r="T86" s="26" t="str">
        <f t="shared" si="6"/>
        <v xml:space="preserve">               Other manufacturing (C82)</v>
      </c>
      <c r="U86" s="26" t="str">
        <f t="shared" si="7"/>
        <v xml:space="preserve">               Clothing</v>
      </c>
      <c r="V86" s="26" t="str">
        <f t="shared" si="8"/>
        <v xml:space="preserve">               </v>
      </c>
      <c r="W86" s="26" t="str">
        <f t="shared" si="9"/>
        <v xml:space="preserve">               </v>
      </c>
    </row>
    <row r="87" spans="2:23" x14ac:dyDescent="0.35">
      <c r="B87" s="25"/>
      <c r="C87" s="27"/>
      <c r="D87" s="5" t="s">
        <v>726</v>
      </c>
      <c r="E87" s="5" t="s">
        <v>803</v>
      </c>
      <c r="F87" s="5" t="s">
        <v>523</v>
      </c>
      <c r="G87" s="23" t="s">
        <v>390</v>
      </c>
      <c r="H87" s="14"/>
      <c r="I87" s="27"/>
      <c r="J87" s="5"/>
      <c r="K87" s="5"/>
      <c r="L87" s="23" t="s">
        <v>390</v>
      </c>
      <c r="M87" s="14"/>
      <c r="N87" s="27"/>
      <c r="O87" s="5"/>
      <c r="P87" s="5"/>
      <c r="Q87" s="23" t="s">
        <v>390</v>
      </c>
      <c r="S87" s="24"/>
      <c r="T87" s="26" t="str">
        <f t="shared" si="6"/>
        <v xml:space="preserve">               Other industry</v>
      </c>
      <c r="U87" s="26" t="str">
        <f t="shared" si="7"/>
        <v xml:space="preserve">               Leather and footwear</v>
      </c>
      <c r="V87" s="26" t="str">
        <f t="shared" si="8"/>
        <v xml:space="preserve">               </v>
      </c>
      <c r="W87" s="26" t="str">
        <f t="shared" si="9"/>
        <v xml:space="preserve">               </v>
      </c>
    </row>
    <row r="88" spans="2:23" x14ac:dyDescent="0.35">
      <c r="B88" s="25"/>
      <c r="C88" s="27"/>
      <c r="D88" s="5" t="s">
        <v>727</v>
      </c>
      <c r="E88" s="5" t="s">
        <v>804</v>
      </c>
      <c r="F88" s="5" t="s">
        <v>348</v>
      </c>
      <c r="G88" s="23" t="s">
        <v>390</v>
      </c>
      <c r="H88" s="14"/>
      <c r="I88" s="27"/>
      <c r="J88" s="5"/>
      <c r="K88" s="5"/>
      <c r="L88" s="23" t="s">
        <v>390</v>
      </c>
      <c r="M88" s="14"/>
      <c r="N88" s="27"/>
      <c r="O88" s="5"/>
      <c r="P88" s="5"/>
      <c r="Q88" s="23" t="s">
        <v>390</v>
      </c>
      <c r="S88" s="24"/>
      <c r="T88" s="26" t="str">
        <f t="shared" si="6"/>
        <v xml:space="preserve">               Utility and Construction</v>
      </c>
      <c r="U88" s="26" t="str">
        <f t="shared" si="7"/>
        <v xml:space="preserve">               Wood and paper products</v>
      </c>
      <c r="V88" s="26" t="str">
        <f t="shared" si="8"/>
        <v xml:space="preserve">               </v>
      </c>
      <c r="W88" s="26" t="str">
        <f t="shared" si="9"/>
        <v xml:space="preserve">               </v>
      </c>
    </row>
    <row r="89" spans="2:23" x14ac:dyDescent="0.35">
      <c r="B89" s="25"/>
      <c r="C89" s="27"/>
      <c r="D89" s="5" t="s">
        <v>360</v>
      </c>
      <c r="E89" s="5" t="s">
        <v>779</v>
      </c>
      <c r="F89" s="5" t="s">
        <v>524</v>
      </c>
      <c r="G89" s="23" t="s">
        <v>390</v>
      </c>
      <c r="H89" s="14"/>
      <c r="I89" s="27"/>
      <c r="J89" s="5"/>
      <c r="K89" s="5"/>
      <c r="L89" s="23" t="s">
        <v>390</v>
      </c>
      <c r="M89" s="14"/>
      <c r="N89" s="27"/>
      <c r="O89" s="5"/>
      <c r="P89" s="5"/>
      <c r="Q89" s="23" t="s">
        <v>390</v>
      </c>
      <c r="S89" s="24"/>
      <c r="T89" s="26" t="str">
        <f t="shared" si="6"/>
        <v xml:space="preserve">               Electricity, gas, steam and air conditioning supply (D00)</v>
      </c>
      <c r="U89" s="26" t="str">
        <f t="shared" si="7"/>
        <v xml:space="preserve">               Wood products</v>
      </c>
      <c r="V89" s="26" t="str">
        <f t="shared" si="8"/>
        <v xml:space="preserve">               </v>
      </c>
      <c r="W89" s="26" t="str">
        <f t="shared" si="9"/>
        <v xml:space="preserve">               </v>
      </c>
    </row>
    <row r="90" spans="2:23" x14ac:dyDescent="0.35">
      <c r="B90" s="25"/>
      <c r="C90" s="27"/>
      <c r="D90" s="5" t="s">
        <v>362</v>
      </c>
      <c r="E90" s="5" t="s">
        <v>780</v>
      </c>
      <c r="F90" s="5" t="s">
        <v>609</v>
      </c>
      <c r="G90" s="23" t="s">
        <v>390</v>
      </c>
      <c r="H90" s="14"/>
      <c r="I90" s="27"/>
      <c r="J90" s="5"/>
      <c r="K90" s="5"/>
      <c r="L90" s="23" t="s">
        <v>390</v>
      </c>
      <c r="M90" s="14"/>
      <c r="N90" s="27"/>
      <c r="O90" s="5"/>
      <c r="P90" s="5"/>
      <c r="Q90" s="23" t="s">
        <v>390</v>
      </c>
      <c r="S90" s="24"/>
      <c r="T90" s="26" t="str">
        <f t="shared" si="6"/>
        <v xml:space="preserve">               Water collection, treatment and supply: sewrage (E01)</v>
      </c>
      <c r="U90" s="26" t="str">
        <f t="shared" si="7"/>
        <v xml:space="preserve">               Paper products and publishing</v>
      </c>
      <c r="V90" s="26" t="str">
        <f t="shared" si="8"/>
        <v xml:space="preserve">               </v>
      </c>
      <c r="W90" s="26" t="str">
        <f t="shared" si="9"/>
        <v xml:space="preserve">               </v>
      </c>
    </row>
    <row r="91" spans="2:23" x14ac:dyDescent="0.35">
      <c r="B91" s="25"/>
      <c r="C91" s="27"/>
      <c r="D91" s="5" t="s">
        <v>364</v>
      </c>
      <c r="E91" s="5" t="s">
        <v>781</v>
      </c>
      <c r="F91" s="5" t="s">
        <v>525</v>
      </c>
      <c r="G91" s="23" t="s">
        <v>390</v>
      </c>
      <c r="H91" s="14"/>
      <c r="I91" s="27"/>
      <c r="J91" s="5"/>
      <c r="K91" s="5"/>
      <c r="L91" s="23" t="s">
        <v>390</v>
      </c>
      <c r="M91" s="14"/>
      <c r="N91" s="27"/>
      <c r="O91" s="5"/>
      <c r="P91" s="5"/>
      <c r="Q91" s="23" t="s">
        <v>390</v>
      </c>
      <c r="S91" s="24"/>
      <c r="T91" s="26" t="str">
        <f t="shared" si="6"/>
        <v xml:space="preserve">               Construction (modern) (F01)</v>
      </c>
      <c r="U91" s="26" t="str">
        <f t="shared" si="7"/>
        <v xml:space="preserve">               Chemical products</v>
      </c>
      <c r="V91" s="26" t="str">
        <f t="shared" si="8"/>
        <v xml:space="preserve">               </v>
      </c>
      <c r="W91" s="26" t="str">
        <f t="shared" si="9"/>
        <v xml:space="preserve">               </v>
      </c>
    </row>
    <row r="92" spans="2:23" x14ac:dyDescent="0.35">
      <c r="B92" s="25"/>
      <c r="C92" s="27"/>
      <c r="D92" s="5" t="s">
        <v>728</v>
      </c>
      <c r="E92" s="5" t="s">
        <v>366</v>
      </c>
      <c r="F92" s="5" t="s">
        <v>526</v>
      </c>
      <c r="G92" s="23" t="s">
        <v>390</v>
      </c>
      <c r="H92" s="14"/>
      <c r="I92" s="27"/>
      <c r="J92" s="5"/>
      <c r="K92" s="5"/>
      <c r="L92" s="23" t="s">
        <v>390</v>
      </c>
      <c r="M92" s="14"/>
      <c r="N92" s="27"/>
      <c r="O92" s="5"/>
      <c r="P92" s="5"/>
      <c r="Q92" s="23" t="s">
        <v>390</v>
      </c>
      <c r="S92" s="24"/>
      <c r="T92" s="26" t="str">
        <f t="shared" si="6"/>
        <v xml:space="preserve">               Services</v>
      </c>
      <c r="U92" s="26" t="str">
        <f t="shared" si="7"/>
        <v xml:space="preserve">               Petroleum products</v>
      </c>
      <c r="V92" s="26" t="str">
        <f t="shared" si="8"/>
        <v xml:space="preserve">               </v>
      </c>
      <c r="W92" s="26" t="str">
        <f t="shared" si="9"/>
        <v xml:space="preserve">               </v>
      </c>
    </row>
    <row r="93" spans="2:23" x14ac:dyDescent="0.35">
      <c r="B93" s="25"/>
      <c r="C93" s="27"/>
      <c r="D93" s="5" t="s">
        <v>729</v>
      </c>
      <c r="E93" s="5" t="s">
        <v>805</v>
      </c>
      <c r="F93" s="5" t="s">
        <v>527</v>
      </c>
      <c r="G93" s="23" t="s">
        <v>390</v>
      </c>
      <c r="H93" s="14"/>
      <c r="I93" s="27"/>
      <c r="J93" s="5"/>
      <c r="K93" s="5"/>
      <c r="L93" s="23" t="s">
        <v>390</v>
      </c>
      <c r="M93" s="14"/>
      <c r="N93" s="27"/>
      <c r="O93" s="5"/>
      <c r="P93" s="5"/>
      <c r="Q93" s="23" t="s">
        <v>390</v>
      </c>
      <c r="S93" s="24"/>
      <c r="T93" s="26" t="str">
        <f t="shared" si="6"/>
        <v xml:space="preserve">               Trade</v>
      </c>
      <c r="U93" s="26" t="str">
        <f t="shared" si="7"/>
        <v xml:space="preserve">               Fertilizers and herbicides</v>
      </c>
      <c r="V93" s="26" t="str">
        <f t="shared" si="8"/>
        <v xml:space="preserve">               </v>
      </c>
      <c r="W93" s="26" t="str">
        <f t="shared" si="9"/>
        <v xml:space="preserve">               </v>
      </c>
    </row>
    <row r="94" spans="2:23" x14ac:dyDescent="0.35">
      <c r="B94" s="25"/>
      <c r="C94" s="27"/>
      <c r="D94" s="5" t="s">
        <v>368</v>
      </c>
      <c r="E94" s="5" t="s">
        <v>782</v>
      </c>
      <c r="F94" s="5" t="s">
        <v>528</v>
      </c>
      <c r="G94" s="23" t="s">
        <v>390</v>
      </c>
      <c r="H94" s="14"/>
      <c r="I94" s="27"/>
      <c r="J94" s="5"/>
      <c r="K94" s="5"/>
      <c r="L94" s="23" t="s">
        <v>390</v>
      </c>
      <c r="M94" s="14"/>
      <c r="N94" s="27"/>
      <c r="O94" s="5"/>
      <c r="P94" s="5"/>
      <c r="Q94" s="23" t="s">
        <v>390</v>
      </c>
      <c r="S94" s="24"/>
      <c r="T94" s="26" t="str">
        <f t="shared" si="6"/>
        <v xml:space="preserve">               Wholesale and retail trade of motor vehicles and motorcycles (G21)</v>
      </c>
      <c r="U94" s="26" t="str">
        <f t="shared" si="7"/>
        <v xml:space="preserve">               Other chemicals</v>
      </c>
      <c r="V94" s="26" t="str">
        <f t="shared" si="8"/>
        <v xml:space="preserve">               </v>
      </c>
      <c r="W94" s="26" t="str">
        <f t="shared" si="9"/>
        <v xml:space="preserve">               </v>
      </c>
    </row>
    <row r="95" spans="2:23" x14ac:dyDescent="0.35">
      <c r="B95" s="25"/>
      <c r="C95" s="27"/>
      <c r="D95" s="5" t="s">
        <v>730</v>
      </c>
      <c r="E95" s="5" t="s">
        <v>806</v>
      </c>
      <c r="F95" s="5" t="s">
        <v>353</v>
      </c>
      <c r="G95" s="23" t="s">
        <v>390</v>
      </c>
      <c r="H95" s="14"/>
      <c r="I95" s="27"/>
      <c r="J95" s="5"/>
      <c r="K95" s="5"/>
      <c r="L95" s="23" t="s">
        <v>390</v>
      </c>
      <c r="M95" s="14"/>
      <c r="N95" s="27"/>
      <c r="O95" s="5"/>
      <c r="P95" s="5"/>
      <c r="Q95" s="23" t="s">
        <v>390</v>
      </c>
      <c r="S95" s="24"/>
      <c r="T95" s="26" t="str">
        <f t="shared" si="6"/>
        <v xml:space="preserve">               Transport</v>
      </c>
      <c r="U95" s="26" t="str">
        <f t="shared" si="7"/>
        <v xml:space="preserve">               Non-metal minerals</v>
      </c>
      <c r="V95" s="26" t="str">
        <f t="shared" si="8"/>
        <v xml:space="preserve">               </v>
      </c>
      <c r="W95" s="26" t="str">
        <f t="shared" si="9"/>
        <v xml:space="preserve">               </v>
      </c>
    </row>
    <row r="96" spans="2:23" x14ac:dyDescent="0.35">
      <c r="B96" s="25"/>
      <c r="C96" s="27"/>
      <c r="D96" s="5" t="s">
        <v>371</v>
      </c>
      <c r="E96" s="5" t="s">
        <v>806</v>
      </c>
      <c r="F96" s="5" t="s">
        <v>461</v>
      </c>
      <c r="G96" s="23" t="s">
        <v>390</v>
      </c>
      <c r="H96" s="14"/>
      <c r="I96" s="27"/>
      <c r="J96" s="5"/>
      <c r="K96" s="5"/>
      <c r="L96" s="23" t="s">
        <v>390</v>
      </c>
      <c r="M96" s="14"/>
      <c r="N96" s="27"/>
      <c r="O96" s="5"/>
      <c r="P96" s="5"/>
      <c r="Q96" s="23" t="s">
        <v>390</v>
      </c>
      <c r="S96" s="24"/>
      <c r="T96" s="26" t="str">
        <f t="shared" si="6"/>
        <v xml:space="preserve">               Transport</v>
      </c>
      <c r="U96" s="26" t="str">
        <f t="shared" si="7"/>
        <v xml:space="preserve">               Metals and metal products</v>
      </c>
      <c r="V96" s="26" t="str">
        <f t="shared" si="8"/>
        <v xml:space="preserve">               </v>
      </c>
      <c r="W96" s="26" t="str">
        <f t="shared" si="9"/>
        <v xml:space="preserve">               </v>
      </c>
    </row>
    <row r="97" spans="2:23" x14ac:dyDescent="0.35">
      <c r="B97" s="25"/>
      <c r="C97" s="27"/>
      <c r="D97" s="5" t="s">
        <v>731</v>
      </c>
      <c r="E97" s="5" t="s">
        <v>783</v>
      </c>
      <c r="F97" s="5" t="s">
        <v>529</v>
      </c>
      <c r="G97" s="23" t="s">
        <v>390</v>
      </c>
      <c r="H97" s="14"/>
      <c r="I97" s="27"/>
      <c r="J97" s="5"/>
      <c r="K97" s="5"/>
      <c r="L97" s="23" t="s">
        <v>390</v>
      </c>
      <c r="M97" s="14"/>
      <c r="N97" s="27"/>
      <c r="O97" s="5"/>
      <c r="P97" s="5"/>
      <c r="Q97" s="23" t="s">
        <v>390</v>
      </c>
      <c r="S97" s="24"/>
      <c r="T97" s="26" t="str">
        <f t="shared" si="6"/>
        <v xml:space="preserve">               Postal and courier activities (H32)</v>
      </c>
      <c r="U97" s="26" t="str">
        <f t="shared" si="7"/>
        <v xml:space="preserve">               Machinery and equipment</v>
      </c>
      <c r="V97" s="26" t="str">
        <f t="shared" si="8"/>
        <v xml:space="preserve">               </v>
      </c>
      <c r="W97" s="26" t="str">
        <f t="shared" si="9"/>
        <v xml:space="preserve">               </v>
      </c>
    </row>
    <row r="98" spans="2:23" x14ac:dyDescent="0.35">
      <c r="B98" s="25"/>
      <c r="C98" s="27"/>
      <c r="D98" s="5" t="s">
        <v>732</v>
      </c>
      <c r="E98" s="5" t="s">
        <v>807</v>
      </c>
      <c r="F98" s="5" t="s">
        <v>531</v>
      </c>
      <c r="G98" s="23" t="s">
        <v>390</v>
      </c>
      <c r="H98" s="14"/>
      <c r="I98" s="27"/>
      <c r="J98" s="5"/>
      <c r="K98" s="5"/>
      <c r="L98" s="23" t="s">
        <v>390</v>
      </c>
      <c r="M98" s="14"/>
      <c r="N98" s="27"/>
      <c r="O98" s="5"/>
      <c r="P98" s="5"/>
      <c r="Q98" s="23" t="s">
        <v>390</v>
      </c>
      <c r="S98" s="24"/>
      <c r="T98" s="26" t="str">
        <f t="shared" si="6"/>
        <v xml:space="preserve">               Hotel and related services</v>
      </c>
      <c r="U98" s="26" t="str">
        <f t="shared" si="7"/>
        <v xml:space="preserve">               Machinery and other equipment</v>
      </c>
      <c r="V98" s="26" t="str">
        <f t="shared" si="8"/>
        <v xml:space="preserve">               </v>
      </c>
      <c r="W98" s="26" t="str">
        <f t="shared" si="9"/>
        <v xml:space="preserve">               </v>
      </c>
    </row>
    <row r="99" spans="2:23" x14ac:dyDescent="0.35">
      <c r="B99" s="25"/>
      <c r="C99" s="27"/>
      <c r="D99" s="5" t="s">
        <v>373</v>
      </c>
      <c r="E99" s="5" t="s">
        <v>784</v>
      </c>
      <c r="F99" s="5" t="s">
        <v>530</v>
      </c>
      <c r="G99" s="23" t="s">
        <v>390</v>
      </c>
      <c r="H99" s="14"/>
      <c r="I99" s="27"/>
      <c r="J99" s="5"/>
      <c r="K99" s="5"/>
      <c r="L99" s="23" t="s">
        <v>390</v>
      </c>
      <c r="M99" s="14"/>
      <c r="N99" s="27"/>
      <c r="O99" s="5"/>
      <c r="P99" s="5"/>
      <c r="Q99" s="23" t="s">
        <v>390</v>
      </c>
      <c r="S99" s="24"/>
      <c r="T99" s="26" t="str">
        <f t="shared" si="6"/>
        <v xml:space="preserve">               Hotels &amp; restaurants (I00)</v>
      </c>
      <c r="U99" s="26" t="str">
        <f t="shared" si="7"/>
        <v xml:space="preserve">               Electrical equipment</v>
      </c>
      <c r="V99" s="26" t="str">
        <f t="shared" si="8"/>
        <v xml:space="preserve">               </v>
      </c>
      <c r="W99" s="26" t="str">
        <f t="shared" si="9"/>
        <v xml:space="preserve">               </v>
      </c>
    </row>
    <row r="100" spans="2:23" x14ac:dyDescent="0.35">
      <c r="B100" s="25"/>
      <c r="C100" s="27"/>
      <c r="D100" s="5" t="s">
        <v>733</v>
      </c>
      <c r="E100" s="5" t="s">
        <v>785</v>
      </c>
      <c r="F100" s="5" t="s">
        <v>610</v>
      </c>
      <c r="G100" s="23" t="s">
        <v>390</v>
      </c>
      <c r="H100" s="14"/>
      <c r="I100" s="27"/>
      <c r="J100" s="5"/>
      <c r="K100" s="5"/>
      <c r="L100" s="23" t="s">
        <v>390</v>
      </c>
      <c r="M100" s="14"/>
      <c r="N100" s="27"/>
      <c r="O100" s="5"/>
      <c r="P100" s="5"/>
      <c r="Q100" s="23" t="s">
        <v>390</v>
      </c>
      <c r="S100" s="24"/>
      <c r="T100" s="26" t="str">
        <f t="shared" si="6"/>
        <v xml:space="preserve">               Publishing, video making, programming &amp; broadcasting activities (J10)</v>
      </c>
      <c r="U100" s="26" t="str">
        <f t="shared" si="7"/>
        <v xml:space="preserve">               Vehicles and transport equipment</v>
      </c>
      <c r="V100" s="26" t="str">
        <f t="shared" si="8"/>
        <v xml:space="preserve">               </v>
      </c>
      <c r="W100" s="26" t="str">
        <f t="shared" si="9"/>
        <v xml:space="preserve">               </v>
      </c>
    </row>
    <row r="101" spans="2:23" x14ac:dyDescent="0.35">
      <c r="B101" s="25"/>
      <c r="C101" s="27"/>
      <c r="D101" s="5" t="s">
        <v>374</v>
      </c>
      <c r="E101" s="5" t="s">
        <v>786</v>
      </c>
      <c r="F101" s="5" t="s">
        <v>358</v>
      </c>
      <c r="G101" s="23" t="s">
        <v>390</v>
      </c>
      <c r="H101" s="14"/>
      <c r="I101" s="27"/>
      <c r="J101" s="5"/>
      <c r="K101" s="5"/>
      <c r="L101" s="23" t="s">
        <v>390</v>
      </c>
      <c r="M101" s="14"/>
      <c r="N101" s="27"/>
      <c r="O101" s="5"/>
      <c r="P101" s="5"/>
      <c r="Q101" s="23" t="s">
        <v>390</v>
      </c>
      <c r="S101" s="24"/>
      <c r="T101" s="26" t="str">
        <f t="shared" si="6"/>
        <v xml:space="preserve">               Telecommunication (J20)</v>
      </c>
      <c r="U101" s="26" t="str">
        <f t="shared" si="7"/>
        <v xml:space="preserve">               Other manufacturing</v>
      </c>
      <c r="V101" s="26" t="str">
        <f t="shared" si="8"/>
        <v xml:space="preserve">               </v>
      </c>
      <c r="W101" s="26" t="str">
        <f t="shared" si="9"/>
        <v xml:space="preserve">               </v>
      </c>
    </row>
    <row r="102" spans="2:23" x14ac:dyDescent="0.35">
      <c r="B102" s="25"/>
      <c r="C102" s="27"/>
      <c r="D102" s="5" t="s">
        <v>734</v>
      </c>
      <c r="E102" s="5" t="s">
        <v>787</v>
      </c>
      <c r="F102" s="5" t="s">
        <v>359</v>
      </c>
      <c r="G102" s="23" t="s">
        <v>390</v>
      </c>
      <c r="H102" s="14"/>
      <c r="I102" s="27"/>
      <c r="J102" s="5"/>
      <c r="K102" s="5"/>
      <c r="L102" s="23" t="s">
        <v>390</v>
      </c>
      <c r="M102" s="14"/>
      <c r="N102" s="27"/>
      <c r="O102" s="5"/>
      <c r="P102" s="5"/>
      <c r="Q102" s="23" t="s">
        <v>390</v>
      </c>
      <c r="S102" s="24"/>
      <c r="T102" s="26" t="str">
        <f t="shared" si="6"/>
        <v xml:space="preserve">               Information technology services (J30)</v>
      </c>
      <c r="U102" s="26" t="str">
        <f t="shared" si="7"/>
        <v xml:space="preserve">               Utilities</v>
      </c>
      <c r="V102" s="26" t="str">
        <f t="shared" si="8"/>
        <v xml:space="preserve">               </v>
      </c>
      <c r="W102" s="26" t="str">
        <f t="shared" si="9"/>
        <v xml:space="preserve">               </v>
      </c>
    </row>
    <row r="103" spans="2:23" x14ac:dyDescent="0.35">
      <c r="B103" s="25"/>
      <c r="C103" s="27"/>
      <c r="D103" s="5" t="s">
        <v>735</v>
      </c>
      <c r="E103" s="5" t="s">
        <v>808</v>
      </c>
      <c r="F103" s="5" t="s">
        <v>361</v>
      </c>
      <c r="G103" s="23" t="s">
        <v>390</v>
      </c>
      <c r="H103" s="14"/>
      <c r="I103" s="27"/>
      <c r="J103" s="5"/>
      <c r="K103" s="5"/>
      <c r="L103" s="23" t="s">
        <v>390</v>
      </c>
      <c r="M103" s="14"/>
      <c r="N103" s="27"/>
      <c r="O103" s="5"/>
      <c r="P103" s="5"/>
      <c r="Q103" s="23" t="s">
        <v>390</v>
      </c>
      <c r="S103" s="24"/>
      <c r="T103" s="26" t="str">
        <f t="shared" si="6"/>
        <v xml:space="preserve">               Financial and business services</v>
      </c>
      <c r="U103" s="26" t="str">
        <f t="shared" si="7"/>
        <v xml:space="preserve">               Electricity, gas and steam</v>
      </c>
      <c r="V103" s="26" t="str">
        <f t="shared" si="8"/>
        <v xml:space="preserve">               </v>
      </c>
      <c r="W103" s="26" t="str">
        <f t="shared" si="9"/>
        <v xml:space="preserve">               </v>
      </c>
    </row>
    <row r="104" spans="2:23" x14ac:dyDescent="0.35">
      <c r="B104" s="25"/>
      <c r="C104" s="27"/>
      <c r="D104" s="5" t="s">
        <v>736</v>
      </c>
      <c r="E104" s="5" t="s">
        <v>788</v>
      </c>
      <c r="F104" s="5" t="s">
        <v>363</v>
      </c>
      <c r="G104" s="23" t="s">
        <v>390</v>
      </c>
      <c r="H104" s="14"/>
      <c r="I104" s="27"/>
      <c r="J104" s="5"/>
      <c r="K104" s="5"/>
      <c r="L104" s="23" t="s">
        <v>390</v>
      </c>
      <c r="M104" s="14"/>
      <c r="N104" s="27"/>
      <c r="O104" s="5"/>
      <c r="P104" s="5"/>
      <c r="Q104" s="23" t="s">
        <v>390</v>
      </c>
      <c r="S104" s="24"/>
      <c r="T104" s="26" t="str">
        <f t="shared" si="6"/>
        <v xml:space="preserve">               Monetary institutions (K01)</v>
      </c>
      <c r="U104" s="26" t="str">
        <f t="shared" si="7"/>
        <v xml:space="preserve">               Water supply and sewage</v>
      </c>
      <c r="V104" s="26" t="str">
        <f t="shared" si="8"/>
        <v xml:space="preserve">               </v>
      </c>
      <c r="W104" s="26" t="str">
        <f t="shared" si="9"/>
        <v xml:space="preserve">               </v>
      </c>
    </row>
    <row r="105" spans="2:23" x14ac:dyDescent="0.35">
      <c r="B105" s="25"/>
      <c r="C105" s="27"/>
      <c r="D105" s="5" t="s">
        <v>737</v>
      </c>
      <c r="E105" s="5" t="s">
        <v>789</v>
      </c>
      <c r="F105" s="5" t="s">
        <v>365</v>
      </c>
      <c r="G105" s="23" t="s">
        <v>390</v>
      </c>
      <c r="H105" s="14"/>
      <c r="I105" s="27"/>
      <c r="J105" s="5"/>
      <c r="K105" s="5"/>
      <c r="L105" s="23" t="s">
        <v>390</v>
      </c>
      <c r="M105" s="14"/>
      <c r="N105" s="27"/>
      <c r="O105" s="5"/>
      <c r="P105" s="5"/>
      <c r="Q105" s="23" t="s">
        <v>390</v>
      </c>
      <c r="S105" s="24"/>
      <c r="T105" s="26" t="str">
        <f t="shared" si="6"/>
        <v xml:space="preserve">               Insurance, reinsurance and pension funding, except compulsory social security (K02)</v>
      </c>
      <c r="U105" s="26" t="str">
        <f t="shared" si="7"/>
        <v xml:space="preserve">               Construction</v>
      </c>
      <c r="V105" s="26" t="str">
        <f t="shared" si="8"/>
        <v xml:space="preserve">               </v>
      </c>
      <c r="W105" s="26" t="str">
        <f t="shared" si="9"/>
        <v xml:space="preserve">               </v>
      </c>
    </row>
    <row r="106" spans="2:23" x14ac:dyDescent="0.35">
      <c r="B106" s="25"/>
      <c r="C106" s="27"/>
      <c r="D106" s="5" t="s">
        <v>738</v>
      </c>
      <c r="E106" s="5" t="s">
        <v>790</v>
      </c>
      <c r="F106" s="5" t="s">
        <v>366</v>
      </c>
      <c r="G106" s="23" t="s">
        <v>390</v>
      </c>
      <c r="H106" s="14"/>
      <c r="I106" s="27"/>
      <c r="J106" s="5"/>
      <c r="K106" s="5"/>
      <c r="L106" s="23" t="s">
        <v>390</v>
      </c>
      <c r="M106" s="14"/>
      <c r="N106" s="27"/>
      <c r="O106" s="5"/>
      <c r="P106" s="5"/>
      <c r="Q106" s="23" t="s">
        <v>390</v>
      </c>
      <c r="S106" s="24"/>
      <c r="T106" s="26" t="str">
        <f t="shared" si="6"/>
        <v xml:space="preserve">               Other financial services (K03)</v>
      </c>
      <c r="U106" s="26" t="str">
        <f t="shared" si="7"/>
        <v xml:space="preserve">               Services</v>
      </c>
      <c r="V106" s="26" t="str">
        <f t="shared" si="8"/>
        <v xml:space="preserve">               </v>
      </c>
      <c r="W106" s="26" t="str">
        <f t="shared" si="9"/>
        <v xml:space="preserve">               </v>
      </c>
    </row>
    <row r="107" spans="2:23" x14ac:dyDescent="0.35">
      <c r="B107" s="25"/>
      <c r="C107" s="27"/>
      <c r="D107" s="5" t="s">
        <v>739</v>
      </c>
      <c r="E107" s="5" t="s">
        <v>791</v>
      </c>
      <c r="F107" s="5" t="s">
        <v>367</v>
      </c>
      <c r="G107" s="23" t="s">
        <v>390</v>
      </c>
      <c r="H107" s="14"/>
      <c r="I107" s="27"/>
      <c r="J107" s="5"/>
      <c r="K107" s="5"/>
      <c r="L107" s="23" t="s">
        <v>390</v>
      </c>
      <c r="M107" s="14"/>
      <c r="N107" s="27"/>
      <c r="O107" s="5"/>
      <c r="P107" s="5"/>
      <c r="Q107" s="23" t="s">
        <v>390</v>
      </c>
      <c r="S107" s="24"/>
      <c r="T107" s="26" t="str">
        <f t="shared" si="6"/>
        <v xml:space="preserve">               Rental value of dwellings (L01)</v>
      </c>
      <c r="U107" s="26" t="str">
        <f t="shared" si="7"/>
        <v xml:space="preserve">               Trade and food services</v>
      </c>
      <c r="V107" s="26" t="str">
        <f t="shared" si="8"/>
        <v xml:space="preserve">               </v>
      </c>
      <c r="W107" s="26" t="str">
        <f t="shared" si="9"/>
        <v xml:space="preserve">               </v>
      </c>
    </row>
    <row r="108" spans="2:23" x14ac:dyDescent="0.35">
      <c r="B108" s="25"/>
      <c r="C108" s="27"/>
      <c r="D108" s="5" t="s">
        <v>378</v>
      </c>
      <c r="E108" s="5" t="s">
        <v>792</v>
      </c>
      <c r="F108" s="5" t="s">
        <v>369</v>
      </c>
      <c r="G108" s="23" t="s">
        <v>390</v>
      </c>
      <c r="H108" s="14"/>
      <c r="I108" s="27"/>
      <c r="J108" s="5"/>
      <c r="K108" s="5"/>
      <c r="L108" s="23" t="s">
        <v>390</v>
      </c>
      <c r="M108" s="14"/>
      <c r="N108" s="27"/>
      <c r="O108" s="5"/>
      <c r="P108" s="5"/>
      <c r="Q108" s="23" t="s">
        <v>390</v>
      </c>
      <c r="S108" s="24"/>
      <c r="T108" s="26" t="str">
        <f t="shared" si="6"/>
        <v xml:space="preserve">               Other real estate activities (L09)</v>
      </c>
      <c r="U108" s="26" t="str">
        <f t="shared" si="7"/>
        <v xml:space="preserve">               Wholesale and retail trade</v>
      </c>
      <c r="V108" s="26" t="str">
        <f t="shared" si="8"/>
        <v xml:space="preserve">               </v>
      </c>
      <c r="W108" s="26" t="str">
        <f t="shared" si="9"/>
        <v xml:space="preserve">               </v>
      </c>
    </row>
    <row r="109" spans="2:23" x14ac:dyDescent="0.35">
      <c r="B109" s="25"/>
      <c r="C109" s="27"/>
      <c r="D109" s="5" t="s">
        <v>740</v>
      </c>
      <c r="E109" s="5" t="s">
        <v>793</v>
      </c>
      <c r="F109" s="5" t="s">
        <v>532</v>
      </c>
      <c r="G109" s="23" t="s">
        <v>390</v>
      </c>
      <c r="H109" s="14"/>
      <c r="I109" s="27"/>
      <c r="J109" s="5"/>
      <c r="K109" s="5"/>
      <c r="L109" s="23" t="s">
        <v>390</v>
      </c>
      <c r="M109" s="14"/>
      <c r="N109" s="27"/>
      <c r="O109" s="5"/>
      <c r="P109" s="5"/>
      <c r="Q109" s="23" t="s">
        <v>390</v>
      </c>
      <c r="S109" s="24"/>
      <c r="T109" s="26" t="str">
        <f t="shared" si="6"/>
        <v xml:space="preserve">               Other professional, scientific and technical activities (M03)</v>
      </c>
      <c r="U109" s="26" t="str">
        <f t="shared" si="7"/>
        <v xml:space="preserve">               Accommodation</v>
      </c>
      <c r="V109" s="26" t="str">
        <f t="shared" si="8"/>
        <v xml:space="preserve">               </v>
      </c>
      <c r="W109" s="26" t="str">
        <f t="shared" si="9"/>
        <v xml:space="preserve">               </v>
      </c>
    </row>
    <row r="110" spans="2:23" x14ac:dyDescent="0.35">
      <c r="B110" s="25"/>
      <c r="C110" s="27"/>
      <c r="D110" s="5" t="s">
        <v>741</v>
      </c>
      <c r="E110" s="5" t="s">
        <v>809</v>
      </c>
      <c r="F110" s="5" t="s">
        <v>533</v>
      </c>
      <c r="G110" s="23" t="s">
        <v>390</v>
      </c>
      <c r="H110" s="14"/>
      <c r="I110" s="27"/>
      <c r="J110" s="5"/>
      <c r="K110" s="5"/>
      <c r="L110" s="23" t="s">
        <v>390</v>
      </c>
      <c r="M110" s="14"/>
      <c r="N110" s="27"/>
      <c r="O110" s="5"/>
      <c r="P110" s="5"/>
      <c r="Q110" s="23" t="s">
        <v>390</v>
      </c>
      <c r="S110" s="24"/>
      <c r="T110" s="26" t="str">
        <f t="shared" si="6"/>
        <v xml:space="preserve">               Government services</v>
      </c>
      <c r="U110" s="26" t="str">
        <f t="shared" si="7"/>
        <v xml:space="preserve">               Restaurants and food services</v>
      </c>
      <c r="V110" s="26" t="str">
        <f t="shared" si="8"/>
        <v xml:space="preserve">               </v>
      </c>
      <c r="W110" s="26" t="str">
        <f t="shared" si="9"/>
        <v xml:space="preserve">               </v>
      </c>
    </row>
    <row r="111" spans="2:23" x14ac:dyDescent="0.35">
      <c r="B111" s="25"/>
      <c r="C111" s="27"/>
      <c r="D111" s="5" t="s">
        <v>382</v>
      </c>
      <c r="E111" s="5" t="s">
        <v>794</v>
      </c>
      <c r="F111" s="5" t="s">
        <v>370</v>
      </c>
      <c r="G111" s="23" t="s">
        <v>390</v>
      </c>
      <c r="H111" s="14"/>
      <c r="I111" s="27"/>
      <c r="J111" s="5"/>
      <c r="K111" s="5"/>
      <c r="L111" s="23" t="s">
        <v>390</v>
      </c>
      <c r="M111" s="14"/>
      <c r="N111" s="27"/>
      <c r="O111" s="5"/>
      <c r="P111" s="5"/>
      <c r="Q111" s="23" t="s">
        <v>390</v>
      </c>
      <c r="S111" s="24"/>
      <c r="T111" s="26" t="str">
        <f t="shared" si="6"/>
        <v xml:space="preserve">               Public administration and defence; compulsory social security (O00)</v>
      </c>
      <c r="U111" s="26" t="str">
        <f t="shared" si="7"/>
        <v xml:space="preserve">               Transport and communication</v>
      </c>
      <c r="V111" s="26" t="str">
        <f t="shared" si="8"/>
        <v xml:space="preserve">               </v>
      </c>
      <c r="W111" s="26" t="str">
        <f t="shared" si="9"/>
        <v xml:space="preserve">               </v>
      </c>
    </row>
    <row r="112" spans="2:23" x14ac:dyDescent="0.35">
      <c r="B112" s="25"/>
      <c r="C112" s="27"/>
      <c r="D112" s="5" t="s">
        <v>384</v>
      </c>
      <c r="E112" s="5" t="s">
        <v>795</v>
      </c>
      <c r="F112" s="5" t="s">
        <v>372</v>
      </c>
      <c r="G112" s="23" t="s">
        <v>390</v>
      </c>
      <c r="H112" s="14"/>
      <c r="I112" s="27"/>
      <c r="J112" s="5"/>
      <c r="K112" s="5"/>
      <c r="L112" s="23" t="s">
        <v>390</v>
      </c>
      <c r="M112" s="14"/>
      <c r="N112" s="27"/>
      <c r="O112" s="5"/>
      <c r="P112" s="5"/>
      <c r="Q112" s="23" t="s">
        <v>390</v>
      </c>
      <c r="S112" s="24"/>
      <c r="T112" s="26" t="str">
        <f t="shared" si="6"/>
        <v xml:space="preserve">               Education (P00)</v>
      </c>
      <c r="U112" s="26" t="str">
        <f t="shared" si="7"/>
        <v xml:space="preserve">               Transportation and storage</v>
      </c>
      <c r="V112" s="26" t="str">
        <f t="shared" si="8"/>
        <v xml:space="preserve">               </v>
      </c>
      <c r="W112" s="26" t="str">
        <f t="shared" si="9"/>
        <v xml:space="preserve">               </v>
      </c>
    </row>
    <row r="113" spans="2:23" x14ac:dyDescent="0.35">
      <c r="B113" s="25"/>
      <c r="C113" s="27"/>
      <c r="D113" s="5" t="s">
        <v>386</v>
      </c>
      <c r="E113" s="5" t="s">
        <v>796</v>
      </c>
      <c r="F113" s="5" t="s">
        <v>375</v>
      </c>
      <c r="G113" s="23" t="s">
        <v>390</v>
      </c>
      <c r="H113" s="14"/>
      <c r="I113" s="27"/>
      <c r="J113" s="5"/>
      <c r="K113" s="5"/>
      <c r="L113" s="23" t="s">
        <v>390</v>
      </c>
      <c r="M113" s="14"/>
      <c r="N113" s="27"/>
      <c r="O113" s="5"/>
      <c r="P113" s="5"/>
      <c r="Q113" s="23" t="s">
        <v>390</v>
      </c>
      <c r="S113" s="24"/>
      <c r="T113" s="26" t="str">
        <f t="shared" si="6"/>
        <v xml:space="preserve">               Human health activities (Q01)</v>
      </c>
      <c r="U113" s="26" t="str">
        <f t="shared" si="7"/>
        <v xml:space="preserve">               Information and communication</v>
      </c>
      <c r="V113" s="26" t="str">
        <f t="shared" si="8"/>
        <v xml:space="preserve">               </v>
      </c>
      <c r="W113" s="26" t="str">
        <f t="shared" si="9"/>
        <v xml:space="preserve">               </v>
      </c>
    </row>
    <row r="114" spans="2:23" x14ac:dyDescent="0.35">
      <c r="B114" s="25"/>
      <c r="C114" s="27"/>
      <c r="D114" s="5" t="s">
        <v>742</v>
      </c>
      <c r="E114" s="5" t="s">
        <v>389</v>
      </c>
      <c r="F114" s="5" t="s">
        <v>376</v>
      </c>
      <c r="G114" s="23" t="s">
        <v>390</v>
      </c>
      <c r="H114" s="14"/>
      <c r="I114" s="27"/>
      <c r="J114" s="5"/>
      <c r="K114" s="5"/>
      <c r="L114" s="23" t="s">
        <v>390</v>
      </c>
      <c r="M114" s="14"/>
      <c r="N114" s="27"/>
      <c r="O114" s="5"/>
      <c r="P114" s="5"/>
      <c r="Q114" s="23" t="s">
        <v>390</v>
      </c>
      <c r="S114" s="24"/>
      <c r="T114" s="26" t="str">
        <f t="shared" si="6"/>
        <v xml:space="preserve">               Other services</v>
      </c>
      <c r="U114" s="26" t="str">
        <f t="shared" si="7"/>
        <v xml:space="preserve">               Finance and business services</v>
      </c>
      <c r="V114" s="26" t="str">
        <f t="shared" si="8"/>
        <v xml:space="preserve">               </v>
      </c>
      <c r="W114" s="26" t="str">
        <f t="shared" si="9"/>
        <v xml:space="preserve">               </v>
      </c>
    </row>
    <row r="115" spans="2:23" x14ac:dyDescent="0.35">
      <c r="B115" s="25"/>
      <c r="C115" s="27"/>
      <c r="D115" s="5" t="s">
        <v>743</v>
      </c>
      <c r="E115" s="5" t="s">
        <v>797</v>
      </c>
      <c r="F115" s="5" t="s">
        <v>377</v>
      </c>
      <c r="G115" s="23" t="s">
        <v>390</v>
      </c>
      <c r="H115" s="14"/>
      <c r="I115" s="27"/>
      <c r="J115" s="5"/>
      <c r="K115" s="5"/>
      <c r="L115" s="23" t="s">
        <v>390</v>
      </c>
      <c r="M115" s="14"/>
      <c r="N115" s="27"/>
      <c r="O115" s="5"/>
      <c r="P115" s="5"/>
      <c r="Q115" s="23" t="s">
        <v>390</v>
      </c>
      <c r="S115" s="24"/>
      <c r="T115" s="26" t="str">
        <f t="shared" si="6"/>
        <v xml:space="preserve">               Social work activities (Q02)</v>
      </c>
      <c r="U115" s="26" t="str">
        <f t="shared" si="7"/>
        <v xml:space="preserve">               Finance and insurance</v>
      </c>
      <c r="V115" s="26" t="str">
        <f t="shared" si="8"/>
        <v xml:space="preserve">               </v>
      </c>
      <c r="W115" s="26" t="str">
        <f t="shared" si="9"/>
        <v xml:space="preserve">               </v>
      </c>
    </row>
    <row r="116" spans="2:23" x14ac:dyDescent="0.35">
      <c r="B116" s="25"/>
      <c r="C116" s="27"/>
      <c r="D116" s="5" t="s">
        <v>744</v>
      </c>
      <c r="E116" s="5" t="s">
        <v>798</v>
      </c>
      <c r="F116" s="5" t="s">
        <v>379</v>
      </c>
      <c r="G116" s="23" t="s">
        <v>390</v>
      </c>
      <c r="H116" s="14"/>
      <c r="I116" s="27"/>
      <c r="J116" s="5"/>
      <c r="K116" s="5"/>
      <c r="L116" s="23" t="s">
        <v>390</v>
      </c>
      <c r="M116" s="14"/>
      <c r="N116" s="27"/>
      <c r="O116" s="5"/>
      <c r="P116" s="5"/>
      <c r="Q116" s="23" t="s">
        <v>390</v>
      </c>
      <c r="S116" s="24"/>
      <c r="T116" s="26" t="str">
        <f t="shared" si="6"/>
        <v xml:space="preserve">               Libraries, archives, museums and other cultural activities (R01)</v>
      </c>
      <c r="U116" s="26" t="str">
        <f t="shared" si="7"/>
        <v xml:space="preserve">               Real estate activities</v>
      </c>
      <c r="V116" s="26" t="str">
        <f t="shared" si="8"/>
        <v xml:space="preserve">               </v>
      </c>
      <c r="W116" s="26" t="str">
        <f t="shared" si="9"/>
        <v xml:space="preserve">               </v>
      </c>
    </row>
    <row r="117" spans="2:23" x14ac:dyDescent="0.35">
      <c r="B117" s="25"/>
      <c r="C117" s="27"/>
      <c r="D117" s="5" t="s">
        <v>745</v>
      </c>
      <c r="E117" s="5" t="s">
        <v>799</v>
      </c>
      <c r="F117" s="5" t="s">
        <v>380</v>
      </c>
      <c r="G117" s="23" t="s">
        <v>390</v>
      </c>
      <c r="H117" s="14"/>
      <c r="I117" s="27"/>
      <c r="J117" s="5"/>
      <c r="K117" s="5"/>
      <c r="L117" s="23" t="s">
        <v>390</v>
      </c>
      <c r="M117" s="14"/>
      <c r="N117" s="27"/>
      <c r="O117" s="5"/>
      <c r="P117" s="5"/>
      <c r="Q117" s="23" t="s">
        <v>390</v>
      </c>
      <c r="S117" s="24"/>
      <c r="T117" s="26" t="str">
        <f t="shared" si="6"/>
        <v xml:space="preserve">               Other arts, entertainment and recreation (R09)</v>
      </c>
      <c r="U117" s="26" t="str">
        <f t="shared" si="7"/>
        <v xml:space="preserve">               Business services</v>
      </c>
      <c r="V117" s="26" t="str">
        <f t="shared" si="8"/>
        <v xml:space="preserve">               </v>
      </c>
      <c r="W117" s="26" t="str">
        <f t="shared" si="9"/>
        <v xml:space="preserve">               </v>
      </c>
    </row>
    <row r="118" spans="2:23" x14ac:dyDescent="0.35">
      <c r="B118" s="25"/>
      <c r="C118" s="27"/>
      <c r="D118" s="5" t="s">
        <v>388</v>
      </c>
      <c r="E118" s="5" t="s">
        <v>800</v>
      </c>
      <c r="F118" s="5" t="s">
        <v>381</v>
      </c>
      <c r="G118" s="23" t="s">
        <v>390</v>
      </c>
      <c r="H118" s="14"/>
      <c r="I118" s="27"/>
      <c r="J118" s="5"/>
      <c r="K118" s="5"/>
      <c r="L118" s="23" t="s">
        <v>390</v>
      </c>
      <c r="M118" s="14"/>
      <c r="N118" s="27"/>
      <c r="O118" s="5"/>
      <c r="P118" s="5"/>
      <c r="Q118" s="23" t="s">
        <v>390</v>
      </c>
      <c r="S118" s="24"/>
      <c r="T118" s="26" t="str">
        <f t="shared" si="6"/>
        <v xml:space="preserve">               Other service activities (S00)</v>
      </c>
      <c r="U118" s="26" t="str">
        <f t="shared" si="7"/>
        <v xml:space="preserve">               Public and social services</v>
      </c>
      <c r="V118" s="26" t="str">
        <f t="shared" si="8"/>
        <v xml:space="preserve">               </v>
      </c>
      <c r="W118" s="26" t="str">
        <f t="shared" si="9"/>
        <v xml:space="preserve">               </v>
      </c>
    </row>
    <row r="119" spans="2:23" x14ac:dyDescent="0.35">
      <c r="B119" s="25"/>
      <c r="C119" s="27"/>
      <c r="D119" s="5" t="s">
        <v>746</v>
      </c>
      <c r="E119" s="5" t="s">
        <v>801</v>
      </c>
      <c r="F119" s="5" t="s">
        <v>383</v>
      </c>
      <c r="G119" s="23" t="s">
        <v>390</v>
      </c>
      <c r="H119" s="14"/>
      <c r="I119" s="27"/>
      <c r="J119" s="5"/>
      <c r="K119" s="5"/>
      <c r="L119" s="23" t="s">
        <v>390</v>
      </c>
      <c r="M119" s="14"/>
      <c r="N119" s="27"/>
      <c r="O119" s="5"/>
      <c r="P119" s="5"/>
      <c r="Q119" s="23" t="s">
        <v>390</v>
      </c>
      <c r="S119" s="24"/>
      <c r="T119" s="26" t="str">
        <f t="shared" si="6"/>
        <v xml:space="preserve">               Domestic services (T00)</v>
      </c>
      <c r="U119" s="26" t="str">
        <f t="shared" si="7"/>
        <v xml:space="preserve">               Public administration</v>
      </c>
      <c r="V119" s="26" t="str">
        <f t="shared" si="8"/>
        <v xml:space="preserve">               </v>
      </c>
      <c r="W119" s="26" t="str">
        <f t="shared" si="9"/>
        <v xml:space="preserve">               </v>
      </c>
    </row>
    <row r="120" spans="2:23" x14ac:dyDescent="0.35">
      <c r="B120" s="25"/>
      <c r="C120" s="27"/>
      <c r="D120" s="5" t="s">
        <v>747</v>
      </c>
      <c r="E120" s="5" t="s">
        <v>802</v>
      </c>
      <c r="F120" s="5" t="s">
        <v>385</v>
      </c>
      <c r="G120" s="23" t="s">
        <v>390</v>
      </c>
      <c r="H120" s="14"/>
      <c r="I120" s="27"/>
      <c r="J120" s="5"/>
      <c r="K120" s="5"/>
      <c r="L120" s="23" t="s">
        <v>390</v>
      </c>
      <c r="M120" s="14"/>
      <c r="N120" s="27"/>
      <c r="O120" s="5"/>
      <c r="P120" s="5"/>
      <c r="Q120" s="23" t="s">
        <v>390</v>
      </c>
      <c r="S120" s="24"/>
      <c r="T120" s="26" t="str">
        <f t="shared" si="6"/>
        <v xml:space="preserve">               Travel debits &amp; credits (V00)</v>
      </c>
      <c r="U120" s="26" t="str">
        <f t="shared" si="7"/>
        <v xml:space="preserve">               Education</v>
      </c>
      <c r="V120" s="26" t="str">
        <f t="shared" si="8"/>
        <v xml:space="preserve">               </v>
      </c>
      <c r="W120" s="26" t="str">
        <f t="shared" si="9"/>
        <v xml:space="preserve">               </v>
      </c>
    </row>
    <row r="121" spans="2:23" x14ac:dyDescent="0.35">
      <c r="B121" s="25"/>
      <c r="C121" s="27"/>
      <c r="D121" s="5" t="s">
        <v>746</v>
      </c>
      <c r="E121" s="5" t="s">
        <v>801</v>
      </c>
      <c r="F121" s="5" t="s">
        <v>387</v>
      </c>
      <c r="G121" s="23" t="s">
        <v>390</v>
      </c>
      <c r="H121" s="14"/>
      <c r="I121" s="27"/>
      <c r="J121" s="5"/>
      <c r="K121" s="5"/>
      <c r="L121" s="23" t="s">
        <v>390</v>
      </c>
      <c r="M121" s="14"/>
      <c r="N121" s="27"/>
      <c r="O121" s="5"/>
      <c r="P121" s="5"/>
      <c r="Q121" s="23" t="s">
        <v>390</v>
      </c>
      <c r="S121" s="24"/>
      <c r="T121" s="26" t="str">
        <f t="shared" si="6"/>
        <v xml:space="preserve">               Domestic services (T00)</v>
      </c>
      <c r="U121" s="26" t="str">
        <f t="shared" si="7"/>
        <v xml:space="preserve">               Health and social work</v>
      </c>
      <c r="V121" s="26" t="str">
        <f t="shared" si="8"/>
        <v xml:space="preserve">               </v>
      </c>
      <c r="W121" s="26" t="str">
        <f t="shared" si="9"/>
        <v xml:space="preserve">               </v>
      </c>
    </row>
    <row r="122" spans="2:23" x14ac:dyDescent="0.35">
      <c r="B122" s="25"/>
      <c r="C122" s="27"/>
      <c r="D122" s="5" t="s">
        <v>747</v>
      </c>
      <c r="E122" s="5" t="s">
        <v>802</v>
      </c>
      <c r="F122" s="5" t="s">
        <v>389</v>
      </c>
      <c r="G122" s="23" t="s">
        <v>390</v>
      </c>
      <c r="H122" s="14"/>
      <c r="I122" s="27"/>
      <c r="J122" s="5"/>
      <c r="K122" s="5"/>
      <c r="L122" s="23" t="s">
        <v>390</v>
      </c>
      <c r="M122" s="14"/>
      <c r="N122" s="27"/>
      <c r="O122" s="5"/>
      <c r="P122" s="5"/>
      <c r="Q122" s="23" t="s">
        <v>390</v>
      </c>
      <c r="S122" s="24"/>
      <c r="T122" s="26" t="str">
        <f t="shared" si="6"/>
        <v xml:space="preserve">               Travel debits &amp; credits (V00)</v>
      </c>
      <c r="U122" s="26" t="str">
        <f t="shared" si="7"/>
        <v xml:space="preserve">               Other services</v>
      </c>
      <c r="V122" s="26" t="str">
        <f t="shared" si="8"/>
        <v xml:space="preserve">               </v>
      </c>
      <c r="W122" s="26" t="str">
        <f t="shared" si="9"/>
        <v xml:space="preserve">               </v>
      </c>
    </row>
    <row r="123" spans="2:23" x14ac:dyDescent="0.35">
      <c r="B123" s="25"/>
      <c r="C123" s="27"/>
      <c r="D123" s="5"/>
      <c r="E123" s="5"/>
      <c r="F123" s="5"/>
      <c r="G123" s="23" t="s">
        <v>390</v>
      </c>
      <c r="H123" s="14"/>
      <c r="I123" s="27"/>
      <c r="J123" s="5"/>
      <c r="K123" s="5"/>
      <c r="L123" s="23" t="s">
        <v>390</v>
      </c>
      <c r="M123" s="14"/>
      <c r="N123" s="27"/>
      <c r="O123" s="5"/>
      <c r="P123" s="5"/>
      <c r="Q123" s="23" t="s">
        <v>390</v>
      </c>
      <c r="S123" s="24"/>
      <c r="T123" s="26" t="str">
        <f t="shared" si="6"/>
        <v xml:space="preserve">               </v>
      </c>
      <c r="U123" s="26" t="str">
        <f t="shared" si="7"/>
        <v xml:space="preserve">               </v>
      </c>
      <c r="V123" s="26" t="str">
        <f t="shared" si="8"/>
        <v xml:space="preserve">               </v>
      </c>
      <c r="W123" s="26" t="str">
        <f t="shared" si="9"/>
        <v xml:space="preserve">               </v>
      </c>
    </row>
    <row r="124" spans="2:23" x14ac:dyDescent="0.35">
      <c r="B124" s="25"/>
      <c r="C124" s="27"/>
      <c r="D124" s="5"/>
      <c r="E124" s="5"/>
      <c r="F124" s="5"/>
      <c r="G124" s="23" t="s">
        <v>390</v>
      </c>
      <c r="H124" s="14"/>
      <c r="I124" s="27"/>
      <c r="J124" s="5"/>
      <c r="K124" s="5"/>
      <c r="L124" s="23" t="s">
        <v>390</v>
      </c>
      <c r="M124" s="14"/>
      <c r="N124" s="27"/>
      <c r="O124" s="5"/>
      <c r="P124" s="5"/>
      <c r="Q124" s="23" t="s">
        <v>390</v>
      </c>
      <c r="S124" s="24"/>
      <c r="T124" s="26" t="str">
        <f t="shared" si="6"/>
        <v xml:space="preserve">               </v>
      </c>
      <c r="U124" s="26" t="str">
        <f t="shared" si="7"/>
        <v xml:space="preserve">               </v>
      </c>
      <c r="V124" s="26" t="str">
        <f t="shared" si="8"/>
        <v xml:space="preserve">               </v>
      </c>
      <c r="W124" s="26" t="str">
        <f t="shared" si="9"/>
        <v xml:space="preserve">               </v>
      </c>
    </row>
    <row r="125" spans="2:23" x14ac:dyDescent="0.35">
      <c r="B125" s="25"/>
      <c r="C125" s="27"/>
      <c r="D125" s="5"/>
      <c r="E125" s="5"/>
      <c r="F125" s="5"/>
      <c r="G125" s="23" t="s">
        <v>390</v>
      </c>
      <c r="H125" s="14"/>
      <c r="I125" s="27"/>
      <c r="J125" s="5"/>
      <c r="K125" s="5"/>
      <c r="L125" s="23" t="s">
        <v>390</v>
      </c>
      <c r="M125" s="14"/>
      <c r="N125" s="27"/>
      <c r="O125" s="5"/>
      <c r="P125" s="5"/>
      <c r="Q125" s="23" t="s">
        <v>390</v>
      </c>
      <c r="S125" s="24"/>
      <c r="T125" s="26" t="str">
        <f t="shared" si="6"/>
        <v xml:space="preserve">               </v>
      </c>
      <c r="U125" s="26" t="str">
        <f t="shared" si="7"/>
        <v xml:space="preserve">               </v>
      </c>
      <c r="V125" s="26" t="str">
        <f t="shared" si="8"/>
        <v xml:space="preserve">               </v>
      </c>
      <c r="W125" s="26" t="str">
        <f t="shared" si="9"/>
        <v xml:space="preserve">               </v>
      </c>
    </row>
    <row r="126" spans="2:23" x14ac:dyDescent="0.35">
      <c r="B126" s="25"/>
      <c r="C126" s="27"/>
      <c r="D126" s="5"/>
      <c r="E126" s="5"/>
      <c r="F126" s="5"/>
      <c r="G126" s="23" t="s">
        <v>390</v>
      </c>
      <c r="H126" s="14"/>
      <c r="I126" s="27"/>
      <c r="J126" s="5"/>
      <c r="K126" s="5"/>
      <c r="L126" s="23" t="s">
        <v>390</v>
      </c>
      <c r="M126" s="14"/>
      <c r="N126" s="27"/>
      <c r="O126" s="5"/>
      <c r="P126" s="5"/>
      <c r="Q126" s="23" t="s">
        <v>390</v>
      </c>
      <c r="S126" s="24"/>
      <c r="T126" s="26" t="str">
        <f t="shared" si="6"/>
        <v xml:space="preserve">               </v>
      </c>
      <c r="U126" s="26" t="str">
        <f t="shared" si="7"/>
        <v xml:space="preserve">               </v>
      </c>
      <c r="V126" s="26" t="str">
        <f t="shared" si="8"/>
        <v xml:space="preserve">               </v>
      </c>
      <c r="W126" s="26" t="str">
        <f t="shared" si="9"/>
        <v xml:space="preserve">               </v>
      </c>
    </row>
    <row r="127" spans="2:23" x14ac:dyDescent="0.35">
      <c r="B127" s="25"/>
      <c r="C127" s="27"/>
      <c r="D127" s="5"/>
      <c r="E127" s="5"/>
      <c r="F127" s="5"/>
      <c r="G127" s="23" t="s">
        <v>390</v>
      </c>
      <c r="H127" s="14"/>
      <c r="I127" s="27"/>
      <c r="J127" s="5"/>
      <c r="K127" s="5"/>
      <c r="L127" s="23" t="s">
        <v>390</v>
      </c>
      <c r="M127" s="14"/>
      <c r="N127" s="27"/>
      <c r="O127" s="5"/>
      <c r="P127" s="5"/>
      <c r="Q127" s="23" t="s">
        <v>390</v>
      </c>
      <c r="S127" s="24"/>
      <c r="T127" s="26" t="str">
        <f t="shared" si="6"/>
        <v xml:space="preserve">               </v>
      </c>
      <c r="U127" s="26" t="str">
        <f t="shared" si="7"/>
        <v xml:space="preserve">               </v>
      </c>
      <c r="V127" s="26" t="str">
        <f t="shared" si="8"/>
        <v xml:space="preserve">               </v>
      </c>
      <c r="W127" s="26" t="str">
        <f t="shared" si="9"/>
        <v xml:space="preserve">               </v>
      </c>
    </row>
    <row r="128" spans="2:23" x14ac:dyDescent="0.35">
      <c r="B128" s="25"/>
      <c r="C128" s="27"/>
      <c r="D128" s="5"/>
      <c r="E128" s="5"/>
      <c r="F128" s="5"/>
      <c r="G128" s="23" t="s">
        <v>390</v>
      </c>
      <c r="H128" s="14"/>
      <c r="I128" s="27"/>
      <c r="J128" s="5"/>
      <c r="K128" s="5"/>
      <c r="L128" s="23" t="s">
        <v>390</v>
      </c>
      <c r="M128" s="14"/>
      <c r="N128" s="27"/>
      <c r="O128" s="5"/>
      <c r="P128" s="5"/>
      <c r="Q128" s="23" t="s">
        <v>390</v>
      </c>
      <c r="S128" s="24"/>
      <c r="T128" s="26" t="str">
        <f t="shared" si="6"/>
        <v xml:space="preserve">               </v>
      </c>
      <c r="U128" s="26" t="str">
        <f t="shared" si="7"/>
        <v xml:space="preserve">               </v>
      </c>
      <c r="V128" s="26" t="str">
        <f t="shared" si="8"/>
        <v xml:space="preserve">               </v>
      </c>
      <c r="W128" s="26" t="str">
        <f t="shared" si="9"/>
        <v xml:space="preserve">               </v>
      </c>
    </row>
    <row r="129" spans="2:23" x14ac:dyDescent="0.35">
      <c r="B129" s="25"/>
      <c r="C129" s="27"/>
      <c r="D129" s="5"/>
      <c r="E129" s="5"/>
      <c r="F129" s="5"/>
      <c r="G129" s="23" t="s">
        <v>390</v>
      </c>
      <c r="H129" s="14"/>
      <c r="I129" s="27"/>
      <c r="J129" s="5"/>
      <c r="K129" s="5"/>
      <c r="L129" s="23" t="s">
        <v>390</v>
      </c>
      <c r="M129" s="14"/>
      <c r="N129" s="27"/>
      <c r="O129" s="5"/>
      <c r="P129" s="5"/>
      <c r="Q129" s="23" t="s">
        <v>390</v>
      </c>
      <c r="S129" s="24"/>
      <c r="T129" s="26" t="str">
        <f t="shared" si="6"/>
        <v xml:space="preserve">               </v>
      </c>
      <c r="U129" s="26" t="str">
        <f t="shared" si="7"/>
        <v xml:space="preserve">               </v>
      </c>
      <c r="V129" s="26" t="str">
        <f t="shared" si="8"/>
        <v xml:space="preserve">               </v>
      </c>
      <c r="W129" s="26" t="str">
        <f t="shared" si="9"/>
        <v xml:space="preserve">               </v>
      </c>
    </row>
    <row r="130" spans="2:23" x14ac:dyDescent="0.35">
      <c r="B130" s="25"/>
      <c r="C130" s="27"/>
      <c r="D130" s="5"/>
      <c r="E130" s="5"/>
      <c r="F130" s="5"/>
      <c r="G130" s="23" t="s">
        <v>390</v>
      </c>
      <c r="H130" s="14"/>
      <c r="I130" s="27"/>
      <c r="J130" s="5"/>
      <c r="K130" s="5"/>
      <c r="L130" s="23" t="s">
        <v>390</v>
      </c>
      <c r="M130" s="14"/>
      <c r="N130" s="27"/>
      <c r="O130" s="5"/>
      <c r="P130" s="5"/>
      <c r="Q130" s="23" t="s">
        <v>390</v>
      </c>
      <c r="S130" s="24"/>
      <c r="T130" s="26" t="str">
        <f t="shared" si="6"/>
        <v xml:space="preserve">               </v>
      </c>
      <c r="U130" s="26" t="str">
        <f t="shared" si="7"/>
        <v xml:space="preserve">               </v>
      </c>
      <c r="V130" s="26" t="str">
        <f t="shared" si="8"/>
        <v xml:space="preserve">               </v>
      </c>
      <c r="W130" s="26" t="str">
        <f t="shared" si="9"/>
        <v xml:space="preserve">               </v>
      </c>
    </row>
    <row r="131" spans="2:23" x14ac:dyDescent="0.35">
      <c r="B131" s="25"/>
      <c r="C131" s="27"/>
      <c r="D131" s="5"/>
      <c r="E131" s="5"/>
      <c r="F131" s="5"/>
      <c r="G131" s="23" t="s">
        <v>390</v>
      </c>
      <c r="H131" s="14"/>
      <c r="I131" s="27"/>
      <c r="J131" s="5"/>
      <c r="K131" s="5"/>
      <c r="L131" s="23" t="s">
        <v>390</v>
      </c>
      <c r="M131" s="14"/>
      <c r="N131" s="27"/>
      <c r="O131" s="5"/>
      <c r="P131" s="5"/>
      <c r="Q131" s="23" t="s">
        <v>390</v>
      </c>
      <c r="S131" s="24"/>
      <c r="T131" s="26" t="str">
        <f t="shared" si="6"/>
        <v xml:space="preserve">               </v>
      </c>
      <c r="U131" s="26" t="str">
        <f t="shared" si="7"/>
        <v xml:space="preserve">               </v>
      </c>
      <c r="V131" s="26" t="str">
        <f t="shared" si="8"/>
        <v xml:space="preserve">               </v>
      </c>
      <c r="W131" s="26" t="str">
        <f t="shared" si="9"/>
        <v xml:space="preserve">               </v>
      </c>
    </row>
    <row r="132" spans="2:23" x14ac:dyDescent="0.35">
      <c r="B132" s="25"/>
      <c r="C132" s="27"/>
      <c r="D132" s="5"/>
      <c r="E132" s="5"/>
      <c r="F132" s="5"/>
      <c r="G132" s="23" t="s">
        <v>390</v>
      </c>
      <c r="H132" s="14"/>
      <c r="I132" s="27"/>
      <c r="J132" s="5"/>
      <c r="K132" s="5"/>
      <c r="L132" s="23" t="s">
        <v>390</v>
      </c>
      <c r="M132" s="14"/>
      <c r="N132" s="27"/>
      <c r="O132" s="5"/>
      <c r="P132" s="5"/>
      <c r="Q132" s="23" t="s">
        <v>390</v>
      </c>
      <c r="S132" s="24"/>
      <c r="T132" s="26" t="str">
        <f t="shared" si="6"/>
        <v xml:space="preserve">               </v>
      </c>
      <c r="U132" s="26" t="str">
        <f t="shared" si="7"/>
        <v xml:space="preserve">               </v>
      </c>
      <c r="V132" s="26" t="str">
        <f t="shared" si="8"/>
        <v xml:space="preserve">               </v>
      </c>
      <c r="W132" s="26" t="str">
        <f t="shared" si="9"/>
        <v xml:space="preserve">               </v>
      </c>
    </row>
    <row r="133" spans="2:23" x14ac:dyDescent="0.35">
      <c r="B133" s="25"/>
      <c r="C133" s="27"/>
      <c r="D133" s="5"/>
      <c r="E133" s="5"/>
      <c r="F133" s="5"/>
      <c r="G133" s="23" t="s">
        <v>390</v>
      </c>
      <c r="H133" s="14"/>
      <c r="I133" s="27"/>
      <c r="J133" s="5"/>
      <c r="K133" s="5"/>
      <c r="L133" s="23" t="s">
        <v>390</v>
      </c>
      <c r="M133" s="14"/>
      <c r="N133" s="27"/>
      <c r="O133" s="5"/>
      <c r="P133" s="5"/>
      <c r="Q133" s="23" t="s">
        <v>390</v>
      </c>
      <c r="S133" s="24"/>
      <c r="T133" s="26" t="str">
        <f t="shared" si="6"/>
        <v xml:space="preserve">               </v>
      </c>
      <c r="U133" s="26" t="str">
        <f t="shared" si="7"/>
        <v xml:space="preserve">               </v>
      </c>
      <c r="V133" s="26" t="str">
        <f t="shared" si="8"/>
        <v xml:space="preserve">               </v>
      </c>
      <c r="W133" s="26" t="str">
        <f t="shared" si="9"/>
        <v xml:space="preserve">               </v>
      </c>
    </row>
    <row r="134" spans="2:23" x14ac:dyDescent="0.35">
      <c r="B134" s="25"/>
      <c r="C134" s="27"/>
      <c r="D134" s="5"/>
      <c r="E134" s="5"/>
      <c r="F134" s="5"/>
      <c r="G134" s="23" t="s">
        <v>390</v>
      </c>
      <c r="H134" s="14"/>
      <c r="I134" s="27"/>
      <c r="J134" s="5"/>
      <c r="K134" s="5"/>
      <c r="L134" s="23" t="s">
        <v>390</v>
      </c>
      <c r="M134" s="14"/>
      <c r="N134" s="27"/>
      <c r="O134" s="5"/>
      <c r="P134" s="5"/>
      <c r="Q134" s="23" t="s">
        <v>390</v>
      </c>
      <c r="S134" s="24"/>
      <c r="T134" s="26" t="str">
        <f t="shared" si="6"/>
        <v xml:space="preserve">               </v>
      </c>
      <c r="U134" s="26" t="str">
        <f t="shared" si="7"/>
        <v xml:space="preserve">               </v>
      </c>
      <c r="V134" s="26" t="str">
        <f t="shared" si="8"/>
        <v xml:space="preserve">               </v>
      </c>
      <c r="W134" s="26" t="str">
        <f t="shared" si="9"/>
        <v xml:space="preserve">               </v>
      </c>
    </row>
    <row r="135" spans="2:23" x14ac:dyDescent="0.35">
      <c r="B135" s="25"/>
      <c r="C135" s="27"/>
      <c r="D135" s="5"/>
      <c r="E135" s="5"/>
      <c r="F135" s="5"/>
      <c r="G135" s="23" t="s">
        <v>390</v>
      </c>
      <c r="H135" s="14"/>
      <c r="I135" s="27"/>
      <c r="J135" s="5"/>
      <c r="K135" s="5"/>
      <c r="L135" s="23" t="s">
        <v>390</v>
      </c>
      <c r="M135" s="14"/>
      <c r="N135" s="27"/>
      <c r="O135" s="5"/>
      <c r="P135" s="5"/>
      <c r="Q135" s="23" t="s">
        <v>390</v>
      </c>
      <c r="S135" s="24"/>
      <c r="T135" s="26" t="str">
        <f t="shared" si="6"/>
        <v xml:space="preserve">               </v>
      </c>
      <c r="U135" s="26" t="str">
        <f t="shared" si="7"/>
        <v xml:space="preserve">               </v>
      </c>
      <c r="V135" s="26" t="str">
        <f t="shared" si="8"/>
        <v xml:space="preserve">               </v>
      </c>
      <c r="W135" s="26" t="str">
        <f t="shared" si="9"/>
        <v xml:space="preserve">               </v>
      </c>
    </row>
    <row r="136" spans="2:23" x14ac:dyDescent="0.35">
      <c r="B136" s="25"/>
      <c r="C136" s="27"/>
      <c r="D136" s="5"/>
      <c r="E136" s="5"/>
      <c r="F136" s="5"/>
      <c r="G136" s="23" t="s">
        <v>390</v>
      </c>
      <c r="H136" s="14"/>
      <c r="I136" s="27"/>
      <c r="J136" s="5"/>
      <c r="K136" s="5"/>
      <c r="L136" s="23" t="s">
        <v>390</v>
      </c>
      <c r="M136" s="14"/>
      <c r="N136" s="27"/>
      <c r="O136" s="5"/>
      <c r="P136" s="5"/>
      <c r="Q136" s="23" t="s">
        <v>390</v>
      </c>
      <c r="S136" s="24"/>
      <c r="T136" s="26" t="str">
        <f t="shared" si="6"/>
        <v xml:space="preserve">               </v>
      </c>
      <c r="U136" s="26" t="str">
        <f t="shared" si="7"/>
        <v xml:space="preserve">               </v>
      </c>
      <c r="V136" s="26" t="str">
        <f t="shared" si="8"/>
        <v xml:space="preserve">               </v>
      </c>
      <c r="W136" s="26" t="str">
        <f t="shared" si="9"/>
        <v xml:space="preserve">               </v>
      </c>
    </row>
    <row r="137" spans="2:23" x14ac:dyDescent="0.35">
      <c r="B137" s="25"/>
      <c r="C137" s="27"/>
      <c r="D137" s="5"/>
      <c r="E137" s="5"/>
      <c r="F137" s="5"/>
      <c r="G137" s="23" t="s">
        <v>390</v>
      </c>
      <c r="H137" s="14"/>
      <c r="I137" s="27"/>
      <c r="J137" s="5"/>
      <c r="K137" s="5"/>
      <c r="L137" s="23" t="s">
        <v>390</v>
      </c>
      <c r="M137" s="14"/>
      <c r="N137" s="27"/>
      <c r="O137" s="5"/>
      <c r="P137" s="5"/>
      <c r="Q137" s="23" t="s">
        <v>390</v>
      </c>
      <c r="S137" s="24"/>
      <c r="T137" s="26" t="str">
        <f t="shared" si="6"/>
        <v xml:space="preserve">               </v>
      </c>
      <c r="U137" s="26" t="str">
        <f t="shared" si="7"/>
        <v xml:space="preserve">               </v>
      </c>
      <c r="V137" s="26" t="str">
        <f t="shared" si="8"/>
        <v xml:space="preserve">               </v>
      </c>
      <c r="W137" s="26" t="str">
        <f t="shared" si="9"/>
        <v xml:space="preserve">               </v>
      </c>
    </row>
    <row r="138" spans="2:23" x14ac:dyDescent="0.35">
      <c r="B138" s="25"/>
      <c r="C138" s="27"/>
      <c r="D138" s="5"/>
      <c r="E138" s="5"/>
      <c r="F138" s="5"/>
      <c r="G138" s="23" t="s">
        <v>390</v>
      </c>
      <c r="H138" s="14"/>
      <c r="I138" s="27"/>
      <c r="J138" s="5"/>
      <c r="K138" s="5"/>
      <c r="L138" s="23" t="s">
        <v>390</v>
      </c>
      <c r="M138" s="14"/>
      <c r="N138" s="27"/>
      <c r="O138" s="5"/>
      <c r="P138" s="5"/>
      <c r="Q138" s="23" t="s">
        <v>390</v>
      </c>
      <c r="S138" s="24"/>
      <c r="T138" s="26" t="str">
        <f t="shared" ref="T138:T158" si="10">IF(C138=1,E138,IF(C138=2,"   "&amp;E138,IF(C138=3,"      "&amp;E138,IF(C138=4,"         "&amp;E138,"               "&amp;E138))))</f>
        <v xml:space="preserve">               </v>
      </c>
      <c r="U138" s="26" t="str">
        <f t="shared" ref="U138:U158" si="11">IF(C138=1,F138,IF(C138=2,"   "&amp;F138,IF(C138=3,"      "&amp;F138,IF(C138=4,"         "&amp;F138,"               "&amp;F138))))</f>
        <v xml:space="preserve">               </v>
      </c>
      <c r="V138" s="26" t="str">
        <f t="shared" ref="V138:V158" si="12">IF(I138=1,K138,IF(I138=2,"   "&amp;K138,IF(I138=3,"      "&amp;K138,IF(I138=4,"         "&amp;K138,"               "&amp;K138))))</f>
        <v xml:space="preserve">               </v>
      </c>
      <c r="W138" s="26" t="str">
        <f t="shared" ref="W138:W158" si="13">IF(N138=1,P138,IF(N138=2,"   "&amp;P138,IF(N138=3,"      "&amp;P138,IF(N138=4,"         "&amp;P138,"               "&amp;P138))))</f>
        <v xml:space="preserve">               </v>
      </c>
    </row>
    <row r="139" spans="2:23" x14ac:dyDescent="0.35">
      <c r="B139" s="25"/>
      <c r="C139" s="27"/>
      <c r="D139" s="5"/>
      <c r="E139" s="5"/>
      <c r="F139" s="5"/>
      <c r="G139" s="23" t="s">
        <v>390</v>
      </c>
      <c r="H139" s="14"/>
      <c r="I139" s="27"/>
      <c r="J139" s="5"/>
      <c r="K139" s="5"/>
      <c r="L139" s="23" t="s">
        <v>390</v>
      </c>
      <c r="M139" s="14"/>
      <c r="N139" s="27"/>
      <c r="O139" s="5"/>
      <c r="P139" s="5"/>
      <c r="Q139" s="23" t="s">
        <v>390</v>
      </c>
      <c r="S139" s="24"/>
      <c r="T139" s="26" t="str">
        <f t="shared" si="10"/>
        <v xml:space="preserve">               </v>
      </c>
      <c r="U139" s="26" t="str">
        <f t="shared" si="11"/>
        <v xml:space="preserve">               </v>
      </c>
      <c r="V139" s="26" t="str">
        <f t="shared" si="12"/>
        <v xml:space="preserve">               </v>
      </c>
      <c r="W139" s="26" t="str">
        <f t="shared" si="13"/>
        <v xml:space="preserve">               </v>
      </c>
    </row>
    <row r="140" spans="2:23" x14ac:dyDescent="0.35">
      <c r="B140" s="25"/>
      <c r="C140" s="27"/>
      <c r="D140" s="5"/>
      <c r="E140" s="5"/>
      <c r="F140" s="5"/>
      <c r="G140" s="23" t="s">
        <v>390</v>
      </c>
      <c r="H140" s="14"/>
      <c r="I140" s="27"/>
      <c r="J140" s="5"/>
      <c r="K140" s="5"/>
      <c r="L140" s="23" t="s">
        <v>390</v>
      </c>
      <c r="M140" s="14"/>
      <c r="N140" s="27"/>
      <c r="O140" s="5"/>
      <c r="P140" s="5"/>
      <c r="Q140" s="23" t="s">
        <v>390</v>
      </c>
      <c r="S140" s="24"/>
      <c r="T140" s="26" t="str">
        <f t="shared" si="10"/>
        <v xml:space="preserve">               </v>
      </c>
      <c r="U140" s="26" t="str">
        <f t="shared" si="11"/>
        <v xml:space="preserve">               </v>
      </c>
      <c r="V140" s="26" t="str">
        <f t="shared" si="12"/>
        <v xml:space="preserve">               </v>
      </c>
      <c r="W140" s="26" t="str">
        <f t="shared" si="13"/>
        <v xml:space="preserve">               </v>
      </c>
    </row>
    <row r="141" spans="2:23" x14ac:dyDescent="0.35">
      <c r="B141" s="25"/>
      <c r="C141" s="27"/>
      <c r="D141" s="5"/>
      <c r="E141" s="5"/>
      <c r="F141" s="5"/>
      <c r="G141" s="23" t="s">
        <v>390</v>
      </c>
      <c r="H141" s="14"/>
      <c r="I141" s="27"/>
      <c r="J141" s="5"/>
      <c r="K141" s="5"/>
      <c r="L141" s="23" t="s">
        <v>390</v>
      </c>
      <c r="M141" s="14"/>
      <c r="N141" s="27"/>
      <c r="O141" s="5"/>
      <c r="P141" s="5"/>
      <c r="Q141" s="23" t="s">
        <v>390</v>
      </c>
      <c r="S141" s="24"/>
      <c r="T141" s="26" t="str">
        <f t="shared" si="10"/>
        <v xml:space="preserve">               </v>
      </c>
      <c r="U141" s="26" t="str">
        <f t="shared" si="11"/>
        <v xml:space="preserve">               </v>
      </c>
      <c r="V141" s="26" t="str">
        <f t="shared" si="12"/>
        <v xml:space="preserve">               </v>
      </c>
      <c r="W141" s="26" t="str">
        <f t="shared" si="13"/>
        <v xml:space="preserve">               </v>
      </c>
    </row>
    <row r="142" spans="2:23" x14ac:dyDescent="0.35">
      <c r="B142" s="25"/>
      <c r="C142" s="27"/>
      <c r="D142" s="5"/>
      <c r="E142" s="5"/>
      <c r="F142" s="5"/>
      <c r="G142" s="23" t="s">
        <v>390</v>
      </c>
      <c r="H142" s="14"/>
      <c r="I142" s="27"/>
      <c r="J142" s="5"/>
      <c r="K142" s="5"/>
      <c r="L142" s="23" t="s">
        <v>390</v>
      </c>
      <c r="M142" s="14"/>
      <c r="N142" s="27"/>
      <c r="O142" s="5"/>
      <c r="P142" s="5"/>
      <c r="Q142" s="23" t="s">
        <v>390</v>
      </c>
      <c r="S142" s="24"/>
      <c r="T142" s="26" t="str">
        <f t="shared" si="10"/>
        <v xml:space="preserve">               </v>
      </c>
      <c r="U142" s="26" t="str">
        <f t="shared" si="11"/>
        <v xml:space="preserve">               </v>
      </c>
      <c r="V142" s="26" t="str">
        <f t="shared" si="12"/>
        <v xml:space="preserve">               </v>
      </c>
      <c r="W142" s="26" t="str">
        <f t="shared" si="13"/>
        <v xml:space="preserve">               </v>
      </c>
    </row>
    <row r="143" spans="2:23" x14ac:dyDescent="0.35">
      <c r="B143" s="25"/>
      <c r="C143" s="27"/>
      <c r="D143" s="5"/>
      <c r="E143" s="5"/>
      <c r="F143" s="5"/>
      <c r="G143" s="23" t="s">
        <v>390</v>
      </c>
      <c r="H143" s="14"/>
      <c r="I143" s="27"/>
      <c r="J143" s="5"/>
      <c r="K143" s="5"/>
      <c r="L143" s="23" t="s">
        <v>390</v>
      </c>
      <c r="M143" s="14"/>
      <c r="N143" s="27"/>
      <c r="O143" s="5"/>
      <c r="P143" s="5"/>
      <c r="Q143" s="23" t="s">
        <v>390</v>
      </c>
      <c r="S143" s="24"/>
      <c r="T143" s="26" t="str">
        <f t="shared" si="10"/>
        <v xml:space="preserve">               </v>
      </c>
      <c r="U143" s="26" t="str">
        <f t="shared" si="11"/>
        <v xml:space="preserve">               </v>
      </c>
      <c r="V143" s="26" t="str">
        <f t="shared" si="12"/>
        <v xml:space="preserve">               </v>
      </c>
      <c r="W143" s="26" t="str">
        <f t="shared" si="13"/>
        <v xml:space="preserve">               </v>
      </c>
    </row>
    <row r="144" spans="2:23" x14ac:dyDescent="0.35">
      <c r="B144" s="25"/>
      <c r="C144" s="27"/>
      <c r="D144" s="5"/>
      <c r="E144" s="5"/>
      <c r="F144" s="5"/>
      <c r="G144" s="23" t="s">
        <v>390</v>
      </c>
      <c r="H144" s="14"/>
      <c r="I144" s="27"/>
      <c r="J144" s="5"/>
      <c r="K144" s="5"/>
      <c r="L144" s="23" t="s">
        <v>390</v>
      </c>
      <c r="M144" s="14"/>
      <c r="N144" s="27"/>
      <c r="O144" s="5"/>
      <c r="P144" s="5"/>
      <c r="Q144" s="23" t="s">
        <v>390</v>
      </c>
      <c r="S144" s="24"/>
      <c r="T144" s="26" t="str">
        <f t="shared" si="10"/>
        <v xml:space="preserve">               </v>
      </c>
      <c r="U144" s="26" t="str">
        <f t="shared" si="11"/>
        <v xml:space="preserve">               </v>
      </c>
      <c r="V144" s="26" t="str">
        <f t="shared" si="12"/>
        <v xml:space="preserve">               </v>
      </c>
      <c r="W144" s="26" t="str">
        <f t="shared" si="13"/>
        <v xml:space="preserve">               </v>
      </c>
    </row>
    <row r="145" spans="2:23" x14ac:dyDescent="0.35">
      <c r="B145" s="25"/>
      <c r="C145" s="27"/>
      <c r="D145" s="5"/>
      <c r="E145" s="5"/>
      <c r="F145" s="5"/>
      <c r="G145" s="23" t="s">
        <v>390</v>
      </c>
      <c r="H145" s="14"/>
      <c r="I145" s="27"/>
      <c r="J145" s="5"/>
      <c r="K145" s="5"/>
      <c r="L145" s="23" t="s">
        <v>390</v>
      </c>
      <c r="M145" s="14"/>
      <c r="N145" s="27"/>
      <c r="O145" s="5"/>
      <c r="P145" s="5"/>
      <c r="Q145" s="23" t="s">
        <v>390</v>
      </c>
      <c r="S145" s="24"/>
      <c r="T145" s="26" t="str">
        <f t="shared" si="10"/>
        <v xml:space="preserve">               </v>
      </c>
      <c r="U145" s="26" t="str">
        <f t="shared" si="11"/>
        <v xml:space="preserve">               </v>
      </c>
      <c r="V145" s="26" t="str">
        <f t="shared" si="12"/>
        <v xml:space="preserve">               </v>
      </c>
      <c r="W145" s="26" t="str">
        <f t="shared" si="13"/>
        <v xml:space="preserve">               </v>
      </c>
    </row>
    <row r="146" spans="2:23" x14ac:dyDescent="0.35">
      <c r="B146" s="25"/>
      <c r="C146" s="27"/>
      <c r="D146" s="5"/>
      <c r="E146" s="5"/>
      <c r="F146" s="5"/>
      <c r="G146" s="23" t="s">
        <v>390</v>
      </c>
      <c r="H146" s="14"/>
      <c r="I146" s="27"/>
      <c r="J146" s="5"/>
      <c r="K146" s="5"/>
      <c r="L146" s="23" t="s">
        <v>390</v>
      </c>
      <c r="M146" s="14"/>
      <c r="N146" s="27"/>
      <c r="O146" s="5"/>
      <c r="P146" s="5"/>
      <c r="Q146" s="23" t="s">
        <v>390</v>
      </c>
      <c r="S146" s="24"/>
      <c r="T146" s="26" t="str">
        <f t="shared" si="10"/>
        <v xml:space="preserve">               </v>
      </c>
      <c r="U146" s="26" t="str">
        <f t="shared" si="11"/>
        <v xml:space="preserve">               </v>
      </c>
      <c r="V146" s="26" t="str">
        <f t="shared" si="12"/>
        <v xml:space="preserve">               </v>
      </c>
      <c r="W146" s="26" t="str">
        <f t="shared" si="13"/>
        <v xml:space="preserve">               </v>
      </c>
    </row>
    <row r="147" spans="2:23" x14ac:dyDescent="0.35">
      <c r="B147" s="25"/>
      <c r="C147" s="27"/>
      <c r="D147" s="5"/>
      <c r="E147" s="5"/>
      <c r="F147" s="5"/>
      <c r="G147" s="23" t="s">
        <v>390</v>
      </c>
      <c r="H147" s="14"/>
      <c r="I147" s="27"/>
      <c r="J147" s="5"/>
      <c r="K147" s="5"/>
      <c r="L147" s="23" t="s">
        <v>390</v>
      </c>
      <c r="M147" s="14"/>
      <c r="N147" s="27"/>
      <c r="O147" s="5"/>
      <c r="P147" s="5"/>
      <c r="Q147" s="23" t="s">
        <v>390</v>
      </c>
      <c r="S147" s="24"/>
      <c r="T147" s="26" t="str">
        <f t="shared" si="10"/>
        <v xml:space="preserve">               </v>
      </c>
      <c r="U147" s="26" t="str">
        <f t="shared" si="11"/>
        <v xml:space="preserve">               </v>
      </c>
      <c r="V147" s="26" t="str">
        <f t="shared" si="12"/>
        <v xml:space="preserve">               </v>
      </c>
      <c r="W147" s="26" t="str">
        <f t="shared" si="13"/>
        <v xml:space="preserve">               </v>
      </c>
    </row>
    <row r="148" spans="2:23" x14ac:dyDescent="0.35">
      <c r="B148" s="25"/>
      <c r="C148" s="27"/>
      <c r="D148" s="5"/>
      <c r="E148" s="5"/>
      <c r="F148" s="5"/>
      <c r="G148" s="23" t="s">
        <v>390</v>
      </c>
      <c r="H148" s="14"/>
      <c r="I148" s="27"/>
      <c r="J148" s="5"/>
      <c r="K148" s="5"/>
      <c r="L148" s="23" t="s">
        <v>390</v>
      </c>
      <c r="M148" s="14"/>
      <c r="N148" s="27"/>
      <c r="O148" s="5"/>
      <c r="P148" s="5"/>
      <c r="Q148" s="23" t="s">
        <v>390</v>
      </c>
      <c r="S148" s="24"/>
      <c r="T148" s="26" t="str">
        <f t="shared" si="10"/>
        <v xml:space="preserve">               </v>
      </c>
      <c r="U148" s="26" t="str">
        <f t="shared" si="11"/>
        <v xml:space="preserve">               </v>
      </c>
      <c r="V148" s="26" t="str">
        <f t="shared" si="12"/>
        <v xml:space="preserve">               </v>
      </c>
      <c r="W148" s="26" t="str">
        <f t="shared" si="13"/>
        <v xml:space="preserve">               </v>
      </c>
    </row>
    <row r="149" spans="2:23" x14ac:dyDescent="0.35">
      <c r="B149" s="25"/>
      <c r="C149" s="27"/>
      <c r="D149" s="5"/>
      <c r="E149" s="5"/>
      <c r="F149" s="5"/>
      <c r="G149" s="23" t="s">
        <v>390</v>
      </c>
      <c r="H149" s="14"/>
      <c r="I149" s="27"/>
      <c r="J149" s="5"/>
      <c r="K149" s="5"/>
      <c r="L149" s="23" t="s">
        <v>390</v>
      </c>
      <c r="M149" s="14"/>
      <c r="N149" s="27"/>
      <c r="O149" s="5"/>
      <c r="P149" s="5"/>
      <c r="Q149" s="23" t="s">
        <v>390</v>
      </c>
      <c r="S149" s="24"/>
      <c r="T149" s="26" t="str">
        <f t="shared" si="10"/>
        <v xml:space="preserve">               </v>
      </c>
      <c r="U149" s="26" t="str">
        <f t="shared" si="11"/>
        <v xml:space="preserve">               </v>
      </c>
      <c r="V149" s="26" t="str">
        <f t="shared" si="12"/>
        <v xml:space="preserve">               </v>
      </c>
      <c r="W149" s="26" t="str">
        <f t="shared" si="13"/>
        <v xml:space="preserve">               </v>
      </c>
    </row>
    <row r="150" spans="2:23" x14ac:dyDescent="0.35">
      <c r="B150" s="25"/>
      <c r="C150" s="27"/>
      <c r="D150" s="5"/>
      <c r="E150" s="5"/>
      <c r="F150" s="5"/>
      <c r="G150" s="23" t="s">
        <v>390</v>
      </c>
      <c r="H150" s="14"/>
      <c r="I150" s="27"/>
      <c r="J150" s="5"/>
      <c r="K150" s="5"/>
      <c r="L150" s="23" t="s">
        <v>390</v>
      </c>
      <c r="M150" s="14"/>
      <c r="N150" s="27"/>
      <c r="O150" s="5"/>
      <c r="P150" s="5"/>
      <c r="Q150" s="23" t="s">
        <v>390</v>
      </c>
      <c r="S150" s="24"/>
      <c r="T150" s="26" t="str">
        <f t="shared" si="10"/>
        <v xml:space="preserve">               </v>
      </c>
      <c r="U150" s="26" t="str">
        <f t="shared" si="11"/>
        <v xml:space="preserve">               </v>
      </c>
      <c r="V150" s="26" t="str">
        <f t="shared" si="12"/>
        <v xml:space="preserve">               </v>
      </c>
      <c r="W150" s="26" t="str">
        <f t="shared" si="13"/>
        <v xml:space="preserve">               </v>
      </c>
    </row>
    <row r="151" spans="2:23" x14ac:dyDescent="0.35">
      <c r="B151" s="25"/>
      <c r="C151" s="27"/>
      <c r="D151" s="5"/>
      <c r="E151" s="5"/>
      <c r="F151" s="5"/>
      <c r="G151" s="23" t="s">
        <v>390</v>
      </c>
      <c r="H151" s="14"/>
      <c r="I151" s="27"/>
      <c r="J151" s="5"/>
      <c r="K151" s="5"/>
      <c r="L151" s="23" t="s">
        <v>390</v>
      </c>
      <c r="M151" s="14"/>
      <c r="N151" s="27"/>
      <c r="O151" s="5"/>
      <c r="P151" s="5"/>
      <c r="Q151" s="23" t="s">
        <v>390</v>
      </c>
      <c r="S151" s="24"/>
      <c r="T151" s="26" t="str">
        <f t="shared" si="10"/>
        <v xml:space="preserve">               </v>
      </c>
      <c r="U151" s="26" t="str">
        <f t="shared" si="11"/>
        <v xml:space="preserve">               </v>
      </c>
      <c r="V151" s="26" t="str">
        <f t="shared" si="12"/>
        <v xml:space="preserve">               </v>
      </c>
      <c r="W151" s="26" t="str">
        <f t="shared" si="13"/>
        <v xml:space="preserve">               </v>
      </c>
    </row>
    <row r="152" spans="2:23" x14ac:dyDescent="0.35">
      <c r="B152" s="25"/>
      <c r="C152" s="27"/>
      <c r="D152" s="5"/>
      <c r="E152" s="5"/>
      <c r="F152" s="5"/>
      <c r="G152" s="23" t="s">
        <v>390</v>
      </c>
      <c r="H152" s="14"/>
      <c r="I152" s="27"/>
      <c r="J152" s="5"/>
      <c r="K152" s="5"/>
      <c r="L152" s="23" t="s">
        <v>390</v>
      </c>
      <c r="M152" s="14"/>
      <c r="N152" s="27"/>
      <c r="O152" s="5"/>
      <c r="P152" s="5"/>
      <c r="Q152" s="23" t="s">
        <v>390</v>
      </c>
      <c r="S152" s="24"/>
      <c r="T152" s="26" t="str">
        <f t="shared" si="10"/>
        <v xml:space="preserve">               </v>
      </c>
      <c r="U152" s="26" t="str">
        <f t="shared" si="11"/>
        <v xml:space="preserve">               </v>
      </c>
      <c r="V152" s="26" t="str">
        <f t="shared" si="12"/>
        <v xml:space="preserve">               </v>
      </c>
      <c r="W152" s="26" t="str">
        <f t="shared" si="13"/>
        <v xml:space="preserve">               </v>
      </c>
    </row>
    <row r="153" spans="2:23" x14ac:dyDescent="0.35">
      <c r="B153" s="25"/>
      <c r="C153" s="27"/>
      <c r="D153" s="5"/>
      <c r="E153" s="5"/>
      <c r="F153" s="5"/>
      <c r="G153" s="23" t="s">
        <v>390</v>
      </c>
      <c r="H153" s="14"/>
      <c r="I153" s="27"/>
      <c r="J153" s="5"/>
      <c r="K153" s="5"/>
      <c r="L153" s="23" t="s">
        <v>390</v>
      </c>
      <c r="M153" s="14"/>
      <c r="N153" s="27"/>
      <c r="O153" s="5"/>
      <c r="P153" s="5"/>
      <c r="Q153" s="23" t="s">
        <v>390</v>
      </c>
      <c r="S153" s="24"/>
      <c r="T153" s="26" t="str">
        <f t="shared" si="10"/>
        <v xml:space="preserve">               </v>
      </c>
      <c r="U153" s="26" t="str">
        <f t="shared" si="11"/>
        <v xml:space="preserve">               </v>
      </c>
      <c r="V153" s="26" t="str">
        <f t="shared" si="12"/>
        <v xml:space="preserve">               </v>
      </c>
      <c r="W153" s="26" t="str">
        <f t="shared" si="13"/>
        <v xml:space="preserve">               </v>
      </c>
    </row>
    <row r="154" spans="2:23" x14ac:dyDescent="0.35">
      <c r="B154" s="25"/>
      <c r="C154" s="27"/>
      <c r="D154" s="5"/>
      <c r="E154" s="5"/>
      <c r="F154" s="5"/>
      <c r="G154" s="23" t="s">
        <v>390</v>
      </c>
      <c r="H154" s="14"/>
      <c r="I154" s="27"/>
      <c r="J154" s="5"/>
      <c r="K154" s="5"/>
      <c r="L154" s="23" t="s">
        <v>390</v>
      </c>
      <c r="M154" s="14"/>
      <c r="N154" s="27"/>
      <c r="O154" s="5"/>
      <c r="P154" s="5"/>
      <c r="Q154" s="23" t="s">
        <v>390</v>
      </c>
      <c r="S154" s="24"/>
      <c r="T154" s="26" t="str">
        <f t="shared" si="10"/>
        <v xml:space="preserve">               </v>
      </c>
      <c r="U154" s="26" t="str">
        <f t="shared" si="11"/>
        <v xml:space="preserve">               </v>
      </c>
      <c r="V154" s="26" t="str">
        <f t="shared" si="12"/>
        <v xml:space="preserve">               </v>
      </c>
      <c r="W154" s="26" t="str">
        <f t="shared" si="13"/>
        <v xml:space="preserve">               </v>
      </c>
    </row>
    <row r="155" spans="2:23" x14ac:dyDescent="0.35">
      <c r="B155" s="25"/>
      <c r="C155" s="27"/>
      <c r="D155" s="5"/>
      <c r="E155" s="5"/>
      <c r="F155" s="5"/>
      <c r="G155" s="23" t="s">
        <v>390</v>
      </c>
      <c r="H155" s="14"/>
      <c r="I155" s="27"/>
      <c r="J155" s="5"/>
      <c r="K155" s="5"/>
      <c r="L155" s="23" t="s">
        <v>390</v>
      </c>
      <c r="M155" s="14"/>
      <c r="N155" s="27"/>
      <c r="O155" s="5"/>
      <c r="P155" s="5"/>
      <c r="Q155" s="23" t="s">
        <v>390</v>
      </c>
      <c r="S155" s="24"/>
      <c r="T155" s="26" t="str">
        <f t="shared" si="10"/>
        <v xml:space="preserve">               </v>
      </c>
      <c r="U155" s="26" t="str">
        <f t="shared" si="11"/>
        <v xml:space="preserve">               </v>
      </c>
      <c r="V155" s="26" t="str">
        <f t="shared" si="12"/>
        <v xml:space="preserve">               </v>
      </c>
      <c r="W155" s="26" t="str">
        <f t="shared" si="13"/>
        <v xml:space="preserve">               </v>
      </c>
    </row>
    <row r="156" spans="2:23" x14ac:dyDescent="0.35">
      <c r="B156" s="25"/>
      <c r="C156" s="27"/>
      <c r="D156" s="5"/>
      <c r="E156" s="5"/>
      <c r="F156" s="5"/>
      <c r="G156" s="23" t="s">
        <v>390</v>
      </c>
      <c r="H156" s="14"/>
      <c r="I156" s="27"/>
      <c r="J156" s="5"/>
      <c r="K156" s="5"/>
      <c r="L156" s="23" t="s">
        <v>390</v>
      </c>
      <c r="M156" s="14"/>
      <c r="N156" s="27"/>
      <c r="O156" s="5"/>
      <c r="P156" s="5"/>
      <c r="Q156" s="23" t="s">
        <v>390</v>
      </c>
      <c r="S156" s="24"/>
      <c r="T156" s="26" t="str">
        <f t="shared" si="10"/>
        <v xml:space="preserve">               </v>
      </c>
      <c r="U156" s="26" t="str">
        <f t="shared" si="11"/>
        <v xml:space="preserve">               </v>
      </c>
      <c r="V156" s="26" t="str">
        <f t="shared" si="12"/>
        <v xml:space="preserve">               </v>
      </c>
      <c r="W156" s="26" t="str">
        <f t="shared" si="13"/>
        <v xml:space="preserve">               </v>
      </c>
    </row>
    <row r="157" spans="2:23" x14ac:dyDescent="0.35">
      <c r="B157" s="25"/>
      <c r="C157" s="27"/>
      <c r="D157" s="5"/>
      <c r="E157" s="5"/>
      <c r="F157" s="5"/>
      <c r="G157" s="23" t="s">
        <v>390</v>
      </c>
      <c r="H157" s="14"/>
      <c r="I157" s="27"/>
      <c r="J157" s="5"/>
      <c r="K157" s="5"/>
      <c r="L157" s="23" t="s">
        <v>390</v>
      </c>
      <c r="M157" s="14"/>
      <c r="N157" s="27"/>
      <c r="O157" s="5"/>
      <c r="P157" s="5"/>
      <c r="Q157" s="23" t="s">
        <v>390</v>
      </c>
      <c r="S157" s="24"/>
      <c r="T157" s="26" t="str">
        <f t="shared" si="10"/>
        <v xml:space="preserve">               </v>
      </c>
      <c r="U157" s="26" t="str">
        <f t="shared" si="11"/>
        <v xml:space="preserve">               </v>
      </c>
      <c r="V157" s="26" t="str">
        <f t="shared" si="12"/>
        <v xml:space="preserve">               </v>
      </c>
      <c r="W157" s="26" t="str">
        <f t="shared" si="13"/>
        <v xml:space="preserve">               </v>
      </c>
    </row>
    <row r="158" spans="2:23" x14ac:dyDescent="0.35">
      <c r="B158" s="25"/>
      <c r="C158" s="28"/>
      <c r="D158" s="28"/>
      <c r="E158" s="28"/>
      <c r="F158" s="28"/>
      <c r="G158" s="23" t="s">
        <v>390</v>
      </c>
      <c r="H158" s="14"/>
      <c r="I158" s="28"/>
      <c r="J158" s="28"/>
      <c r="K158" s="28"/>
      <c r="L158" s="23" t="s">
        <v>390</v>
      </c>
      <c r="M158" s="14"/>
      <c r="N158" s="28"/>
      <c r="O158" s="28"/>
      <c r="P158" s="28"/>
      <c r="Q158" s="23" t="s">
        <v>390</v>
      </c>
      <c r="S158" s="24"/>
      <c r="T158" s="26" t="str">
        <f t="shared" si="10"/>
        <v xml:space="preserve">               </v>
      </c>
      <c r="U158" s="26" t="str">
        <f t="shared" si="11"/>
        <v xml:space="preserve">               </v>
      </c>
      <c r="V158" s="26" t="str">
        <f t="shared" si="12"/>
        <v xml:space="preserve">               </v>
      </c>
      <c r="W158" s="26" t="str">
        <f t="shared" si="13"/>
        <v xml:space="preserve">               </v>
      </c>
    </row>
    <row r="159" spans="2:23" x14ac:dyDescent="0.35"/>
  </sheetData>
  <sheetProtection sheet="1" objects="1" scenarios="1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7C3A-B176-412F-8CCB-90B589088D3A}">
  <sheetPr>
    <tabColor rgb="FFC00000"/>
  </sheetPr>
  <dimension ref="A1:BP160"/>
  <sheetViews>
    <sheetView tabSelected="1" zoomScale="85" zoomScaleNormal="85" workbookViewId="0">
      <pane ySplit="9" topLeftCell="A10" activePane="bottomLeft" state="frozen"/>
      <selection activeCell="K75" sqref="K75"/>
      <selection pane="bottomLeft" activeCell="J16" sqref="J16"/>
    </sheetView>
  </sheetViews>
  <sheetFormatPr defaultColWidth="0" defaultRowHeight="14.5" zeroHeight="1" x14ac:dyDescent="0.35"/>
  <cols>
    <col min="1" max="2" width="2.453125" customWidth="1"/>
    <col min="3" max="3" width="28.90625" customWidth="1"/>
    <col min="4" max="4" width="9.08984375" hidden="1" customWidth="1"/>
    <col min="5" max="21" width="9.08984375" customWidth="1"/>
    <col min="22" max="23" width="2.453125" customWidth="1"/>
    <col min="24" max="24" width="28.90625" customWidth="1"/>
    <col min="25" max="25" width="9.08984375" hidden="1" customWidth="1"/>
    <col min="26" max="40" width="9.08984375" customWidth="1"/>
    <col min="41" max="41" width="2.453125" customWidth="1"/>
    <col min="42" max="43" width="9.08984375" hidden="1" customWidth="1"/>
    <col min="44" max="68" width="0" hidden="1" customWidth="1"/>
    <col min="69" max="16384" width="9.08984375" hidden="1"/>
  </cols>
  <sheetData>
    <row r="1" spans="1:43" ht="18.5" x14ac:dyDescent="0.45">
      <c r="A1" s="9" t="s">
        <v>102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7" t="s">
        <v>70</v>
      </c>
      <c r="M1" s="8" t="str">
        <f>C5</f>
        <v>Economic structure</v>
      </c>
    </row>
    <row r="2" spans="1:43" x14ac:dyDescent="0.35">
      <c r="L2" s="8"/>
      <c r="M2" s="8" t="str">
        <f>X5</f>
        <v>Indirect taxes</v>
      </c>
    </row>
    <row r="3" spans="1:43" x14ac:dyDescent="0.35">
      <c r="L3" s="8"/>
      <c r="M3" s="8"/>
    </row>
    <row r="4" spans="1:43" x14ac:dyDescent="0.35"/>
    <row r="5" spans="1:43" ht="15.5" x14ac:dyDescent="0.35">
      <c r="B5" s="13"/>
      <c r="C5" s="11" t="s">
        <v>270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W5" s="13"/>
      <c r="X5" s="11" t="s">
        <v>271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3" x14ac:dyDescent="0.35">
      <c r="B6" s="29"/>
      <c r="C6" s="35"/>
      <c r="D6" s="36"/>
      <c r="E6" s="109" t="s">
        <v>226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10" t="s">
        <v>245</v>
      </c>
      <c r="Q6" s="108"/>
      <c r="R6" s="108"/>
      <c r="S6" s="110" t="s">
        <v>449</v>
      </c>
      <c r="T6" s="108"/>
      <c r="U6" s="108"/>
      <c r="W6" s="29"/>
      <c r="X6" s="35"/>
      <c r="Y6" s="36"/>
      <c r="Z6" s="109" t="s">
        <v>265</v>
      </c>
      <c r="AA6" s="108"/>
      <c r="AB6" s="108"/>
      <c r="AC6" s="107" t="s">
        <v>266</v>
      </c>
      <c r="AD6" s="108"/>
      <c r="AE6" s="108"/>
      <c r="AF6" s="107" t="s">
        <v>267</v>
      </c>
      <c r="AG6" s="108"/>
      <c r="AH6" s="108"/>
      <c r="AI6" s="107" t="s">
        <v>268</v>
      </c>
      <c r="AJ6" s="108"/>
      <c r="AK6" s="108"/>
      <c r="AL6" s="107" t="s">
        <v>269</v>
      </c>
      <c r="AM6" s="108"/>
      <c r="AN6" s="108"/>
    </row>
    <row r="7" spans="1:43" x14ac:dyDescent="0.35">
      <c r="B7" s="29"/>
      <c r="C7" s="35"/>
      <c r="D7" s="36"/>
      <c r="E7" s="74" t="s">
        <v>227</v>
      </c>
      <c r="F7" s="73" t="s">
        <v>229</v>
      </c>
      <c r="G7" s="73" t="s">
        <v>231</v>
      </c>
      <c r="H7" s="73" t="s">
        <v>233</v>
      </c>
      <c r="I7" s="111" t="s">
        <v>235</v>
      </c>
      <c r="J7" s="112"/>
      <c r="K7" s="113"/>
      <c r="L7" s="73" t="s">
        <v>239</v>
      </c>
      <c r="M7" s="73" t="s">
        <v>242</v>
      </c>
      <c r="N7" s="73" t="s">
        <v>244</v>
      </c>
      <c r="O7" s="73" t="s">
        <v>243</v>
      </c>
      <c r="P7" s="74" t="s">
        <v>246</v>
      </c>
      <c r="Q7" s="73" t="s">
        <v>186</v>
      </c>
      <c r="R7" s="73" t="s">
        <v>187</v>
      </c>
      <c r="S7" s="74" t="s">
        <v>186</v>
      </c>
      <c r="T7" s="73" t="s">
        <v>187</v>
      </c>
      <c r="U7" s="73" t="s">
        <v>450</v>
      </c>
      <c r="W7" s="29"/>
      <c r="X7" s="35"/>
      <c r="Y7" s="36"/>
      <c r="Z7" s="74" t="s">
        <v>273</v>
      </c>
      <c r="AA7" s="73" t="s">
        <v>275</v>
      </c>
      <c r="AB7" s="75" t="s">
        <v>277</v>
      </c>
      <c r="AC7" s="74" t="s">
        <v>273</v>
      </c>
      <c r="AD7" s="73" t="s">
        <v>275</v>
      </c>
      <c r="AE7" s="75" t="s">
        <v>277</v>
      </c>
      <c r="AF7" s="74" t="s">
        <v>273</v>
      </c>
      <c r="AG7" s="73" t="s">
        <v>275</v>
      </c>
      <c r="AH7" s="75" t="s">
        <v>277</v>
      </c>
      <c r="AI7" s="74" t="s">
        <v>273</v>
      </c>
      <c r="AJ7" s="73" t="s">
        <v>275</v>
      </c>
      <c r="AK7" s="75" t="s">
        <v>277</v>
      </c>
      <c r="AL7" s="73" t="s">
        <v>273</v>
      </c>
      <c r="AM7" s="73" t="s">
        <v>275</v>
      </c>
      <c r="AN7" s="73" t="s">
        <v>277</v>
      </c>
    </row>
    <row r="8" spans="1:43" x14ac:dyDescent="0.35">
      <c r="B8" s="29"/>
      <c r="C8" s="35"/>
      <c r="D8" s="36"/>
      <c r="E8" s="74" t="s">
        <v>228</v>
      </c>
      <c r="F8" s="73" t="s">
        <v>230</v>
      </c>
      <c r="G8" s="73" t="s">
        <v>232</v>
      </c>
      <c r="H8" s="73" t="s">
        <v>234</v>
      </c>
      <c r="I8" s="74" t="s">
        <v>236</v>
      </c>
      <c r="J8" s="73" t="s">
        <v>237</v>
      </c>
      <c r="K8" s="75" t="s">
        <v>238</v>
      </c>
      <c r="L8" s="73" t="s">
        <v>240</v>
      </c>
      <c r="M8" s="73" t="s">
        <v>241</v>
      </c>
      <c r="N8" s="73" t="s">
        <v>230</v>
      </c>
      <c r="O8" s="73" t="s">
        <v>230</v>
      </c>
      <c r="P8" s="76" t="s">
        <v>247</v>
      </c>
      <c r="Q8" s="77" t="s">
        <v>247</v>
      </c>
      <c r="R8" s="77" t="s">
        <v>248</v>
      </c>
      <c r="S8" s="76"/>
      <c r="T8" s="77"/>
      <c r="U8" s="77"/>
      <c r="W8" s="29"/>
      <c r="X8" s="35"/>
      <c r="Y8" s="36"/>
      <c r="Z8" s="74" t="s">
        <v>274</v>
      </c>
      <c r="AA8" s="73" t="s">
        <v>276</v>
      </c>
      <c r="AB8" s="75" t="s">
        <v>272</v>
      </c>
      <c r="AC8" s="74" t="s">
        <v>274</v>
      </c>
      <c r="AD8" s="73" t="s">
        <v>276</v>
      </c>
      <c r="AE8" s="75" t="s">
        <v>272</v>
      </c>
      <c r="AF8" s="74" t="s">
        <v>274</v>
      </c>
      <c r="AG8" s="73" t="s">
        <v>276</v>
      </c>
      <c r="AH8" s="75" t="s">
        <v>272</v>
      </c>
      <c r="AI8" s="74" t="s">
        <v>274</v>
      </c>
      <c r="AJ8" s="73" t="s">
        <v>276</v>
      </c>
      <c r="AK8" s="75" t="s">
        <v>272</v>
      </c>
      <c r="AL8" s="73" t="s">
        <v>274</v>
      </c>
      <c r="AM8" s="73" t="s">
        <v>276</v>
      </c>
      <c r="AN8" s="73" t="s">
        <v>272</v>
      </c>
    </row>
    <row r="9" spans="1:43" x14ac:dyDescent="0.35">
      <c r="B9" s="29"/>
      <c r="C9" s="51"/>
      <c r="D9" s="34"/>
      <c r="E9" s="79" t="s">
        <v>212</v>
      </c>
      <c r="F9" s="78" t="s">
        <v>213</v>
      </c>
      <c r="G9" s="78" t="s">
        <v>214</v>
      </c>
      <c r="H9" s="78" t="s">
        <v>215</v>
      </c>
      <c r="I9" s="79" t="s">
        <v>216</v>
      </c>
      <c r="J9" s="78" t="s">
        <v>217</v>
      </c>
      <c r="K9" s="80" t="s">
        <v>218</v>
      </c>
      <c r="L9" s="78" t="s">
        <v>219</v>
      </c>
      <c r="M9" s="78" t="s">
        <v>220</v>
      </c>
      <c r="N9" s="78" t="s">
        <v>221</v>
      </c>
      <c r="O9" s="78" t="s">
        <v>222</v>
      </c>
      <c r="P9" s="79" t="s">
        <v>223</v>
      </c>
      <c r="Q9" s="78" t="s">
        <v>224</v>
      </c>
      <c r="R9" s="78" t="s">
        <v>225</v>
      </c>
      <c r="S9" s="79" t="s">
        <v>451</v>
      </c>
      <c r="T9" s="78" t="s">
        <v>452</v>
      </c>
      <c r="U9" s="78" t="s">
        <v>453</v>
      </c>
      <c r="V9" s="26"/>
      <c r="W9" s="29"/>
      <c r="X9" s="51"/>
      <c r="Y9" s="34"/>
      <c r="Z9" s="79" t="s">
        <v>249</v>
      </c>
      <c r="AA9" s="78" t="s">
        <v>250</v>
      </c>
      <c r="AB9" s="80" t="s">
        <v>251</v>
      </c>
      <c r="AC9" s="79" t="s">
        <v>252</v>
      </c>
      <c r="AD9" s="78" t="s">
        <v>253</v>
      </c>
      <c r="AE9" s="80" t="s">
        <v>254</v>
      </c>
      <c r="AF9" s="78" t="s">
        <v>255</v>
      </c>
      <c r="AG9" s="78" t="s">
        <v>256</v>
      </c>
      <c r="AH9" s="78" t="s">
        <v>257</v>
      </c>
      <c r="AI9" s="79" t="s">
        <v>258</v>
      </c>
      <c r="AJ9" s="78" t="s">
        <v>259</v>
      </c>
      <c r="AK9" s="80" t="s">
        <v>260</v>
      </c>
      <c r="AL9" s="78" t="s">
        <v>261</v>
      </c>
      <c r="AM9" s="78" t="s">
        <v>262</v>
      </c>
      <c r="AN9" s="78" t="s">
        <v>263</v>
      </c>
    </row>
    <row r="10" spans="1:43" x14ac:dyDescent="0.35">
      <c r="A10" s="12">
        <v>1</v>
      </c>
      <c r="B10" s="33"/>
      <c r="C10" s="38" t="str">
        <f>Notes!U9</f>
        <v xml:space="preserve">               All products</v>
      </c>
      <c r="D10" s="4" t="s">
        <v>309</v>
      </c>
      <c r="E10" s="42">
        <v>100</v>
      </c>
      <c r="F10" s="40">
        <v>100</v>
      </c>
      <c r="G10" s="40">
        <v>100</v>
      </c>
      <c r="H10" s="40">
        <v>100</v>
      </c>
      <c r="I10" s="42">
        <v>100</v>
      </c>
      <c r="J10" s="40">
        <v>100</v>
      </c>
      <c r="K10" s="70">
        <v>100</v>
      </c>
      <c r="L10" s="40">
        <v>100</v>
      </c>
      <c r="M10" s="40">
        <v>100</v>
      </c>
      <c r="N10" s="40">
        <v>100</v>
      </c>
      <c r="O10" s="40">
        <v>100</v>
      </c>
      <c r="P10" s="42">
        <v>8.845349401386974</v>
      </c>
      <c r="Q10" s="40">
        <v>8.4825575810471587</v>
      </c>
      <c r="R10" s="40">
        <v>21.910616571311234</v>
      </c>
      <c r="S10" s="42">
        <v>12.745726388058079</v>
      </c>
      <c r="T10" s="40">
        <v>20.155235666069256</v>
      </c>
      <c r="U10" s="40">
        <v>3.6302725836296181</v>
      </c>
      <c r="W10" s="33"/>
      <c r="X10" s="38" t="str">
        <f>Notes!U9</f>
        <v xml:space="preserve">               All products</v>
      </c>
      <c r="Y10" s="4" t="s">
        <v>309</v>
      </c>
      <c r="Z10" s="42">
        <v>100</v>
      </c>
      <c r="AA10" s="40">
        <v>2.9914886167918353</v>
      </c>
      <c r="AB10" s="70">
        <v>100</v>
      </c>
      <c r="AC10" s="42">
        <v>100</v>
      </c>
      <c r="AD10" s="40" t="s">
        <v>48</v>
      </c>
      <c r="AE10" s="70" t="s">
        <v>48</v>
      </c>
      <c r="AF10" s="40">
        <v>100</v>
      </c>
      <c r="AG10" s="40">
        <v>5.0063184985464551</v>
      </c>
      <c r="AH10" s="40">
        <v>100</v>
      </c>
      <c r="AI10" s="42">
        <v>100</v>
      </c>
      <c r="AJ10" s="40">
        <v>-0.74196665056772659</v>
      </c>
      <c r="AK10" s="70">
        <v>100</v>
      </c>
      <c r="AL10" s="40">
        <v>100</v>
      </c>
      <c r="AM10" s="40" t="s">
        <v>48</v>
      </c>
      <c r="AN10" s="40" t="s">
        <v>48</v>
      </c>
    </row>
    <row r="11" spans="1:43" x14ac:dyDescent="0.35">
      <c r="A11" s="12">
        <v>2</v>
      </c>
      <c r="B11" s="33"/>
      <c r="C11" s="38" t="str">
        <f>Notes!U10</f>
        <v xml:space="preserve">               Agriculture</v>
      </c>
      <c r="D11" s="4" t="s">
        <v>695</v>
      </c>
      <c r="E11" s="47">
        <v>28.796404118720186</v>
      </c>
      <c r="F11" s="48">
        <v>18.456129651851203</v>
      </c>
      <c r="G11" s="48">
        <v>26.657004206476927</v>
      </c>
      <c r="H11" s="48">
        <v>9.9114000576342605</v>
      </c>
      <c r="I11" s="47">
        <v>28.077993273873865</v>
      </c>
      <c r="J11" s="48">
        <v>89.971725409302067</v>
      </c>
      <c r="K11" s="71">
        <v>14.553527252339618</v>
      </c>
      <c r="L11" s="48" t="s">
        <v>48</v>
      </c>
      <c r="M11" s="48">
        <v>3.084848399650276</v>
      </c>
      <c r="N11" s="48">
        <v>11.696603081738663</v>
      </c>
      <c r="O11" s="48">
        <v>6.4039046672815392</v>
      </c>
      <c r="P11" s="47">
        <v>43.120164547126436</v>
      </c>
      <c r="Q11" s="48">
        <v>9.6442633422903725</v>
      </c>
      <c r="R11" s="48">
        <v>10.829355808299242</v>
      </c>
      <c r="S11" s="47">
        <v>2.3236703416966744</v>
      </c>
      <c r="T11" s="48">
        <v>2.7192536050218297</v>
      </c>
      <c r="U11" s="48">
        <v>7.0674911405078173</v>
      </c>
      <c r="V11" s="49"/>
      <c r="W11" s="33"/>
      <c r="X11" s="38" t="str">
        <f>Notes!U10</f>
        <v xml:space="preserve">               Agriculture</v>
      </c>
      <c r="Y11" s="4" t="s">
        <v>695</v>
      </c>
      <c r="Z11" s="47">
        <v>6.4039046672815392</v>
      </c>
      <c r="AA11" s="48" t="s">
        <v>48</v>
      </c>
      <c r="AB11" s="71" t="s">
        <v>48</v>
      </c>
      <c r="AC11" s="47">
        <v>11.696603081738663</v>
      </c>
      <c r="AD11" s="48" t="s">
        <v>48</v>
      </c>
      <c r="AE11" s="71" t="s">
        <v>48</v>
      </c>
      <c r="AF11" s="48">
        <v>9.9114000576342605</v>
      </c>
      <c r="AG11" s="48">
        <v>1.0365650542760996</v>
      </c>
      <c r="AH11" s="48">
        <v>2.0521688625437458</v>
      </c>
      <c r="AI11" s="47">
        <v>18.456129651851203</v>
      </c>
      <c r="AJ11" s="48" t="s">
        <v>48</v>
      </c>
      <c r="AK11" s="71" t="s">
        <v>48</v>
      </c>
      <c r="AL11" s="48">
        <v>28.796404118720186</v>
      </c>
      <c r="AM11" s="48" t="s">
        <v>48</v>
      </c>
      <c r="AN11" s="48" t="s">
        <v>48</v>
      </c>
      <c r="AO11" s="49"/>
      <c r="AP11" s="49"/>
      <c r="AQ11" s="49"/>
    </row>
    <row r="12" spans="1:43" x14ac:dyDescent="0.35">
      <c r="A12" s="12">
        <v>3</v>
      </c>
      <c r="B12" s="33"/>
      <c r="C12" s="38" t="str">
        <f>Notes!U11</f>
        <v xml:space="preserve">               Crops</v>
      </c>
      <c r="D12" s="4" t="s">
        <v>696</v>
      </c>
      <c r="E12" s="42">
        <v>20.436288287370587</v>
      </c>
      <c r="F12" s="40">
        <v>13.218429897018206</v>
      </c>
      <c r="G12" s="40">
        <v>18.220151994825866</v>
      </c>
      <c r="H12" s="40">
        <v>7.666094789382373</v>
      </c>
      <c r="I12" s="42">
        <v>20.580077394501895</v>
      </c>
      <c r="J12" s="40">
        <v>57.624929203294869</v>
      </c>
      <c r="K12" s="70">
        <v>12.485366956544462</v>
      </c>
      <c r="L12" s="40" t="s">
        <v>48</v>
      </c>
      <c r="M12" s="40" t="s">
        <v>48</v>
      </c>
      <c r="N12" s="40">
        <v>11.429266130145422</v>
      </c>
      <c r="O12" s="40">
        <v>6.3426825483608908</v>
      </c>
      <c r="P12" s="42">
        <v>38.560754719311355</v>
      </c>
      <c r="Q12" s="40">
        <v>12.184538144009172</v>
      </c>
      <c r="R12" s="40">
        <v>13.896799798135628</v>
      </c>
      <c r="S12" s="42">
        <v>2.2993324543071156</v>
      </c>
      <c r="T12" s="40">
        <v>2.707670954453905</v>
      </c>
      <c r="U12" s="40">
        <v>6.2334194901591014</v>
      </c>
      <c r="W12" s="33"/>
      <c r="X12" s="38" t="str">
        <f>Notes!U11</f>
        <v xml:space="preserve">               Crops</v>
      </c>
      <c r="Y12" s="4" t="s">
        <v>696</v>
      </c>
      <c r="Z12" s="42">
        <v>6.3426825483608908</v>
      </c>
      <c r="AA12" s="40" t="s">
        <v>48</v>
      </c>
      <c r="AB12" s="70" t="s">
        <v>48</v>
      </c>
      <c r="AC12" s="42">
        <v>11.429266130145422</v>
      </c>
      <c r="AD12" s="40" t="s">
        <v>48</v>
      </c>
      <c r="AE12" s="70" t="s">
        <v>48</v>
      </c>
      <c r="AF12" s="40">
        <v>7.666094789382373</v>
      </c>
      <c r="AG12" s="40">
        <v>1.2584783138722664</v>
      </c>
      <c r="AH12" s="40">
        <v>1.9270875489300183</v>
      </c>
      <c r="AI12" s="42">
        <v>13.218429897018206</v>
      </c>
      <c r="AJ12" s="40" t="s">
        <v>48</v>
      </c>
      <c r="AK12" s="70" t="s">
        <v>48</v>
      </c>
      <c r="AL12" s="40">
        <v>20.436288287370587</v>
      </c>
      <c r="AM12" s="40" t="s">
        <v>48</v>
      </c>
      <c r="AN12" s="40" t="s">
        <v>48</v>
      </c>
    </row>
    <row r="13" spans="1:43" x14ac:dyDescent="0.35">
      <c r="A13" s="12">
        <v>4</v>
      </c>
      <c r="B13" s="33"/>
      <c r="C13" s="38" t="str">
        <f>Notes!U12</f>
        <v xml:space="preserve">               Maize</v>
      </c>
      <c r="D13" s="4" t="s">
        <v>466</v>
      </c>
      <c r="E13" s="42">
        <v>18.433053669461856</v>
      </c>
      <c r="F13" s="40">
        <v>11.891484137846033</v>
      </c>
      <c r="G13" s="40">
        <v>15.913239405562507</v>
      </c>
      <c r="H13" s="40">
        <v>7.088640500883681</v>
      </c>
      <c r="I13" s="42">
        <v>20.34646073804528</v>
      </c>
      <c r="J13" s="40">
        <v>57.577629977764374</v>
      </c>
      <c r="K13" s="70">
        <v>12.211037877733576</v>
      </c>
      <c r="L13" s="40" t="s">
        <v>48</v>
      </c>
      <c r="M13" s="40" t="s">
        <v>48</v>
      </c>
      <c r="N13" s="40">
        <v>3.8150325490222841</v>
      </c>
      <c r="O13" s="40">
        <v>6.257557222164353</v>
      </c>
      <c r="P13" s="42">
        <v>42.828485406309426</v>
      </c>
      <c r="Q13" s="40">
        <v>4.6856023053241911</v>
      </c>
      <c r="R13" s="40">
        <v>14.844015795691783</v>
      </c>
      <c r="S13" s="42">
        <v>5.7754664947446281</v>
      </c>
      <c r="T13" s="40">
        <v>2.7265486574130806</v>
      </c>
      <c r="U13" s="40">
        <v>6.7497061145539607</v>
      </c>
      <c r="W13" s="33"/>
      <c r="X13" s="38" t="str">
        <f>Notes!U12</f>
        <v xml:space="preserve">               Maize</v>
      </c>
      <c r="Y13" s="4" t="s">
        <v>466</v>
      </c>
      <c r="Z13" s="42">
        <v>6.257557222164353</v>
      </c>
      <c r="AA13" s="40" t="s">
        <v>48</v>
      </c>
      <c r="AB13" s="70" t="s">
        <v>48</v>
      </c>
      <c r="AC13" s="42">
        <v>3.8150325490222841</v>
      </c>
      <c r="AD13" s="40" t="s">
        <v>48</v>
      </c>
      <c r="AE13" s="70" t="s">
        <v>48</v>
      </c>
      <c r="AF13" s="40">
        <v>7.088640500883681</v>
      </c>
      <c r="AG13" s="40">
        <v>1.3514806975575748</v>
      </c>
      <c r="AH13" s="40">
        <v>1.9136139284088056</v>
      </c>
      <c r="AI13" s="42">
        <v>11.891484137846033</v>
      </c>
      <c r="AJ13" s="40" t="s">
        <v>48</v>
      </c>
      <c r="AK13" s="70" t="s">
        <v>48</v>
      </c>
      <c r="AL13" s="40">
        <v>18.433053669461856</v>
      </c>
      <c r="AM13" s="40" t="s">
        <v>48</v>
      </c>
      <c r="AN13" s="40" t="s">
        <v>48</v>
      </c>
    </row>
    <row r="14" spans="1:43" x14ac:dyDescent="0.35">
      <c r="A14" s="12">
        <v>5</v>
      </c>
      <c r="B14" s="33"/>
      <c r="C14" s="38" t="str">
        <f>Notes!U13</f>
        <v xml:space="preserve">               Sorghum and millet</v>
      </c>
      <c r="D14" s="4" t="s">
        <v>314</v>
      </c>
      <c r="E14" s="42">
        <v>2.0032346179087295</v>
      </c>
      <c r="F14" s="40">
        <v>1.3269457591721723</v>
      </c>
      <c r="G14" s="40">
        <v>2.3069125892633524</v>
      </c>
      <c r="H14" s="40">
        <v>0.57745428849869107</v>
      </c>
      <c r="I14" s="42">
        <v>0.23361665645661406</v>
      </c>
      <c r="J14" s="40">
        <v>4.7299225530496945E-2</v>
      </c>
      <c r="K14" s="70">
        <v>0.27432907881088758</v>
      </c>
      <c r="L14" s="40" t="s">
        <v>48</v>
      </c>
      <c r="M14" s="40" t="s">
        <v>48</v>
      </c>
      <c r="N14" s="40">
        <v>7.6142335811231394</v>
      </c>
      <c r="O14" s="40">
        <v>8.5125326196536025E-2</v>
      </c>
      <c r="P14" s="42">
        <v>0.31529410553544995</v>
      </c>
      <c r="Q14" s="40">
        <v>50.72648903560826</v>
      </c>
      <c r="R14" s="40">
        <v>2.4128168790883375</v>
      </c>
      <c r="S14" s="42">
        <v>0.55765164457848759</v>
      </c>
      <c r="T14" s="40">
        <v>1.2996156686269889</v>
      </c>
      <c r="U14" s="40">
        <v>0.77135557267881605</v>
      </c>
      <c r="W14" s="33"/>
      <c r="X14" s="38" t="str">
        <f>Notes!U13</f>
        <v xml:space="preserve">               Sorghum and millet</v>
      </c>
      <c r="Y14" s="4" t="s">
        <v>314</v>
      </c>
      <c r="Z14" s="42">
        <v>8.5125326196536025E-2</v>
      </c>
      <c r="AA14" s="40" t="s">
        <v>48</v>
      </c>
      <c r="AB14" s="70" t="s">
        <v>48</v>
      </c>
      <c r="AC14" s="42">
        <v>7.6142335811231394</v>
      </c>
      <c r="AD14" s="40" t="s">
        <v>48</v>
      </c>
      <c r="AE14" s="70" t="s">
        <v>48</v>
      </c>
      <c r="AF14" s="40">
        <v>0.57745428849869107</v>
      </c>
      <c r="AG14" s="40">
        <v>0.11681138576892769</v>
      </c>
      <c r="AH14" s="40">
        <v>1.3473620521212698E-2</v>
      </c>
      <c r="AI14" s="42">
        <v>1.3269457591721723</v>
      </c>
      <c r="AJ14" s="40" t="s">
        <v>48</v>
      </c>
      <c r="AK14" s="70" t="s">
        <v>48</v>
      </c>
      <c r="AL14" s="40">
        <v>2.0032346179087295</v>
      </c>
      <c r="AM14" s="40" t="s">
        <v>48</v>
      </c>
      <c r="AN14" s="40" t="s">
        <v>48</v>
      </c>
    </row>
    <row r="15" spans="1:43" x14ac:dyDescent="0.35">
      <c r="A15" s="12">
        <v>6</v>
      </c>
      <c r="B15" s="33"/>
      <c r="C15" s="38" t="str">
        <f>Notes!U14</f>
        <v xml:space="preserve">               Rice paddy (Aman)</v>
      </c>
      <c r="D15" s="4" t="s">
        <v>468</v>
      </c>
      <c r="E15" s="42">
        <v>0.59973015402707097</v>
      </c>
      <c r="F15" s="40">
        <v>0.39233778765106164</v>
      </c>
      <c r="G15" s="40">
        <v>0.45829586835126768</v>
      </c>
      <c r="H15" s="40">
        <v>0.33594636551934359</v>
      </c>
      <c r="I15" s="42">
        <v>9.8316014966935386E-2</v>
      </c>
      <c r="J15" s="40">
        <v>4.9796006541981616E-3</v>
      </c>
      <c r="K15" s="70">
        <v>0.11871105531096235</v>
      </c>
      <c r="L15" s="40" t="s">
        <v>48</v>
      </c>
      <c r="M15" s="40" t="s">
        <v>48</v>
      </c>
      <c r="N15" s="40">
        <v>0.15421335525016147</v>
      </c>
      <c r="O15" s="40">
        <v>4.8500045887116719E-2</v>
      </c>
      <c r="P15" s="42">
        <v>0.11226628953959414</v>
      </c>
      <c r="Q15" s="40">
        <v>3.4480851337748168</v>
      </c>
      <c r="R15" s="40">
        <v>2.3566835440216241</v>
      </c>
      <c r="S15" s="42">
        <v>1.1197962420842766</v>
      </c>
      <c r="T15" s="40">
        <v>1.1197962420842771</v>
      </c>
      <c r="U15" s="40">
        <v>1.1197962420842766</v>
      </c>
      <c r="W15" s="33"/>
      <c r="X15" s="38" t="str">
        <f>Notes!U14</f>
        <v xml:space="preserve">               Rice paddy (Aman)</v>
      </c>
      <c r="Y15" s="4" t="s">
        <v>468</v>
      </c>
      <c r="Z15" s="42">
        <v>4.8500045887116719E-2</v>
      </c>
      <c r="AA15" s="40" t="s">
        <v>48</v>
      </c>
      <c r="AB15" s="70" t="s">
        <v>48</v>
      </c>
      <c r="AC15" s="42">
        <v>0.15421335525016147</v>
      </c>
      <c r="AD15" s="40" t="s">
        <v>48</v>
      </c>
      <c r="AE15" s="70" t="s">
        <v>48</v>
      </c>
      <c r="AF15" s="40">
        <v>0.33594636551934359</v>
      </c>
      <c r="AG15" s="40">
        <v>3.315019826728971E-2</v>
      </c>
      <c r="AH15" s="40">
        <v>2.2245265912216867E-3</v>
      </c>
      <c r="AI15" s="42">
        <v>0.39233778765106164</v>
      </c>
      <c r="AJ15" s="40" t="s">
        <v>48</v>
      </c>
      <c r="AK15" s="70" t="s">
        <v>48</v>
      </c>
      <c r="AL15" s="40">
        <v>0.59973015402707097</v>
      </c>
      <c r="AM15" s="40" t="s">
        <v>48</v>
      </c>
      <c r="AN15" s="40" t="s">
        <v>48</v>
      </c>
    </row>
    <row r="16" spans="1:43" x14ac:dyDescent="0.35">
      <c r="A16" s="12">
        <v>7</v>
      </c>
      <c r="B16" s="33"/>
      <c r="C16" s="38" t="str">
        <f>Notes!U15</f>
        <v xml:space="preserve">               Rice paddy (Boro)</v>
      </c>
      <c r="D16" s="4" t="s">
        <v>697</v>
      </c>
      <c r="E16" s="42">
        <v>1.3204534025699544</v>
      </c>
      <c r="F16" s="40">
        <v>0.86306056370323847</v>
      </c>
      <c r="G16" s="40">
        <v>1.0542693499367686</v>
      </c>
      <c r="H16" s="40">
        <v>0.7604529758216807</v>
      </c>
      <c r="I16" s="42">
        <v>0.71899442349449139</v>
      </c>
      <c r="J16" s="40">
        <v>1.516012509268525</v>
      </c>
      <c r="K16" s="70">
        <v>0.54483714378782599</v>
      </c>
      <c r="L16" s="40" t="s">
        <v>48</v>
      </c>
      <c r="M16" s="40" t="s">
        <v>48</v>
      </c>
      <c r="N16" s="40">
        <v>0.92053372958724522</v>
      </c>
      <c r="O16" s="40">
        <v>1.1784539290246006</v>
      </c>
      <c r="P16" s="42">
        <v>15.53733411687247</v>
      </c>
      <c r="Q16" s="40">
        <v>11.073961551564144</v>
      </c>
      <c r="R16" s="40">
        <v>25.501902271995547</v>
      </c>
      <c r="S16" s="42">
        <v>1.042110863869659</v>
      </c>
      <c r="T16" s="40">
        <v>1.042110863869659</v>
      </c>
      <c r="U16" s="40">
        <v>1.042110863869659</v>
      </c>
      <c r="W16" s="33"/>
      <c r="X16" s="38" t="str">
        <f>Notes!U15</f>
        <v xml:space="preserve">               Rice paddy (Boro)</v>
      </c>
      <c r="Y16" s="4" t="s">
        <v>697</v>
      </c>
      <c r="Z16" s="42">
        <v>1.1784539290246006</v>
      </c>
      <c r="AA16" s="40" t="s">
        <v>48</v>
      </c>
      <c r="AB16" s="70" t="s">
        <v>48</v>
      </c>
      <c r="AC16" s="42">
        <v>0.92053372958724522</v>
      </c>
      <c r="AD16" s="40" t="s">
        <v>48</v>
      </c>
      <c r="AE16" s="70" t="s">
        <v>48</v>
      </c>
      <c r="AF16" s="40">
        <v>0.7604529758216807</v>
      </c>
      <c r="AG16" s="40">
        <v>0.91414273553402425</v>
      </c>
      <c r="AH16" s="40">
        <v>0.13885703911256453</v>
      </c>
      <c r="AI16" s="42">
        <v>0.86306056370323847</v>
      </c>
      <c r="AJ16" s="40" t="s">
        <v>48</v>
      </c>
      <c r="AK16" s="70" t="s">
        <v>48</v>
      </c>
      <c r="AL16" s="40">
        <v>1.3204534025699544</v>
      </c>
      <c r="AM16" s="40" t="s">
        <v>48</v>
      </c>
      <c r="AN16" s="40" t="s">
        <v>48</v>
      </c>
    </row>
    <row r="17" spans="1:40" x14ac:dyDescent="0.35">
      <c r="A17" s="12">
        <v>8</v>
      </c>
      <c r="B17" s="33"/>
      <c r="C17" s="38" t="str">
        <f>Notes!U16</f>
        <v xml:space="preserve">               Wheat and barley</v>
      </c>
      <c r="D17" s="4" t="s">
        <v>316</v>
      </c>
      <c r="E17" s="42">
        <v>4.314880620219759E-2</v>
      </c>
      <c r="F17" s="40">
        <v>2.8230267054375941E-2</v>
      </c>
      <c r="G17" s="40">
        <v>3.5415291173219669E-2</v>
      </c>
      <c r="H17" s="40">
        <v>0.45030950218135585</v>
      </c>
      <c r="I17" s="42">
        <v>1.2784682234973088E-2</v>
      </c>
      <c r="J17" s="40">
        <v>3.8868736199244277E-3</v>
      </c>
      <c r="K17" s="70">
        <v>1.4728951971640952E-2</v>
      </c>
      <c r="L17" s="40" t="s">
        <v>48</v>
      </c>
      <c r="M17" s="40" t="s">
        <v>48</v>
      </c>
      <c r="N17" s="40">
        <v>2.7349862799360646E-2</v>
      </c>
      <c r="O17" s="40">
        <v>2.5854980603054312</v>
      </c>
      <c r="P17" s="42">
        <v>1.2178685798842286</v>
      </c>
      <c r="Q17" s="40">
        <v>8.5877354432359976</v>
      </c>
      <c r="R17" s="40">
        <v>95.024470547832763</v>
      </c>
      <c r="S17" s="42">
        <v>1.1906722919214725</v>
      </c>
      <c r="T17" s="40">
        <v>1.1906722919214729</v>
      </c>
      <c r="U17" s="40">
        <v>1.1906722919214727</v>
      </c>
      <c r="W17" s="33"/>
      <c r="X17" s="38" t="str">
        <f>Notes!U16</f>
        <v xml:space="preserve">               Wheat and barley</v>
      </c>
      <c r="Y17" s="4" t="s">
        <v>316</v>
      </c>
      <c r="Z17" s="42">
        <v>2.5854980603054312</v>
      </c>
      <c r="AA17" s="40" t="s">
        <v>48</v>
      </c>
      <c r="AB17" s="70" t="s">
        <v>48</v>
      </c>
      <c r="AC17" s="42">
        <v>2.7349862799360646E-2</v>
      </c>
      <c r="AD17" s="40" t="s">
        <v>48</v>
      </c>
      <c r="AE17" s="70" t="s">
        <v>48</v>
      </c>
      <c r="AF17" s="40">
        <v>0.45030950218135585</v>
      </c>
      <c r="AG17" s="40">
        <v>1.3279552193678332</v>
      </c>
      <c r="AH17" s="40">
        <v>0.11944722532661158</v>
      </c>
      <c r="AI17" s="42">
        <v>2.8230267054375941E-2</v>
      </c>
      <c r="AJ17" s="40" t="s">
        <v>48</v>
      </c>
      <c r="AK17" s="70" t="s">
        <v>48</v>
      </c>
      <c r="AL17" s="40">
        <v>4.314880620219759E-2</v>
      </c>
      <c r="AM17" s="40" t="s">
        <v>48</v>
      </c>
      <c r="AN17" s="40" t="s">
        <v>48</v>
      </c>
    </row>
    <row r="18" spans="1:40" x14ac:dyDescent="0.35">
      <c r="A18" s="12">
        <v>9</v>
      </c>
      <c r="B18" s="33"/>
      <c r="C18" s="38" t="str">
        <f>Notes!U17</f>
        <v xml:space="preserve">               Other cereals</v>
      </c>
      <c r="D18" s="4" t="s">
        <v>475</v>
      </c>
      <c r="E18" s="42">
        <v>0.78768695901528396</v>
      </c>
      <c r="F18" s="40">
        <v>0.51557966158938906</v>
      </c>
      <c r="G18" s="40">
        <v>0.64573058130128169</v>
      </c>
      <c r="H18" s="40">
        <v>0.58218893447908993</v>
      </c>
      <c r="I18" s="42">
        <v>1.3428869838003381</v>
      </c>
      <c r="J18" s="40">
        <v>0.36361493623817165</v>
      </c>
      <c r="K18" s="70">
        <v>1.5568687728466606</v>
      </c>
      <c r="L18" s="40" t="s">
        <v>48</v>
      </c>
      <c r="M18" s="40" t="s">
        <v>48</v>
      </c>
      <c r="N18" s="40">
        <v>0.46496594396582913</v>
      </c>
      <c r="O18" s="40">
        <v>0.80274938532641404</v>
      </c>
      <c r="P18" s="42">
        <v>6.2382234952300291</v>
      </c>
      <c r="Q18" s="40">
        <v>8.4287449956125648</v>
      </c>
      <c r="R18" s="40">
        <v>25.454756046291838</v>
      </c>
      <c r="S18" s="42">
        <v>1.1118083682400945</v>
      </c>
      <c r="T18" s="40">
        <v>1.1118083682400943</v>
      </c>
      <c r="U18" s="40">
        <v>1.1118083682400943</v>
      </c>
      <c r="W18" s="33"/>
      <c r="X18" s="38" t="str">
        <f>Notes!U17</f>
        <v xml:space="preserve">               Other cereals</v>
      </c>
      <c r="Y18" s="4" t="s">
        <v>475</v>
      </c>
      <c r="Z18" s="42">
        <v>0.80274938532641404</v>
      </c>
      <c r="AA18" s="40" t="s">
        <v>48</v>
      </c>
      <c r="AB18" s="70" t="s">
        <v>48</v>
      </c>
      <c r="AC18" s="42">
        <v>0.46496594396582913</v>
      </c>
      <c r="AD18" s="40" t="s">
        <v>48</v>
      </c>
      <c r="AE18" s="70" t="s">
        <v>48</v>
      </c>
      <c r="AF18" s="40">
        <v>0.58218893447908993</v>
      </c>
      <c r="AG18" s="40">
        <v>11.611230707419473</v>
      </c>
      <c r="AH18" s="40">
        <v>1.3502796586965302</v>
      </c>
      <c r="AI18" s="42">
        <v>0.51557966158938906</v>
      </c>
      <c r="AJ18" s="40" t="s">
        <v>48</v>
      </c>
      <c r="AK18" s="70" t="s">
        <v>48</v>
      </c>
      <c r="AL18" s="40">
        <v>0.78768695901528396</v>
      </c>
      <c r="AM18" s="40" t="s">
        <v>48</v>
      </c>
      <c r="AN18" s="40" t="s">
        <v>48</v>
      </c>
    </row>
    <row r="19" spans="1:40" x14ac:dyDescent="0.35">
      <c r="A19" s="12">
        <v>10</v>
      </c>
      <c r="B19" s="33"/>
      <c r="C19" s="38" t="str">
        <f>Notes!U18</f>
        <v xml:space="preserve">               Pulses</v>
      </c>
      <c r="D19" s="4" t="s">
        <v>477</v>
      </c>
      <c r="E19" s="42">
        <v>3.8452902567795528E-3</v>
      </c>
      <c r="F19" s="40">
        <v>2.5162911524055343E-3</v>
      </c>
      <c r="G19" s="40">
        <v>2.9384963206327158E-3</v>
      </c>
      <c r="H19" s="40">
        <v>3.1808876537332297E-2</v>
      </c>
      <c r="I19" s="42">
        <v>1.9011122772356196E-3</v>
      </c>
      <c r="J19" s="40" t="s">
        <v>48</v>
      </c>
      <c r="K19" s="70">
        <v>2.316526366990878E-3</v>
      </c>
      <c r="L19" s="40" t="s">
        <v>48</v>
      </c>
      <c r="M19" s="40" t="s">
        <v>48</v>
      </c>
      <c r="N19" s="40">
        <v>2.104120382238947E-2</v>
      </c>
      <c r="O19" s="40">
        <v>0.18667851011984052</v>
      </c>
      <c r="P19" s="42" t="s">
        <v>48</v>
      </c>
      <c r="Q19" s="40">
        <v>73.321238905932191</v>
      </c>
      <c r="R19" s="40">
        <v>98.126012941295826</v>
      </c>
      <c r="S19" s="42">
        <v>1.0533347152199621</v>
      </c>
      <c r="T19" s="40">
        <v>1.0533347152199621</v>
      </c>
      <c r="U19" s="40">
        <v>1.0533347152199619</v>
      </c>
      <c r="W19" s="33"/>
      <c r="X19" s="38" t="str">
        <f>Notes!U18</f>
        <v xml:space="preserve">               Pulses</v>
      </c>
      <c r="Y19" s="4" t="s">
        <v>477</v>
      </c>
      <c r="Z19" s="42">
        <v>0.18667851011984052</v>
      </c>
      <c r="AA19" s="40" t="s">
        <v>48</v>
      </c>
      <c r="AB19" s="70" t="s">
        <v>48</v>
      </c>
      <c r="AC19" s="42">
        <v>2.104120382238947E-2</v>
      </c>
      <c r="AD19" s="40" t="s">
        <v>48</v>
      </c>
      <c r="AE19" s="70" t="s">
        <v>48</v>
      </c>
      <c r="AF19" s="40">
        <v>3.1808876537332297E-2</v>
      </c>
      <c r="AG19" s="40">
        <v>2.4662086127681278</v>
      </c>
      <c r="AH19" s="40">
        <v>1.5669663306803888E-2</v>
      </c>
      <c r="AI19" s="42">
        <v>2.5162911524055343E-3</v>
      </c>
      <c r="AJ19" s="40" t="s">
        <v>48</v>
      </c>
      <c r="AK19" s="70" t="s">
        <v>48</v>
      </c>
      <c r="AL19" s="40">
        <v>3.8452902567795528E-3</v>
      </c>
      <c r="AM19" s="40" t="s">
        <v>48</v>
      </c>
      <c r="AN19" s="40" t="s">
        <v>48</v>
      </c>
    </row>
    <row r="20" spans="1:40" x14ac:dyDescent="0.35">
      <c r="A20" s="12">
        <v>11</v>
      </c>
      <c r="B20" s="33"/>
      <c r="C20" s="38" t="str">
        <f>Notes!U19</f>
        <v xml:space="preserve">               Groundnuts</v>
      </c>
      <c r="D20" s="4" t="s">
        <v>473</v>
      </c>
      <c r="E20" s="42">
        <v>2.2666916260868089</v>
      </c>
      <c r="F20" s="40">
        <v>1.4791672248065899</v>
      </c>
      <c r="G20" s="40">
        <v>1.9322193871515361</v>
      </c>
      <c r="H20" s="40">
        <v>0.34790582067819814</v>
      </c>
      <c r="I20" s="42">
        <v>3.1260169392168224</v>
      </c>
      <c r="J20" s="40">
        <v>13.053450778526477</v>
      </c>
      <c r="K20" s="70">
        <v>0.95676268666998276</v>
      </c>
      <c r="L20" s="40" t="s">
        <v>48</v>
      </c>
      <c r="M20" s="40" t="s">
        <v>48</v>
      </c>
      <c r="N20" s="40">
        <v>0.50796721078502105</v>
      </c>
      <c r="O20" s="40">
        <v>0.21876468264673937</v>
      </c>
      <c r="P20" s="42">
        <v>78.059012594043153</v>
      </c>
      <c r="Q20" s="40">
        <v>11.319297672967604</v>
      </c>
      <c r="R20" s="40">
        <v>12.520728268050298</v>
      </c>
      <c r="S20" s="42">
        <v>18.390953223754476</v>
      </c>
      <c r="T20" s="40">
        <v>18.390953223754476</v>
      </c>
      <c r="U20" s="40">
        <v>18.390953223754476</v>
      </c>
      <c r="W20" s="33"/>
      <c r="X20" s="38" t="str">
        <f>Notes!U19</f>
        <v xml:space="preserve">               Groundnuts</v>
      </c>
      <c r="Y20" s="4" t="s">
        <v>473</v>
      </c>
      <c r="Z20" s="42">
        <v>0.21876468264673937</v>
      </c>
      <c r="AA20" s="40" t="s">
        <v>48</v>
      </c>
      <c r="AB20" s="70" t="s">
        <v>48</v>
      </c>
      <c r="AC20" s="42">
        <v>0.50796721078502105</v>
      </c>
      <c r="AD20" s="40" t="s">
        <v>48</v>
      </c>
      <c r="AE20" s="70" t="s">
        <v>48</v>
      </c>
      <c r="AF20" s="40">
        <v>0.34790582067819814</v>
      </c>
      <c r="AG20" s="40">
        <v>0.70164667401522818</v>
      </c>
      <c r="AH20" s="40">
        <v>4.8759774676795063E-2</v>
      </c>
      <c r="AI20" s="42">
        <v>1.4791672248065899</v>
      </c>
      <c r="AJ20" s="40" t="s">
        <v>48</v>
      </c>
      <c r="AK20" s="70" t="s">
        <v>48</v>
      </c>
      <c r="AL20" s="40">
        <v>2.2666916260868089</v>
      </c>
      <c r="AM20" s="40" t="s">
        <v>48</v>
      </c>
      <c r="AN20" s="40" t="s">
        <v>48</v>
      </c>
    </row>
    <row r="21" spans="1:40" x14ac:dyDescent="0.35">
      <c r="A21" s="12">
        <v>12</v>
      </c>
      <c r="B21" s="33"/>
      <c r="C21" s="38" t="str">
        <f>Notes!U20</f>
        <v xml:space="preserve">               Other oilseeds</v>
      </c>
      <c r="D21" s="4" t="s">
        <v>319</v>
      </c>
      <c r="E21" s="42">
        <v>2.0164101968213828</v>
      </c>
      <c r="F21" s="40">
        <v>1.315909168785647</v>
      </c>
      <c r="G21" s="40">
        <v>1.583341377782493</v>
      </c>
      <c r="H21" s="40">
        <v>0.10818744464592457</v>
      </c>
      <c r="I21" s="42">
        <v>2.7240245877476417</v>
      </c>
      <c r="J21" s="40">
        <v>13.917874273752878</v>
      </c>
      <c r="K21" s="70">
        <v>0.27804444556967678</v>
      </c>
      <c r="L21" s="40" t="s">
        <v>48</v>
      </c>
      <c r="M21" s="40" t="s">
        <v>48</v>
      </c>
      <c r="N21" s="40" t="s">
        <v>48</v>
      </c>
      <c r="O21" s="40" t="s">
        <v>48</v>
      </c>
      <c r="P21" s="42">
        <v>93.553919826796744</v>
      </c>
      <c r="Q21" s="40" t="s">
        <v>48</v>
      </c>
      <c r="R21" s="40" t="s">
        <v>48</v>
      </c>
      <c r="S21" s="42" t="s">
        <v>48</v>
      </c>
      <c r="T21" s="40" t="s">
        <v>48</v>
      </c>
      <c r="U21" s="40">
        <v>32.201477624081434</v>
      </c>
      <c r="W21" s="33"/>
      <c r="X21" s="38" t="str">
        <f>Notes!U20</f>
        <v xml:space="preserve">               Other oilseeds</v>
      </c>
      <c r="Y21" s="4" t="s">
        <v>319</v>
      </c>
      <c r="Z21" s="42" t="s">
        <v>48</v>
      </c>
      <c r="AA21" s="40" t="s">
        <v>48</v>
      </c>
      <c r="AB21" s="70" t="s">
        <v>48</v>
      </c>
      <c r="AC21" s="42" t="s">
        <v>48</v>
      </c>
      <c r="AD21" s="40" t="s">
        <v>48</v>
      </c>
      <c r="AE21" s="70" t="s">
        <v>48</v>
      </c>
      <c r="AF21" s="40">
        <v>0.10818744464592457</v>
      </c>
      <c r="AG21" s="40">
        <v>0.90102511339381719</v>
      </c>
      <c r="AH21" s="40">
        <v>1.947131502084494E-2</v>
      </c>
      <c r="AI21" s="42">
        <v>1.315909168785647</v>
      </c>
      <c r="AJ21" s="40" t="s">
        <v>48</v>
      </c>
      <c r="AK21" s="70" t="s">
        <v>48</v>
      </c>
      <c r="AL21" s="40">
        <v>2.0164101968213828</v>
      </c>
      <c r="AM21" s="40" t="s">
        <v>48</v>
      </c>
      <c r="AN21" s="40" t="s">
        <v>48</v>
      </c>
    </row>
    <row r="22" spans="1:40" x14ac:dyDescent="0.35">
      <c r="A22" s="12">
        <v>13</v>
      </c>
      <c r="B22" s="33"/>
      <c r="C22" s="38" t="str">
        <f>Notes!U21</f>
        <v xml:space="preserve">               Cassava</v>
      </c>
      <c r="D22" s="4" t="s">
        <v>698</v>
      </c>
      <c r="E22" s="42">
        <v>1.6496232469838712</v>
      </c>
      <c r="F22" s="40">
        <v>1.0773574244276627</v>
      </c>
      <c r="G22" s="40">
        <v>1.2692584768916453</v>
      </c>
      <c r="H22" s="40">
        <v>0.9531495447064513</v>
      </c>
      <c r="I22" s="42">
        <v>1.1457673375915391</v>
      </c>
      <c r="J22" s="40">
        <v>1.5117779801280009</v>
      </c>
      <c r="K22" s="70">
        <v>1.0657899581749433</v>
      </c>
      <c r="L22" s="40" t="s">
        <v>48</v>
      </c>
      <c r="M22" s="40" t="s">
        <v>48</v>
      </c>
      <c r="N22" s="40" t="s">
        <v>48</v>
      </c>
      <c r="O22" s="40">
        <v>0.48239055724621177</v>
      </c>
      <c r="P22" s="42">
        <v>12.412040933081325</v>
      </c>
      <c r="Q22" s="40" t="s">
        <v>48</v>
      </c>
      <c r="R22" s="40">
        <v>8.7807362612717839</v>
      </c>
      <c r="S22" s="42" t="s">
        <v>48</v>
      </c>
      <c r="T22" s="40">
        <v>6.873540215993942</v>
      </c>
      <c r="U22" s="40">
        <v>6.8735402159939447</v>
      </c>
      <c r="W22" s="33"/>
      <c r="X22" s="38" t="str">
        <f>Notes!U21</f>
        <v xml:space="preserve">               Cassava</v>
      </c>
      <c r="Y22" s="4" t="s">
        <v>698</v>
      </c>
      <c r="Z22" s="42">
        <v>0.48239055724621177</v>
      </c>
      <c r="AA22" s="40" t="s">
        <v>48</v>
      </c>
      <c r="AB22" s="70" t="s">
        <v>48</v>
      </c>
      <c r="AC22" s="42" t="s">
        <v>48</v>
      </c>
      <c r="AD22" s="40" t="s">
        <v>48</v>
      </c>
      <c r="AE22" s="70" t="s">
        <v>48</v>
      </c>
      <c r="AF22" s="40">
        <v>0.9531495447064513</v>
      </c>
      <c r="AG22" s="40">
        <v>0.13158600733177175</v>
      </c>
      <c r="AH22" s="40">
        <v>2.5052569670593879E-2</v>
      </c>
      <c r="AI22" s="42">
        <v>1.0773574244276627</v>
      </c>
      <c r="AJ22" s="40" t="s">
        <v>48</v>
      </c>
      <c r="AK22" s="70" t="s">
        <v>48</v>
      </c>
      <c r="AL22" s="40">
        <v>1.6496232469838712</v>
      </c>
      <c r="AM22" s="40" t="s">
        <v>48</v>
      </c>
      <c r="AN22" s="40" t="s">
        <v>48</v>
      </c>
    </row>
    <row r="23" spans="1:40" x14ac:dyDescent="0.35">
      <c r="A23" s="12">
        <v>14</v>
      </c>
      <c r="B23" s="33"/>
      <c r="C23" s="38" t="str">
        <f>Notes!U22</f>
        <v xml:space="preserve">               Irish potatoes</v>
      </c>
      <c r="D23" s="4" t="s">
        <v>699</v>
      </c>
      <c r="E23" s="42">
        <v>0.28502289860816521</v>
      </c>
      <c r="F23" s="40">
        <v>0.18597698405153892</v>
      </c>
      <c r="G23" s="40">
        <v>0.23860907962740285</v>
      </c>
      <c r="H23" s="40">
        <v>6.3740569239573261E-2</v>
      </c>
      <c r="I23" s="42">
        <v>0.37565957644944981</v>
      </c>
      <c r="J23" s="40">
        <v>1.3192491056521558</v>
      </c>
      <c r="K23" s="70">
        <v>0.16947481289287089</v>
      </c>
      <c r="L23" s="40" t="s">
        <v>48</v>
      </c>
      <c r="M23" s="40" t="s">
        <v>48</v>
      </c>
      <c r="N23" s="40" t="s">
        <v>48</v>
      </c>
      <c r="O23" s="40" t="s">
        <v>48</v>
      </c>
      <c r="P23" s="42">
        <v>62.745502334454251</v>
      </c>
      <c r="Q23" s="40" t="s">
        <v>48</v>
      </c>
      <c r="R23" s="40" t="s">
        <v>48</v>
      </c>
      <c r="S23" s="42" t="s">
        <v>48</v>
      </c>
      <c r="T23" s="40" t="s">
        <v>48</v>
      </c>
      <c r="U23" s="40">
        <v>6.6809596305518832</v>
      </c>
      <c r="W23" s="33"/>
      <c r="X23" s="38" t="str">
        <f>Notes!U22</f>
        <v xml:space="preserve">               Irish potatoes</v>
      </c>
      <c r="Y23" s="4" t="s">
        <v>699</v>
      </c>
      <c r="Z23" s="42" t="s">
        <v>48</v>
      </c>
      <c r="AA23" s="40" t="s">
        <v>48</v>
      </c>
      <c r="AB23" s="70" t="s">
        <v>48</v>
      </c>
      <c r="AC23" s="42" t="s">
        <v>48</v>
      </c>
      <c r="AD23" s="40" t="s">
        <v>48</v>
      </c>
      <c r="AE23" s="70" t="s">
        <v>48</v>
      </c>
      <c r="AF23" s="40">
        <v>6.3740569239573261E-2</v>
      </c>
      <c r="AG23" s="40">
        <v>0.18487643798449852</v>
      </c>
      <c r="AH23" s="40">
        <v>2.3538513179970529E-3</v>
      </c>
      <c r="AI23" s="42">
        <v>0.18597698405153892</v>
      </c>
      <c r="AJ23" s="40" t="s">
        <v>48</v>
      </c>
      <c r="AK23" s="70" t="s">
        <v>48</v>
      </c>
      <c r="AL23" s="40">
        <v>0.28502289860816521</v>
      </c>
      <c r="AM23" s="40" t="s">
        <v>48</v>
      </c>
      <c r="AN23" s="40" t="s">
        <v>48</v>
      </c>
    </row>
    <row r="24" spans="1:40" x14ac:dyDescent="0.35">
      <c r="A24" s="12">
        <v>15</v>
      </c>
      <c r="B24" s="33"/>
      <c r="C24" s="38" t="str">
        <f>Notes!U23</f>
        <v xml:space="preserve">               Sweet potatoes</v>
      </c>
      <c r="D24" s="4" t="s">
        <v>320</v>
      </c>
      <c r="E24" s="42">
        <v>3.0603335744000253</v>
      </c>
      <c r="F24" s="40">
        <v>1.9646804381369891</v>
      </c>
      <c r="G24" s="40">
        <v>2.840491115908113</v>
      </c>
      <c r="H24" s="40">
        <v>1.0068752892465371</v>
      </c>
      <c r="I24" s="42">
        <v>3.863058783996407</v>
      </c>
      <c r="J24" s="40">
        <v>8.665416951878953</v>
      </c>
      <c r="K24" s="70">
        <v>2.8136903322337816</v>
      </c>
      <c r="L24" s="40" t="s">
        <v>48</v>
      </c>
      <c r="M24" s="40" t="s">
        <v>48</v>
      </c>
      <c r="N24" s="40">
        <v>1.2303419385822583</v>
      </c>
      <c r="O24" s="40" t="s">
        <v>48</v>
      </c>
      <c r="P24" s="42">
        <v>39.013286415552244</v>
      </c>
      <c r="Q24" s="40">
        <v>8.507220005123358</v>
      </c>
      <c r="R24" s="40" t="s">
        <v>48</v>
      </c>
      <c r="S24" s="42">
        <v>6.5089476139398332</v>
      </c>
      <c r="T24" s="40" t="s">
        <v>48</v>
      </c>
      <c r="U24" s="40">
        <v>6.508947613939835</v>
      </c>
      <c r="W24" s="33"/>
      <c r="X24" s="38" t="str">
        <f>Notes!U23</f>
        <v xml:space="preserve">               Sweet potatoes</v>
      </c>
      <c r="Y24" s="4" t="s">
        <v>320</v>
      </c>
      <c r="Z24" s="42" t="s">
        <v>48</v>
      </c>
      <c r="AA24" s="40" t="s">
        <v>48</v>
      </c>
      <c r="AB24" s="70" t="s">
        <v>48</v>
      </c>
      <c r="AC24" s="42">
        <v>1.2303419385822583</v>
      </c>
      <c r="AD24" s="40" t="s">
        <v>48</v>
      </c>
      <c r="AE24" s="70" t="s">
        <v>48</v>
      </c>
      <c r="AF24" s="40">
        <v>1.0068752892465371</v>
      </c>
      <c r="AG24" s="40">
        <v>0.2040577756936014</v>
      </c>
      <c r="AH24" s="40">
        <v>4.1040283790205072E-2</v>
      </c>
      <c r="AI24" s="42">
        <v>1.9646804381369891</v>
      </c>
      <c r="AJ24" s="40" t="s">
        <v>48</v>
      </c>
      <c r="AK24" s="70" t="s">
        <v>48</v>
      </c>
      <c r="AL24" s="40">
        <v>3.0603335744000253</v>
      </c>
      <c r="AM24" s="40" t="s">
        <v>48</v>
      </c>
      <c r="AN24" s="40" t="s">
        <v>48</v>
      </c>
    </row>
    <row r="25" spans="1:40" x14ac:dyDescent="0.35">
      <c r="A25" s="12">
        <v>16</v>
      </c>
      <c r="B25" s="33"/>
      <c r="C25" s="38" t="str">
        <f>Notes!U24</f>
        <v xml:space="preserve">               Other roots</v>
      </c>
      <c r="D25" s="4" t="s">
        <v>700</v>
      </c>
      <c r="E25" s="42">
        <v>0.28685289036385503</v>
      </c>
      <c r="F25" s="40">
        <v>0.18453294793536601</v>
      </c>
      <c r="G25" s="40">
        <v>0.2629291884433016</v>
      </c>
      <c r="H25" s="40">
        <v>0.15653610765580037</v>
      </c>
      <c r="I25" s="42">
        <v>0.35623847160471073</v>
      </c>
      <c r="J25" s="40">
        <v>0.13277108068590768</v>
      </c>
      <c r="K25" s="70">
        <v>0.40506857169932592</v>
      </c>
      <c r="L25" s="40" t="s">
        <v>48</v>
      </c>
      <c r="M25" s="40" t="s">
        <v>48</v>
      </c>
      <c r="N25" s="40" t="s">
        <v>48</v>
      </c>
      <c r="O25" s="40" t="s">
        <v>48</v>
      </c>
      <c r="P25" s="42">
        <v>6.3642109022066853</v>
      </c>
      <c r="Q25" s="40" t="s">
        <v>48</v>
      </c>
      <c r="R25" s="40" t="s">
        <v>48</v>
      </c>
      <c r="S25" s="42" t="s">
        <v>48</v>
      </c>
      <c r="T25" s="40" t="s">
        <v>48</v>
      </c>
      <c r="U25" s="40">
        <v>5.3919481525590802</v>
      </c>
      <c r="W25" s="33"/>
      <c r="X25" s="38" t="str">
        <f>Notes!U24</f>
        <v xml:space="preserve">               Other roots</v>
      </c>
      <c r="Y25" s="4" t="s">
        <v>700</v>
      </c>
      <c r="Z25" s="42" t="s">
        <v>48</v>
      </c>
      <c r="AA25" s="40" t="s">
        <v>48</v>
      </c>
      <c r="AB25" s="70" t="s">
        <v>48</v>
      </c>
      <c r="AC25" s="42" t="s">
        <v>48</v>
      </c>
      <c r="AD25" s="40" t="s">
        <v>48</v>
      </c>
      <c r="AE25" s="70" t="s">
        <v>48</v>
      </c>
      <c r="AF25" s="40">
        <v>0.15653610765580037</v>
      </c>
      <c r="AG25" s="40">
        <v>1.892493300938634E-2</v>
      </c>
      <c r="AH25" s="40">
        <v>5.917392894192069E-4</v>
      </c>
      <c r="AI25" s="42">
        <v>0.18453294793536601</v>
      </c>
      <c r="AJ25" s="40" t="s">
        <v>48</v>
      </c>
      <c r="AK25" s="70" t="s">
        <v>48</v>
      </c>
      <c r="AL25" s="40">
        <v>0.28685289036385503</v>
      </c>
      <c r="AM25" s="40" t="s">
        <v>48</v>
      </c>
      <c r="AN25" s="40" t="s">
        <v>48</v>
      </c>
    </row>
    <row r="26" spans="1:40" x14ac:dyDescent="0.35">
      <c r="A26" s="12">
        <v>17</v>
      </c>
      <c r="B26" s="33"/>
      <c r="C26" s="38" t="str">
        <f>Notes!U25</f>
        <v xml:space="preserve">               Leafy vegetables</v>
      </c>
      <c r="D26" s="4" t="s">
        <v>701</v>
      </c>
      <c r="E26" s="42">
        <v>2.0184465581631028</v>
      </c>
      <c r="F26" s="40">
        <v>1.2959535373199598</v>
      </c>
      <c r="G26" s="40">
        <v>2.0781778775103366</v>
      </c>
      <c r="H26" s="40">
        <v>1.0540271014721183</v>
      </c>
      <c r="I26" s="42">
        <v>2.6795956412162725</v>
      </c>
      <c r="J26" s="40">
        <v>1.5295345835354071</v>
      </c>
      <c r="K26" s="70">
        <v>2.9308967206739038</v>
      </c>
      <c r="L26" s="40" t="s">
        <v>48</v>
      </c>
      <c r="M26" s="40" t="s">
        <v>48</v>
      </c>
      <c r="N26" s="40">
        <v>0.30573635601842652</v>
      </c>
      <c r="O26" s="40">
        <v>9.551982139259213E-2</v>
      </c>
      <c r="P26" s="42">
        <v>10.439624124838765</v>
      </c>
      <c r="Q26" s="40">
        <v>2.1926230708411687</v>
      </c>
      <c r="R26" s="40">
        <v>1.5596936194756952</v>
      </c>
      <c r="S26" s="42">
        <v>6.0702224728265923</v>
      </c>
      <c r="T26" s="40">
        <v>6.0702224728265914</v>
      </c>
      <c r="U26" s="40">
        <v>6.0702224728265923</v>
      </c>
      <c r="W26" s="33"/>
      <c r="X26" s="38" t="str">
        <f>Notes!U25</f>
        <v xml:space="preserve">               Leafy vegetables</v>
      </c>
      <c r="Y26" s="4" t="s">
        <v>701</v>
      </c>
      <c r="Z26" s="42">
        <v>9.551982139259213E-2</v>
      </c>
      <c r="AA26" s="40" t="s">
        <v>48</v>
      </c>
      <c r="AB26" s="70" t="s">
        <v>48</v>
      </c>
      <c r="AC26" s="42">
        <v>0.30573635601842652</v>
      </c>
      <c r="AD26" s="40" t="s">
        <v>48</v>
      </c>
      <c r="AE26" s="70" t="s">
        <v>48</v>
      </c>
      <c r="AF26" s="40">
        <v>1.0540271014721183</v>
      </c>
      <c r="AG26" s="40">
        <v>0.18551717913873109</v>
      </c>
      <c r="AH26" s="40">
        <v>3.9058668492157257E-2</v>
      </c>
      <c r="AI26" s="42">
        <v>1.2959535373199598</v>
      </c>
      <c r="AJ26" s="40" t="s">
        <v>48</v>
      </c>
      <c r="AK26" s="70" t="s">
        <v>48</v>
      </c>
      <c r="AL26" s="40">
        <v>2.0184465581631028</v>
      </c>
      <c r="AM26" s="40" t="s">
        <v>48</v>
      </c>
      <c r="AN26" s="40" t="s">
        <v>48</v>
      </c>
    </row>
    <row r="27" spans="1:40" x14ac:dyDescent="0.35">
      <c r="A27" s="12">
        <v>18</v>
      </c>
      <c r="B27" s="33"/>
      <c r="C27" s="38" t="str">
        <f>Notes!U26</f>
        <v xml:space="preserve">               Other vegetables</v>
      </c>
      <c r="D27" s="4" t="s">
        <v>702</v>
      </c>
      <c r="E27" s="42">
        <v>1.1150313797694071</v>
      </c>
      <c r="F27" s="40">
        <v>0.69643230951661605</v>
      </c>
      <c r="G27" s="40">
        <v>0.93654360983989815</v>
      </c>
      <c r="H27" s="40">
        <v>0.58043618542794839</v>
      </c>
      <c r="I27" s="42">
        <v>0.11115239913607811</v>
      </c>
      <c r="J27" s="40">
        <v>0.32474486824036186</v>
      </c>
      <c r="K27" s="70">
        <v>6.4480078834957155E-2</v>
      </c>
      <c r="L27" s="40" t="s">
        <v>48</v>
      </c>
      <c r="M27" s="40" t="s">
        <v>48</v>
      </c>
      <c r="N27" s="40" t="s">
        <v>48</v>
      </c>
      <c r="O27" s="40" t="s">
        <v>48</v>
      </c>
      <c r="P27" s="42">
        <v>4.1245671498025782</v>
      </c>
      <c r="Q27" s="40" t="s">
        <v>48</v>
      </c>
      <c r="R27" s="40" t="s">
        <v>48</v>
      </c>
      <c r="S27" s="42" t="s">
        <v>48</v>
      </c>
      <c r="T27" s="40" t="s">
        <v>48</v>
      </c>
      <c r="U27" s="40">
        <v>1.3889031020491003</v>
      </c>
      <c r="W27" s="33"/>
      <c r="X27" s="38" t="str">
        <f>Notes!U26</f>
        <v xml:space="preserve">               Other vegetables</v>
      </c>
      <c r="Y27" s="4" t="s">
        <v>702</v>
      </c>
      <c r="Z27" s="42" t="s">
        <v>48</v>
      </c>
      <c r="AA27" s="40" t="s">
        <v>48</v>
      </c>
      <c r="AB27" s="70" t="s">
        <v>48</v>
      </c>
      <c r="AC27" s="42" t="s">
        <v>48</v>
      </c>
      <c r="AD27" s="40" t="s">
        <v>48</v>
      </c>
      <c r="AE27" s="70" t="s">
        <v>48</v>
      </c>
      <c r="AF27" s="40">
        <v>0.58043618542794839</v>
      </c>
      <c r="AG27" s="40">
        <v>3.439057982100973E-2</v>
      </c>
      <c r="AH27" s="40">
        <v>3.9872686829169855E-3</v>
      </c>
      <c r="AI27" s="42">
        <v>0.69643230951661605</v>
      </c>
      <c r="AJ27" s="40" t="s">
        <v>48</v>
      </c>
      <c r="AK27" s="70" t="s">
        <v>48</v>
      </c>
      <c r="AL27" s="40">
        <v>1.1150313797694071</v>
      </c>
      <c r="AM27" s="40" t="s">
        <v>48</v>
      </c>
      <c r="AN27" s="40" t="s">
        <v>48</v>
      </c>
    </row>
    <row r="28" spans="1:40" x14ac:dyDescent="0.35">
      <c r="A28" s="12">
        <v>19</v>
      </c>
      <c r="B28" s="33"/>
      <c r="C28" s="38" t="str">
        <f>Notes!U27</f>
        <v xml:space="preserve">               Sugarcane</v>
      </c>
      <c r="D28" s="4" t="s">
        <v>326</v>
      </c>
      <c r="E28" s="42">
        <v>2.0797846948330942</v>
      </c>
      <c r="F28" s="40">
        <v>1.2983158494838891</v>
      </c>
      <c r="G28" s="40">
        <v>1.752986523233437</v>
      </c>
      <c r="H28" s="40">
        <v>6.3979935734711016E-2</v>
      </c>
      <c r="I28" s="42">
        <v>2.6935358647788932</v>
      </c>
      <c r="J28" s="40">
        <v>14.601524972442018</v>
      </c>
      <c r="K28" s="70">
        <v>9.1508348987764221E-2</v>
      </c>
      <c r="L28" s="40" t="s">
        <v>48</v>
      </c>
      <c r="M28" s="40" t="s">
        <v>48</v>
      </c>
      <c r="N28" s="40" t="s">
        <v>48</v>
      </c>
      <c r="O28" s="40" t="s">
        <v>48</v>
      </c>
      <c r="P28" s="42">
        <v>99.479329491101325</v>
      </c>
      <c r="Q28" s="40" t="s">
        <v>48</v>
      </c>
      <c r="R28" s="40" t="s">
        <v>48</v>
      </c>
      <c r="S28" s="42" t="s">
        <v>48</v>
      </c>
      <c r="T28" s="40" t="s">
        <v>48</v>
      </c>
      <c r="U28" s="40">
        <v>90.945923134421989</v>
      </c>
      <c r="W28" s="33"/>
      <c r="X28" s="38" t="str">
        <f>Notes!U27</f>
        <v xml:space="preserve">               Sugarcane</v>
      </c>
      <c r="Y28" s="4" t="s">
        <v>326</v>
      </c>
      <c r="Z28" s="42" t="s">
        <v>48</v>
      </c>
      <c r="AA28" s="40" t="s">
        <v>48</v>
      </c>
      <c r="AB28" s="70" t="s">
        <v>48</v>
      </c>
      <c r="AC28" s="42" t="s">
        <v>48</v>
      </c>
      <c r="AD28" s="40" t="s">
        <v>48</v>
      </c>
      <c r="AE28" s="70" t="s">
        <v>48</v>
      </c>
      <c r="AF28" s="40">
        <v>6.3979935734711016E-2</v>
      </c>
      <c r="AG28" s="40" t="s">
        <v>48</v>
      </c>
      <c r="AH28" s="40" t="s">
        <v>48</v>
      </c>
      <c r="AI28" s="42">
        <v>1.2983158494838891</v>
      </c>
      <c r="AJ28" s="40" t="s">
        <v>48</v>
      </c>
      <c r="AK28" s="70" t="s">
        <v>48</v>
      </c>
      <c r="AL28" s="40">
        <v>2.0797846948330942</v>
      </c>
      <c r="AM28" s="40" t="s">
        <v>48</v>
      </c>
      <c r="AN28" s="40" t="s">
        <v>48</v>
      </c>
    </row>
    <row r="29" spans="1:40" x14ac:dyDescent="0.35">
      <c r="A29" s="12">
        <v>20</v>
      </c>
      <c r="B29" s="33"/>
      <c r="C29" s="38" t="str">
        <f>Notes!U28</f>
        <v xml:space="preserve">               Tobacco</v>
      </c>
      <c r="D29" s="4" t="s">
        <v>470</v>
      </c>
      <c r="E29" s="42">
        <v>0.38166891128947272</v>
      </c>
      <c r="F29" s="40">
        <v>0.23820202589973136</v>
      </c>
      <c r="G29" s="40">
        <v>0.32211223328623284</v>
      </c>
      <c r="H29" s="40">
        <v>0.20114843937219234</v>
      </c>
      <c r="I29" s="42">
        <v>0.50269485660729107</v>
      </c>
      <c r="J29" s="40">
        <v>0.22193159618205255</v>
      </c>
      <c r="K29" s="70">
        <v>0.56404473881196737</v>
      </c>
      <c r="L29" s="40" t="s">
        <v>48</v>
      </c>
      <c r="M29" s="40" t="s">
        <v>48</v>
      </c>
      <c r="N29" s="40" t="s">
        <v>48</v>
      </c>
      <c r="O29" s="40" t="s">
        <v>48</v>
      </c>
      <c r="P29" s="42">
        <v>8.241166312599308</v>
      </c>
      <c r="Q29" s="40" t="s">
        <v>48</v>
      </c>
      <c r="R29" s="40" t="s">
        <v>48</v>
      </c>
      <c r="S29" s="42" t="s">
        <v>48</v>
      </c>
      <c r="T29" s="40" t="s">
        <v>48</v>
      </c>
      <c r="U29" s="40">
        <v>6.7004327155751486</v>
      </c>
      <c r="W29" s="33"/>
      <c r="X29" s="38" t="str">
        <f>Notes!U28</f>
        <v xml:space="preserve">               Tobacco</v>
      </c>
      <c r="Y29" s="4" t="s">
        <v>470</v>
      </c>
      <c r="Z29" s="42" t="s">
        <v>48</v>
      </c>
      <c r="AA29" s="40" t="s">
        <v>48</v>
      </c>
      <c r="AB29" s="70" t="s">
        <v>48</v>
      </c>
      <c r="AC29" s="42" t="s">
        <v>48</v>
      </c>
      <c r="AD29" s="40" t="s">
        <v>48</v>
      </c>
      <c r="AE29" s="70" t="s">
        <v>48</v>
      </c>
      <c r="AF29" s="40">
        <v>0.20114843937219234</v>
      </c>
      <c r="AG29" s="40">
        <v>0.19744104890983286</v>
      </c>
      <c r="AH29" s="40">
        <v>7.9329668833000733E-3</v>
      </c>
      <c r="AI29" s="42">
        <v>0.23820202589973136</v>
      </c>
      <c r="AJ29" s="40" t="s">
        <v>48</v>
      </c>
      <c r="AK29" s="70" t="s">
        <v>48</v>
      </c>
      <c r="AL29" s="40">
        <v>0.38166891128947272</v>
      </c>
      <c r="AM29" s="40" t="s">
        <v>48</v>
      </c>
      <c r="AN29" s="40" t="s">
        <v>48</v>
      </c>
    </row>
    <row r="30" spans="1:40" x14ac:dyDescent="0.35">
      <c r="A30" s="12">
        <v>21</v>
      </c>
      <c r="B30" s="33"/>
      <c r="C30" s="38" t="str">
        <f>Notes!U29</f>
        <v xml:space="preserve">               Cotton and fibres</v>
      </c>
      <c r="D30" s="4" t="s">
        <v>703</v>
      </c>
      <c r="E30" s="42">
        <v>0.35678437872313301</v>
      </c>
      <c r="F30" s="40">
        <v>0.22267283339468028</v>
      </c>
      <c r="G30" s="40">
        <v>0.36459276151826786</v>
      </c>
      <c r="H30" s="40">
        <v>0.21250390777468736</v>
      </c>
      <c r="I30" s="42">
        <v>0.55377893590567029</v>
      </c>
      <c r="J30" s="40">
        <v>0.38008912685825463</v>
      </c>
      <c r="K30" s="70">
        <v>0.59173208301285429</v>
      </c>
      <c r="L30" s="40" t="s">
        <v>48</v>
      </c>
      <c r="M30" s="40" t="s">
        <v>48</v>
      </c>
      <c r="N30" s="40">
        <v>0.13591056988698977</v>
      </c>
      <c r="O30" s="40">
        <v>0.27560228590219077</v>
      </c>
      <c r="P30" s="42">
        <v>15.098479143031732</v>
      </c>
      <c r="Q30" s="40">
        <v>5.9916686114005628</v>
      </c>
      <c r="R30" s="40">
        <v>22.600647488374694</v>
      </c>
      <c r="S30" s="42">
        <v>5.9501045119049429</v>
      </c>
      <c r="T30" s="40">
        <v>5.9501045119049421</v>
      </c>
      <c r="U30" s="40">
        <v>5.9501045119049429</v>
      </c>
      <c r="W30" s="33"/>
      <c r="X30" s="38" t="str">
        <f>Notes!U29</f>
        <v xml:space="preserve">               Cotton and fibres</v>
      </c>
      <c r="Y30" s="4" t="s">
        <v>703</v>
      </c>
      <c r="Z30" s="42">
        <v>0.27560228590219077</v>
      </c>
      <c r="AA30" s="40" t="s">
        <v>48</v>
      </c>
      <c r="AB30" s="70" t="s">
        <v>48</v>
      </c>
      <c r="AC30" s="42">
        <v>0.13591056988698977</v>
      </c>
      <c r="AD30" s="40" t="s">
        <v>48</v>
      </c>
      <c r="AE30" s="70" t="s">
        <v>48</v>
      </c>
      <c r="AF30" s="40">
        <v>0.21250390777468736</v>
      </c>
      <c r="AG30" s="40">
        <v>1.5465085907110991</v>
      </c>
      <c r="AH30" s="40">
        <v>6.5644868385551364E-2</v>
      </c>
      <c r="AI30" s="42">
        <v>0.22267283339468028</v>
      </c>
      <c r="AJ30" s="40" t="s">
        <v>48</v>
      </c>
      <c r="AK30" s="70" t="s">
        <v>48</v>
      </c>
      <c r="AL30" s="40">
        <v>0.35678437872313301</v>
      </c>
      <c r="AM30" s="40" t="s">
        <v>48</v>
      </c>
      <c r="AN30" s="40" t="s">
        <v>48</v>
      </c>
    </row>
    <row r="31" spans="1:40" x14ac:dyDescent="0.35">
      <c r="A31" s="12">
        <v>22</v>
      </c>
      <c r="B31" s="33"/>
      <c r="C31" s="38" t="str">
        <f>Notes!U30</f>
        <v xml:space="preserve">               Jute</v>
      </c>
      <c r="D31" s="4" t="s">
        <v>765</v>
      </c>
      <c r="E31" s="42">
        <v>0.12108434575371124</v>
      </c>
      <c r="F31" s="40">
        <v>9.79486172339704E-2</v>
      </c>
      <c r="G31" s="40">
        <v>0.10139249158816238</v>
      </c>
      <c r="H31" s="40">
        <v>0.10732390300069014</v>
      </c>
      <c r="I31" s="42">
        <v>2.4223968104951341E-2</v>
      </c>
      <c r="J31" s="40">
        <v>1.2554542627355595E-2</v>
      </c>
      <c r="K31" s="70">
        <v>2.6773866825184296E-2</v>
      </c>
      <c r="L31" s="40" t="s">
        <v>48</v>
      </c>
      <c r="M31" s="40" t="s">
        <v>48</v>
      </c>
      <c r="N31" s="40">
        <v>4.6972378324602007E-2</v>
      </c>
      <c r="O31" s="40">
        <v>0.12278978503167035</v>
      </c>
      <c r="P31" s="42">
        <v>1.133750728183359</v>
      </c>
      <c r="Q31" s="40">
        <v>4.0101099009617025</v>
      </c>
      <c r="R31" s="40">
        <v>19.919077897117603</v>
      </c>
      <c r="S31" s="42">
        <v>6.7086982721475037</v>
      </c>
      <c r="T31" s="40">
        <v>6.7086982721475037</v>
      </c>
      <c r="U31" s="40">
        <v>6.7086982721475046</v>
      </c>
      <c r="W31" s="33"/>
      <c r="X31" s="38" t="str">
        <f>Notes!U30</f>
        <v xml:space="preserve">               Jute</v>
      </c>
      <c r="Y31" s="4" t="s">
        <v>765</v>
      </c>
      <c r="Z31" s="42">
        <v>0.12278978503167035</v>
      </c>
      <c r="AA31" s="40" t="s">
        <v>48</v>
      </c>
      <c r="AB31" s="70" t="s">
        <v>48</v>
      </c>
      <c r="AC31" s="42">
        <v>4.6972378324602007E-2</v>
      </c>
      <c r="AD31" s="40" t="s">
        <v>48</v>
      </c>
      <c r="AE31" s="70" t="s">
        <v>48</v>
      </c>
      <c r="AF31" s="40">
        <v>0.10732390300069014</v>
      </c>
      <c r="AG31" s="40">
        <v>0.65412846629478261</v>
      </c>
      <c r="AH31" s="40">
        <v>1.4023003148320373E-2</v>
      </c>
      <c r="AI31" s="42">
        <v>9.79486172339704E-2</v>
      </c>
      <c r="AJ31" s="40" t="s">
        <v>48</v>
      </c>
      <c r="AK31" s="70" t="s">
        <v>48</v>
      </c>
      <c r="AL31" s="40">
        <v>0.12108434575371124</v>
      </c>
      <c r="AM31" s="40" t="s">
        <v>48</v>
      </c>
      <c r="AN31" s="40" t="s">
        <v>48</v>
      </c>
    </row>
    <row r="32" spans="1:40" x14ac:dyDescent="0.35">
      <c r="A32" s="12">
        <v>23</v>
      </c>
      <c r="B32" s="33"/>
      <c r="C32" s="38" t="str">
        <f>Notes!U31</f>
        <v xml:space="preserve">               Nuts</v>
      </c>
      <c r="D32" s="4" t="s">
        <v>327</v>
      </c>
      <c r="E32" s="42">
        <v>4.0454355594544682E-2</v>
      </c>
      <c r="F32" s="40">
        <v>3.2610205702917928E-2</v>
      </c>
      <c r="G32" s="40">
        <v>3.3935695698507025E-2</v>
      </c>
      <c r="H32" s="40">
        <v>2.8633256551955637E-2</v>
      </c>
      <c r="I32" s="42">
        <v>1.583015891557616E-2</v>
      </c>
      <c r="J32" s="40">
        <v>1.8216197473773284E-2</v>
      </c>
      <c r="K32" s="70">
        <v>1.5308783062270069E-2</v>
      </c>
      <c r="L32" s="40" t="s">
        <v>48</v>
      </c>
      <c r="M32" s="40" t="s">
        <v>48</v>
      </c>
      <c r="N32" s="40" t="s">
        <v>48</v>
      </c>
      <c r="O32" s="40" t="s">
        <v>48</v>
      </c>
      <c r="P32" s="42">
        <v>4.9410492190108997</v>
      </c>
      <c r="Q32" s="40" t="s">
        <v>48</v>
      </c>
      <c r="R32" s="40" t="s">
        <v>48</v>
      </c>
      <c r="S32" s="42" t="s">
        <v>48</v>
      </c>
      <c r="T32" s="40" t="s">
        <v>48</v>
      </c>
      <c r="U32" s="40">
        <v>7.2272461394348548</v>
      </c>
      <c r="W32" s="33"/>
      <c r="X32" s="38" t="str">
        <f>Notes!U31</f>
        <v xml:space="preserve">               Nuts</v>
      </c>
      <c r="Y32" s="4" t="s">
        <v>327</v>
      </c>
      <c r="Z32" s="42" t="s">
        <v>48</v>
      </c>
      <c r="AA32" s="40" t="s">
        <v>48</v>
      </c>
      <c r="AB32" s="70" t="s">
        <v>48</v>
      </c>
      <c r="AC32" s="42" t="s">
        <v>48</v>
      </c>
      <c r="AD32" s="40" t="s">
        <v>48</v>
      </c>
      <c r="AE32" s="70" t="s">
        <v>48</v>
      </c>
      <c r="AF32" s="40">
        <v>2.8633256551955637E-2</v>
      </c>
      <c r="AG32" s="40" t="s">
        <v>48</v>
      </c>
      <c r="AH32" s="40" t="s">
        <v>48</v>
      </c>
      <c r="AI32" s="42">
        <v>3.2610205702917928E-2</v>
      </c>
      <c r="AJ32" s="40" t="s">
        <v>48</v>
      </c>
      <c r="AK32" s="70" t="s">
        <v>48</v>
      </c>
      <c r="AL32" s="40">
        <v>4.0454355594544682E-2</v>
      </c>
      <c r="AM32" s="40" t="s">
        <v>48</v>
      </c>
      <c r="AN32" s="40" t="s">
        <v>48</v>
      </c>
    </row>
    <row r="33" spans="1:40" x14ac:dyDescent="0.35">
      <c r="A33" s="12">
        <v>24</v>
      </c>
      <c r="B33" s="33"/>
      <c r="C33" s="38" t="str">
        <f>Notes!U32</f>
        <v xml:space="preserve">               Bananas and plantains</v>
      </c>
      <c r="D33" s="4" t="s">
        <v>481</v>
      </c>
      <c r="E33" s="42" t="s">
        <v>48</v>
      </c>
      <c r="F33" s="40" t="s">
        <v>48</v>
      </c>
      <c r="G33" s="40" t="s">
        <v>48</v>
      </c>
      <c r="H33" s="40">
        <v>4.3486340838090151E-2</v>
      </c>
      <c r="I33" s="42" t="s">
        <v>48</v>
      </c>
      <c r="J33" s="40" t="s">
        <v>48</v>
      </c>
      <c r="K33" s="70" t="s">
        <v>48</v>
      </c>
      <c r="L33" s="40" t="s">
        <v>48</v>
      </c>
      <c r="M33" s="40" t="s">
        <v>48</v>
      </c>
      <c r="N33" s="40" t="s">
        <v>48</v>
      </c>
      <c r="O33" s="40">
        <v>0.26061015928154718</v>
      </c>
      <c r="P33" s="42" t="s">
        <v>48</v>
      </c>
      <c r="Q33" s="40" t="s">
        <v>48</v>
      </c>
      <c r="R33" s="40">
        <v>100.00000000000028</v>
      </c>
      <c r="S33" s="42" t="s">
        <v>48</v>
      </c>
      <c r="T33" s="40">
        <v>1.110515136445116</v>
      </c>
      <c r="U33" s="40" t="s">
        <v>48</v>
      </c>
      <c r="W33" s="33"/>
      <c r="X33" s="38" t="str">
        <f>Notes!U32</f>
        <v xml:space="preserve">               Bananas and plantains</v>
      </c>
      <c r="Y33" s="4" t="s">
        <v>481</v>
      </c>
      <c r="Z33" s="42">
        <v>0.26061015928154718</v>
      </c>
      <c r="AA33" s="40" t="s">
        <v>48</v>
      </c>
      <c r="AB33" s="70" t="s">
        <v>48</v>
      </c>
      <c r="AC33" s="42" t="s">
        <v>48</v>
      </c>
      <c r="AD33" s="40" t="s">
        <v>48</v>
      </c>
      <c r="AE33" s="70" t="s">
        <v>48</v>
      </c>
      <c r="AF33" s="40">
        <v>4.3486340838090151E-2</v>
      </c>
      <c r="AG33" s="40">
        <v>2.2126250829872989</v>
      </c>
      <c r="AH33" s="40">
        <v>1.9219506016972272E-2</v>
      </c>
      <c r="AI33" s="42" t="s">
        <v>48</v>
      </c>
      <c r="AJ33" s="40" t="s">
        <v>48</v>
      </c>
      <c r="AK33" s="70" t="s">
        <v>48</v>
      </c>
      <c r="AL33" s="40" t="s">
        <v>48</v>
      </c>
      <c r="AM33" s="40" t="s">
        <v>48</v>
      </c>
      <c r="AN33" s="40" t="s">
        <v>48</v>
      </c>
    </row>
    <row r="34" spans="1:40" x14ac:dyDescent="0.35">
      <c r="A34" s="12">
        <v>25</v>
      </c>
      <c r="B34" s="33"/>
      <c r="C34" s="38" t="str">
        <f>Notes!U33</f>
        <v xml:space="preserve">               Bananas and plantains</v>
      </c>
      <c r="D34" s="4" t="s">
        <v>323</v>
      </c>
      <c r="E34" s="42">
        <v>1.0539185576185113</v>
      </c>
      <c r="F34" s="40">
        <v>0.69802028890001988</v>
      </c>
      <c r="G34" s="40">
        <v>1.3141005578485205</v>
      </c>
      <c r="H34" s="40">
        <v>0.23952894305166533</v>
      </c>
      <c r="I34" s="42" t="s">
        <v>48</v>
      </c>
      <c r="J34" s="40" t="s">
        <v>48</v>
      </c>
      <c r="K34" s="70" t="s">
        <v>48</v>
      </c>
      <c r="L34" s="40" t="s">
        <v>48</v>
      </c>
      <c r="M34" s="40" t="s">
        <v>48</v>
      </c>
      <c r="N34" s="40">
        <v>4.7376882069299011</v>
      </c>
      <c r="O34" s="40" t="s">
        <v>48</v>
      </c>
      <c r="P34" s="42" t="s">
        <v>48</v>
      </c>
      <c r="Q34" s="40">
        <v>60.035843156526795</v>
      </c>
      <c r="R34" s="40" t="s">
        <v>48</v>
      </c>
      <c r="S34" s="42">
        <v>0.18558979757337418</v>
      </c>
      <c r="T34" s="40" t="s">
        <v>48</v>
      </c>
      <c r="U34" s="40">
        <v>0.18558979757337424</v>
      </c>
      <c r="W34" s="33"/>
      <c r="X34" s="38" t="str">
        <f>Notes!U33</f>
        <v xml:space="preserve">               Bananas and plantains</v>
      </c>
      <c r="Y34" s="4" t="s">
        <v>323</v>
      </c>
      <c r="Z34" s="42" t="s">
        <v>48</v>
      </c>
      <c r="AA34" s="40" t="s">
        <v>48</v>
      </c>
      <c r="AB34" s="70" t="s">
        <v>48</v>
      </c>
      <c r="AC34" s="42">
        <v>4.7376882069299011</v>
      </c>
      <c r="AD34" s="40" t="s">
        <v>48</v>
      </c>
      <c r="AE34" s="70" t="s">
        <v>48</v>
      </c>
      <c r="AF34" s="40">
        <v>0.23952894305166533</v>
      </c>
      <c r="AG34" s="40">
        <v>1.563424418288778E-2</v>
      </c>
      <c r="AH34" s="40">
        <v>7.4802551727902369E-4</v>
      </c>
      <c r="AI34" s="42">
        <v>0.69802028890001988</v>
      </c>
      <c r="AJ34" s="40" t="s">
        <v>48</v>
      </c>
      <c r="AK34" s="70" t="s">
        <v>48</v>
      </c>
      <c r="AL34" s="40">
        <v>1.0539185576185113</v>
      </c>
      <c r="AM34" s="40" t="s">
        <v>48</v>
      </c>
      <c r="AN34" s="40" t="s">
        <v>48</v>
      </c>
    </row>
    <row r="35" spans="1:40" x14ac:dyDescent="0.35">
      <c r="A35" s="12">
        <v>26</v>
      </c>
      <c r="B35" s="33"/>
      <c r="C35" s="38" t="str">
        <f>Notes!U34</f>
        <v xml:space="preserve">               Other fruits</v>
      </c>
      <c r="D35" s="4" t="s">
        <v>321</v>
      </c>
      <c r="E35" s="42">
        <v>0.32127737473851736</v>
      </c>
      <c r="F35" s="40">
        <v>0.21442516796345801</v>
      </c>
      <c r="G35" s="40">
        <v>0.3870558585748517</v>
      </c>
      <c r="H35" s="40">
        <v>3.3278036829704163E-2</v>
      </c>
      <c r="I35" s="42">
        <v>1.0472901794976428E-15</v>
      </c>
      <c r="J35" s="40" t="s">
        <v>48</v>
      </c>
      <c r="K35" s="70">
        <v>1.276134683757143E-15</v>
      </c>
      <c r="L35" s="40" t="s">
        <v>48</v>
      </c>
      <c r="M35" s="40" t="s">
        <v>48</v>
      </c>
      <c r="N35" s="40">
        <v>2.0145637546668054</v>
      </c>
      <c r="O35" s="40" t="s">
        <v>48</v>
      </c>
      <c r="P35" s="42" t="s">
        <v>48</v>
      </c>
      <c r="Q35" s="40">
        <v>82.270583119517198</v>
      </c>
      <c r="R35" s="40" t="s">
        <v>48</v>
      </c>
      <c r="S35" s="42">
        <v>1.1855679727346375</v>
      </c>
      <c r="T35" s="40" t="s">
        <v>48</v>
      </c>
      <c r="U35" s="40">
        <v>1.1855679727346378</v>
      </c>
      <c r="W35" s="33"/>
      <c r="X35" s="38" t="str">
        <f>Notes!U34</f>
        <v xml:space="preserve">               Other fruits</v>
      </c>
      <c r="Y35" s="4" t="s">
        <v>321</v>
      </c>
      <c r="Z35" s="42" t="s">
        <v>48</v>
      </c>
      <c r="AA35" s="40" t="s">
        <v>48</v>
      </c>
      <c r="AB35" s="70" t="s">
        <v>48</v>
      </c>
      <c r="AC35" s="42">
        <v>2.0145637546668054</v>
      </c>
      <c r="AD35" s="40" t="s">
        <v>48</v>
      </c>
      <c r="AE35" s="70" t="s">
        <v>48</v>
      </c>
      <c r="AF35" s="40">
        <v>3.3278036829704163E-2</v>
      </c>
      <c r="AG35" s="40">
        <v>0.93122971743275773</v>
      </c>
      <c r="AH35" s="40">
        <v>6.1900769682631798E-3</v>
      </c>
      <c r="AI35" s="42">
        <v>0.21442516796345801</v>
      </c>
      <c r="AJ35" s="40" t="s">
        <v>48</v>
      </c>
      <c r="AK35" s="70" t="s">
        <v>48</v>
      </c>
      <c r="AL35" s="40">
        <v>0.32127737473851736</v>
      </c>
      <c r="AM35" s="40" t="s">
        <v>48</v>
      </c>
      <c r="AN35" s="40" t="s">
        <v>48</v>
      </c>
    </row>
    <row r="36" spans="1:40" x14ac:dyDescent="0.35">
      <c r="A36" s="12">
        <v>27</v>
      </c>
      <c r="B36" s="33"/>
      <c r="C36" s="38" t="str">
        <f>Notes!U35</f>
        <v xml:space="preserve">               Leaf tea</v>
      </c>
      <c r="D36" s="4" t="s">
        <v>704</v>
      </c>
      <c r="E36" s="42">
        <v>5.4992357681657077E-2</v>
      </c>
      <c r="F36" s="40">
        <v>3.6275805455412855E-2</v>
      </c>
      <c r="G36" s="40">
        <v>5.3425513930011895E-2</v>
      </c>
      <c r="H36" s="40">
        <v>3.1490227464372238E-2</v>
      </c>
      <c r="I36" s="42">
        <v>8.1954673239568482E-2</v>
      </c>
      <c r="J36" s="40" t="s">
        <v>48</v>
      </c>
      <c r="K36" s="70">
        <v>9.9862677092191834E-2</v>
      </c>
      <c r="L36" s="40" t="s">
        <v>48</v>
      </c>
      <c r="M36" s="40" t="s">
        <v>48</v>
      </c>
      <c r="N36" s="40" t="s">
        <v>48</v>
      </c>
      <c r="O36" s="40" t="s">
        <v>48</v>
      </c>
      <c r="P36" s="42" t="s">
        <v>48</v>
      </c>
      <c r="Q36" s="40" t="s">
        <v>48</v>
      </c>
      <c r="R36" s="40" t="s">
        <v>48</v>
      </c>
      <c r="S36" s="42" t="s">
        <v>48</v>
      </c>
      <c r="T36" s="40" t="s">
        <v>48</v>
      </c>
      <c r="U36" s="40">
        <v>1.1715120421522849</v>
      </c>
      <c r="W36" s="33"/>
      <c r="X36" s="38" t="str">
        <f>Notes!U35</f>
        <v xml:space="preserve">               Leaf tea</v>
      </c>
      <c r="Y36" s="4" t="s">
        <v>704</v>
      </c>
      <c r="Z36" s="42" t="s">
        <v>48</v>
      </c>
      <c r="AA36" s="40" t="s">
        <v>48</v>
      </c>
      <c r="AB36" s="70" t="s">
        <v>48</v>
      </c>
      <c r="AC36" s="42" t="s">
        <v>48</v>
      </c>
      <c r="AD36" s="40" t="s">
        <v>48</v>
      </c>
      <c r="AE36" s="70" t="s">
        <v>48</v>
      </c>
      <c r="AF36" s="40">
        <v>3.1490227464372238E-2</v>
      </c>
      <c r="AG36" s="40">
        <v>0.11419966983094411</v>
      </c>
      <c r="AH36" s="40">
        <v>7.183269662880534E-4</v>
      </c>
      <c r="AI36" s="42">
        <v>3.6275805455412855E-2</v>
      </c>
      <c r="AJ36" s="40" t="s">
        <v>48</v>
      </c>
      <c r="AK36" s="70" t="s">
        <v>48</v>
      </c>
      <c r="AL36" s="40">
        <v>5.4992357681657077E-2</v>
      </c>
      <c r="AM36" s="40" t="s">
        <v>48</v>
      </c>
      <c r="AN36" s="40" t="s">
        <v>48</v>
      </c>
    </row>
    <row r="37" spans="1:40" x14ac:dyDescent="0.35">
      <c r="A37" s="12">
        <v>28</v>
      </c>
      <c r="B37" s="33"/>
      <c r="C37" s="38" t="str">
        <f>Notes!U36</f>
        <v xml:space="preserve">               Coffee</v>
      </c>
      <c r="D37" s="4" t="s">
        <v>328</v>
      </c>
      <c r="E37" s="42">
        <v>0.10178047938982263</v>
      </c>
      <c r="F37" s="40">
        <v>6.8224455101032935E-2</v>
      </c>
      <c r="G37" s="40">
        <v>9.0588539351290714E-2</v>
      </c>
      <c r="H37" s="40">
        <v>4.698710851975673E-2</v>
      </c>
      <c r="I37" s="42">
        <v>0.11789690946667028</v>
      </c>
      <c r="J37" s="40">
        <v>3.8416103267948989E-2</v>
      </c>
      <c r="K37" s="70">
        <v>0.13526434596971901</v>
      </c>
      <c r="L37" s="40" t="s">
        <v>48</v>
      </c>
      <c r="M37" s="40" t="s">
        <v>48</v>
      </c>
      <c r="N37" s="40">
        <v>0.11905941314970493</v>
      </c>
      <c r="O37" s="40" t="s">
        <v>48</v>
      </c>
      <c r="P37" s="42">
        <v>4.9806752658055018</v>
      </c>
      <c r="Q37" s="40">
        <v>16.142472576442231</v>
      </c>
      <c r="R37" s="40" t="s">
        <v>48</v>
      </c>
      <c r="S37" s="42">
        <v>0.81650782001614386</v>
      </c>
      <c r="T37" s="40" t="s">
        <v>48</v>
      </c>
      <c r="U37" s="40">
        <v>0.81650782001614408</v>
      </c>
      <c r="W37" s="33"/>
      <c r="X37" s="38" t="str">
        <f>Notes!U36</f>
        <v xml:space="preserve">               Coffee</v>
      </c>
      <c r="Y37" s="4" t="s">
        <v>328</v>
      </c>
      <c r="Z37" s="42" t="s">
        <v>48</v>
      </c>
      <c r="AA37" s="40" t="s">
        <v>48</v>
      </c>
      <c r="AB37" s="70" t="s">
        <v>48</v>
      </c>
      <c r="AC37" s="42">
        <v>0.11905941314970493</v>
      </c>
      <c r="AD37" s="40" t="s">
        <v>48</v>
      </c>
      <c r="AE37" s="70" t="s">
        <v>48</v>
      </c>
      <c r="AF37" s="40">
        <v>4.698710851975673E-2</v>
      </c>
      <c r="AG37" s="40">
        <v>4.130198553407835E-2</v>
      </c>
      <c r="AH37" s="40">
        <v>3.8764231179750497E-4</v>
      </c>
      <c r="AI37" s="42">
        <v>6.8224455101032935E-2</v>
      </c>
      <c r="AJ37" s="40" t="s">
        <v>48</v>
      </c>
      <c r="AK37" s="70" t="s">
        <v>48</v>
      </c>
      <c r="AL37" s="40">
        <v>0.10178047938982263</v>
      </c>
      <c r="AM37" s="40" t="s">
        <v>48</v>
      </c>
      <c r="AN37" s="40" t="s">
        <v>48</v>
      </c>
    </row>
    <row r="38" spans="1:40" x14ac:dyDescent="0.35">
      <c r="A38" s="12">
        <v>29</v>
      </c>
      <c r="B38" s="33"/>
      <c r="C38" s="38" t="str">
        <f>Notes!U37</f>
        <v xml:space="preserve">               Cocoa</v>
      </c>
      <c r="D38" s="4" t="s">
        <v>705</v>
      </c>
      <c r="E38" s="42">
        <v>7.3420002673160803E-2</v>
      </c>
      <c r="F38" s="40">
        <v>4.8423890125455768E-2</v>
      </c>
      <c r="G38" s="40">
        <v>6.9664311915372229E-2</v>
      </c>
      <c r="H38" s="40">
        <v>3.9351967829508481E-4</v>
      </c>
      <c r="I38" s="42" t="s">
        <v>48</v>
      </c>
      <c r="J38" s="40" t="s">
        <v>48</v>
      </c>
      <c r="K38" s="70" t="s">
        <v>48</v>
      </c>
      <c r="L38" s="40" t="s">
        <v>48</v>
      </c>
      <c r="M38" s="40" t="s">
        <v>48</v>
      </c>
      <c r="N38" s="40">
        <v>0.54775782482656343</v>
      </c>
      <c r="O38" s="40" t="s">
        <v>48</v>
      </c>
      <c r="P38" s="42" t="s">
        <v>48</v>
      </c>
      <c r="Q38" s="40">
        <v>99.093095130327484</v>
      </c>
      <c r="R38" s="40" t="s">
        <v>48</v>
      </c>
      <c r="S38" s="42">
        <v>1.1457059275385602</v>
      </c>
      <c r="T38" s="40" t="s">
        <v>48</v>
      </c>
      <c r="U38" s="40">
        <v>1.1457059275385599</v>
      </c>
      <c r="W38" s="33"/>
      <c r="X38" s="38" t="str">
        <f>Notes!U37</f>
        <v xml:space="preserve">               Cocoa</v>
      </c>
      <c r="Y38" s="4" t="s">
        <v>705</v>
      </c>
      <c r="Z38" s="42" t="s">
        <v>48</v>
      </c>
      <c r="AA38" s="40" t="s">
        <v>48</v>
      </c>
      <c r="AB38" s="70" t="s">
        <v>48</v>
      </c>
      <c r="AC38" s="42">
        <v>0.54775782482656343</v>
      </c>
      <c r="AD38" s="40" t="s">
        <v>48</v>
      </c>
      <c r="AE38" s="70" t="s">
        <v>48</v>
      </c>
      <c r="AF38" s="40">
        <v>3.9351967829508481E-4</v>
      </c>
      <c r="AG38" s="40">
        <v>3.2604520036684161</v>
      </c>
      <c r="AH38" s="40">
        <v>2.5628653549563101E-4</v>
      </c>
      <c r="AI38" s="42">
        <v>4.8423890125455768E-2</v>
      </c>
      <c r="AJ38" s="40" t="s">
        <v>48</v>
      </c>
      <c r="AK38" s="70" t="s">
        <v>48</v>
      </c>
      <c r="AL38" s="40">
        <v>7.3420002673160803E-2</v>
      </c>
      <c r="AM38" s="40" t="s">
        <v>48</v>
      </c>
      <c r="AN38" s="40" t="s">
        <v>48</v>
      </c>
    </row>
    <row r="39" spans="1:40" x14ac:dyDescent="0.35">
      <c r="A39" s="12">
        <v>30</v>
      </c>
      <c r="B39" s="33"/>
      <c r="C39" s="38" t="str">
        <f>Notes!U38</f>
        <v xml:space="preserve">               Cut flowers</v>
      </c>
      <c r="D39" s="4" t="s">
        <v>331</v>
      </c>
      <c r="E39" s="42">
        <v>0.39784584580706045</v>
      </c>
      <c r="F39" s="40">
        <v>0.26157615162679254</v>
      </c>
      <c r="G39" s="40">
        <v>0.39207780764330724</v>
      </c>
      <c r="H39" s="40">
        <v>0.22577645295489757</v>
      </c>
      <c r="I39" s="42">
        <v>3.3765073750374235E-2</v>
      </c>
      <c r="J39" s="40">
        <v>8.883122262547968E-3</v>
      </c>
      <c r="K39" s="70">
        <v>3.9202055748975465E-2</v>
      </c>
      <c r="L39" s="40" t="s">
        <v>48</v>
      </c>
      <c r="M39" s="40" t="s">
        <v>48</v>
      </c>
      <c r="N39" s="40">
        <v>0.19516438155016447</v>
      </c>
      <c r="O39" s="40">
        <v>8.5125326196536025E-2</v>
      </c>
      <c r="P39" s="42">
        <v>0.30038793559277904</v>
      </c>
      <c r="Q39" s="40">
        <v>6.5455588024233364</v>
      </c>
      <c r="R39" s="40">
        <v>6.1709807870323843</v>
      </c>
      <c r="S39" s="42">
        <v>1.2996156686269889</v>
      </c>
      <c r="T39" s="40">
        <v>1.2996156686269889</v>
      </c>
      <c r="U39" s="40">
        <v>1.2996156686269891</v>
      </c>
      <c r="W39" s="33"/>
      <c r="X39" s="38" t="str">
        <f>Notes!U38</f>
        <v xml:space="preserve">               Cut flowers</v>
      </c>
      <c r="Y39" s="4" t="s">
        <v>331</v>
      </c>
      <c r="Z39" s="42">
        <v>8.5125326196536025E-2</v>
      </c>
      <c r="AA39" s="40" t="s">
        <v>48</v>
      </c>
      <c r="AB39" s="70" t="s">
        <v>48</v>
      </c>
      <c r="AC39" s="42">
        <v>0.19516438155016447</v>
      </c>
      <c r="AD39" s="40" t="s">
        <v>48</v>
      </c>
      <c r="AE39" s="70" t="s">
        <v>48</v>
      </c>
      <c r="AF39" s="40">
        <v>0.22577645295489757</v>
      </c>
      <c r="AG39" s="40">
        <v>0.11471080363482801</v>
      </c>
      <c r="AH39" s="40">
        <v>5.1732622220893067E-3</v>
      </c>
      <c r="AI39" s="42">
        <v>0.26157615162679254</v>
      </c>
      <c r="AJ39" s="40" t="s">
        <v>48</v>
      </c>
      <c r="AK39" s="70" t="s">
        <v>48</v>
      </c>
      <c r="AL39" s="40">
        <v>0.39784584580706045</v>
      </c>
      <c r="AM39" s="40" t="s">
        <v>48</v>
      </c>
      <c r="AN39" s="40" t="s">
        <v>48</v>
      </c>
    </row>
    <row r="40" spans="1:40" x14ac:dyDescent="0.35">
      <c r="A40" s="12">
        <v>31</v>
      </c>
      <c r="B40" s="33"/>
      <c r="C40" s="38" t="str">
        <f>Notes!U39</f>
        <v xml:space="preserve">               Rubber</v>
      </c>
      <c r="D40" s="4" t="s">
        <v>493</v>
      </c>
      <c r="E40" s="42">
        <v>2.5802466894661564</v>
      </c>
      <c r="F40" s="40">
        <v>1.692170916861143</v>
      </c>
      <c r="G40" s="40">
        <v>2.1317830627663814</v>
      </c>
      <c r="H40" s="40">
        <v>1.3902311655776336</v>
      </c>
      <c r="I40" s="42">
        <v>0.66532012516966155</v>
      </c>
      <c r="J40" s="40">
        <v>1.0086075844376632</v>
      </c>
      <c r="K40" s="70">
        <v>0.5903080129846966</v>
      </c>
      <c r="L40" s="40" t="s">
        <v>48</v>
      </c>
      <c r="M40" s="40">
        <v>2.9244919565447773</v>
      </c>
      <c r="N40" s="40">
        <v>0.267336951593242</v>
      </c>
      <c r="O40" s="40">
        <v>6.1222118920647786E-2</v>
      </c>
      <c r="P40" s="42">
        <v>5.2722135833588064</v>
      </c>
      <c r="Q40" s="40">
        <v>1.4282179722144173</v>
      </c>
      <c r="R40" s="40">
        <v>0.74006753948619397</v>
      </c>
      <c r="S40" s="42">
        <v>3.364170692893933</v>
      </c>
      <c r="T40" s="40">
        <v>3.904468677499239</v>
      </c>
      <c r="U40" s="40">
        <v>1.7988323418025893</v>
      </c>
      <c r="W40" s="33"/>
      <c r="X40" s="38" t="str">
        <f>Notes!U39</f>
        <v xml:space="preserve">               Rubber</v>
      </c>
      <c r="Y40" s="4" t="s">
        <v>493</v>
      </c>
      <c r="Z40" s="42">
        <v>6.1222118920647786E-2</v>
      </c>
      <c r="AA40" s="40" t="s">
        <v>48</v>
      </c>
      <c r="AB40" s="70" t="s">
        <v>48</v>
      </c>
      <c r="AC40" s="42">
        <v>0.267336951593242</v>
      </c>
      <c r="AD40" s="40" t="s">
        <v>48</v>
      </c>
      <c r="AE40" s="70" t="s">
        <v>48</v>
      </c>
      <c r="AF40" s="40">
        <v>1.3902311655776336</v>
      </c>
      <c r="AG40" s="40">
        <v>8.2579315816484672E-2</v>
      </c>
      <c r="AH40" s="40">
        <v>2.2931888674978935E-2</v>
      </c>
      <c r="AI40" s="42">
        <v>1.692170916861143</v>
      </c>
      <c r="AJ40" s="40" t="s">
        <v>48</v>
      </c>
      <c r="AK40" s="70" t="s">
        <v>48</v>
      </c>
      <c r="AL40" s="40">
        <v>2.5802466894661564</v>
      </c>
      <c r="AM40" s="40" t="s">
        <v>48</v>
      </c>
      <c r="AN40" s="40" t="s">
        <v>48</v>
      </c>
    </row>
    <row r="41" spans="1:40" x14ac:dyDescent="0.35">
      <c r="A41" s="12">
        <v>32</v>
      </c>
      <c r="B41" s="33"/>
      <c r="C41" s="38" t="str">
        <f>Notes!U40</f>
        <v xml:space="preserve">               Other crops</v>
      </c>
      <c r="D41" s="4" t="s">
        <v>332</v>
      </c>
      <c r="E41" s="42">
        <v>1.1489274175749702</v>
      </c>
      <c r="F41" s="40">
        <v>0.76114258610088303</v>
      </c>
      <c r="G41" s="40">
        <v>0.93664502402288141</v>
      </c>
      <c r="H41" s="40">
        <v>0.66032620389001695</v>
      </c>
      <c r="I41" s="42" t="s">
        <v>48</v>
      </c>
      <c r="J41" s="40" t="s">
        <v>48</v>
      </c>
      <c r="K41" s="70" t="s">
        <v>48</v>
      </c>
      <c r="L41" s="40" t="s">
        <v>48</v>
      </c>
      <c r="M41" s="40">
        <v>1.5141513504499728</v>
      </c>
      <c r="N41" s="40" t="s">
        <v>48</v>
      </c>
      <c r="O41" s="40" t="s">
        <v>48</v>
      </c>
      <c r="P41" s="42" t="s">
        <v>48</v>
      </c>
      <c r="Q41" s="40" t="s">
        <v>48</v>
      </c>
      <c r="R41" s="40" t="s">
        <v>48</v>
      </c>
      <c r="S41" s="42" t="s">
        <v>48</v>
      </c>
      <c r="T41" s="40" t="s">
        <v>48</v>
      </c>
      <c r="U41" s="40">
        <v>1.189587364287406</v>
      </c>
      <c r="W41" s="33"/>
      <c r="X41" s="38" t="str">
        <f>Notes!U40</f>
        <v xml:space="preserve">               Other crops</v>
      </c>
      <c r="Y41" s="4" t="s">
        <v>332</v>
      </c>
      <c r="Z41" s="42" t="s">
        <v>48</v>
      </c>
      <c r="AA41" s="40" t="s">
        <v>48</v>
      </c>
      <c r="AB41" s="70" t="s">
        <v>48</v>
      </c>
      <c r="AC41" s="42" t="s">
        <v>48</v>
      </c>
      <c r="AD41" s="40" t="s">
        <v>48</v>
      </c>
      <c r="AE41" s="70" t="s">
        <v>48</v>
      </c>
      <c r="AF41" s="40">
        <v>0.66032620389001695</v>
      </c>
      <c r="AG41" s="40">
        <v>3.4667494289014458E-2</v>
      </c>
      <c r="AH41" s="40">
        <v>4.5725925965138308E-3</v>
      </c>
      <c r="AI41" s="42">
        <v>0.76114258610088303</v>
      </c>
      <c r="AJ41" s="40" t="s">
        <v>48</v>
      </c>
      <c r="AK41" s="70" t="s">
        <v>48</v>
      </c>
      <c r="AL41" s="40">
        <v>1.1489274175749702</v>
      </c>
      <c r="AM41" s="40" t="s">
        <v>48</v>
      </c>
      <c r="AN41" s="40" t="s">
        <v>48</v>
      </c>
    </row>
    <row r="42" spans="1:40" x14ac:dyDescent="0.35">
      <c r="A42" s="12">
        <v>33</v>
      </c>
      <c r="B42" s="33"/>
      <c r="C42" s="38" t="str">
        <f>Notes!U41</f>
        <v xml:space="preserve">               Livestock</v>
      </c>
      <c r="D42" s="4" t="s">
        <v>333</v>
      </c>
      <c r="E42" s="42">
        <v>0.47819724096668303</v>
      </c>
      <c r="F42" s="40">
        <v>0.3259185375300549</v>
      </c>
      <c r="G42" s="40">
        <v>0.41046294843096032</v>
      </c>
      <c r="H42" s="40">
        <v>0.28215013880318623</v>
      </c>
      <c r="I42" s="42">
        <v>1.830542863275199E-3</v>
      </c>
      <c r="J42" s="40">
        <v>5.6983248748701358E-4</v>
      </c>
      <c r="K42" s="70">
        <v>2.1060220443178826E-3</v>
      </c>
      <c r="L42" s="40" t="s">
        <v>48</v>
      </c>
      <c r="M42" s="40">
        <v>1.4103406060948045</v>
      </c>
      <c r="N42" s="40" t="s">
        <v>48</v>
      </c>
      <c r="O42" s="40" t="s">
        <v>48</v>
      </c>
      <c r="P42" s="42">
        <v>1.5465114351218218E-2</v>
      </c>
      <c r="Q42" s="40" t="s">
        <v>48</v>
      </c>
      <c r="R42" s="40" t="s">
        <v>48</v>
      </c>
      <c r="S42" s="42" t="s">
        <v>48</v>
      </c>
      <c r="T42" s="40" t="s">
        <v>48</v>
      </c>
      <c r="U42" s="40">
        <v>0.9887870924237081</v>
      </c>
      <c r="W42" s="33"/>
      <c r="X42" s="38" t="str">
        <f>Notes!U41</f>
        <v xml:space="preserve">               Livestock</v>
      </c>
      <c r="Y42" s="4" t="s">
        <v>333</v>
      </c>
      <c r="Z42" s="42" t="s">
        <v>48</v>
      </c>
      <c r="AA42" s="40" t="s">
        <v>48</v>
      </c>
      <c r="AB42" s="70" t="s">
        <v>48</v>
      </c>
      <c r="AC42" s="42" t="s">
        <v>48</v>
      </c>
      <c r="AD42" s="40" t="s">
        <v>48</v>
      </c>
      <c r="AE42" s="70" t="s">
        <v>48</v>
      </c>
      <c r="AF42" s="40">
        <v>0.28215013880318623</v>
      </c>
      <c r="AG42" s="40">
        <v>4.1004615125759904E-2</v>
      </c>
      <c r="AH42" s="40">
        <v>2.3109711962320191E-3</v>
      </c>
      <c r="AI42" s="42">
        <v>0.3259185375300549</v>
      </c>
      <c r="AJ42" s="40" t="s">
        <v>48</v>
      </c>
      <c r="AK42" s="70" t="s">
        <v>48</v>
      </c>
      <c r="AL42" s="40">
        <v>0.47819724096668303</v>
      </c>
      <c r="AM42" s="40" t="s">
        <v>48</v>
      </c>
      <c r="AN42" s="40" t="s">
        <v>48</v>
      </c>
    </row>
    <row r="43" spans="1:40" x14ac:dyDescent="0.35">
      <c r="A43" s="12">
        <v>34</v>
      </c>
      <c r="B43" s="33"/>
      <c r="C43" s="38" t="str">
        <f>Notes!U42</f>
        <v xml:space="preserve">               Cattle</v>
      </c>
      <c r="D43" s="4" t="s">
        <v>488</v>
      </c>
      <c r="E43" s="42">
        <v>0.17596925572055602</v>
      </c>
      <c r="F43" s="40">
        <v>0.11696794999166847</v>
      </c>
      <c r="G43" s="40">
        <v>0.14321005995373856</v>
      </c>
      <c r="H43" s="40">
        <v>9.3334261572704094E-2</v>
      </c>
      <c r="I43" s="42">
        <v>2.498654611447508E-3</v>
      </c>
      <c r="J43" s="40">
        <v>5.8126750170827959E-3</v>
      </c>
      <c r="K43" s="70">
        <v>1.7745044459248471E-3</v>
      </c>
      <c r="L43" s="40" t="s">
        <v>48</v>
      </c>
      <c r="M43" s="40" t="s">
        <v>48</v>
      </c>
      <c r="N43" s="40">
        <v>0.18846270794032013</v>
      </c>
      <c r="O43" s="40">
        <v>3.954897320590723E-2</v>
      </c>
      <c r="P43" s="42">
        <v>0.43956606477648436</v>
      </c>
      <c r="Q43" s="40">
        <v>14.158937599195276</v>
      </c>
      <c r="R43" s="40">
        <v>6.9331600390674399</v>
      </c>
      <c r="S43" s="42">
        <v>1.2720861724534511</v>
      </c>
      <c r="T43" s="40">
        <v>1.2720861724534509</v>
      </c>
      <c r="U43" s="40">
        <v>1.2720861724534511</v>
      </c>
      <c r="W43" s="33"/>
      <c r="X43" s="38" t="str">
        <f>Notes!U42</f>
        <v xml:space="preserve">               Cattle</v>
      </c>
      <c r="Y43" s="4" t="s">
        <v>488</v>
      </c>
      <c r="Z43" s="42">
        <v>3.954897320590723E-2</v>
      </c>
      <c r="AA43" s="40" t="s">
        <v>48</v>
      </c>
      <c r="AB43" s="70" t="s">
        <v>48</v>
      </c>
      <c r="AC43" s="42">
        <v>0.18846270794032013</v>
      </c>
      <c r="AD43" s="40" t="s">
        <v>48</v>
      </c>
      <c r="AE43" s="70" t="s">
        <v>48</v>
      </c>
      <c r="AF43" s="40">
        <v>9.3334261572704094E-2</v>
      </c>
      <c r="AG43" s="40">
        <v>0.11107084146531382</v>
      </c>
      <c r="AH43" s="40">
        <v>2.0707262179651261E-3</v>
      </c>
      <c r="AI43" s="42">
        <v>0.11696794999166847</v>
      </c>
      <c r="AJ43" s="40" t="s">
        <v>48</v>
      </c>
      <c r="AK43" s="70" t="s">
        <v>48</v>
      </c>
      <c r="AL43" s="40">
        <v>0.17596925572055602</v>
      </c>
      <c r="AM43" s="40" t="s">
        <v>48</v>
      </c>
      <c r="AN43" s="40" t="s">
        <v>48</v>
      </c>
    </row>
    <row r="44" spans="1:40" x14ac:dyDescent="0.35">
      <c r="A44" s="12">
        <v>35</v>
      </c>
      <c r="B44" s="33"/>
      <c r="C44" s="38" t="str">
        <f>Notes!U43</f>
        <v xml:space="preserve">               Raw milk</v>
      </c>
      <c r="D44" s="4" t="s">
        <v>491</v>
      </c>
      <c r="E44" s="42">
        <v>9.0189171086445474E-2</v>
      </c>
      <c r="F44" s="40">
        <v>5.7701482450981514E-2</v>
      </c>
      <c r="G44" s="40">
        <v>7.6144582595696231E-2</v>
      </c>
      <c r="H44" s="40">
        <v>5.0830252879443281E-2</v>
      </c>
      <c r="I44" s="42">
        <v>2.58536445686663E-2</v>
      </c>
      <c r="J44" s="40">
        <v>3.5876030951867751E-3</v>
      </c>
      <c r="K44" s="70">
        <v>3.0719021254680914E-2</v>
      </c>
      <c r="L44" s="40" t="s">
        <v>48</v>
      </c>
      <c r="M44" s="40" t="s">
        <v>48</v>
      </c>
      <c r="N44" s="40" t="s">
        <v>48</v>
      </c>
      <c r="O44" s="40" t="s">
        <v>48</v>
      </c>
      <c r="P44" s="42">
        <v>0.54996165683234699</v>
      </c>
      <c r="Q44" s="40" t="s">
        <v>48</v>
      </c>
      <c r="R44" s="40" t="s">
        <v>48</v>
      </c>
      <c r="S44" s="42" t="s">
        <v>48</v>
      </c>
      <c r="T44" s="40" t="s">
        <v>48</v>
      </c>
      <c r="U44" s="40">
        <v>2.7350796146386833</v>
      </c>
      <c r="W44" s="33"/>
      <c r="X44" s="38" t="str">
        <f>Notes!U43</f>
        <v xml:space="preserve">               Raw milk</v>
      </c>
      <c r="Y44" s="4" t="s">
        <v>491</v>
      </c>
      <c r="Z44" s="42" t="s">
        <v>48</v>
      </c>
      <c r="AA44" s="40" t="s">
        <v>48</v>
      </c>
      <c r="AB44" s="70" t="s">
        <v>48</v>
      </c>
      <c r="AC44" s="42" t="s">
        <v>48</v>
      </c>
      <c r="AD44" s="40" t="s">
        <v>48</v>
      </c>
      <c r="AE44" s="70" t="s">
        <v>48</v>
      </c>
      <c r="AF44" s="40">
        <v>5.0830252879443281E-2</v>
      </c>
      <c r="AG44" s="40">
        <v>0.53780068152252058</v>
      </c>
      <c r="AH44" s="40">
        <v>5.4604086113305833E-3</v>
      </c>
      <c r="AI44" s="42">
        <v>5.7701482450981514E-2</v>
      </c>
      <c r="AJ44" s="40" t="s">
        <v>48</v>
      </c>
      <c r="AK44" s="70" t="s">
        <v>48</v>
      </c>
      <c r="AL44" s="40">
        <v>9.0189171086445474E-2</v>
      </c>
      <c r="AM44" s="40" t="s">
        <v>48</v>
      </c>
      <c r="AN44" s="40" t="s">
        <v>48</v>
      </c>
    </row>
    <row r="45" spans="1:40" x14ac:dyDescent="0.35">
      <c r="A45" s="12">
        <v>36</v>
      </c>
      <c r="B45" s="33"/>
      <c r="C45" s="38" t="str">
        <f>Notes!U44</f>
        <v xml:space="preserve">               Poultry</v>
      </c>
      <c r="D45" s="4" t="s">
        <v>706</v>
      </c>
      <c r="E45" s="42">
        <v>0.47614135976759553</v>
      </c>
      <c r="F45" s="40">
        <v>0.29839193170496475</v>
      </c>
      <c r="G45" s="40">
        <v>0.39219929156584571</v>
      </c>
      <c r="H45" s="40">
        <v>0.18638360107992247</v>
      </c>
      <c r="I45" s="42">
        <v>0.56677012558432971</v>
      </c>
      <c r="J45" s="40">
        <v>0.94387921683162912</v>
      </c>
      <c r="K45" s="70">
        <v>0.48436761219531421</v>
      </c>
      <c r="L45" s="40" t="s">
        <v>48</v>
      </c>
      <c r="M45" s="40" t="s">
        <v>48</v>
      </c>
      <c r="N45" s="40" t="s">
        <v>48</v>
      </c>
      <c r="O45" s="40" t="s">
        <v>48</v>
      </c>
      <c r="P45" s="42">
        <v>27.979782891175081</v>
      </c>
      <c r="Q45" s="40" t="s">
        <v>48</v>
      </c>
      <c r="R45" s="40" t="s">
        <v>48</v>
      </c>
      <c r="S45" s="42" t="s">
        <v>48</v>
      </c>
      <c r="T45" s="40" t="s">
        <v>48</v>
      </c>
      <c r="U45" s="40">
        <v>1.1951093273078686</v>
      </c>
      <c r="W45" s="33"/>
      <c r="X45" s="38" t="str">
        <f>Notes!U44</f>
        <v xml:space="preserve">               Poultry</v>
      </c>
      <c r="Y45" s="4" t="s">
        <v>706</v>
      </c>
      <c r="Z45" s="42" t="s">
        <v>48</v>
      </c>
      <c r="AA45" s="40" t="s">
        <v>48</v>
      </c>
      <c r="AB45" s="70" t="s">
        <v>48</v>
      </c>
      <c r="AC45" s="42" t="s">
        <v>48</v>
      </c>
      <c r="AD45" s="40" t="s">
        <v>48</v>
      </c>
      <c r="AE45" s="70" t="s">
        <v>48</v>
      </c>
      <c r="AF45" s="40">
        <v>0.18638360107992247</v>
      </c>
      <c r="AG45" s="40" t="s">
        <v>48</v>
      </c>
      <c r="AH45" s="40" t="s">
        <v>48</v>
      </c>
      <c r="AI45" s="42">
        <v>0.29839193170496475</v>
      </c>
      <c r="AJ45" s="40" t="s">
        <v>48</v>
      </c>
      <c r="AK45" s="70" t="s">
        <v>48</v>
      </c>
      <c r="AL45" s="40">
        <v>0.47614135976759553</v>
      </c>
      <c r="AM45" s="40" t="s">
        <v>48</v>
      </c>
      <c r="AN45" s="40" t="s">
        <v>48</v>
      </c>
    </row>
    <row r="46" spans="1:40" x14ac:dyDescent="0.35">
      <c r="A46" s="12">
        <v>37</v>
      </c>
      <c r="B46" s="33"/>
      <c r="C46" s="38" t="str">
        <f>Notes!U45</f>
        <v xml:space="preserve">               Eggs</v>
      </c>
      <c r="D46" s="4" t="s">
        <v>336</v>
      </c>
      <c r="E46" s="42">
        <v>0.2108222443499059</v>
      </c>
      <c r="F46" s="40">
        <v>0.13204842908259057</v>
      </c>
      <c r="G46" s="40">
        <v>0.17312115619726112</v>
      </c>
      <c r="H46" s="40">
        <v>0.11720670735236058</v>
      </c>
      <c r="I46" s="42">
        <v>6.8367157541942905E-2</v>
      </c>
      <c r="J46" s="40">
        <v>5.4758257006277476E-2</v>
      </c>
      <c r="K46" s="70">
        <v>7.1340853044458793E-2</v>
      </c>
      <c r="L46" s="40" t="s">
        <v>48</v>
      </c>
      <c r="M46" s="40" t="s">
        <v>48</v>
      </c>
      <c r="N46" s="40">
        <v>7.8874243652921908E-2</v>
      </c>
      <c r="O46" s="40">
        <v>2.1673145714740563E-2</v>
      </c>
      <c r="P46" s="42">
        <v>3.6680172509172895</v>
      </c>
      <c r="Q46" s="40">
        <v>5.0352519929232882</v>
      </c>
      <c r="R46" s="40">
        <v>3.2679541415860207</v>
      </c>
      <c r="S46" s="42">
        <v>8.363013099513104</v>
      </c>
      <c r="T46" s="40">
        <v>8.3630130995131058</v>
      </c>
      <c r="U46" s="40">
        <v>8.363013099513104</v>
      </c>
      <c r="W46" s="33"/>
      <c r="X46" s="38" t="str">
        <f>Notes!U45</f>
        <v xml:space="preserve">               Eggs</v>
      </c>
      <c r="Y46" s="4" t="s">
        <v>336</v>
      </c>
      <c r="Z46" s="42">
        <v>2.1673145714740563E-2</v>
      </c>
      <c r="AA46" s="40" t="s">
        <v>48</v>
      </c>
      <c r="AB46" s="70" t="s">
        <v>48</v>
      </c>
      <c r="AC46" s="42">
        <v>7.8874243652921908E-2</v>
      </c>
      <c r="AD46" s="40" t="s">
        <v>48</v>
      </c>
      <c r="AE46" s="70" t="s">
        <v>48</v>
      </c>
      <c r="AF46" s="40">
        <v>0.11720670735236058</v>
      </c>
      <c r="AG46" s="40">
        <v>0.36379970976803888</v>
      </c>
      <c r="AH46" s="40">
        <v>8.5171900529373758E-3</v>
      </c>
      <c r="AI46" s="42">
        <v>0.13204842908259057</v>
      </c>
      <c r="AJ46" s="40" t="s">
        <v>48</v>
      </c>
      <c r="AK46" s="70" t="s">
        <v>48</v>
      </c>
      <c r="AL46" s="40">
        <v>0.2108222443499059</v>
      </c>
      <c r="AM46" s="40" t="s">
        <v>48</v>
      </c>
      <c r="AN46" s="40" t="s">
        <v>48</v>
      </c>
    </row>
    <row r="47" spans="1:40" x14ac:dyDescent="0.35">
      <c r="A47" s="12">
        <v>38</v>
      </c>
      <c r="B47" s="33"/>
      <c r="C47" s="38" t="str">
        <f>Notes!U46</f>
        <v xml:space="preserve">               Small ruminants</v>
      </c>
      <c r="D47" s="4" t="s">
        <v>707</v>
      </c>
      <c r="E47" s="42">
        <v>5.7798691418834398</v>
      </c>
      <c r="F47" s="40">
        <v>3.5455288379718541</v>
      </c>
      <c r="G47" s="40">
        <v>6.3050691488846553</v>
      </c>
      <c r="H47" s="40">
        <v>0.85507410267425377</v>
      </c>
      <c r="I47" s="42">
        <v>6.8325957542023179</v>
      </c>
      <c r="J47" s="40">
        <v>31.338188621569564</v>
      </c>
      <c r="K47" s="70">
        <v>1.4778522828104657</v>
      </c>
      <c r="L47" s="40" t="s">
        <v>48</v>
      </c>
      <c r="M47" s="40">
        <v>0.16035644310549851</v>
      </c>
      <c r="N47" s="40" t="s">
        <v>48</v>
      </c>
      <c r="O47" s="40" t="s">
        <v>48</v>
      </c>
      <c r="P47" s="42">
        <v>78.182195275251885</v>
      </c>
      <c r="Q47" s="40" t="s">
        <v>48</v>
      </c>
      <c r="R47" s="40" t="s">
        <v>48</v>
      </c>
      <c r="S47" s="42" t="s">
        <v>48</v>
      </c>
      <c r="T47" s="40" t="s">
        <v>48</v>
      </c>
      <c r="U47" s="40">
        <v>22.010141516981445</v>
      </c>
      <c r="W47" s="33"/>
      <c r="X47" s="38" t="str">
        <f>Notes!U46</f>
        <v xml:space="preserve">               Small ruminants</v>
      </c>
      <c r="Y47" s="4" t="s">
        <v>707</v>
      </c>
      <c r="Z47" s="42" t="s">
        <v>48</v>
      </c>
      <c r="AA47" s="40" t="s">
        <v>48</v>
      </c>
      <c r="AB47" s="70" t="s">
        <v>48</v>
      </c>
      <c r="AC47" s="42" t="s">
        <v>48</v>
      </c>
      <c r="AD47" s="40" t="s">
        <v>48</v>
      </c>
      <c r="AE47" s="70" t="s">
        <v>48</v>
      </c>
      <c r="AF47" s="40">
        <v>0.85507410267425377</v>
      </c>
      <c r="AG47" s="40">
        <v>0.59806811373114344</v>
      </c>
      <c r="AH47" s="40">
        <v>0.10214942493874887</v>
      </c>
      <c r="AI47" s="42">
        <v>3.5455288379718541</v>
      </c>
      <c r="AJ47" s="40" t="s">
        <v>48</v>
      </c>
      <c r="AK47" s="70" t="s">
        <v>48</v>
      </c>
      <c r="AL47" s="40">
        <v>5.7798691418834398</v>
      </c>
      <c r="AM47" s="40" t="s">
        <v>48</v>
      </c>
      <c r="AN47" s="40" t="s">
        <v>48</v>
      </c>
    </row>
    <row r="48" spans="1:40" x14ac:dyDescent="0.35">
      <c r="A48" s="12">
        <v>39</v>
      </c>
      <c r="B48" s="33"/>
      <c r="C48" s="38" t="str">
        <f>Notes!U47</f>
        <v xml:space="preserve">               Other livestock</v>
      </c>
      <c r="D48" s="4" t="s">
        <v>338</v>
      </c>
      <c r="E48" s="42">
        <v>5.3701009695504123</v>
      </c>
      <c r="F48" s="40">
        <v>3.2845256318440743</v>
      </c>
      <c r="G48" s="40">
        <v>5.8235129281345115</v>
      </c>
      <c r="H48" s="40">
        <v>0.62095138602784494</v>
      </c>
      <c r="I48" s="42">
        <v>6.2754811539110218</v>
      </c>
      <c r="J48" s="40">
        <v>31.253867074209719</v>
      </c>
      <c r="K48" s="70">
        <v>0.81742716368347279</v>
      </c>
      <c r="L48" s="40" t="s">
        <v>48</v>
      </c>
      <c r="M48" s="40">
        <v>0.16035644310549851</v>
      </c>
      <c r="N48" s="40" t="s">
        <v>48</v>
      </c>
      <c r="O48" s="40" t="s">
        <v>48</v>
      </c>
      <c r="P48" s="42">
        <v>84.167823729442858</v>
      </c>
      <c r="Q48" s="40" t="s">
        <v>48</v>
      </c>
      <c r="R48" s="40" t="s">
        <v>48</v>
      </c>
      <c r="S48" s="42" t="s">
        <v>48</v>
      </c>
      <c r="T48" s="40" t="s">
        <v>48</v>
      </c>
      <c r="U48" s="40">
        <v>27.702237276409374</v>
      </c>
      <c r="W48" s="33"/>
      <c r="X48" s="38" t="str">
        <f>Notes!U47</f>
        <v xml:space="preserve">               Other livestock</v>
      </c>
      <c r="Y48" s="4" t="s">
        <v>338</v>
      </c>
      <c r="Z48" s="42" t="s">
        <v>48</v>
      </c>
      <c r="AA48" s="40" t="s">
        <v>48</v>
      </c>
      <c r="AB48" s="70" t="s">
        <v>48</v>
      </c>
      <c r="AC48" s="42" t="s">
        <v>48</v>
      </c>
      <c r="AD48" s="40" t="s">
        <v>48</v>
      </c>
      <c r="AE48" s="70" t="s">
        <v>48</v>
      </c>
      <c r="AF48" s="40">
        <v>0.62095138602784494</v>
      </c>
      <c r="AG48" s="40">
        <v>0.73973024942692034</v>
      </c>
      <c r="AH48" s="40">
        <v>9.1751358568523816E-2</v>
      </c>
      <c r="AI48" s="42">
        <v>3.2845256318440743</v>
      </c>
      <c r="AJ48" s="40" t="s">
        <v>48</v>
      </c>
      <c r="AK48" s="70" t="s">
        <v>48</v>
      </c>
      <c r="AL48" s="40">
        <v>5.3701009695504123</v>
      </c>
      <c r="AM48" s="40" t="s">
        <v>48</v>
      </c>
      <c r="AN48" s="40" t="s">
        <v>48</v>
      </c>
    </row>
    <row r="49" spans="1:40" x14ac:dyDescent="0.35">
      <c r="A49" s="12">
        <v>40</v>
      </c>
      <c r="B49" s="33"/>
      <c r="C49" s="38" t="str">
        <f>Notes!U48</f>
        <v xml:space="preserve">               Other agriculture</v>
      </c>
      <c r="D49" s="4" t="s">
        <v>708</v>
      </c>
      <c r="E49" s="42">
        <v>0.40976817233302754</v>
      </c>
      <c r="F49" s="40">
        <v>0.2610032061277805</v>
      </c>
      <c r="G49" s="40">
        <v>0.48155622075014343</v>
      </c>
      <c r="H49" s="40">
        <v>0.23412271664640885</v>
      </c>
      <c r="I49" s="42">
        <v>0.55711460029129423</v>
      </c>
      <c r="J49" s="40">
        <v>8.4321547359843638E-2</v>
      </c>
      <c r="K49" s="70">
        <v>0.66042511912699287</v>
      </c>
      <c r="L49" s="40" t="s">
        <v>48</v>
      </c>
      <c r="M49" s="40" t="s">
        <v>48</v>
      </c>
      <c r="N49" s="40" t="s">
        <v>48</v>
      </c>
      <c r="O49" s="40" t="s">
        <v>48</v>
      </c>
      <c r="P49" s="42">
        <v>2.8576413275868551</v>
      </c>
      <c r="Q49" s="40" t="s">
        <v>48</v>
      </c>
      <c r="R49" s="40" t="s">
        <v>48</v>
      </c>
      <c r="S49" s="42" t="s">
        <v>48</v>
      </c>
      <c r="T49" s="40" t="s">
        <v>48</v>
      </c>
      <c r="U49" s="40">
        <v>6.9915777690709309</v>
      </c>
      <c r="W49" s="33"/>
      <c r="X49" s="38" t="str">
        <f>Notes!U48</f>
        <v xml:space="preserve">               Other agriculture</v>
      </c>
      <c r="Y49" s="4" t="s">
        <v>708</v>
      </c>
      <c r="Z49" s="42" t="s">
        <v>48</v>
      </c>
      <c r="AA49" s="40" t="s">
        <v>48</v>
      </c>
      <c r="AB49" s="70" t="s">
        <v>48</v>
      </c>
      <c r="AC49" s="42" t="s">
        <v>48</v>
      </c>
      <c r="AD49" s="40" t="s">
        <v>48</v>
      </c>
      <c r="AE49" s="70" t="s">
        <v>48</v>
      </c>
      <c r="AF49" s="40">
        <v>0.23412271664640885</v>
      </c>
      <c r="AG49" s="40">
        <v>0.22234507084159078</v>
      </c>
      <c r="AH49" s="40">
        <v>1.0398066370225049E-2</v>
      </c>
      <c r="AI49" s="42">
        <v>0.2610032061277805</v>
      </c>
      <c r="AJ49" s="40" t="s">
        <v>48</v>
      </c>
      <c r="AK49" s="70" t="s">
        <v>48</v>
      </c>
      <c r="AL49" s="40">
        <v>0.40976817233302754</v>
      </c>
      <c r="AM49" s="40" t="s">
        <v>48</v>
      </c>
      <c r="AN49" s="40" t="s">
        <v>48</v>
      </c>
    </row>
    <row r="50" spans="1:40" x14ac:dyDescent="0.35">
      <c r="A50" s="12">
        <v>41</v>
      </c>
      <c r="B50" s="33"/>
      <c r="C50" s="38" t="str">
        <f>Notes!U49</f>
        <v xml:space="preserve">               Forestry</v>
      </c>
      <c r="D50" s="4" t="s">
        <v>709</v>
      </c>
      <c r="E50" s="42">
        <v>0.40976817233302754</v>
      </c>
      <c r="F50" s="40">
        <v>0.2610032061277805</v>
      </c>
      <c r="G50" s="40">
        <v>0.48155622075014343</v>
      </c>
      <c r="H50" s="40">
        <v>0.23412271664640885</v>
      </c>
      <c r="I50" s="42">
        <v>0.55711460029129423</v>
      </c>
      <c r="J50" s="40">
        <v>8.4321547359843638E-2</v>
      </c>
      <c r="K50" s="70">
        <v>0.66042511912699287</v>
      </c>
      <c r="L50" s="40" t="s">
        <v>48</v>
      </c>
      <c r="M50" s="40" t="s">
        <v>48</v>
      </c>
      <c r="N50" s="40" t="s">
        <v>48</v>
      </c>
      <c r="O50" s="40" t="s">
        <v>48</v>
      </c>
      <c r="P50" s="42">
        <v>2.8576413275868551</v>
      </c>
      <c r="Q50" s="40" t="s">
        <v>48</v>
      </c>
      <c r="R50" s="40" t="s">
        <v>48</v>
      </c>
      <c r="S50" s="42" t="s">
        <v>48</v>
      </c>
      <c r="T50" s="40" t="s">
        <v>48</v>
      </c>
      <c r="U50" s="40">
        <v>6.9915777690709309</v>
      </c>
      <c r="W50" s="33"/>
      <c r="X50" s="38" t="str">
        <f>Notes!U49</f>
        <v xml:space="preserve">               Forestry</v>
      </c>
      <c r="Y50" s="4" t="s">
        <v>709</v>
      </c>
      <c r="Z50" s="42" t="s">
        <v>48</v>
      </c>
      <c r="AA50" s="40" t="s">
        <v>48</v>
      </c>
      <c r="AB50" s="70" t="s">
        <v>48</v>
      </c>
      <c r="AC50" s="42" t="s">
        <v>48</v>
      </c>
      <c r="AD50" s="40" t="s">
        <v>48</v>
      </c>
      <c r="AE50" s="70" t="s">
        <v>48</v>
      </c>
      <c r="AF50" s="40">
        <v>0.23412271664640885</v>
      </c>
      <c r="AG50" s="40">
        <v>0.22234507084159078</v>
      </c>
      <c r="AH50" s="40">
        <v>1.0398066370225049E-2</v>
      </c>
      <c r="AI50" s="42">
        <v>0.2610032061277805</v>
      </c>
      <c r="AJ50" s="40" t="s">
        <v>48</v>
      </c>
      <c r="AK50" s="70" t="s">
        <v>48</v>
      </c>
      <c r="AL50" s="40">
        <v>0.40976817233302754</v>
      </c>
      <c r="AM50" s="40" t="s">
        <v>48</v>
      </c>
      <c r="AN50" s="40" t="s">
        <v>48</v>
      </c>
    </row>
    <row r="51" spans="1:40" x14ac:dyDescent="0.35">
      <c r="A51" s="12">
        <v>42</v>
      </c>
      <c r="B51" s="33"/>
      <c r="C51" s="38" t="str">
        <f>Notes!U50</f>
        <v xml:space="preserve">               Aquaculture</v>
      </c>
      <c r="D51" s="4" t="s">
        <v>710</v>
      </c>
      <c r="E51" s="42">
        <v>71.20359588127981</v>
      </c>
      <c r="F51" s="40">
        <v>81.543870348148815</v>
      </c>
      <c r="G51" s="40">
        <v>73.342995793523158</v>
      </c>
      <c r="H51" s="40">
        <v>90.088599942365747</v>
      </c>
      <c r="I51" s="42">
        <v>71.922006726126185</v>
      </c>
      <c r="J51" s="40">
        <v>10.028274590697858</v>
      </c>
      <c r="K51" s="70">
        <v>85.446472747660451</v>
      </c>
      <c r="L51" s="40">
        <v>100</v>
      </c>
      <c r="M51" s="40">
        <v>96.915151600349716</v>
      </c>
      <c r="N51" s="40">
        <v>88.303396918261342</v>
      </c>
      <c r="O51" s="40">
        <v>93.596095332718463</v>
      </c>
      <c r="P51" s="42">
        <v>1.0878020906912622</v>
      </c>
      <c r="Q51" s="40">
        <v>8.3313568350636391</v>
      </c>
      <c r="R51" s="40">
        <v>23.186572617982947</v>
      </c>
      <c r="S51" s="42">
        <v>14.126224275163867</v>
      </c>
      <c r="T51" s="40">
        <v>21.092925093138195</v>
      </c>
      <c r="U51" s="40">
        <v>3.1708223804631919</v>
      </c>
      <c r="W51" s="33"/>
      <c r="X51" s="38" t="str">
        <f>Notes!U50</f>
        <v xml:space="preserve">               Aquaculture</v>
      </c>
      <c r="Y51" s="4" t="s">
        <v>710</v>
      </c>
      <c r="Z51" s="42">
        <v>93.596095332718463</v>
      </c>
      <c r="AA51" s="40">
        <v>3.1961681800481028</v>
      </c>
      <c r="AB51" s="70">
        <v>100</v>
      </c>
      <c r="AC51" s="42">
        <v>88.303396918261342</v>
      </c>
      <c r="AD51" s="40" t="s">
        <v>48</v>
      </c>
      <c r="AE51" s="70" t="s">
        <v>48</v>
      </c>
      <c r="AF51" s="40">
        <v>90.088599942365747</v>
      </c>
      <c r="AG51" s="40">
        <v>5.4430642637321318</v>
      </c>
      <c r="AH51" s="40">
        <v>97.947831137456248</v>
      </c>
      <c r="AI51" s="42">
        <v>81.543870348148815</v>
      </c>
      <c r="AJ51" s="40">
        <v>-0.90989874211258903</v>
      </c>
      <c r="AK51" s="70">
        <v>100</v>
      </c>
      <c r="AL51" s="40">
        <v>71.20359588127981</v>
      </c>
      <c r="AM51" s="40" t="s">
        <v>48</v>
      </c>
      <c r="AN51" s="40" t="s">
        <v>48</v>
      </c>
    </row>
    <row r="52" spans="1:40" x14ac:dyDescent="0.35">
      <c r="A52" s="12">
        <v>43</v>
      </c>
      <c r="B52" s="33"/>
      <c r="C52" s="38" t="str">
        <f>Notes!U51</f>
        <v xml:space="preserve">               Capture fisheries</v>
      </c>
      <c r="D52" s="4" t="s">
        <v>499</v>
      </c>
      <c r="E52" s="42">
        <v>18.873148647598413</v>
      </c>
      <c r="F52" s="40">
        <v>28.387027210836557</v>
      </c>
      <c r="G52" s="40">
        <v>16.52673307539342</v>
      </c>
      <c r="H52" s="40">
        <v>43.490026180311567</v>
      </c>
      <c r="I52" s="42">
        <v>35.038508567416265</v>
      </c>
      <c r="J52" s="40">
        <v>10.028274590697858</v>
      </c>
      <c r="K52" s="70">
        <v>40.503521710728293</v>
      </c>
      <c r="L52" s="40" t="s">
        <v>48</v>
      </c>
      <c r="M52" s="40">
        <v>96.907999928652956</v>
      </c>
      <c r="N52" s="40">
        <v>55.87711120759662</v>
      </c>
      <c r="O52" s="40">
        <v>82.832081980677415</v>
      </c>
      <c r="P52" s="42">
        <v>3.1247933074834795</v>
      </c>
      <c r="Q52" s="40">
        <v>14.111905797888436</v>
      </c>
      <c r="R52" s="40">
        <v>44.868876065445953</v>
      </c>
      <c r="S52" s="42">
        <v>22.323873982887431</v>
      </c>
      <c r="T52" s="40">
        <v>23.126595524507191</v>
      </c>
      <c r="U52" s="40">
        <v>9.373369566683408</v>
      </c>
      <c r="W52" s="33"/>
      <c r="X52" s="38" t="str">
        <f>Notes!U51</f>
        <v xml:space="preserve">               Capture fisheries</v>
      </c>
      <c r="Y52" s="4" t="s">
        <v>499</v>
      </c>
      <c r="Z52" s="42">
        <v>82.832081980677415</v>
      </c>
      <c r="AA52" s="40">
        <v>3.6115096291913464</v>
      </c>
      <c r="AB52" s="70">
        <v>100</v>
      </c>
      <c r="AC52" s="42">
        <v>55.87711120759662</v>
      </c>
      <c r="AD52" s="40" t="s">
        <v>48</v>
      </c>
      <c r="AE52" s="70" t="s">
        <v>48</v>
      </c>
      <c r="AF52" s="40">
        <v>43.490026180311567</v>
      </c>
      <c r="AG52" s="40">
        <v>7.6812256526992524</v>
      </c>
      <c r="AH52" s="40">
        <v>66.727018033263775</v>
      </c>
      <c r="AI52" s="42">
        <v>28.387027210836557</v>
      </c>
      <c r="AJ52" s="40" t="s">
        <v>48</v>
      </c>
      <c r="AK52" s="70" t="s">
        <v>48</v>
      </c>
      <c r="AL52" s="40">
        <v>18.873148647598413</v>
      </c>
      <c r="AM52" s="40" t="s">
        <v>48</v>
      </c>
      <c r="AN52" s="40" t="s">
        <v>48</v>
      </c>
    </row>
    <row r="53" spans="1:40" x14ac:dyDescent="0.35">
      <c r="A53" s="12">
        <v>44</v>
      </c>
      <c r="B53" s="33"/>
      <c r="C53" s="38" t="str">
        <f>Notes!U52</f>
        <v xml:space="preserve">               Industry</v>
      </c>
      <c r="D53" s="4" t="s">
        <v>501</v>
      </c>
      <c r="E53" s="42">
        <v>2.341200041546827</v>
      </c>
      <c r="F53" s="40">
        <v>2.0679966695626018</v>
      </c>
      <c r="G53" s="40">
        <v>2.0400135474756489</v>
      </c>
      <c r="H53" s="40">
        <v>1.1184095740046116</v>
      </c>
      <c r="I53" s="42" t="s">
        <v>48</v>
      </c>
      <c r="J53" s="40" t="s">
        <v>48</v>
      </c>
      <c r="K53" s="70" t="s">
        <v>48</v>
      </c>
      <c r="L53" s="40" t="s">
        <v>48</v>
      </c>
      <c r="M53" s="40" t="s">
        <v>48</v>
      </c>
      <c r="N53" s="40">
        <v>23.05519055335829</v>
      </c>
      <c r="O53" s="40">
        <v>0.55368935251314588</v>
      </c>
      <c r="P53" s="42" t="s">
        <v>48</v>
      </c>
      <c r="Q53" s="40">
        <v>64.529231197575868</v>
      </c>
      <c r="R53" s="40">
        <v>11.386028078334471</v>
      </c>
      <c r="S53" s="42">
        <v>33.46724552063742</v>
      </c>
      <c r="T53" s="40">
        <v>27.730361339233262</v>
      </c>
      <c r="U53" s="40">
        <v>33.450125522471282</v>
      </c>
      <c r="W53" s="33"/>
      <c r="X53" s="38" t="str">
        <f>Notes!U52</f>
        <v xml:space="preserve">               Industry</v>
      </c>
      <c r="Y53" s="4" t="s">
        <v>501</v>
      </c>
      <c r="Z53" s="42">
        <v>0.55368935251314588</v>
      </c>
      <c r="AA53" s="40" t="s">
        <v>48</v>
      </c>
      <c r="AB53" s="70" t="s">
        <v>48</v>
      </c>
      <c r="AC53" s="42">
        <v>23.05519055335829</v>
      </c>
      <c r="AD53" s="40" t="s">
        <v>48</v>
      </c>
      <c r="AE53" s="70" t="s">
        <v>48</v>
      </c>
      <c r="AF53" s="40">
        <v>1.1184095740046116</v>
      </c>
      <c r="AG53" s="40">
        <v>2.9195930320440922</v>
      </c>
      <c r="AH53" s="40">
        <v>0.65223592949256426</v>
      </c>
      <c r="AI53" s="42">
        <v>2.0679966695626018</v>
      </c>
      <c r="AJ53" s="40" t="s">
        <v>48</v>
      </c>
      <c r="AK53" s="70" t="s">
        <v>48</v>
      </c>
      <c r="AL53" s="40">
        <v>2.341200041546827</v>
      </c>
      <c r="AM53" s="40" t="s">
        <v>48</v>
      </c>
      <c r="AN53" s="40" t="s">
        <v>48</v>
      </c>
    </row>
    <row r="54" spans="1:40" x14ac:dyDescent="0.35">
      <c r="A54" s="12">
        <v>45</v>
      </c>
      <c r="B54" s="33"/>
      <c r="C54" s="38" t="str">
        <f>Notes!U53</f>
        <v xml:space="preserve">               Mining</v>
      </c>
      <c r="D54" s="4" t="s">
        <v>711</v>
      </c>
      <c r="E54" s="42">
        <v>9.837357532274933E-4</v>
      </c>
      <c r="F54" s="40">
        <v>6.0058130173075018E-4</v>
      </c>
      <c r="G54" s="40">
        <v>8.5732834699449637E-4</v>
      </c>
      <c r="H54" s="40">
        <v>2.3528620003946774E-2</v>
      </c>
      <c r="I54" s="42" t="s">
        <v>48</v>
      </c>
      <c r="J54" s="40" t="s">
        <v>48</v>
      </c>
      <c r="K54" s="70" t="s">
        <v>48</v>
      </c>
      <c r="L54" s="40" t="s">
        <v>48</v>
      </c>
      <c r="M54" s="40" t="s">
        <v>48</v>
      </c>
      <c r="N54" s="40" t="s">
        <v>48</v>
      </c>
      <c r="O54" s="40">
        <v>0.13732968838579954</v>
      </c>
      <c r="P54" s="42" t="s">
        <v>48</v>
      </c>
      <c r="Q54" s="40" t="s">
        <v>48</v>
      </c>
      <c r="R54" s="40">
        <v>97.730206230327383</v>
      </c>
      <c r="S54" s="42" t="s">
        <v>48</v>
      </c>
      <c r="T54" s="40">
        <v>2.1500838539749054</v>
      </c>
      <c r="U54" s="40">
        <v>2.1500838539749054</v>
      </c>
      <c r="W54" s="33"/>
      <c r="X54" s="38" t="str">
        <f>Notes!U53</f>
        <v xml:space="preserve">               Mining</v>
      </c>
      <c r="Y54" s="4" t="s">
        <v>711</v>
      </c>
      <c r="Z54" s="42">
        <v>0.13732968838579954</v>
      </c>
      <c r="AA54" s="40" t="s">
        <v>48</v>
      </c>
      <c r="AB54" s="70" t="s">
        <v>48</v>
      </c>
      <c r="AC54" s="42" t="s">
        <v>48</v>
      </c>
      <c r="AD54" s="40" t="s">
        <v>48</v>
      </c>
      <c r="AE54" s="70" t="s">
        <v>48</v>
      </c>
      <c r="AF54" s="40">
        <v>2.3528620003946774E-2</v>
      </c>
      <c r="AG54" s="40">
        <v>1.5143100182603515</v>
      </c>
      <c r="AH54" s="40">
        <v>7.116931333506305E-3</v>
      </c>
      <c r="AI54" s="42">
        <v>6.0058130173075018E-4</v>
      </c>
      <c r="AJ54" s="40" t="s">
        <v>48</v>
      </c>
      <c r="AK54" s="70" t="s">
        <v>48</v>
      </c>
      <c r="AL54" s="40">
        <v>9.837357532274933E-4</v>
      </c>
      <c r="AM54" s="40" t="s">
        <v>48</v>
      </c>
      <c r="AN54" s="40" t="s">
        <v>48</v>
      </c>
    </row>
    <row r="55" spans="1:40" x14ac:dyDescent="0.35">
      <c r="A55" s="12">
        <v>46</v>
      </c>
      <c r="B55" s="33"/>
      <c r="C55" s="38" t="str">
        <f>Notes!U54</f>
        <v xml:space="preserve">               Coal and lignite</v>
      </c>
      <c r="D55" s="4" t="s">
        <v>712</v>
      </c>
      <c r="E55" s="42">
        <v>2.3402163057935996</v>
      </c>
      <c r="F55" s="40">
        <v>2.0673960882608715</v>
      </c>
      <c r="G55" s="40">
        <v>2.039156219128655</v>
      </c>
      <c r="H55" s="40">
        <v>1.094880954000665</v>
      </c>
      <c r="I55" s="42" t="s">
        <v>48</v>
      </c>
      <c r="J55" s="40" t="s">
        <v>48</v>
      </c>
      <c r="K55" s="70" t="s">
        <v>48</v>
      </c>
      <c r="L55" s="40" t="s">
        <v>48</v>
      </c>
      <c r="M55" s="40" t="s">
        <v>48</v>
      </c>
      <c r="N55" s="40">
        <v>23.05519055335829</v>
      </c>
      <c r="O55" s="40">
        <v>0.41635966412734643</v>
      </c>
      <c r="P55" s="42" t="s">
        <v>48</v>
      </c>
      <c r="Q55" s="40">
        <v>64.547634063690055</v>
      </c>
      <c r="R55" s="40">
        <v>9.503075959484212</v>
      </c>
      <c r="S55" s="42">
        <v>33.46724552063742</v>
      </c>
      <c r="T55" s="40">
        <v>33.467245520637405</v>
      </c>
      <c r="U55" s="40">
        <v>33.467245520637405</v>
      </c>
      <c r="W55" s="33"/>
      <c r="X55" s="38" t="str">
        <f>Notes!U54</f>
        <v xml:space="preserve">               Coal and lignite</v>
      </c>
      <c r="Y55" s="4" t="s">
        <v>712</v>
      </c>
      <c r="Z55" s="42">
        <v>0.41635966412734643</v>
      </c>
      <c r="AA55" s="40" t="s">
        <v>48</v>
      </c>
      <c r="AB55" s="70" t="s">
        <v>48</v>
      </c>
      <c r="AC55" s="42">
        <v>23.05519055335829</v>
      </c>
      <c r="AD55" s="40" t="s">
        <v>48</v>
      </c>
      <c r="AE55" s="70" t="s">
        <v>48</v>
      </c>
      <c r="AF55" s="40">
        <v>1.094880954000665</v>
      </c>
      <c r="AG55" s="40">
        <v>2.9497920869354046</v>
      </c>
      <c r="AH55" s="40">
        <v>0.64511899815905793</v>
      </c>
      <c r="AI55" s="42">
        <v>2.0673960882608715</v>
      </c>
      <c r="AJ55" s="40" t="s">
        <v>48</v>
      </c>
      <c r="AK55" s="70" t="s">
        <v>48</v>
      </c>
      <c r="AL55" s="40">
        <v>2.3402163057935996</v>
      </c>
      <c r="AM55" s="40" t="s">
        <v>48</v>
      </c>
      <c r="AN55" s="40" t="s">
        <v>48</v>
      </c>
    </row>
    <row r="56" spans="1:40" x14ac:dyDescent="0.35">
      <c r="A56" s="12">
        <v>47</v>
      </c>
      <c r="B56" s="33"/>
      <c r="C56" s="38" t="str">
        <f>Notes!U55</f>
        <v xml:space="preserve">               Crude oil</v>
      </c>
      <c r="D56" s="4" t="s">
        <v>713</v>
      </c>
      <c r="E56" s="42">
        <v>16.531948606051586</v>
      </c>
      <c r="F56" s="40">
        <v>26.319030541273953</v>
      </c>
      <c r="G56" s="40">
        <v>14.486719527917757</v>
      </c>
      <c r="H56" s="40">
        <v>42.371616606306958</v>
      </c>
      <c r="I56" s="42">
        <v>35.038508567416265</v>
      </c>
      <c r="J56" s="40">
        <v>10.028274590697858</v>
      </c>
      <c r="K56" s="70">
        <v>40.503521710728293</v>
      </c>
      <c r="L56" s="40" t="s">
        <v>48</v>
      </c>
      <c r="M56" s="40">
        <v>96.907999928652956</v>
      </c>
      <c r="N56" s="40">
        <v>32.821920654238326</v>
      </c>
      <c r="O56" s="40">
        <v>82.278392628164283</v>
      </c>
      <c r="P56" s="42">
        <v>3.3703214299123596</v>
      </c>
      <c r="Q56" s="40">
        <v>9.8888626944741134</v>
      </c>
      <c r="R56" s="40">
        <v>45.799515499546466</v>
      </c>
      <c r="S56" s="42">
        <v>14.496405355559567</v>
      </c>
      <c r="T56" s="40">
        <v>23.094784060945951</v>
      </c>
      <c r="U56" s="40">
        <v>8.2792719673283557</v>
      </c>
      <c r="W56" s="33"/>
      <c r="X56" s="38" t="str">
        <f>Notes!U55</f>
        <v xml:space="preserve">               Crude oil</v>
      </c>
      <c r="Y56" s="4" t="s">
        <v>713</v>
      </c>
      <c r="Z56" s="42">
        <v>82.278392628164283</v>
      </c>
      <c r="AA56" s="40">
        <v>3.6358131475794466</v>
      </c>
      <c r="AB56" s="70">
        <v>100</v>
      </c>
      <c r="AC56" s="42">
        <v>32.821920654238326</v>
      </c>
      <c r="AD56" s="40" t="s">
        <v>48</v>
      </c>
      <c r="AE56" s="70" t="s">
        <v>48</v>
      </c>
      <c r="AF56" s="40">
        <v>42.371616606306958</v>
      </c>
      <c r="AG56" s="40">
        <v>7.806910154197384</v>
      </c>
      <c r="AH56" s="40">
        <v>66.074782103771227</v>
      </c>
      <c r="AI56" s="42">
        <v>26.319030541273953</v>
      </c>
      <c r="AJ56" s="40" t="s">
        <v>48</v>
      </c>
      <c r="AK56" s="70" t="s">
        <v>48</v>
      </c>
      <c r="AL56" s="40">
        <v>16.531948606051586</v>
      </c>
      <c r="AM56" s="40" t="s">
        <v>48</v>
      </c>
      <c r="AN56" s="40" t="s">
        <v>48</v>
      </c>
    </row>
    <row r="57" spans="1:40" x14ac:dyDescent="0.35">
      <c r="A57" s="12">
        <v>48</v>
      </c>
      <c r="B57" s="33"/>
      <c r="C57" s="38" t="str">
        <f>Notes!U56</f>
        <v xml:space="preserve">               Natural gas</v>
      </c>
      <c r="D57" s="4" t="s">
        <v>504</v>
      </c>
      <c r="E57" s="42">
        <v>5.4584130000239313</v>
      </c>
      <c r="F57" s="40">
        <v>8.849849765968413</v>
      </c>
      <c r="G57" s="40">
        <v>4.4731691616176485</v>
      </c>
      <c r="H57" s="40">
        <v>10.444595593807907</v>
      </c>
      <c r="I57" s="42">
        <v>19.567139652654475</v>
      </c>
      <c r="J57" s="40">
        <v>10.028274590697858</v>
      </c>
      <c r="K57" s="70">
        <v>21.65148732346794</v>
      </c>
      <c r="L57" s="40" t="s">
        <v>48</v>
      </c>
      <c r="M57" s="40" t="s">
        <v>48</v>
      </c>
      <c r="N57" s="40">
        <v>13.115291921394141</v>
      </c>
      <c r="O57" s="40">
        <v>14.272701111344494</v>
      </c>
      <c r="P57" s="42">
        <v>10.023174968334271</v>
      </c>
      <c r="Q57" s="40">
        <v>13.598706817687656</v>
      </c>
      <c r="R57" s="40">
        <v>29.089707510432145</v>
      </c>
      <c r="S57" s="42">
        <v>7.8030090022488885</v>
      </c>
      <c r="T57" s="40">
        <v>8.5832362241728113</v>
      </c>
      <c r="U57" s="40">
        <v>9.4249733725210874</v>
      </c>
      <c r="W57" s="33"/>
      <c r="X57" s="38" t="str">
        <f>Notes!U56</f>
        <v xml:space="preserve">               Natural gas</v>
      </c>
      <c r="Y57" s="4" t="s">
        <v>504</v>
      </c>
      <c r="Z57" s="42">
        <v>14.272701111344494</v>
      </c>
      <c r="AA57" s="40">
        <v>4.8884751694689683</v>
      </c>
      <c r="AB57" s="70">
        <v>23.323419849374211</v>
      </c>
      <c r="AC57" s="42">
        <v>13.115291921394141</v>
      </c>
      <c r="AD57" s="40" t="s">
        <v>48</v>
      </c>
      <c r="AE57" s="70" t="s">
        <v>48</v>
      </c>
      <c r="AF57" s="40">
        <v>10.444595593807907</v>
      </c>
      <c r="AG57" s="40">
        <v>13.029584962762483</v>
      </c>
      <c r="AH57" s="40">
        <v>27.183397486741427</v>
      </c>
      <c r="AI57" s="42">
        <v>8.849849765968413</v>
      </c>
      <c r="AJ57" s="40" t="s">
        <v>48</v>
      </c>
      <c r="AK57" s="70" t="s">
        <v>48</v>
      </c>
      <c r="AL57" s="40">
        <v>5.4584130000239313</v>
      </c>
      <c r="AM57" s="40" t="s">
        <v>48</v>
      </c>
      <c r="AN57" s="40" t="s">
        <v>48</v>
      </c>
    </row>
    <row r="58" spans="1:40" x14ac:dyDescent="0.35">
      <c r="A58" s="12">
        <v>49</v>
      </c>
      <c r="B58" s="33"/>
      <c r="C58" s="38" t="str">
        <f>Notes!U57</f>
        <v xml:space="preserve">               Other mining</v>
      </c>
      <c r="D58" s="4" t="s">
        <v>766</v>
      </c>
      <c r="E58" s="42">
        <v>2.9339792247858152</v>
      </c>
      <c r="F58" s="40">
        <v>5.8115558244393695</v>
      </c>
      <c r="G58" s="40">
        <v>2.7303468014023897</v>
      </c>
      <c r="H58" s="40">
        <v>6.3333233958114272</v>
      </c>
      <c r="I58" s="42">
        <v>13.136753306964444</v>
      </c>
      <c r="J58" s="40">
        <v>4.9687533151590584</v>
      </c>
      <c r="K58" s="70">
        <v>14.921551775916869</v>
      </c>
      <c r="L58" s="40" t="s">
        <v>48</v>
      </c>
      <c r="M58" s="40" t="s">
        <v>48</v>
      </c>
      <c r="N58" s="40">
        <v>12.391326768043502</v>
      </c>
      <c r="O58" s="40">
        <v>10.850915469955323</v>
      </c>
      <c r="P58" s="42">
        <v>7.5625805704312459</v>
      </c>
      <c r="Q58" s="40">
        <v>19.365070310159787</v>
      </c>
      <c r="R58" s="40">
        <v>32.710902814458201</v>
      </c>
      <c r="S58" s="42">
        <v>7.5348425759282289</v>
      </c>
      <c r="T58" s="40">
        <v>7.3844089732735663</v>
      </c>
      <c r="U58" s="40">
        <v>6.8618010865035659</v>
      </c>
      <c r="W58" s="33"/>
      <c r="X58" s="38" t="str">
        <f>Notes!U57</f>
        <v xml:space="preserve">               Other mining</v>
      </c>
      <c r="Y58" s="4" t="s">
        <v>766</v>
      </c>
      <c r="Z58" s="42">
        <v>10.850915469955323</v>
      </c>
      <c r="AA58" s="40">
        <v>2.4623323997506819E-2</v>
      </c>
      <c r="AB58" s="70">
        <v>8.9315267919289953E-2</v>
      </c>
      <c r="AC58" s="42">
        <v>12.391326768043502</v>
      </c>
      <c r="AD58" s="40" t="s">
        <v>48</v>
      </c>
      <c r="AE58" s="70" t="s">
        <v>48</v>
      </c>
      <c r="AF58" s="40">
        <v>6.3333233958114272</v>
      </c>
      <c r="AG58" s="40">
        <v>8.7234045387903958</v>
      </c>
      <c r="AH58" s="40">
        <v>11.035682622407997</v>
      </c>
      <c r="AI58" s="42">
        <v>5.8115558244393695</v>
      </c>
      <c r="AJ58" s="40" t="s">
        <v>48</v>
      </c>
      <c r="AK58" s="70" t="s">
        <v>48</v>
      </c>
      <c r="AL58" s="40">
        <v>2.9339792247858152</v>
      </c>
      <c r="AM58" s="40" t="s">
        <v>48</v>
      </c>
      <c r="AN58" s="40" t="s">
        <v>48</v>
      </c>
    </row>
    <row r="59" spans="1:40" x14ac:dyDescent="0.35">
      <c r="A59" s="12">
        <v>50</v>
      </c>
      <c r="B59" s="33"/>
      <c r="C59" s="38" t="str">
        <f>Notes!U58</f>
        <v xml:space="preserve">               Manufacturing</v>
      </c>
      <c r="D59" s="4" t="s">
        <v>508</v>
      </c>
      <c r="E59" s="42">
        <v>0.31337760806782278</v>
      </c>
      <c r="F59" s="40">
        <v>0.81335294471047681</v>
      </c>
      <c r="G59" s="40">
        <v>0.2684157021959519</v>
      </c>
      <c r="H59" s="40">
        <v>0.72309486261898781</v>
      </c>
      <c r="I59" s="42">
        <v>1.3575253631419573</v>
      </c>
      <c r="J59" s="40">
        <v>1.3638001164900136E-2</v>
      </c>
      <c r="K59" s="70">
        <v>1.6511796369553202</v>
      </c>
      <c r="L59" s="40" t="s">
        <v>48</v>
      </c>
      <c r="M59" s="40" t="s">
        <v>48</v>
      </c>
      <c r="N59" s="40" t="s">
        <v>48</v>
      </c>
      <c r="O59" s="40" t="s">
        <v>48</v>
      </c>
      <c r="P59" s="42">
        <v>0.14831554520652171</v>
      </c>
      <c r="Q59" s="40" t="s">
        <v>48</v>
      </c>
      <c r="R59" s="40" t="s">
        <v>48</v>
      </c>
      <c r="S59" s="42" t="s">
        <v>48</v>
      </c>
      <c r="T59" s="40" t="s">
        <v>48</v>
      </c>
      <c r="U59" s="40">
        <v>6.6488631507361644</v>
      </c>
      <c r="W59" s="33"/>
      <c r="X59" s="38" t="str">
        <f>Notes!U58</f>
        <v xml:space="preserve">               Manufacturing</v>
      </c>
      <c r="Y59" s="4" t="s">
        <v>508</v>
      </c>
      <c r="Z59" s="42" t="s">
        <v>48</v>
      </c>
      <c r="AA59" s="40" t="s">
        <v>48</v>
      </c>
      <c r="AB59" s="70" t="s">
        <v>48</v>
      </c>
      <c r="AC59" s="42" t="s">
        <v>48</v>
      </c>
      <c r="AD59" s="40" t="s">
        <v>48</v>
      </c>
      <c r="AE59" s="70" t="s">
        <v>48</v>
      </c>
      <c r="AF59" s="40">
        <v>0.72309486261898781</v>
      </c>
      <c r="AG59" s="40">
        <v>0.3804423149758393</v>
      </c>
      <c r="AH59" s="40">
        <v>5.4949736730049464E-2</v>
      </c>
      <c r="AI59" s="42">
        <v>0.81335294471047681</v>
      </c>
      <c r="AJ59" s="40" t="s">
        <v>48</v>
      </c>
      <c r="AK59" s="70" t="s">
        <v>48</v>
      </c>
      <c r="AL59" s="40">
        <v>0.31337760806782278</v>
      </c>
      <c r="AM59" s="40" t="s">
        <v>48</v>
      </c>
      <c r="AN59" s="40" t="s">
        <v>48</v>
      </c>
    </row>
    <row r="60" spans="1:40" x14ac:dyDescent="0.35">
      <c r="A60" s="12">
        <v>51</v>
      </c>
      <c r="B60" s="33"/>
      <c r="C60" s="38" t="str">
        <f>Notes!U59</f>
        <v xml:space="preserve">               Food processing</v>
      </c>
      <c r="D60" s="4" t="s">
        <v>510</v>
      </c>
      <c r="E60" s="42" t="s">
        <v>48</v>
      </c>
      <c r="F60" s="40" t="s">
        <v>48</v>
      </c>
      <c r="G60" s="40" t="s">
        <v>48</v>
      </c>
      <c r="H60" s="40">
        <v>3.2721413731101837E-2</v>
      </c>
      <c r="I60" s="42">
        <v>0.18410197985843324</v>
      </c>
      <c r="J60" s="40" t="s">
        <v>48</v>
      </c>
      <c r="K60" s="70">
        <v>0.2243303016155461</v>
      </c>
      <c r="L60" s="40" t="s">
        <v>48</v>
      </c>
      <c r="M60" s="40" t="s">
        <v>48</v>
      </c>
      <c r="N60" s="40" t="s">
        <v>48</v>
      </c>
      <c r="O60" s="40" t="s">
        <v>48</v>
      </c>
      <c r="P60" s="42" t="s">
        <v>48</v>
      </c>
      <c r="Q60" s="40" t="s">
        <v>48</v>
      </c>
      <c r="R60" s="40" t="s">
        <v>48</v>
      </c>
      <c r="S60" s="42" t="s">
        <v>48</v>
      </c>
      <c r="T60" s="40" t="s">
        <v>48</v>
      </c>
      <c r="U60" s="40">
        <v>70.536268485121909</v>
      </c>
      <c r="W60" s="33"/>
      <c r="X60" s="38" t="str">
        <f>Notes!U59</f>
        <v xml:space="preserve">               Food processing</v>
      </c>
      <c r="Y60" s="4" t="s">
        <v>510</v>
      </c>
      <c r="Z60" s="42" t="s">
        <v>48</v>
      </c>
      <c r="AA60" s="40" t="s">
        <v>48</v>
      </c>
      <c r="AB60" s="70" t="s">
        <v>48</v>
      </c>
      <c r="AC60" s="42" t="s">
        <v>48</v>
      </c>
      <c r="AD60" s="40" t="s">
        <v>48</v>
      </c>
      <c r="AE60" s="70" t="s">
        <v>48</v>
      </c>
      <c r="AF60" s="40">
        <v>3.2721413731101837E-2</v>
      </c>
      <c r="AG60" s="40">
        <v>45.421286419002953</v>
      </c>
      <c r="AH60" s="40">
        <v>0.29687458070168582</v>
      </c>
      <c r="AI60" s="42" t="s">
        <v>48</v>
      </c>
      <c r="AJ60" s="40" t="s">
        <v>48</v>
      </c>
      <c r="AK60" s="70" t="s">
        <v>48</v>
      </c>
      <c r="AL60" s="40" t="s">
        <v>48</v>
      </c>
      <c r="AM60" s="40" t="s">
        <v>48</v>
      </c>
      <c r="AN60" s="40" t="s">
        <v>48</v>
      </c>
    </row>
    <row r="61" spans="1:40" x14ac:dyDescent="0.35">
      <c r="A61" s="12">
        <v>52</v>
      </c>
      <c r="B61" s="33"/>
      <c r="C61" s="38" t="str">
        <f>Notes!U60</f>
        <v xml:space="preserve">               Food processing</v>
      </c>
      <c r="D61" s="4" t="s">
        <v>506</v>
      </c>
      <c r="E61" s="42">
        <v>8.6472897089543491E-2</v>
      </c>
      <c r="F61" s="40">
        <v>0.16233798934997498</v>
      </c>
      <c r="G61" s="40">
        <v>7.4097960870971633E-2</v>
      </c>
      <c r="H61" s="40">
        <v>0.17817225489898497</v>
      </c>
      <c r="I61" s="42">
        <v>0.41610958973960777</v>
      </c>
      <c r="J61" s="40" t="s">
        <v>48</v>
      </c>
      <c r="K61" s="70">
        <v>0.50703414402814428</v>
      </c>
      <c r="L61" s="40" t="s">
        <v>48</v>
      </c>
      <c r="M61" s="40" t="s">
        <v>48</v>
      </c>
      <c r="N61" s="40">
        <v>0.21985942575286047</v>
      </c>
      <c r="O61" s="40">
        <v>0.13940801336565897</v>
      </c>
      <c r="P61" s="42" t="s">
        <v>48</v>
      </c>
      <c r="Q61" s="40">
        <v>10.072755069995299</v>
      </c>
      <c r="R61" s="40">
        <v>13.887203709310167</v>
      </c>
      <c r="S61" s="42">
        <v>6.4199293836663802</v>
      </c>
      <c r="T61" s="40">
        <v>6.4199293836663811</v>
      </c>
      <c r="U61" s="40">
        <v>6.4199293836663811</v>
      </c>
      <c r="W61" s="33"/>
      <c r="X61" s="38" t="str">
        <f>Notes!U60</f>
        <v xml:space="preserve">               Food processing</v>
      </c>
      <c r="Y61" s="4" t="s">
        <v>506</v>
      </c>
      <c r="Z61" s="42">
        <v>0.13940801336565897</v>
      </c>
      <c r="AA61" s="40" t="s">
        <v>48</v>
      </c>
      <c r="AB61" s="70" t="s">
        <v>48</v>
      </c>
      <c r="AC61" s="42">
        <v>0.21985942575286047</v>
      </c>
      <c r="AD61" s="40" t="s">
        <v>48</v>
      </c>
      <c r="AE61" s="70" t="s">
        <v>48</v>
      </c>
      <c r="AF61" s="40">
        <v>0.17817225489898497</v>
      </c>
      <c r="AG61" s="40">
        <v>2.8497520531610525</v>
      </c>
      <c r="AH61" s="40">
        <v>0.10142118392230479</v>
      </c>
      <c r="AI61" s="42">
        <v>0.16233798934997498</v>
      </c>
      <c r="AJ61" s="40" t="s">
        <v>48</v>
      </c>
      <c r="AK61" s="70" t="s">
        <v>48</v>
      </c>
      <c r="AL61" s="40">
        <v>8.6472897089543491E-2</v>
      </c>
      <c r="AM61" s="40" t="s">
        <v>48</v>
      </c>
      <c r="AN61" s="40" t="s">
        <v>48</v>
      </c>
    </row>
    <row r="62" spans="1:40" x14ac:dyDescent="0.35">
      <c r="A62" s="12">
        <v>53</v>
      </c>
      <c r="B62" s="33"/>
      <c r="C62" s="38" t="str">
        <f>Notes!U61</f>
        <v xml:space="preserve">               Meat processing</v>
      </c>
      <c r="D62" s="4" t="s">
        <v>342</v>
      </c>
      <c r="E62" s="42">
        <v>0.11472821336602625</v>
      </c>
      <c r="F62" s="40">
        <v>0.14265324197815277</v>
      </c>
      <c r="G62" s="40">
        <v>0.10344837737416555</v>
      </c>
      <c r="H62" s="40">
        <v>0.68002332677615995</v>
      </c>
      <c r="I62" s="42">
        <v>1.370115733407731</v>
      </c>
      <c r="J62" s="40">
        <v>2.0130666335730435E-2</v>
      </c>
      <c r="K62" s="70">
        <v>1.6651024233239953</v>
      </c>
      <c r="L62" s="40" t="s">
        <v>48</v>
      </c>
      <c r="M62" s="40" t="s">
        <v>48</v>
      </c>
      <c r="N62" s="40" t="s">
        <v>48</v>
      </c>
      <c r="O62" s="40">
        <v>2.5374960503099127</v>
      </c>
      <c r="P62" s="42">
        <v>1.2482210355201342</v>
      </c>
      <c r="Q62" s="40" t="s">
        <v>48</v>
      </c>
      <c r="R62" s="40">
        <v>78.999362585365262</v>
      </c>
      <c r="S62" s="42" t="s">
        <v>48</v>
      </c>
      <c r="T62" s="40">
        <v>6.321432369643067</v>
      </c>
      <c r="U62" s="40">
        <v>6.321432369643067</v>
      </c>
      <c r="W62" s="33"/>
      <c r="X62" s="38" t="str">
        <f>Notes!U61</f>
        <v xml:space="preserve">               Meat processing</v>
      </c>
      <c r="Y62" s="4" t="s">
        <v>342</v>
      </c>
      <c r="Z62" s="42">
        <v>2.5374960503099127</v>
      </c>
      <c r="AA62" s="40" t="s">
        <v>48</v>
      </c>
      <c r="AB62" s="70" t="s">
        <v>48</v>
      </c>
      <c r="AC62" s="42" t="s">
        <v>48</v>
      </c>
      <c r="AD62" s="40" t="s">
        <v>48</v>
      </c>
      <c r="AE62" s="70" t="s">
        <v>48</v>
      </c>
      <c r="AF62" s="40">
        <v>0.68002332677615995</v>
      </c>
      <c r="AG62" s="40">
        <v>18.639771112808077</v>
      </c>
      <c r="AH62" s="40">
        <v>2.5318962759077634</v>
      </c>
      <c r="AI62" s="42">
        <v>0.14265324197815277</v>
      </c>
      <c r="AJ62" s="40" t="s">
        <v>48</v>
      </c>
      <c r="AK62" s="70" t="s">
        <v>48</v>
      </c>
      <c r="AL62" s="40">
        <v>0.11472821336602625</v>
      </c>
      <c r="AM62" s="40" t="s">
        <v>48</v>
      </c>
      <c r="AN62" s="40" t="s">
        <v>48</v>
      </c>
    </row>
    <row r="63" spans="1:40" x14ac:dyDescent="0.35">
      <c r="A63" s="12">
        <v>54</v>
      </c>
      <c r="B63" s="33"/>
      <c r="C63" s="38" t="str">
        <f>Notes!U62</f>
        <v xml:space="preserve">               Fish and seafood processing</v>
      </c>
      <c r="D63" s="4" t="s">
        <v>714</v>
      </c>
      <c r="E63" s="42">
        <v>6.405273317352396E-2</v>
      </c>
      <c r="F63" s="40">
        <v>6.8484039621883305E-2</v>
      </c>
      <c r="G63" s="40">
        <v>5.48842803810006E-2</v>
      </c>
      <c r="H63" s="40">
        <v>9.7462982707668733E-2</v>
      </c>
      <c r="I63" s="42">
        <v>0.24595339454521933</v>
      </c>
      <c r="J63" s="40">
        <v>0.25895549032760895</v>
      </c>
      <c r="K63" s="70">
        <v>0.24311229260241032</v>
      </c>
      <c r="L63" s="40" t="s">
        <v>48</v>
      </c>
      <c r="M63" s="40" t="s">
        <v>48</v>
      </c>
      <c r="N63" s="40">
        <v>0.55786183216273222</v>
      </c>
      <c r="O63" s="40">
        <v>0.3129452699392154</v>
      </c>
      <c r="P63" s="42">
        <v>33.446505258770777</v>
      </c>
      <c r="Q63" s="40">
        <v>55.006376895147788</v>
      </c>
      <c r="R63" s="40">
        <v>60.641537847023926</v>
      </c>
      <c r="S63" s="42">
        <v>4.6117790409447039</v>
      </c>
      <c r="T63" s="40">
        <v>4.6117790409447048</v>
      </c>
      <c r="U63" s="40">
        <v>4.6117790409447057</v>
      </c>
      <c r="W63" s="33"/>
      <c r="X63" s="38" t="str">
        <f>Notes!U62</f>
        <v xml:space="preserve">               Fish and seafood processing</v>
      </c>
      <c r="Y63" s="4" t="s">
        <v>714</v>
      </c>
      <c r="Z63" s="42">
        <v>0.3129452699392154</v>
      </c>
      <c r="AA63" s="40">
        <v>0.85377742676272261</v>
      </c>
      <c r="AB63" s="70">
        <v>8.9315267919289953E-2</v>
      </c>
      <c r="AC63" s="42">
        <v>0.55786183216273222</v>
      </c>
      <c r="AD63" s="40" t="s">
        <v>48</v>
      </c>
      <c r="AE63" s="70" t="s">
        <v>48</v>
      </c>
      <c r="AF63" s="40">
        <v>9.7462982707668733E-2</v>
      </c>
      <c r="AG63" s="40">
        <v>9.666188834516861</v>
      </c>
      <c r="AH63" s="40">
        <v>0.188181314373248</v>
      </c>
      <c r="AI63" s="42">
        <v>6.8484039621883305E-2</v>
      </c>
      <c r="AJ63" s="40" t="s">
        <v>48</v>
      </c>
      <c r="AK63" s="70" t="s">
        <v>48</v>
      </c>
      <c r="AL63" s="40">
        <v>6.405273317352396E-2</v>
      </c>
      <c r="AM63" s="40" t="s">
        <v>48</v>
      </c>
      <c r="AN63" s="40" t="s">
        <v>48</v>
      </c>
    </row>
    <row r="64" spans="1:40" x14ac:dyDescent="0.35">
      <c r="A64" s="12">
        <v>55</v>
      </c>
      <c r="B64" s="33"/>
      <c r="C64" s="38" t="str">
        <f>Notes!U63</f>
        <v xml:space="preserve">               Dairy</v>
      </c>
      <c r="D64" s="4" t="s">
        <v>344</v>
      </c>
      <c r="E64" s="42">
        <v>1.4915296808389944</v>
      </c>
      <c r="F64" s="40">
        <v>3.272744871754468</v>
      </c>
      <c r="G64" s="40">
        <v>1.4506732531827484</v>
      </c>
      <c r="H64" s="40">
        <v>2.787219911828092</v>
      </c>
      <c r="I64" s="42">
        <v>6.2036383840443072</v>
      </c>
      <c r="J64" s="40">
        <v>4.1655449595304281</v>
      </c>
      <c r="K64" s="70">
        <v>6.6489843717161738</v>
      </c>
      <c r="L64" s="40" t="s">
        <v>48</v>
      </c>
      <c r="M64" s="40" t="s">
        <v>48</v>
      </c>
      <c r="N64" s="40">
        <v>4.1699616207946928</v>
      </c>
      <c r="O64" s="40">
        <v>2.0928940584214399</v>
      </c>
      <c r="P64" s="42">
        <v>11.258347979468555</v>
      </c>
      <c r="Q64" s="40">
        <v>12.229841055091381</v>
      </c>
      <c r="R64" s="40">
        <v>13.737520405989075</v>
      </c>
      <c r="S64" s="42">
        <v>6.688848147862406</v>
      </c>
      <c r="T64" s="40">
        <v>6.6888481478624042</v>
      </c>
      <c r="U64" s="40">
        <v>6.6888481478624042</v>
      </c>
      <c r="W64" s="33"/>
      <c r="X64" s="38" t="str">
        <f>Notes!U63</f>
        <v xml:space="preserve">               Dairy</v>
      </c>
      <c r="Y64" s="4" t="s">
        <v>344</v>
      </c>
      <c r="Z64" s="42">
        <v>2.0928940584214399</v>
      </c>
      <c r="AA64" s="40" t="s">
        <v>48</v>
      </c>
      <c r="AB64" s="70" t="s">
        <v>48</v>
      </c>
      <c r="AC64" s="42">
        <v>4.1699616207946928</v>
      </c>
      <c r="AD64" s="40" t="s">
        <v>48</v>
      </c>
      <c r="AE64" s="70" t="s">
        <v>48</v>
      </c>
      <c r="AF64" s="40">
        <v>2.787219911828092</v>
      </c>
      <c r="AG64" s="40">
        <v>5.4789506993406993</v>
      </c>
      <c r="AH64" s="40">
        <v>3.0503533663630615</v>
      </c>
      <c r="AI64" s="42">
        <v>3.272744871754468</v>
      </c>
      <c r="AJ64" s="40" t="s">
        <v>48</v>
      </c>
      <c r="AK64" s="70" t="s">
        <v>48</v>
      </c>
      <c r="AL64" s="40">
        <v>1.4915296808389944</v>
      </c>
      <c r="AM64" s="40" t="s">
        <v>48</v>
      </c>
      <c r="AN64" s="40" t="s">
        <v>48</v>
      </c>
    </row>
    <row r="65" spans="1:40" x14ac:dyDescent="0.35">
      <c r="A65" s="12">
        <v>56</v>
      </c>
      <c r="B65" s="33"/>
      <c r="C65" s="38" t="str">
        <f>Notes!U64</f>
        <v xml:space="preserve">               Fruit and vegetable processing</v>
      </c>
      <c r="D65" s="4" t="s">
        <v>343</v>
      </c>
      <c r="E65" s="42">
        <v>0.23326135662075395</v>
      </c>
      <c r="F65" s="40">
        <v>0.59013012343506299</v>
      </c>
      <c r="G65" s="40">
        <v>0.21032339294986654</v>
      </c>
      <c r="H65" s="40">
        <v>0.57223388491341631</v>
      </c>
      <c r="I65" s="42">
        <v>1.2296530117530358</v>
      </c>
      <c r="J65" s="40" t="s">
        <v>48</v>
      </c>
      <c r="K65" s="70">
        <v>1.4983458147551652</v>
      </c>
      <c r="L65" s="40" t="s">
        <v>48</v>
      </c>
      <c r="M65" s="40" t="s">
        <v>48</v>
      </c>
      <c r="N65" s="40">
        <v>0.32791866003996273</v>
      </c>
      <c r="O65" s="40">
        <v>0.26432617394543478</v>
      </c>
      <c r="P65" s="42" t="s">
        <v>48</v>
      </c>
      <c r="Q65" s="40">
        <v>4.6863199459469937</v>
      </c>
      <c r="R65" s="40">
        <v>8.213185287753614</v>
      </c>
      <c r="S65" s="42">
        <v>5.8868600921613776</v>
      </c>
      <c r="T65" s="40">
        <v>5.8868600921613803</v>
      </c>
      <c r="U65" s="40">
        <v>5.8868600921613767</v>
      </c>
      <c r="W65" s="33"/>
      <c r="X65" s="38" t="str">
        <f>Notes!U64</f>
        <v xml:space="preserve">               Fruit and vegetable processing</v>
      </c>
      <c r="Y65" s="4" t="s">
        <v>343</v>
      </c>
      <c r="Z65" s="42">
        <v>0.26432617394543478</v>
      </c>
      <c r="AA65" s="40" t="s">
        <v>48</v>
      </c>
      <c r="AB65" s="70" t="s">
        <v>48</v>
      </c>
      <c r="AC65" s="42">
        <v>0.32791866003996273</v>
      </c>
      <c r="AD65" s="40" t="s">
        <v>48</v>
      </c>
      <c r="AE65" s="70" t="s">
        <v>48</v>
      </c>
      <c r="AF65" s="40">
        <v>0.57223388491341631</v>
      </c>
      <c r="AG65" s="40">
        <v>3.572892142934287</v>
      </c>
      <c r="AH65" s="40">
        <v>0.40838990805749192</v>
      </c>
      <c r="AI65" s="42">
        <v>0.59013012343506299</v>
      </c>
      <c r="AJ65" s="40" t="s">
        <v>48</v>
      </c>
      <c r="AK65" s="70" t="s">
        <v>48</v>
      </c>
      <c r="AL65" s="40">
        <v>0.23326135662075395</v>
      </c>
      <c r="AM65" s="40" t="s">
        <v>48</v>
      </c>
      <c r="AN65" s="40" t="s">
        <v>48</v>
      </c>
    </row>
    <row r="66" spans="1:40" x14ac:dyDescent="0.35">
      <c r="A66" s="12">
        <v>57</v>
      </c>
      <c r="B66" s="33"/>
      <c r="C66" s="38" t="str">
        <f>Notes!U65</f>
        <v xml:space="preserve">               Fats and oils</v>
      </c>
      <c r="D66" s="4" t="s">
        <v>715</v>
      </c>
      <c r="E66" s="42">
        <v>5.6091806209763118E-2</v>
      </c>
      <c r="F66" s="40">
        <v>3.6227388068539805E-2</v>
      </c>
      <c r="G66" s="40">
        <v>5.0576523014425709E-2</v>
      </c>
      <c r="H66" s="40">
        <v>7.183402357400398E-2</v>
      </c>
      <c r="I66" s="42" t="s">
        <v>48</v>
      </c>
      <c r="J66" s="40" t="s">
        <v>48</v>
      </c>
      <c r="K66" s="70" t="s">
        <v>48</v>
      </c>
      <c r="L66" s="40" t="s">
        <v>48</v>
      </c>
      <c r="M66" s="40" t="s">
        <v>48</v>
      </c>
      <c r="N66" s="40" t="s">
        <v>48</v>
      </c>
      <c r="O66" s="40" t="s">
        <v>48</v>
      </c>
      <c r="P66" s="42" t="s">
        <v>48</v>
      </c>
      <c r="Q66" s="40" t="s">
        <v>48</v>
      </c>
      <c r="R66" s="40" t="s">
        <v>48</v>
      </c>
      <c r="S66" s="42" t="s">
        <v>48</v>
      </c>
      <c r="T66" s="40" t="s">
        <v>48</v>
      </c>
      <c r="U66" s="40">
        <v>6.9074604528394579</v>
      </c>
      <c r="W66" s="33"/>
      <c r="X66" s="38" t="str">
        <f>Notes!U65</f>
        <v xml:space="preserve">               Fats and oils</v>
      </c>
      <c r="Y66" s="4" t="s">
        <v>715</v>
      </c>
      <c r="Z66" s="42" t="s">
        <v>48</v>
      </c>
      <c r="AA66" s="40" t="s">
        <v>48</v>
      </c>
      <c r="AB66" s="70" t="s">
        <v>48</v>
      </c>
      <c r="AC66" s="42" t="s">
        <v>48</v>
      </c>
      <c r="AD66" s="40" t="s">
        <v>48</v>
      </c>
      <c r="AE66" s="70" t="s">
        <v>48</v>
      </c>
      <c r="AF66" s="40">
        <v>7.183402357400398E-2</v>
      </c>
      <c r="AG66" s="40">
        <v>4.3381483844801387</v>
      </c>
      <c r="AH66" s="40">
        <v>6.2246669565420562E-2</v>
      </c>
      <c r="AI66" s="42">
        <v>3.6227388068539805E-2</v>
      </c>
      <c r="AJ66" s="40" t="s">
        <v>48</v>
      </c>
      <c r="AK66" s="70" t="s">
        <v>48</v>
      </c>
      <c r="AL66" s="40">
        <v>5.6091806209763118E-2</v>
      </c>
      <c r="AM66" s="40" t="s">
        <v>48</v>
      </c>
      <c r="AN66" s="40" t="s">
        <v>48</v>
      </c>
    </row>
    <row r="67" spans="1:40" x14ac:dyDescent="0.35">
      <c r="A67" s="12">
        <v>58</v>
      </c>
      <c r="B67" s="33"/>
      <c r="C67" s="38" t="str">
        <f>Notes!U66</f>
        <v xml:space="preserve">               Maize milling</v>
      </c>
      <c r="D67" s="4" t="s">
        <v>345</v>
      </c>
      <c r="E67" s="42">
        <v>0.63055673562915016</v>
      </c>
      <c r="F67" s="40">
        <v>0.76185261358934997</v>
      </c>
      <c r="G67" s="40">
        <v>0.56850383444768449</v>
      </c>
      <c r="H67" s="40">
        <v>1.262394758337015</v>
      </c>
      <c r="I67" s="42">
        <v>2.129655850474149</v>
      </c>
      <c r="J67" s="40">
        <v>0.51048419780039089</v>
      </c>
      <c r="K67" s="70">
        <v>2.4834627909201092</v>
      </c>
      <c r="L67" s="40" t="s">
        <v>48</v>
      </c>
      <c r="M67" s="40" t="s">
        <v>48</v>
      </c>
      <c r="N67" s="40">
        <v>7.115725229293254</v>
      </c>
      <c r="O67" s="40">
        <v>5.5038459039736605</v>
      </c>
      <c r="P67" s="42">
        <v>5.9268827236249022</v>
      </c>
      <c r="Q67" s="40">
        <v>88.139648851011586</v>
      </c>
      <c r="R67" s="40">
        <v>93.021403969785666</v>
      </c>
      <c r="S67" s="42">
        <v>8.3701696952478866</v>
      </c>
      <c r="T67" s="40">
        <v>8.3701696952478883</v>
      </c>
      <c r="U67" s="40">
        <v>8.3701696952478883</v>
      </c>
      <c r="W67" s="33"/>
      <c r="X67" s="38" t="str">
        <f>Notes!U66</f>
        <v xml:space="preserve">               Maize milling</v>
      </c>
      <c r="Y67" s="4" t="s">
        <v>345</v>
      </c>
      <c r="Z67" s="42">
        <v>5.5038459039736605</v>
      </c>
      <c r="AA67" s="40" t="s">
        <v>48</v>
      </c>
      <c r="AB67" s="70" t="s">
        <v>48</v>
      </c>
      <c r="AC67" s="42">
        <v>7.115725229293254</v>
      </c>
      <c r="AD67" s="40" t="s">
        <v>48</v>
      </c>
      <c r="AE67" s="70" t="s">
        <v>48</v>
      </c>
      <c r="AF67" s="40">
        <v>1.262394758337015</v>
      </c>
      <c r="AG67" s="40">
        <v>17.463559143511098</v>
      </c>
      <c r="AH67" s="40">
        <v>4.4036162563523904</v>
      </c>
      <c r="AI67" s="42">
        <v>0.76185261358934997</v>
      </c>
      <c r="AJ67" s="40" t="s">
        <v>48</v>
      </c>
      <c r="AK67" s="70" t="s">
        <v>48</v>
      </c>
      <c r="AL67" s="40">
        <v>0.63055673562915016</v>
      </c>
      <c r="AM67" s="40" t="s">
        <v>48</v>
      </c>
      <c r="AN67" s="40" t="s">
        <v>48</v>
      </c>
    </row>
    <row r="68" spans="1:40" x14ac:dyDescent="0.35">
      <c r="A68" s="12">
        <v>59</v>
      </c>
      <c r="B68" s="33"/>
      <c r="C68" s="38" t="str">
        <f>Notes!U67</f>
        <v xml:space="preserve">               Sorghum and millet milling</v>
      </c>
      <c r="D68" s="4" t="s">
        <v>346</v>
      </c>
      <c r="E68" s="42">
        <v>2.2509812290430089</v>
      </c>
      <c r="F68" s="40">
        <v>2.7289489627393313</v>
      </c>
      <c r="G68" s="40">
        <v>1.5435822546408977</v>
      </c>
      <c r="H68" s="40">
        <v>3.3621823099534804</v>
      </c>
      <c r="I68" s="42">
        <v>6.034841867451604</v>
      </c>
      <c r="J68" s="40">
        <v>5.0595212755388035</v>
      </c>
      <c r="K68" s="70">
        <v>6.2479602196712625</v>
      </c>
      <c r="L68" s="40" t="s">
        <v>48</v>
      </c>
      <c r="M68" s="40" t="s">
        <v>48</v>
      </c>
      <c r="N68" s="40">
        <v>0.50523514722413376</v>
      </c>
      <c r="O68" s="40">
        <v>1.6496094171956039</v>
      </c>
      <c r="P68" s="42">
        <v>16.399439526699069</v>
      </c>
      <c r="Q68" s="40">
        <v>1.7367949916507026</v>
      </c>
      <c r="R68" s="40">
        <v>16.878985351462976</v>
      </c>
      <c r="S68" s="42">
        <v>14.312558448491043</v>
      </c>
      <c r="T68" s="40">
        <v>14.166437641668098</v>
      </c>
      <c r="U68" s="40">
        <v>14.308856676862764</v>
      </c>
      <c r="W68" s="33"/>
      <c r="X68" s="38" t="str">
        <f>Notes!U67</f>
        <v xml:space="preserve">               Sorghum and millet milling</v>
      </c>
      <c r="Y68" s="4" t="s">
        <v>346</v>
      </c>
      <c r="Z68" s="42">
        <v>1.6496094171956039</v>
      </c>
      <c r="AA68" s="40">
        <v>42.133949195642749</v>
      </c>
      <c r="AB68" s="70">
        <v>23.234104581454922</v>
      </c>
      <c r="AC68" s="42">
        <v>0.50523514722413376</v>
      </c>
      <c r="AD68" s="40" t="s">
        <v>48</v>
      </c>
      <c r="AE68" s="70" t="s">
        <v>48</v>
      </c>
      <c r="AF68" s="40">
        <v>3.3621823099534804</v>
      </c>
      <c r="AG68" s="40">
        <v>22.330833629092425</v>
      </c>
      <c r="AH68" s="40">
        <v>14.997114909098935</v>
      </c>
      <c r="AI68" s="42">
        <v>2.7289489627393313</v>
      </c>
      <c r="AJ68" s="40" t="s">
        <v>48</v>
      </c>
      <c r="AK68" s="70" t="s">
        <v>48</v>
      </c>
      <c r="AL68" s="40">
        <v>2.2509812290430089</v>
      </c>
      <c r="AM68" s="40" t="s">
        <v>48</v>
      </c>
      <c r="AN68" s="40" t="s">
        <v>48</v>
      </c>
    </row>
    <row r="69" spans="1:40" x14ac:dyDescent="0.35">
      <c r="A69" s="12">
        <v>60</v>
      </c>
      <c r="B69" s="33"/>
      <c r="C69" s="38" t="str">
        <f>Notes!U68</f>
        <v xml:space="preserve">               Rice milling</v>
      </c>
      <c r="D69" s="4" t="s">
        <v>716</v>
      </c>
      <c r="E69" s="42">
        <v>2.1652054686925193</v>
      </c>
      <c r="F69" s="40">
        <v>2.6609362596621602</v>
      </c>
      <c r="G69" s="40">
        <v>1.5010906192196576</v>
      </c>
      <c r="H69" s="40">
        <v>3.24246344148027</v>
      </c>
      <c r="I69" s="42">
        <v>5.6802885922674271</v>
      </c>
      <c r="J69" s="40">
        <v>4.4133794338317367</v>
      </c>
      <c r="K69" s="70">
        <v>5.957122275977806</v>
      </c>
      <c r="L69" s="40" t="s">
        <v>48</v>
      </c>
      <c r="M69" s="40" t="s">
        <v>48</v>
      </c>
      <c r="N69" s="40">
        <v>0.50523514722413376</v>
      </c>
      <c r="O69" s="40">
        <v>1.5197276360926699</v>
      </c>
      <c r="P69" s="42">
        <v>14.670732149778551</v>
      </c>
      <c r="Q69" s="40">
        <v>1.7453753522485274</v>
      </c>
      <c r="R69" s="40">
        <v>14.098350609687731</v>
      </c>
      <c r="S69" s="42">
        <v>14.312558448491043</v>
      </c>
      <c r="T69" s="40">
        <v>14.312558448491039</v>
      </c>
      <c r="U69" s="40">
        <v>14.312558448491039</v>
      </c>
      <c r="W69" s="33"/>
      <c r="X69" s="38" t="str">
        <f>Notes!U68</f>
        <v xml:space="preserve">               Rice milling</v>
      </c>
      <c r="Y69" s="4" t="s">
        <v>716</v>
      </c>
      <c r="Z69" s="42">
        <v>1.5197276360926699</v>
      </c>
      <c r="AA69" s="40">
        <v>23.863996316593145</v>
      </c>
      <c r="AB69" s="70">
        <v>12.123320311622608</v>
      </c>
      <c r="AC69" s="42">
        <v>0.50523514722413376</v>
      </c>
      <c r="AD69" s="40" t="s">
        <v>48</v>
      </c>
      <c r="AE69" s="70" t="s">
        <v>48</v>
      </c>
      <c r="AF69" s="40">
        <v>3.24246344148027</v>
      </c>
      <c r="AG69" s="40">
        <v>22.456624115084143</v>
      </c>
      <c r="AH69" s="40">
        <v>14.544576565267622</v>
      </c>
      <c r="AI69" s="42">
        <v>2.6609362596621602</v>
      </c>
      <c r="AJ69" s="40" t="s">
        <v>48</v>
      </c>
      <c r="AK69" s="70" t="s">
        <v>48</v>
      </c>
      <c r="AL69" s="40">
        <v>2.1652054686925193</v>
      </c>
      <c r="AM69" s="40" t="s">
        <v>48</v>
      </c>
      <c r="AN69" s="40" t="s">
        <v>48</v>
      </c>
    </row>
    <row r="70" spans="1:40" x14ac:dyDescent="0.35">
      <c r="A70" s="12">
        <v>61</v>
      </c>
      <c r="B70" s="33"/>
      <c r="C70" s="38" t="str">
        <f>Notes!U69</f>
        <v xml:space="preserve">               Rice milling - coarse</v>
      </c>
      <c r="D70" s="4" t="s">
        <v>717</v>
      </c>
      <c r="E70" s="42">
        <v>8.5775760350489214E-2</v>
      </c>
      <c r="F70" s="40">
        <v>6.8012703077171499E-2</v>
      </c>
      <c r="G70" s="40">
        <v>4.2491635421240154E-2</v>
      </c>
      <c r="H70" s="40">
        <v>0.11971886847321049</v>
      </c>
      <c r="I70" s="42">
        <v>0.35455327518417673</v>
      </c>
      <c r="J70" s="40">
        <v>0.64614184170706623</v>
      </c>
      <c r="K70" s="70">
        <v>0.29083794369345578</v>
      </c>
      <c r="L70" s="40" t="s">
        <v>48</v>
      </c>
      <c r="M70" s="40" t="s">
        <v>48</v>
      </c>
      <c r="N70" s="40" t="s">
        <v>48</v>
      </c>
      <c r="O70" s="40">
        <v>0.12988178110293402</v>
      </c>
      <c r="P70" s="42">
        <v>84.033571585438651</v>
      </c>
      <c r="Q70" s="40" t="s">
        <v>48</v>
      </c>
      <c r="R70" s="40">
        <v>88.908158029254906</v>
      </c>
      <c r="S70" s="42" t="s">
        <v>48</v>
      </c>
      <c r="T70" s="40">
        <v>13.566227627005114</v>
      </c>
      <c r="U70" s="40">
        <v>13.566227627005118</v>
      </c>
      <c r="W70" s="33"/>
      <c r="X70" s="38" t="str">
        <f>Notes!U69</f>
        <v xml:space="preserve">               Rice milling - coarse</v>
      </c>
      <c r="Y70" s="4" t="s">
        <v>717</v>
      </c>
      <c r="Z70" s="42">
        <v>0.12988178110293402</v>
      </c>
      <c r="AA70" s="40">
        <v>255.90798327974505</v>
      </c>
      <c r="AB70" s="70">
        <v>11.11078426983231</v>
      </c>
      <c r="AC70" s="42" t="s">
        <v>48</v>
      </c>
      <c r="AD70" s="40" t="s">
        <v>48</v>
      </c>
      <c r="AE70" s="70" t="s">
        <v>48</v>
      </c>
      <c r="AF70" s="40">
        <v>0.11971886847321049</v>
      </c>
      <c r="AG70" s="40">
        <v>18.923926620065352</v>
      </c>
      <c r="AH70" s="40">
        <v>0.45253834383131541</v>
      </c>
      <c r="AI70" s="42">
        <v>6.8012703077171499E-2</v>
      </c>
      <c r="AJ70" s="40" t="s">
        <v>48</v>
      </c>
      <c r="AK70" s="70" t="s">
        <v>48</v>
      </c>
      <c r="AL70" s="40">
        <v>8.5775760350489214E-2</v>
      </c>
      <c r="AM70" s="40" t="s">
        <v>48</v>
      </c>
      <c r="AN70" s="40" t="s">
        <v>48</v>
      </c>
    </row>
    <row r="71" spans="1:40" x14ac:dyDescent="0.35">
      <c r="A71" s="12">
        <v>62</v>
      </c>
      <c r="B71" s="33"/>
      <c r="C71" s="38" t="str">
        <f>Notes!U70</f>
        <v xml:space="preserve">               Rice milling - other</v>
      </c>
      <c r="D71" s="4" t="s">
        <v>347</v>
      </c>
      <c r="E71" s="42">
        <v>11.290896346013</v>
      </c>
      <c r="F71" s="40">
        <v>17.742298366026716</v>
      </c>
      <c r="G71" s="40">
        <v>10.162213948860046</v>
      </c>
      <c r="H71" s="40">
        <v>32.604276876968044</v>
      </c>
      <c r="I71" s="42">
        <v>15.866913393000189</v>
      </c>
      <c r="J71" s="40" t="s">
        <v>48</v>
      </c>
      <c r="K71" s="70">
        <v>19.334009715140127</v>
      </c>
      <c r="L71" s="40" t="s">
        <v>48</v>
      </c>
      <c r="M71" s="40">
        <v>96.907999928652956</v>
      </c>
      <c r="N71" s="40">
        <v>19.92535873897069</v>
      </c>
      <c r="O71" s="40">
        <v>69.777867741013338</v>
      </c>
      <c r="P71" s="42" t="s">
        <v>48</v>
      </c>
      <c r="Q71" s="40">
        <v>8.1331244994590932</v>
      </c>
      <c r="R71" s="40">
        <v>50.842619010295579</v>
      </c>
      <c r="S71" s="42">
        <v>18.830374257656306</v>
      </c>
      <c r="T71" s="40">
        <v>25.2570458372671</v>
      </c>
      <c r="U71" s="40">
        <v>7.7820617416319484</v>
      </c>
      <c r="W71" s="33"/>
      <c r="X71" s="38" t="str">
        <f>Notes!U70</f>
        <v xml:space="preserve">               Rice milling - other</v>
      </c>
      <c r="Y71" s="4" t="s">
        <v>347</v>
      </c>
      <c r="Z71" s="42">
        <v>69.777867741013338</v>
      </c>
      <c r="AA71" s="40">
        <v>3.2872474341932754</v>
      </c>
      <c r="AB71" s="70">
        <v>76.676580150625782</v>
      </c>
      <c r="AC71" s="42">
        <v>19.92535873897069</v>
      </c>
      <c r="AD71" s="40" t="s">
        <v>48</v>
      </c>
      <c r="AE71" s="70" t="s">
        <v>48</v>
      </c>
      <c r="AF71" s="40">
        <v>32.604276876968044</v>
      </c>
      <c r="AG71" s="40">
        <v>6.1388051078264798</v>
      </c>
      <c r="AH71" s="40">
        <v>39.979737902698872</v>
      </c>
      <c r="AI71" s="42">
        <v>17.742298366026716</v>
      </c>
      <c r="AJ71" s="40" t="s">
        <v>48</v>
      </c>
      <c r="AK71" s="70" t="s">
        <v>48</v>
      </c>
      <c r="AL71" s="40">
        <v>11.290896346013</v>
      </c>
      <c r="AM71" s="40" t="s">
        <v>48</v>
      </c>
      <c r="AN71" s="40" t="s">
        <v>48</v>
      </c>
    </row>
    <row r="72" spans="1:40" x14ac:dyDescent="0.35">
      <c r="A72" s="12">
        <v>63</v>
      </c>
      <c r="B72" s="33"/>
      <c r="C72" s="38" t="str">
        <f>Notes!U71</f>
        <v xml:space="preserve">               Wheat and barley milling</v>
      </c>
      <c r="D72" s="4" t="s">
        <v>718</v>
      </c>
      <c r="E72" s="42">
        <v>0.48280298581559039</v>
      </c>
      <c r="F72" s="40">
        <v>0.60413949832634373</v>
      </c>
      <c r="G72" s="40">
        <v>0.54227948912885915</v>
      </c>
      <c r="H72" s="40">
        <v>2.5740534738005563</v>
      </c>
      <c r="I72" s="42">
        <v>4.8505583050977954</v>
      </c>
      <c r="J72" s="40" t="s">
        <v>48</v>
      </c>
      <c r="K72" s="70">
        <v>5.9104590207183278</v>
      </c>
      <c r="L72" s="40" t="s">
        <v>48</v>
      </c>
      <c r="M72" s="40" t="s">
        <v>48</v>
      </c>
      <c r="N72" s="40">
        <v>2.4189799616336889</v>
      </c>
      <c r="O72" s="40">
        <v>3.3333076482890114</v>
      </c>
      <c r="P72" s="42" t="s">
        <v>48</v>
      </c>
      <c r="Q72" s="40">
        <v>15.8963418476285</v>
      </c>
      <c r="R72" s="40">
        <v>58.835964386553805</v>
      </c>
      <c r="S72" s="42">
        <v>61.280356274890977</v>
      </c>
      <c r="T72" s="40">
        <v>61.280356274890991</v>
      </c>
      <c r="U72" s="40">
        <v>61.280356274890998</v>
      </c>
      <c r="W72" s="33"/>
      <c r="X72" s="38" t="str">
        <f>Notes!U71</f>
        <v xml:space="preserve">               Wheat and barley milling</v>
      </c>
      <c r="Y72" s="4" t="s">
        <v>718</v>
      </c>
      <c r="Z72" s="42">
        <v>3.3333076482890114</v>
      </c>
      <c r="AA72" s="40" t="s">
        <v>48</v>
      </c>
      <c r="AB72" s="70" t="s">
        <v>48</v>
      </c>
      <c r="AC72" s="42">
        <v>2.4189799616336889</v>
      </c>
      <c r="AD72" s="40" t="s">
        <v>48</v>
      </c>
      <c r="AE72" s="70" t="s">
        <v>48</v>
      </c>
      <c r="AF72" s="40">
        <v>2.5740534738005563</v>
      </c>
      <c r="AG72" s="40">
        <v>8.2770463923299005</v>
      </c>
      <c r="AH72" s="40">
        <v>4.2557340339355241</v>
      </c>
      <c r="AI72" s="42">
        <v>0.60413949832634373</v>
      </c>
      <c r="AJ72" s="40" t="s">
        <v>48</v>
      </c>
      <c r="AK72" s="70" t="s">
        <v>48</v>
      </c>
      <c r="AL72" s="40">
        <v>0.48280298581559039</v>
      </c>
      <c r="AM72" s="40" t="s">
        <v>48</v>
      </c>
      <c r="AN72" s="40" t="s">
        <v>48</v>
      </c>
    </row>
    <row r="73" spans="1:40" x14ac:dyDescent="0.35">
      <c r="A73" s="12">
        <v>64</v>
      </c>
      <c r="B73" s="33"/>
      <c r="C73" s="38" t="str">
        <f>Notes!U72</f>
        <v xml:space="preserve">               Other grain milling</v>
      </c>
      <c r="D73" s="4" t="s">
        <v>349</v>
      </c>
      <c r="E73" s="42">
        <v>0.48280298581559039</v>
      </c>
      <c r="F73" s="40">
        <v>0.60413949832634373</v>
      </c>
      <c r="G73" s="40">
        <v>0.54227948912885915</v>
      </c>
      <c r="H73" s="40">
        <v>2.5740534738005563</v>
      </c>
      <c r="I73" s="42">
        <v>4.8505583050977954</v>
      </c>
      <c r="J73" s="40" t="s">
        <v>48</v>
      </c>
      <c r="K73" s="70">
        <v>5.9104590207183278</v>
      </c>
      <c r="L73" s="40" t="s">
        <v>48</v>
      </c>
      <c r="M73" s="40" t="s">
        <v>48</v>
      </c>
      <c r="N73" s="40">
        <v>2.4189799616336889</v>
      </c>
      <c r="O73" s="40">
        <v>3.3333076482890114</v>
      </c>
      <c r="P73" s="42" t="s">
        <v>48</v>
      </c>
      <c r="Q73" s="40">
        <v>15.8963418476285</v>
      </c>
      <c r="R73" s="40">
        <v>58.835964386553805</v>
      </c>
      <c r="S73" s="42">
        <v>61.280356274890977</v>
      </c>
      <c r="T73" s="40">
        <v>61.280356274890991</v>
      </c>
      <c r="U73" s="40">
        <v>61.280356274890998</v>
      </c>
      <c r="W73" s="33"/>
      <c r="X73" s="38" t="str">
        <f>Notes!U72</f>
        <v xml:space="preserve">               Other grain milling</v>
      </c>
      <c r="Y73" s="4" t="s">
        <v>349</v>
      </c>
      <c r="Z73" s="42">
        <v>3.3333076482890114</v>
      </c>
      <c r="AA73" s="40" t="s">
        <v>48</v>
      </c>
      <c r="AB73" s="70" t="s">
        <v>48</v>
      </c>
      <c r="AC73" s="42">
        <v>2.4189799616336889</v>
      </c>
      <c r="AD73" s="40" t="s">
        <v>48</v>
      </c>
      <c r="AE73" s="70" t="s">
        <v>48</v>
      </c>
      <c r="AF73" s="40">
        <v>2.5740534738005563</v>
      </c>
      <c r="AG73" s="40">
        <v>8.2770463923299005</v>
      </c>
      <c r="AH73" s="40">
        <v>4.2557340339355241</v>
      </c>
      <c r="AI73" s="42">
        <v>0.60413949832634373</v>
      </c>
      <c r="AJ73" s="40" t="s">
        <v>48</v>
      </c>
      <c r="AK73" s="70" t="s">
        <v>48</v>
      </c>
      <c r="AL73" s="40">
        <v>0.48280298581559039</v>
      </c>
      <c r="AM73" s="40" t="s">
        <v>48</v>
      </c>
      <c r="AN73" s="40" t="s">
        <v>48</v>
      </c>
    </row>
    <row r="74" spans="1:40" x14ac:dyDescent="0.35">
      <c r="A74" s="12">
        <v>65</v>
      </c>
      <c r="B74" s="33"/>
      <c r="C74" s="38" t="str">
        <f>Notes!U73</f>
        <v xml:space="preserve">               Sugar refining</v>
      </c>
      <c r="D74" s="4" t="s">
        <v>719</v>
      </c>
      <c r="E74" s="42">
        <v>0.36918910761155177</v>
      </c>
      <c r="F74" s="40">
        <v>0.496744160742352</v>
      </c>
      <c r="G74" s="40">
        <v>0.25242981538326553</v>
      </c>
      <c r="H74" s="40">
        <v>0.9419688879452458</v>
      </c>
      <c r="I74" s="42">
        <v>0.4604249978523352</v>
      </c>
      <c r="J74" s="40" t="s">
        <v>48</v>
      </c>
      <c r="K74" s="70">
        <v>0.56103295966167843</v>
      </c>
      <c r="L74" s="40" t="s">
        <v>48</v>
      </c>
      <c r="M74" s="40" t="s">
        <v>48</v>
      </c>
      <c r="N74" s="40">
        <v>0.48578238381539907</v>
      </c>
      <c r="O74" s="40">
        <v>2.1054635973475184</v>
      </c>
      <c r="P74" s="42" t="s">
        <v>48</v>
      </c>
      <c r="Q74" s="40">
        <v>6.7511188135338518</v>
      </c>
      <c r="R74" s="40">
        <v>42.15214323123449</v>
      </c>
      <c r="S74" s="42">
        <v>8.8674611607619145</v>
      </c>
      <c r="T74" s="40">
        <v>8.2244915106609966</v>
      </c>
      <c r="U74" s="40">
        <v>8.5963135516461069</v>
      </c>
      <c r="W74" s="33"/>
      <c r="X74" s="38" t="str">
        <f>Notes!U73</f>
        <v xml:space="preserve">               Sugar refining</v>
      </c>
      <c r="Y74" s="4" t="s">
        <v>719</v>
      </c>
      <c r="Z74" s="42">
        <v>2.1054635973475184</v>
      </c>
      <c r="AA74" s="40" t="s">
        <v>48</v>
      </c>
      <c r="AB74" s="70" t="s">
        <v>48</v>
      </c>
      <c r="AC74" s="42">
        <v>0.48578238381539907</v>
      </c>
      <c r="AD74" s="40" t="s">
        <v>48</v>
      </c>
      <c r="AE74" s="70" t="s">
        <v>48</v>
      </c>
      <c r="AF74" s="40">
        <v>0.9419688879452458</v>
      </c>
      <c r="AG74" s="40">
        <v>6.7692573738977897</v>
      </c>
      <c r="AH74" s="40">
        <v>1.2736764236148785</v>
      </c>
      <c r="AI74" s="42">
        <v>0.496744160742352</v>
      </c>
      <c r="AJ74" s="40" t="s">
        <v>48</v>
      </c>
      <c r="AK74" s="70" t="s">
        <v>48</v>
      </c>
      <c r="AL74" s="40">
        <v>0.36918910761155177</v>
      </c>
      <c r="AM74" s="40" t="s">
        <v>48</v>
      </c>
      <c r="AN74" s="40" t="s">
        <v>48</v>
      </c>
    </row>
    <row r="75" spans="1:40" x14ac:dyDescent="0.35">
      <c r="A75" s="12">
        <v>66</v>
      </c>
      <c r="B75" s="33"/>
      <c r="C75" s="38" t="str">
        <f>Notes!U74</f>
        <v xml:space="preserve">               Coffee processing</v>
      </c>
      <c r="D75" s="4" t="s">
        <v>720</v>
      </c>
      <c r="E75" s="42">
        <v>0.21736073998534486</v>
      </c>
      <c r="F75" s="40">
        <v>0.27311759072117275</v>
      </c>
      <c r="G75" s="40">
        <v>0.14866358255993589</v>
      </c>
      <c r="H75" s="40">
        <v>0.67725586446899766</v>
      </c>
      <c r="I75" s="42">
        <v>0.3955444782384252</v>
      </c>
      <c r="J75" s="40" t="s">
        <v>48</v>
      </c>
      <c r="K75" s="70">
        <v>0.48197532787980563</v>
      </c>
      <c r="L75" s="40" t="s">
        <v>48</v>
      </c>
      <c r="M75" s="40" t="s">
        <v>48</v>
      </c>
      <c r="N75" s="40">
        <v>0.21873000612650317</v>
      </c>
      <c r="O75" s="40">
        <v>1.7721762241935657</v>
      </c>
      <c r="P75" s="42" t="s">
        <v>48</v>
      </c>
      <c r="Q75" s="40">
        <v>5.0533396789157639</v>
      </c>
      <c r="R75" s="40">
        <v>49.887524551586182</v>
      </c>
      <c r="S75" s="42">
        <v>7.958838760252597</v>
      </c>
      <c r="T75" s="40">
        <v>7.9588387602525943</v>
      </c>
      <c r="U75" s="40">
        <v>7.9588387602525952</v>
      </c>
      <c r="W75" s="33"/>
      <c r="X75" s="38" t="str">
        <f>Notes!U74</f>
        <v xml:space="preserve">               Coffee processing</v>
      </c>
      <c r="Y75" s="4" t="s">
        <v>720</v>
      </c>
      <c r="Z75" s="42">
        <v>1.7721762241935657</v>
      </c>
      <c r="AA75" s="40" t="s">
        <v>48</v>
      </c>
      <c r="AB75" s="70" t="s">
        <v>48</v>
      </c>
      <c r="AC75" s="42">
        <v>0.21873000612650317</v>
      </c>
      <c r="AD75" s="40" t="s">
        <v>48</v>
      </c>
      <c r="AE75" s="70" t="s">
        <v>48</v>
      </c>
      <c r="AF75" s="40">
        <v>0.67725586446899766</v>
      </c>
      <c r="AG75" s="40">
        <v>8.0451768273293567</v>
      </c>
      <c r="AH75" s="40">
        <v>1.0883532856690725</v>
      </c>
      <c r="AI75" s="42">
        <v>0.27311759072117275</v>
      </c>
      <c r="AJ75" s="40" t="s">
        <v>48</v>
      </c>
      <c r="AK75" s="70" t="s">
        <v>48</v>
      </c>
      <c r="AL75" s="40">
        <v>0.21736073998534486</v>
      </c>
      <c r="AM75" s="40" t="s">
        <v>48</v>
      </c>
      <c r="AN75" s="40" t="s">
        <v>48</v>
      </c>
    </row>
    <row r="76" spans="1:40" x14ac:dyDescent="0.35">
      <c r="A76" s="12">
        <v>67</v>
      </c>
      <c r="B76" s="33"/>
      <c r="C76" s="38" t="str">
        <f>Notes!U75</f>
        <v xml:space="preserve">               Tea processing</v>
      </c>
      <c r="D76" s="4" t="s">
        <v>350</v>
      </c>
      <c r="E76" s="42">
        <v>0.15182836762620688</v>
      </c>
      <c r="F76" s="40">
        <v>0.22362657002117917</v>
      </c>
      <c r="G76" s="40">
        <v>0.10376623282332964</v>
      </c>
      <c r="H76" s="40">
        <v>0.2647130234762482</v>
      </c>
      <c r="I76" s="42">
        <v>6.4880519613910059E-2</v>
      </c>
      <c r="J76" s="40" t="s">
        <v>48</v>
      </c>
      <c r="K76" s="70">
        <v>7.9057631781872917E-2</v>
      </c>
      <c r="L76" s="40" t="s">
        <v>48</v>
      </c>
      <c r="M76" s="40" t="s">
        <v>48</v>
      </c>
      <c r="N76" s="40">
        <v>0.26705237768889589</v>
      </c>
      <c r="O76" s="40">
        <v>0.33328737315395285</v>
      </c>
      <c r="P76" s="42" t="s">
        <v>48</v>
      </c>
      <c r="Q76" s="40">
        <v>9.3792955627017403</v>
      </c>
      <c r="R76" s="40">
        <v>23.292722728835059</v>
      </c>
      <c r="S76" s="42">
        <v>9.6116709107369083</v>
      </c>
      <c r="T76" s="40">
        <v>9.61167091073691</v>
      </c>
      <c r="U76" s="40">
        <v>9.6116709107369083</v>
      </c>
      <c r="W76" s="33"/>
      <c r="X76" s="38" t="str">
        <f>Notes!U75</f>
        <v xml:space="preserve">               Tea processing</v>
      </c>
      <c r="Y76" s="4" t="s">
        <v>350</v>
      </c>
      <c r="Z76" s="42">
        <v>0.33328737315395285</v>
      </c>
      <c r="AA76" s="40" t="s">
        <v>48</v>
      </c>
      <c r="AB76" s="70" t="s">
        <v>48</v>
      </c>
      <c r="AC76" s="42">
        <v>0.26705237768889589</v>
      </c>
      <c r="AD76" s="40" t="s">
        <v>48</v>
      </c>
      <c r="AE76" s="70" t="s">
        <v>48</v>
      </c>
      <c r="AF76" s="40">
        <v>0.2647130234762482</v>
      </c>
      <c r="AG76" s="40">
        <v>3.5048772497965599</v>
      </c>
      <c r="AH76" s="40">
        <v>0.18532313794580596</v>
      </c>
      <c r="AI76" s="42">
        <v>0.22362657002117917</v>
      </c>
      <c r="AJ76" s="40" t="s">
        <v>48</v>
      </c>
      <c r="AK76" s="70" t="s">
        <v>48</v>
      </c>
      <c r="AL76" s="40">
        <v>0.15182836762620688</v>
      </c>
      <c r="AM76" s="40" t="s">
        <v>48</v>
      </c>
      <c r="AN76" s="40" t="s">
        <v>48</v>
      </c>
    </row>
    <row r="77" spans="1:40" x14ac:dyDescent="0.35">
      <c r="A77" s="12">
        <v>68</v>
      </c>
      <c r="B77" s="33"/>
      <c r="C77" s="38" t="str">
        <f>Notes!U76</f>
        <v xml:space="preserve">               Other foods</v>
      </c>
      <c r="D77" s="4" t="s">
        <v>351</v>
      </c>
      <c r="E77" s="42">
        <v>0.43224812456013351</v>
      </c>
      <c r="F77" s="40">
        <v>0.65307174668863133</v>
      </c>
      <c r="G77" s="40">
        <v>0.15123268012767938</v>
      </c>
      <c r="H77" s="40">
        <v>6.8118860854908174</v>
      </c>
      <c r="I77" s="42">
        <v>4.487001769836656</v>
      </c>
      <c r="J77" s="40" t="s">
        <v>48</v>
      </c>
      <c r="K77" s="70">
        <v>5.4674613556625351</v>
      </c>
      <c r="L77" s="40" t="s">
        <v>48</v>
      </c>
      <c r="M77" s="40" t="s">
        <v>48</v>
      </c>
      <c r="N77" s="40">
        <v>0.99228821061399541</v>
      </c>
      <c r="O77" s="40">
        <v>28.513953120456868</v>
      </c>
      <c r="P77" s="42" t="s">
        <v>48</v>
      </c>
      <c r="Q77" s="40">
        <v>11.716035093945164</v>
      </c>
      <c r="R77" s="40">
        <v>91.38280703349659</v>
      </c>
      <c r="S77" s="42">
        <v>22.043197629977879</v>
      </c>
      <c r="T77" s="40">
        <v>18.309490711296352</v>
      </c>
      <c r="U77" s="40">
        <v>22.454293036739685</v>
      </c>
      <c r="W77" s="33"/>
      <c r="X77" s="38" t="str">
        <f>Notes!U76</f>
        <v xml:space="preserve">               Other foods</v>
      </c>
      <c r="Y77" s="4" t="s">
        <v>351</v>
      </c>
      <c r="Z77" s="42">
        <v>28.513953120456868</v>
      </c>
      <c r="AA77" s="40">
        <v>7.4774254118286727</v>
      </c>
      <c r="AB77" s="70">
        <v>71.272528485583763</v>
      </c>
      <c r="AC77" s="42">
        <v>0.99228821061399541</v>
      </c>
      <c r="AD77" s="40" t="s">
        <v>48</v>
      </c>
      <c r="AE77" s="70" t="s">
        <v>48</v>
      </c>
      <c r="AF77" s="40">
        <v>6.8118860854908174</v>
      </c>
      <c r="AG77" s="40">
        <v>2.7553679840377772</v>
      </c>
      <c r="AH77" s="40">
        <v>3.7491128134023679</v>
      </c>
      <c r="AI77" s="42">
        <v>0.65307174668863133</v>
      </c>
      <c r="AJ77" s="40" t="s">
        <v>48</v>
      </c>
      <c r="AK77" s="70" t="s">
        <v>48</v>
      </c>
      <c r="AL77" s="40">
        <v>0.43224812456013351</v>
      </c>
      <c r="AM77" s="40" t="s">
        <v>48</v>
      </c>
      <c r="AN77" s="40" t="s">
        <v>48</v>
      </c>
    </row>
    <row r="78" spans="1:40" x14ac:dyDescent="0.35">
      <c r="A78" s="12">
        <v>69</v>
      </c>
      <c r="B78" s="33"/>
      <c r="C78" s="38" t="str">
        <f>Notes!U77</f>
        <v xml:space="preserve">               Animal feed</v>
      </c>
      <c r="D78" s="4" t="s">
        <v>721</v>
      </c>
      <c r="E78" s="42">
        <v>3.1015620947452828E-3</v>
      </c>
      <c r="F78" s="40">
        <v>2.2005983429492539E-3</v>
      </c>
      <c r="G78" s="40">
        <v>1.0859539116066558E-3</v>
      </c>
      <c r="H78" s="40">
        <v>3.9972870025794629</v>
      </c>
      <c r="I78" s="42">
        <v>1.2235724388845646</v>
      </c>
      <c r="J78" s="40" t="s">
        <v>48</v>
      </c>
      <c r="K78" s="70">
        <v>1.4909365693650374</v>
      </c>
      <c r="L78" s="40" t="s">
        <v>48</v>
      </c>
      <c r="M78" s="40" t="s">
        <v>48</v>
      </c>
      <c r="N78" s="40" t="s">
        <v>48</v>
      </c>
      <c r="O78" s="40">
        <v>18.598776660508324</v>
      </c>
      <c r="P78" s="42" t="s">
        <v>48</v>
      </c>
      <c r="Q78" s="40" t="s">
        <v>48</v>
      </c>
      <c r="R78" s="40">
        <v>99.94365850478593</v>
      </c>
      <c r="S78" s="42" t="s">
        <v>48</v>
      </c>
      <c r="T78" s="40">
        <v>15.345042023711889</v>
      </c>
      <c r="U78" s="40">
        <v>15.345042023711885</v>
      </c>
      <c r="W78" s="33"/>
      <c r="X78" s="38" t="str">
        <f>Notes!U77</f>
        <v xml:space="preserve">               Animal feed</v>
      </c>
      <c r="Y78" s="4" t="s">
        <v>721</v>
      </c>
      <c r="Z78" s="42">
        <v>18.598776660508324</v>
      </c>
      <c r="AA78" s="40">
        <v>11.463708691513927</v>
      </c>
      <c r="AB78" s="70">
        <v>71.272528485583763</v>
      </c>
      <c r="AC78" s="42" t="s">
        <v>48</v>
      </c>
      <c r="AD78" s="40" t="s">
        <v>48</v>
      </c>
      <c r="AE78" s="70" t="s">
        <v>48</v>
      </c>
      <c r="AF78" s="40">
        <v>3.9972870025794629</v>
      </c>
      <c r="AG78" s="40">
        <v>1.0902004886700063</v>
      </c>
      <c r="AH78" s="40">
        <v>0.87046883749638815</v>
      </c>
      <c r="AI78" s="42">
        <v>2.2005983429492539E-3</v>
      </c>
      <c r="AJ78" s="40" t="s">
        <v>48</v>
      </c>
      <c r="AK78" s="70" t="s">
        <v>48</v>
      </c>
      <c r="AL78" s="40">
        <v>3.1015620947452828E-3</v>
      </c>
      <c r="AM78" s="40" t="s">
        <v>48</v>
      </c>
      <c r="AN78" s="40" t="s">
        <v>48</v>
      </c>
    </row>
    <row r="79" spans="1:40" x14ac:dyDescent="0.35">
      <c r="A79" s="12">
        <v>70</v>
      </c>
      <c r="B79" s="33"/>
      <c r="C79" s="38" t="str">
        <f>Notes!U78</f>
        <v xml:space="preserve">               Beverages and tobacco</v>
      </c>
      <c r="D79" s="4" t="s">
        <v>722</v>
      </c>
      <c r="E79" s="42">
        <v>0.35059409361309235</v>
      </c>
      <c r="F79" s="40">
        <v>0.58999662791437757</v>
      </c>
      <c r="G79" s="40">
        <v>0.12264140548227964</v>
      </c>
      <c r="H79" s="40">
        <v>1.9796239416061112</v>
      </c>
      <c r="I79" s="42">
        <v>2.2730118551933329</v>
      </c>
      <c r="J79" s="40" t="s">
        <v>48</v>
      </c>
      <c r="K79" s="70">
        <v>2.7696901219820038</v>
      </c>
      <c r="L79" s="40" t="s">
        <v>48</v>
      </c>
      <c r="M79" s="40" t="s">
        <v>48</v>
      </c>
      <c r="N79" s="40">
        <v>0.99228821061399541</v>
      </c>
      <c r="O79" s="40">
        <v>6.4565027014787653</v>
      </c>
      <c r="P79" s="42" t="s">
        <v>48</v>
      </c>
      <c r="Q79" s="40">
        <v>12.674450749917144</v>
      </c>
      <c r="R79" s="40">
        <v>72.020870091718692</v>
      </c>
      <c r="S79" s="42">
        <v>22.043197629977879</v>
      </c>
      <c r="T79" s="40">
        <v>22.043197629977875</v>
      </c>
      <c r="U79" s="40">
        <v>22.043197629977879</v>
      </c>
      <c r="W79" s="33"/>
      <c r="X79" s="38" t="str">
        <f>Notes!U78</f>
        <v xml:space="preserve">               Beverages and tobacco</v>
      </c>
      <c r="Y79" s="4" t="s">
        <v>722</v>
      </c>
      <c r="Z79" s="42">
        <v>6.4565027014787653</v>
      </c>
      <c r="AA79" s="40" t="s">
        <v>48</v>
      </c>
      <c r="AB79" s="70" t="s">
        <v>48</v>
      </c>
      <c r="AC79" s="42">
        <v>0.99228821061399541</v>
      </c>
      <c r="AD79" s="40" t="s">
        <v>48</v>
      </c>
      <c r="AE79" s="70" t="s">
        <v>48</v>
      </c>
      <c r="AF79" s="40">
        <v>1.9796239416061112</v>
      </c>
      <c r="AG79" s="40">
        <v>6.2661004930391844</v>
      </c>
      <c r="AH79" s="40">
        <v>2.4777733498441585</v>
      </c>
      <c r="AI79" s="42">
        <v>0.58999662791437757</v>
      </c>
      <c r="AJ79" s="40" t="s">
        <v>48</v>
      </c>
      <c r="AK79" s="70" t="s">
        <v>48</v>
      </c>
      <c r="AL79" s="40">
        <v>0.35059409361309235</v>
      </c>
      <c r="AM79" s="40" t="s">
        <v>48</v>
      </c>
      <c r="AN79" s="40" t="s">
        <v>48</v>
      </c>
    </row>
    <row r="80" spans="1:40" x14ac:dyDescent="0.35">
      <c r="A80" s="12">
        <v>71</v>
      </c>
      <c r="B80" s="33"/>
      <c r="C80" s="38" t="str">
        <f>Notes!U79</f>
        <v xml:space="preserve">               Beverages</v>
      </c>
      <c r="D80" s="4" t="s">
        <v>723</v>
      </c>
      <c r="E80" s="42">
        <v>7.8552468852295887E-2</v>
      </c>
      <c r="F80" s="40">
        <v>6.087452043130432E-2</v>
      </c>
      <c r="G80" s="40">
        <v>2.7505320733793116E-2</v>
      </c>
      <c r="H80" s="40">
        <v>0.83497514130524209</v>
      </c>
      <c r="I80" s="42">
        <v>0.99041747575875794</v>
      </c>
      <c r="J80" s="40" t="s">
        <v>48</v>
      </c>
      <c r="K80" s="70">
        <v>1.2068346643154932</v>
      </c>
      <c r="L80" s="40" t="s">
        <v>48</v>
      </c>
      <c r="M80" s="40" t="s">
        <v>48</v>
      </c>
      <c r="N80" s="40" t="s">
        <v>48</v>
      </c>
      <c r="O80" s="40">
        <v>3.4586737584697822</v>
      </c>
      <c r="P80" s="42" t="s">
        <v>48</v>
      </c>
      <c r="Q80" s="40" t="s">
        <v>48</v>
      </c>
      <c r="R80" s="40">
        <v>93.935844597257415</v>
      </c>
      <c r="S80" s="42" t="s">
        <v>48</v>
      </c>
      <c r="T80" s="40">
        <v>27.093707241551307</v>
      </c>
      <c r="U80" s="40">
        <v>27.0937072415513</v>
      </c>
      <c r="W80" s="33"/>
      <c r="X80" s="38" t="str">
        <f>Notes!U79</f>
        <v xml:space="preserve">               Beverages</v>
      </c>
      <c r="Y80" s="4" t="s">
        <v>723</v>
      </c>
      <c r="Z80" s="42">
        <v>3.4586737584697822</v>
      </c>
      <c r="AA80" s="40" t="s">
        <v>48</v>
      </c>
      <c r="AB80" s="70" t="s">
        <v>48</v>
      </c>
      <c r="AC80" s="42" t="s">
        <v>48</v>
      </c>
      <c r="AD80" s="40" t="s">
        <v>48</v>
      </c>
      <c r="AE80" s="70" t="s">
        <v>48</v>
      </c>
      <c r="AF80" s="40">
        <v>0.83497514130524209</v>
      </c>
      <c r="AG80" s="40">
        <v>2.4035278794528017</v>
      </c>
      <c r="AH80" s="40">
        <v>0.40087062606182072</v>
      </c>
      <c r="AI80" s="42">
        <v>6.087452043130432E-2</v>
      </c>
      <c r="AJ80" s="40" t="s">
        <v>48</v>
      </c>
      <c r="AK80" s="70" t="s">
        <v>48</v>
      </c>
      <c r="AL80" s="40">
        <v>7.8552468852295887E-2</v>
      </c>
      <c r="AM80" s="40" t="s">
        <v>48</v>
      </c>
      <c r="AN80" s="40" t="s">
        <v>48</v>
      </c>
    </row>
    <row r="81" spans="1:40" x14ac:dyDescent="0.35">
      <c r="A81" s="12">
        <v>72</v>
      </c>
      <c r="B81" s="33"/>
      <c r="C81" s="38" t="str">
        <f>Notes!U80</f>
        <v xml:space="preserve">               Tobacco processing</v>
      </c>
      <c r="D81" s="4" t="s">
        <v>352</v>
      </c>
      <c r="E81" s="42">
        <v>1.855216655439653</v>
      </c>
      <c r="F81" s="40">
        <v>2.8281396766642009</v>
      </c>
      <c r="G81" s="40">
        <v>0.90459188379794953</v>
      </c>
      <c r="H81" s="40">
        <v>10.739341428325929</v>
      </c>
      <c r="I81" s="42">
        <v>4.1445537963866439</v>
      </c>
      <c r="J81" s="40" t="s">
        <v>48</v>
      </c>
      <c r="K81" s="70">
        <v>5.0501847069771362</v>
      </c>
      <c r="L81" s="40" t="s">
        <v>48</v>
      </c>
      <c r="M81" s="40">
        <v>31.37166645325506</v>
      </c>
      <c r="N81" s="40">
        <v>12.525560853263714</v>
      </c>
      <c r="O81" s="40">
        <v>35.075979927205545</v>
      </c>
      <c r="P81" s="42" t="s">
        <v>48</v>
      </c>
      <c r="Q81" s="40">
        <v>32.81773657599328</v>
      </c>
      <c r="R81" s="40">
        <v>78.908075311128982</v>
      </c>
      <c r="S81" s="42">
        <v>16.030032443321854</v>
      </c>
      <c r="T81" s="40">
        <v>25.437217280699308</v>
      </c>
      <c r="U81" s="40">
        <v>19.784769024815883</v>
      </c>
      <c r="W81" s="33"/>
      <c r="X81" s="38" t="str">
        <f>Notes!U80</f>
        <v xml:space="preserve">               Tobacco processing</v>
      </c>
      <c r="Y81" s="4" t="s">
        <v>352</v>
      </c>
      <c r="Z81" s="42">
        <v>35.075979927205545</v>
      </c>
      <c r="AA81" s="40">
        <v>0.46088973348936718</v>
      </c>
      <c r="AB81" s="70">
        <v>5.4040516650420152</v>
      </c>
      <c r="AC81" s="42">
        <v>12.525560853263714</v>
      </c>
      <c r="AD81" s="40" t="s">
        <v>48</v>
      </c>
      <c r="AE81" s="70" t="s">
        <v>48</v>
      </c>
      <c r="AF81" s="40">
        <v>10.739341428325929</v>
      </c>
      <c r="AG81" s="40">
        <v>10.012942458927464</v>
      </c>
      <c r="AH81" s="40">
        <v>21.479338120382184</v>
      </c>
      <c r="AI81" s="42">
        <v>2.8281396766642009</v>
      </c>
      <c r="AJ81" s="40" t="s">
        <v>48</v>
      </c>
      <c r="AK81" s="70" t="s">
        <v>48</v>
      </c>
      <c r="AL81" s="40">
        <v>1.855216655439653</v>
      </c>
      <c r="AM81" s="40" t="s">
        <v>48</v>
      </c>
      <c r="AN81" s="40" t="s">
        <v>48</v>
      </c>
    </row>
    <row r="82" spans="1:40" x14ac:dyDescent="0.35">
      <c r="A82" s="12">
        <v>73</v>
      </c>
      <c r="B82" s="33"/>
      <c r="C82" s="38" t="str">
        <f>Notes!U81</f>
        <v xml:space="preserve">               Textiles, clothing and leather</v>
      </c>
      <c r="D82" s="4" t="s">
        <v>724</v>
      </c>
      <c r="E82" s="42">
        <v>5.099236634159058E-2</v>
      </c>
      <c r="F82" s="40">
        <v>0.11967693039282824</v>
      </c>
      <c r="G82" s="40">
        <v>1.7858183408741738E-2</v>
      </c>
      <c r="H82" s="40">
        <v>0.78158196813876601</v>
      </c>
      <c r="I82" s="42" t="s">
        <v>48</v>
      </c>
      <c r="J82" s="40" t="s">
        <v>48</v>
      </c>
      <c r="K82" s="70" t="s">
        <v>48</v>
      </c>
      <c r="L82" s="40" t="s">
        <v>48</v>
      </c>
      <c r="M82" s="40" t="s">
        <v>48</v>
      </c>
      <c r="N82" s="40">
        <v>0.44905449292784361</v>
      </c>
      <c r="O82" s="40">
        <v>1.9803598651744851</v>
      </c>
      <c r="P82" s="42" t="s">
        <v>48</v>
      </c>
      <c r="Q82" s="40">
        <v>11.284622321046891</v>
      </c>
      <c r="R82" s="40">
        <v>61.040685664361746</v>
      </c>
      <c r="S82" s="42">
        <v>23.922550815352526</v>
      </c>
      <c r="T82" s="40">
        <v>23.922550815352537</v>
      </c>
      <c r="U82" s="40">
        <v>23.922550815352526</v>
      </c>
      <c r="W82" s="33"/>
      <c r="X82" s="38" t="str">
        <f>Notes!U81</f>
        <v xml:space="preserve">               Textiles, clothing and leather</v>
      </c>
      <c r="Y82" s="4" t="s">
        <v>724</v>
      </c>
      <c r="Z82" s="42">
        <v>1.9803598651744851</v>
      </c>
      <c r="AA82" s="40" t="s">
        <v>48</v>
      </c>
      <c r="AB82" s="70" t="s">
        <v>48</v>
      </c>
      <c r="AC82" s="42">
        <v>0.44905449292784361</v>
      </c>
      <c r="AD82" s="40" t="s">
        <v>48</v>
      </c>
      <c r="AE82" s="70" t="s">
        <v>48</v>
      </c>
      <c r="AF82" s="40">
        <v>0.78158196813876601</v>
      </c>
      <c r="AG82" s="40">
        <v>11.95825028273739</v>
      </c>
      <c r="AH82" s="40">
        <v>1.8669113429741802</v>
      </c>
      <c r="AI82" s="42">
        <v>0.11967693039282824</v>
      </c>
      <c r="AJ82" s="40" t="s">
        <v>48</v>
      </c>
      <c r="AK82" s="70" t="s">
        <v>48</v>
      </c>
      <c r="AL82" s="40">
        <v>5.099236634159058E-2</v>
      </c>
      <c r="AM82" s="40" t="s">
        <v>48</v>
      </c>
      <c r="AN82" s="40" t="s">
        <v>48</v>
      </c>
    </row>
    <row r="83" spans="1:40" x14ac:dyDescent="0.35">
      <c r="A83" s="12">
        <v>74</v>
      </c>
      <c r="B83" s="33"/>
      <c r="C83" s="38" t="str">
        <f>Notes!U82</f>
        <v xml:space="preserve">               Jute baling</v>
      </c>
      <c r="D83" s="4" t="s">
        <v>354</v>
      </c>
      <c r="E83" s="42">
        <v>3.1719376023935909E-2</v>
      </c>
      <c r="F83" s="40">
        <v>6.8855885093653896E-2</v>
      </c>
      <c r="G83" s="40">
        <v>1.1427350490990328E-2</v>
      </c>
      <c r="H83" s="40">
        <v>0.28154909733646927</v>
      </c>
      <c r="I83" s="42">
        <v>5.6168122681864836E-2</v>
      </c>
      <c r="J83" s="40" t="s">
        <v>48</v>
      </c>
      <c r="K83" s="70">
        <v>6.8441479619560708E-2</v>
      </c>
      <c r="L83" s="40" t="s">
        <v>48</v>
      </c>
      <c r="M83" s="40" t="s">
        <v>48</v>
      </c>
      <c r="N83" s="40">
        <v>9.844578280432531E-2</v>
      </c>
      <c r="O83" s="40">
        <v>0.96468563843739408</v>
      </c>
      <c r="P83" s="42" t="s">
        <v>48</v>
      </c>
      <c r="Q83" s="40">
        <v>11.848078943451634</v>
      </c>
      <c r="R83" s="40">
        <v>77.780000959380232</v>
      </c>
      <c r="S83" s="42">
        <v>20.051228558798485</v>
      </c>
      <c r="T83" s="40">
        <v>20.051228558798481</v>
      </c>
      <c r="U83" s="40">
        <v>20.051228558798488</v>
      </c>
      <c r="W83" s="33"/>
      <c r="X83" s="38" t="str">
        <f>Notes!U82</f>
        <v xml:space="preserve">               Jute baling</v>
      </c>
      <c r="Y83" s="4" t="s">
        <v>354</v>
      </c>
      <c r="Z83" s="42">
        <v>0.96468563843739408</v>
      </c>
      <c r="AA83" s="40" t="s">
        <v>48</v>
      </c>
      <c r="AB83" s="70" t="s">
        <v>48</v>
      </c>
      <c r="AC83" s="42">
        <v>9.844578280432531E-2</v>
      </c>
      <c r="AD83" s="40" t="s">
        <v>48</v>
      </c>
      <c r="AE83" s="70" t="s">
        <v>48</v>
      </c>
      <c r="AF83" s="40">
        <v>0.28154909733646927</v>
      </c>
      <c r="AG83" s="40">
        <v>11.090869850104223</v>
      </c>
      <c r="AH83" s="40">
        <v>0.62373666315471854</v>
      </c>
      <c r="AI83" s="42">
        <v>6.8855885093653896E-2</v>
      </c>
      <c r="AJ83" s="40" t="s">
        <v>48</v>
      </c>
      <c r="AK83" s="70" t="s">
        <v>48</v>
      </c>
      <c r="AL83" s="40">
        <v>3.1719376023935909E-2</v>
      </c>
      <c r="AM83" s="40" t="s">
        <v>48</v>
      </c>
      <c r="AN83" s="40" t="s">
        <v>48</v>
      </c>
    </row>
    <row r="84" spans="1:40" x14ac:dyDescent="0.35">
      <c r="A84" s="12">
        <v>75</v>
      </c>
      <c r="B84" s="33"/>
      <c r="C84" s="38" t="str">
        <f>Notes!U83</f>
        <v xml:space="preserve">               Jute fabrication</v>
      </c>
      <c r="D84" s="4" t="s">
        <v>355</v>
      </c>
      <c r="E84" s="42">
        <v>0.45064569081919442</v>
      </c>
      <c r="F84" s="40">
        <v>0.64124066481701436</v>
      </c>
      <c r="G84" s="40">
        <v>0.16266275990184015</v>
      </c>
      <c r="H84" s="40">
        <v>1.2272063101674553</v>
      </c>
      <c r="I84" s="42" t="s">
        <v>48</v>
      </c>
      <c r="J84" s="40" t="s">
        <v>48</v>
      </c>
      <c r="K84" s="70" t="s">
        <v>48</v>
      </c>
      <c r="L84" s="40" t="s">
        <v>48</v>
      </c>
      <c r="M84" s="40" t="s">
        <v>48</v>
      </c>
      <c r="N84" s="40">
        <v>1.1115869568501537</v>
      </c>
      <c r="O84" s="40">
        <v>2.2131273095551363</v>
      </c>
      <c r="P84" s="42" t="s">
        <v>48</v>
      </c>
      <c r="Q84" s="40">
        <v>11.310391017667325</v>
      </c>
      <c r="R84" s="40">
        <v>40.451920445063358</v>
      </c>
      <c r="S84" s="42">
        <v>20.58047266942182</v>
      </c>
      <c r="T84" s="40">
        <v>20.58047266942182</v>
      </c>
      <c r="U84" s="40">
        <v>20.58047266942182</v>
      </c>
      <c r="W84" s="33"/>
      <c r="X84" s="38" t="str">
        <f>Notes!U83</f>
        <v xml:space="preserve">               Jute fabrication</v>
      </c>
      <c r="Y84" s="4" t="s">
        <v>355</v>
      </c>
      <c r="Z84" s="42">
        <v>2.2131273095551363</v>
      </c>
      <c r="AA84" s="40" t="s">
        <v>48</v>
      </c>
      <c r="AB84" s="70" t="s">
        <v>48</v>
      </c>
      <c r="AC84" s="42">
        <v>1.1115869568501537</v>
      </c>
      <c r="AD84" s="40" t="s">
        <v>48</v>
      </c>
      <c r="AE84" s="70" t="s">
        <v>48</v>
      </c>
      <c r="AF84" s="40">
        <v>1.2272063101674553</v>
      </c>
      <c r="AG84" s="40">
        <v>9.4232359021989431</v>
      </c>
      <c r="AH84" s="40">
        <v>2.3099318520650747</v>
      </c>
      <c r="AI84" s="42">
        <v>0.64124066481701436</v>
      </c>
      <c r="AJ84" s="40" t="s">
        <v>48</v>
      </c>
      <c r="AK84" s="70" t="s">
        <v>48</v>
      </c>
      <c r="AL84" s="40">
        <v>0.45064569081919442</v>
      </c>
      <c r="AM84" s="40" t="s">
        <v>48</v>
      </c>
      <c r="AN84" s="40" t="s">
        <v>48</v>
      </c>
    </row>
    <row r="85" spans="1:40" x14ac:dyDescent="0.35">
      <c r="A85" s="12">
        <v>76</v>
      </c>
      <c r="B85" s="33"/>
      <c r="C85" s="38" t="str">
        <f>Notes!U84</f>
        <v xml:space="preserve">               Cotton yarn</v>
      </c>
      <c r="D85" s="4" t="s">
        <v>356</v>
      </c>
      <c r="E85" s="42">
        <v>0.27268539414068088</v>
      </c>
      <c r="F85" s="40">
        <v>1.0671654767339471</v>
      </c>
      <c r="G85" s="40">
        <v>0.14692183870843514</v>
      </c>
      <c r="H85" s="40">
        <v>1.8308229526054403</v>
      </c>
      <c r="I85" s="42">
        <v>7.6016251674599994E-2</v>
      </c>
      <c r="J85" s="40" t="s">
        <v>48</v>
      </c>
      <c r="K85" s="70">
        <v>9.2626644639884542E-2</v>
      </c>
      <c r="L85" s="40" t="s">
        <v>48</v>
      </c>
      <c r="M85" s="40" t="s">
        <v>48</v>
      </c>
      <c r="N85" s="40">
        <v>8.3726620738724158</v>
      </c>
      <c r="O85" s="40">
        <v>6.3677781014830819</v>
      </c>
      <c r="P85" s="42" t="s">
        <v>48</v>
      </c>
      <c r="Q85" s="40">
        <v>61.53891940266093</v>
      </c>
      <c r="R85" s="40">
        <v>75.537272898700152</v>
      </c>
      <c r="S85" s="42">
        <v>16.261117853868996</v>
      </c>
      <c r="T85" s="40">
        <v>16.261117853868996</v>
      </c>
      <c r="U85" s="40">
        <v>16.261117853868988</v>
      </c>
      <c r="W85" s="33"/>
      <c r="X85" s="38" t="str">
        <f>Notes!U84</f>
        <v xml:space="preserve">               Cotton yarn</v>
      </c>
      <c r="Y85" s="4" t="s">
        <v>356</v>
      </c>
      <c r="Z85" s="42">
        <v>6.3677781014830819</v>
      </c>
      <c r="AA85" s="40" t="s">
        <v>48</v>
      </c>
      <c r="AB85" s="70" t="s">
        <v>48</v>
      </c>
      <c r="AC85" s="42">
        <v>8.3726620738724158</v>
      </c>
      <c r="AD85" s="40" t="s">
        <v>48</v>
      </c>
      <c r="AE85" s="70" t="s">
        <v>48</v>
      </c>
      <c r="AF85" s="40">
        <v>1.8308229526054403</v>
      </c>
      <c r="AG85" s="40">
        <v>11.274687407196881</v>
      </c>
      <c r="AH85" s="40">
        <v>4.1231808352866075</v>
      </c>
      <c r="AI85" s="42">
        <v>1.0671654767339471</v>
      </c>
      <c r="AJ85" s="40" t="s">
        <v>48</v>
      </c>
      <c r="AK85" s="70" t="s">
        <v>48</v>
      </c>
      <c r="AL85" s="40">
        <v>0.27268539414068088</v>
      </c>
      <c r="AM85" s="40" t="s">
        <v>48</v>
      </c>
      <c r="AN85" s="40" t="s">
        <v>48</v>
      </c>
    </row>
    <row r="86" spans="1:40" x14ac:dyDescent="0.35">
      <c r="A86" s="12">
        <v>77</v>
      </c>
      <c r="B86" s="33"/>
      <c r="C86" s="38" t="str">
        <f>Notes!U85</f>
        <v xml:space="preserve">               Textiles</v>
      </c>
      <c r="D86" s="4" t="s">
        <v>725</v>
      </c>
      <c r="E86" s="42">
        <v>0.11943703908505254</v>
      </c>
      <c r="F86" s="40">
        <v>0.11356450260945752</v>
      </c>
      <c r="G86" s="40">
        <v>6.4373424348745212E-2</v>
      </c>
      <c r="H86" s="40">
        <v>3.6662093550321289</v>
      </c>
      <c r="I86" s="42">
        <v>0.99202050663021202</v>
      </c>
      <c r="J86" s="40" t="s">
        <v>48</v>
      </c>
      <c r="K86" s="70">
        <v>1.2087879751879174</v>
      </c>
      <c r="L86" s="40" t="s">
        <v>48</v>
      </c>
      <c r="M86" s="40">
        <v>22.355452927620785</v>
      </c>
      <c r="N86" s="40" t="s">
        <v>48</v>
      </c>
      <c r="O86" s="40">
        <v>14.27778125570833</v>
      </c>
      <c r="P86" s="42" t="s">
        <v>48</v>
      </c>
      <c r="Q86" s="40" t="s">
        <v>48</v>
      </c>
      <c r="R86" s="40">
        <v>96.260498558989255</v>
      </c>
      <c r="S86" s="42" t="s">
        <v>48</v>
      </c>
      <c r="T86" s="40">
        <v>28.598721807335746</v>
      </c>
      <c r="U86" s="40">
        <v>28.598721807335753</v>
      </c>
      <c r="W86" s="33"/>
      <c r="X86" s="38" t="str">
        <f>Notes!U85</f>
        <v xml:space="preserve">               Textiles</v>
      </c>
      <c r="Y86" s="4" t="s">
        <v>725</v>
      </c>
      <c r="Z86" s="42">
        <v>14.27778125570833</v>
      </c>
      <c r="AA86" s="40" t="s">
        <v>48</v>
      </c>
      <c r="AB86" s="70" t="s">
        <v>48</v>
      </c>
      <c r="AC86" s="42" t="s">
        <v>48</v>
      </c>
      <c r="AD86" s="40" t="s">
        <v>48</v>
      </c>
      <c r="AE86" s="70" t="s">
        <v>48</v>
      </c>
      <c r="AF86" s="40">
        <v>3.6662093550321289</v>
      </c>
      <c r="AG86" s="40">
        <v>8.5710366181956132</v>
      </c>
      <c r="AH86" s="40">
        <v>6.2767110484630919</v>
      </c>
      <c r="AI86" s="42">
        <v>0.11356450260945752</v>
      </c>
      <c r="AJ86" s="40" t="s">
        <v>48</v>
      </c>
      <c r="AK86" s="70" t="s">
        <v>48</v>
      </c>
      <c r="AL86" s="40">
        <v>0.11943703908505254</v>
      </c>
      <c r="AM86" s="40" t="s">
        <v>48</v>
      </c>
      <c r="AN86" s="40" t="s">
        <v>48</v>
      </c>
    </row>
    <row r="87" spans="1:40" x14ac:dyDescent="0.35">
      <c r="A87" s="12">
        <v>78</v>
      </c>
      <c r="B87" s="33"/>
      <c r="C87" s="38" t="str">
        <f>Notes!U86</f>
        <v xml:space="preserve">               Clothing</v>
      </c>
      <c r="D87" s="4" t="s">
        <v>357</v>
      </c>
      <c r="E87" s="42">
        <v>6.2612681228441228E-2</v>
      </c>
      <c r="F87" s="40">
        <v>7.5956365165886039E-2</v>
      </c>
      <c r="G87" s="40">
        <v>3.3749579644206759E-2</v>
      </c>
      <c r="H87" s="40">
        <v>1.6795162822334269</v>
      </c>
      <c r="I87" s="42">
        <v>1.8735315230357714</v>
      </c>
      <c r="J87" s="40" t="s">
        <v>48</v>
      </c>
      <c r="K87" s="70">
        <v>2.2829189125072609</v>
      </c>
      <c r="L87" s="40" t="s">
        <v>48</v>
      </c>
      <c r="M87" s="40">
        <v>5.0710405372501732</v>
      </c>
      <c r="N87" s="40" t="s">
        <v>48</v>
      </c>
      <c r="O87" s="40">
        <v>5.0411092312356001</v>
      </c>
      <c r="P87" s="42" t="s">
        <v>48</v>
      </c>
      <c r="Q87" s="40" t="s">
        <v>48</v>
      </c>
      <c r="R87" s="40">
        <v>92.804688392278919</v>
      </c>
      <c r="S87" s="42" t="s">
        <v>48</v>
      </c>
      <c r="T87" s="40">
        <v>37.112259581835808</v>
      </c>
      <c r="U87" s="40">
        <v>37.112259581835801</v>
      </c>
      <c r="W87" s="33"/>
      <c r="X87" s="38" t="str">
        <f>Notes!U86</f>
        <v xml:space="preserve">               Clothing</v>
      </c>
      <c r="Y87" s="4" t="s">
        <v>357</v>
      </c>
      <c r="Z87" s="42">
        <v>5.0411092312356001</v>
      </c>
      <c r="AA87" s="40">
        <v>3.2068654534124725</v>
      </c>
      <c r="AB87" s="70">
        <v>5.4040516650420152</v>
      </c>
      <c r="AC87" s="42" t="s">
        <v>48</v>
      </c>
      <c r="AD87" s="40" t="s">
        <v>48</v>
      </c>
      <c r="AE87" s="70" t="s">
        <v>48</v>
      </c>
      <c r="AF87" s="40">
        <v>1.6795162822334269</v>
      </c>
      <c r="AG87" s="40">
        <v>14.353623037656565</v>
      </c>
      <c r="AH87" s="40">
        <v>4.8153435718850774</v>
      </c>
      <c r="AI87" s="42">
        <v>7.5956365165886039E-2</v>
      </c>
      <c r="AJ87" s="40" t="s">
        <v>48</v>
      </c>
      <c r="AK87" s="70" t="s">
        <v>48</v>
      </c>
      <c r="AL87" s="40">
        <v>6.2612681228441228E-2</v>
      </c>
      <c r="AM87" s="40" t="s">
        <v>48</v>
      </c>
      <c r="AN87" s="40" t="s">
        <v>48</v>
      </c>
    </row>
    <row r="88" spans="1:40" x14ac:dyDescent="0.35">
      <c r="A88" s="12">
        <v>79</v>
      </c>
      <c r="B88" s="33"/>
      <c r="C88" s="38" t="str">
        <f>Notes!U87</f>
        <v xml:space="preserve">               Leather and footwear</v>
      </c>
      <c r="D88" s="4" t="s">
        <v>726</v>
      </c>
      <c r="E88" s="42">
        <v>0.33807467548415765</v>
      </c>
      <c r="F88" s="40">
        <v>0.33291201909335977</v>
      </c>
      <c r="G88" s="40">
        <v>0.18214475660007265</v>
      </c>
      <c r="H88" s="40">
        <v>0.33220332087285576</v>
      </c>
      <c r="I88" s="42">
        <v>0.31184879431550411</v>
      </c>
      <c r="J88" s="40" t="s">
        <v>48</v>
      </c>
      <c r="K88" s="70">
        <v>0.37999120998609337</v>
      </c>
      <c r="L88" s="40" t="s">
        <v>48</v>
      </c>
      <c r="M88" s="40">
        <v>1.5433009972568599</v>
      </c>
      <c r="N88" s="40">
        <v>0.28249247272294242</v>
      </c>
      <c r="O88" s="40">
        <v>0.46460064976416982</v>
      </c>
      <c r="P88" s="42" t="s">
        <v>48</v>
      </c>
      <c r="Q88" s="40">
        <v>9.0781327058639452</v>
      </c>
      <c r="R88" s="40">
        <v>28.710851067528932</v>
      </c>
      <c r="S88" s="42">
        <v>13.361819058059728</v>
      </c>
      <c r="T88" s="40">
        <v>13.361819058059728</v>
      </c>
      <c r="U88" s="40">
        <v>13.361819058059728</v>
      </c>
      <c r="W88" s="33"/>
      <c r="X88" s="38" t="str">
        <f>Notes!U87</f>
        <v xml:space="preserve">               Leather and footwear</v>
      </c>
      <c r="Y88" s="4" t="s">
        <v>726</v>
      </c>
      <c r="Z88" s="42">
        <v>0.46460064976416982</v>
      </c>
      <c r="AA88" s="40" t="s">
        <v>48</v>
      </c>
      <c r="AB88" s="70" t="s">
        <v>48</v>
      </c>
      <c r="AC88" s="42">
        <v>0.28249247272294242</v>
      </c>
      <c r="AD88" s="40" t="s">
        <v>48</v>
      </c>
      <c r="AE88" s="70" t="s">
        <v>48</v>
      </c>
      <c r="AF88" s="40">
        <v>0.33220332087285576</v>
      </c>
      <c r="AG88" s="40">
        <v>9.2775274939259234</v>
      </c>
      <c r="AH88" s="40">
        <v>0.61562712078072057</v>
      </c>
      <c r="AI88" s="42">
        <v>0.33291201909335977</v>
      </c>
      <c r="AJ88" s="40" t="s">
        <v>48</v>
      </c>
      <c r="AK88" s="70" t="s">
        <v>48</v>
      </c>
      <c r="AL88" s="40">
        <v>0.33807467548415765</v>
      </c>
      <c r="AM88" s="40" t="s">
        <v>48</v>
      </c>
      <c r="AN88" s="40" t="s">
        <v>48</v>
      </c>
    </row>
    <row r="89" spans="1:40" x14ac:dyDescent="0.35">
      <c r="A89" s="12">
        <v>80</v>
      </c>
      <c r="B89" s="33"/>
      <c r="C89" s="38" t="str">
        <f>Notes!U88</f>
        <v xml:space="preserve">               Wood and paper products</v>
      </c>
      <c r="D89" s="4" t="s">
        <v>727</v>
      </c>
      <c r="E89" s="42">
        <v>0.52904943231660007</v>
      </c>
      <c r="F89" s="40">
        <v>0.40876783275805434</v>
      </c>
      <c r="G89" s="40">
        <v>0.28545399069491745</v>
      </c>
      <c r="H89" s="40">
        <v>0.940252141939386</v>
      </c>
      <c r="I89" s="42">
        <v>0.8349685980486915</v>
      </c>
      <c r="J89" s="40" t="s">
        <v>48</v>
      </c>
      <c r="K89" s="70">
        <v>1.0174184850364199</v>
      </c>
      <c r="L89" s="40" t="s">
        <v>48</v>
      </c>
      <c r="M89" s="40">
        <v>2.4018719911272401</v>
      </c>
      <c r="N89" s="40">
        <v>2.2113190740860329</v>
      </c>
      <c r="O89" s="40">
        <v>3.7665378758473413</v>
      </c>
      <c r="P89" s="42" t="s">
        <v>48</v>
      </c>
      <c r="Q89" s="40">
        <v>44.242601290859866</v>
      </c>
      <c r="R89" s="40">
        <v>76.428055551068041</v>
      </c>
      <c r="S89" s="42">
        <v>11.426761656586523</v>
      </c>
      <c r="T89" s="40">
        <v>11.426761656586523</v>
      </c>
      <c r="U89" s="40">
        <v>11.426761656586525</v>
      </c>
      <c r="W89" s="33"/>
      <c r="X89" s="38" t="str">
        <f>Notes!U88</f>
        <v xml:space="preserve">               Wood and paper products</v>
      </c>
      <c r="Y89" s="4" t="s">
        <v>727</v>
      </c>
      <c r="Z89" s="42">
        <v>3.7665378758473413</v>
      </c>
      <c r="AA89" s="40" t="s">
        <v>48</v>
      </c>
      <c r="AB89" s="70" t="s">
        <v>48</v>
      </c>
      <c r="AC89" s="42">
        <v>2.2113190740860329</v>
      </c>
      <c r="AD89" s="40" t="s">
        <v>48</v>
      </c>
      <c r="AE89" s="70" t="s">
        <v>48</v>
      </c>
      <c r="AF89" s="40">
        <v>0.940252141939386</v>
      </c>
      <c r="AG89" s="40">
        <v>4.5145718549134921</v>
      </c>
      <c r="AH89" s="40">
        <v>0.84789568577271546</v>
      </c>
      <c r="AI89" s="42">
        <v>0.40876783275805434</v>
      </c>
      <c r="AJ89" s="40" t="s">
        <v>48</v>
      </c>
      <c r="AK89" s="70" t="s">
        <v>48</v>
      </c>
      <c r="AL89" s="40">
        <v>0.52904943231660007</v>
      </c>
      <c r="AM89" s="40" t="s">
        <v>48</v>
      </c>
      <c r="AN89" s="40" t="s">
        <v>48</v>
      </c>
    </row>
    <row r="90" spans="1:40" x14ac:dyDescent="0.35">
      <c r="A90" s="12">
        <v>81</v>
      </c>
      <c r="B90" s="33"/>
      <c r="C90" s="38" t="str">
        <f>Notes!U89</f>
        <v xml:space="preserve">               Wood products</v>
      </c>
      <c r="D90" s="4" t="s">
        <v>360</v>
      </c>
      <c r="E90" s="42">
        <v>8.1514394725860697</v>
      </c>
      <c r="F90" s="40">
        <v>13.160203283605188</v>
      </c>
      <c r="G90" s="40">
        <v>8.3116800804222954</v>
      </c>
      <c r="H90" s="40">
        <v>11.537027001405493</v>
      </c>
      <c r="I90" s="42">
        <v>1.9243745238267673</v>
      </c>
      <c r="J90" s="40" t="s">
        <v>48</v>
      </c>
      <c r="K90" s="70">
        <v>2.3448716721204597</v>
      </c>
      <c r="L90" s="40" t="s">
        <v>48</v>
      </c>
      <c r="M90" s="40">
        <v>65.536333475397896</v>
      </c>
      <c r="N90" s="40">
        <v>3.5027473296438933</v>
      </c>
      <c r="O90" s="40">
        <v>0.74916344771439736</v>
      </c>
      <c r="P90" s="42" t="s">
        <v>48</v>
      </c>
      <c r="Q90" s="40">
        <v>2.3706187670416043</v>
      </c>
      <c r="R90" s="40">
        <v>1.0914743318680367</v>
      </c>
      <c r="S90" s="42" t="s">
        <v>48</v>
      </c>
      <c r="T90" s="40" t="s">
        <v>48</v>
      </c>
      <c r="U90" s="40" t="s">
        <v>48</v>
      </c>
      <c r="W90" s="33"/>
      <c r="X90" s="38" t="str">
        <f>Notes!U89</f>
        <v xml:space="preserve">               Wood products</v>
      </c>
      <c r="Y90" s="4" t="s">
        <v>360</v>
      </c>
      <c r="Z90" s="42">
        <v>0.74916344771439736</v>
      </c>
      <c r="AA90" s="40" t="s">
        <v>48</v>
      </c>
      <c r="AB90" s="70" t="s">
        <v>48</v>
      </c>
      <c r="AC90" s="42">
        <v>3.5027473296438933</v>
      </c>
      <c r="AD90" s="40" t="s">
        <v>48</v>
      </c>
      <c r="AE90" s="70" t="s">
        <v>48</v>
      </c>
      <c r="AF90" s="40">
        <v>11.537027001405493</v>
      </c>
      <c r="AG90" s="40">
        <v>4.0016939341936046</v>
      </c>
      <c r="AH90" s="40">
        <v>9.2218765113639112</v>
      </c>
      <c r="AI90" s="42">
        <v>13.160203283605188</v>
      </c>
      <c r="AJ90" s="40" t="s">
        <v>48</v>
      </c>
      <c r="AK90" s="70" t="s">
        <v>48</v>
      </c>
      <c r="AL90" s="40">
        <v>8.1514394725860697</v>
      </c>
      <c r="AM90" s="40" t="s">
        <v>48</v>
      </c>
      <c r="AN90" s="40" t="s">
        <v>48</v>
      </c>
    </row>
    <row r="91" spans="1:40" x14ac:dyDescent="0.35">
      <c r="A91" s="12">
        <v>82</v>
      </c>
      <c r="B91" s="33"/>
      <c r="C91" s="38" t="str">
        <f>Notes!U90</f>
        <v xml:space="preserve">               Paper products and publishing</v>
      </c>
      <c r="D91" s="4" t="s">
        <v>362</v>
      </c>
      <c r="E91" s="42">
        <v>1.6472966934225741</v>
      </c>
      <c r="F91" s="40">
        <v>1.8708466162034698</v>
      </c>
      <c r="G91" s="40">
        <v>1.6807261902589268</v>
      </c>
      <c r="H91" s="40">
        <v>1.5932932809178215</v>
      </c>
      <c r="I91" s="42">
        <v>0.82317281165638478</v>
      </c>
      <c r="J91" s="40" t="s">
        <v>48</v>
      </c>
      <c r="K91" s="70">
        <v>1.0030451886644118</v>
      </c>
      <c r="L91" s="40" t="s">
        <v>48</v>
      </c>
      <c r="M91" s="40" t="s">
        <v>48</v>
      </c>
      <c r="N91" s="40" t="s">
        <v>48</v>
      </c>
      <c r="O91" s="40" t="s">
        <v>48</v>
      </c>
      <c r="P91" s="42" t="s">
        <v>48</v>
      </c>
      <c r="Q91" s="40" t="s">
        <v>48</v>
      </c>
      <c r="R91" s="40" t="s">
        <v>48</v>
      </c>
      <c r="S91" s="42" t="s">
        <v>48</v>
      </c>
      <c r="T91" s="40" t="s">
        <v>48</v>
      </c>
      <c r="U91" s="40" t="s">
        <v>48</v>
      </c>
      <c r="W91" s="33"/>
      <c r="X91" s="38" t="str">
        <f>Notes!U90</f>
        <v xml:space="preserve">               Paper products and publishing</v>
      </c>
      <c r="Y91" s="4" t="s">
        <v>362</v>
      </c>
      <c r="Z91" s="42" t="s">
        <v>48</v>
      </c>
      <c r="AA91" s="40" t="s">
        <v>48</v>
      </c>
      <c r="AB91" s="70" t="s">
        <v>48</v>
      </c>
      <c r="AC91" s="42" t="s">
        <v>48</v>
      </c>
      <c r="AD91" s="40" t="s">
        <v>48</v>
      </c>
      <c r="AE91" s="70" t="s">
        <v>48</v>
      </c>
      <c r="AF91" s="40">
        <v>1.5932932809178215</v>
      </c>
      <c r="AG91" s="40">
        <v>-3.2475664300831015</v>
      </c>
      <c r="AH91" s="40">
        <v>-1.0335590462109043</v>
      </c>
      <c r="AI91" s="42">
        <v>1.8708466162034698</v>
      </c>
      <c r="AJ91" s="40" t="s">
        <v>48</v>
      </c>
      <c r="AK91" s="70" t="s">
        <v>48</v>
      </c>
      <c r="AL91" s="40">
        <v>1.6472966934225741</v>
      </c>
      <c r="AM91" s="40" t="s">
        <v>48</v>
      </c>
      <c r="AN91" s="40" t="s">
        <v>48</v>
      </c>
    </row>
    <row r="92" spans="1:40" x14ac:dyDescent="0.35">
      <c r="A92" s="12">
        <v>83</v>
      </c>
      <c r="B92" s="33"/>
      <c r="C92" s="38" t="str">
        <f>Notes!U91</f>
        <v xml:space="preserve">               Chemical products</v>
      </c>
      <c r="D92" s="4" t="s">
        <v>364</v>
      </c>
      <c r="E92" s="42">
        <v>1.1924568837413783</v>
      </c>
      <c r="F92" s="40">
        <v>1.4090611703768123</v>
      </c>
      <c r="G92" s="40">
        <v>1.2165701302719898</v>
      </c>
      <c r="H92" s="40">
        <v>1.1829773475163363</v>
      </c>
      <c r="I92" s="42">
        <v>0.38823580551952169</v>
      </c>
      <c r="J92" s="40" t="s">
        <v>48</v>
      </c>
      <c r="K92" s="70">
        <v>0.47306962921919549</v>
      </c>
      <c r="L92" s="40" t="s">
        <v>48</v>
      </c>
      <c r="M92" s="40" t="s">
        <v>48</v>
      </c>
      <c r="N92" s="40" t="s">
        <v>48</v>
      </c>
      <c r="O92" s="40" t="s">
        <v>48</v>
      </c>
      <c r="P92" s="42" t="s">
        <v>48</v>
      </c>
      <c r="Q92" s="40" t="s">
        <v>48</v>
      </c>
      <c r="R92" s="40" t="s">
        <v>48</v>
      </c>
      <c r="S92" s="42" t="s">
        <v>48</v>
      </c>
      <c r="T92" s="40" t="s">
        <v>48</v>
      </c>
      <c r="U92" s="40" t="s">
        <v>48</v>
      </c>
      <c r="W92" s="33"/>
      <c r="X92" s="38" t="str">
        <f>Notes!U91</f>
        <v xml:space="preserve">               Chemical products</v>
      </c>
      <c r="Y92" s="4" t="s">
        <v>364</v>
      </c>
      <c r="Z92" s="42" t="s">
        <v>48</v>
      </c>
      <c r="AA92" s="40" t="s">
        <v>48</v>
      </c>
      <c r="AB92" s="70" t="s">
        <v>48</v>
      </c>
      <c r="AC92" s="42" t="s">
        <v>48</v>
      </c>
      <c r="AD92" s="40" t="s">
        <v>48</v>
      </c>
      <c r="AE92" s="70" t="s">
        <v>48</v>
      </c>
      <c r="AF92" s="40">
        <v>1.1829773475163363</v>
      </c>
      <c r="AG92" s="40">
        <v>-2.9772862055389275</v>
      </c>
      <c r="AH92" s="40">
        <v>-0.70352338534754055</v>
      </c>
      <c r="AI92" s="42">
        <v>1.4090611703768123</v>
      </c>
      <c r="AJ92" s="40" t="s">
        <v>48</v>
      </c>
      <c r="AK92" s="70" t="s">
        <v>48</v>
      </c>
      <c r="AL92" s="40">
        <v>1.1924568837413783</v>
      </c>
      <c r="AM92" s="40" t="s">
        <v>48</v>
      </c>
      <c r="AN92" s="40" t="s">
        <v>48</v>
      </c>
    </row>
    <row r="93" spans="1:40" x14ac:dyDescent="0.35">
      <c r="A93" s="12">
        <v>84</v>
      </c>
      <c r="B93" s="33"/>
      <c r="C93" s="38" t="str">
        <f>Notes!U92</f>
        <v xml:space="preserve">               Petroleum products</v>
      </c>
      <c r="D93" s="4" t="s">
        <v>728</v>
      </c>
      <c r="E93" s="42">
        <v>0.45483980968119564</v>
      </c>
      <c r="F93" s="40">
        <v>0.4617854458266577</v>
      </c>
      <c r="G93" s="40">
        <v>0.46415605998693671</v>
      </c>
      <c r="H93" s="40">
        <v>0.41031593340148498</v>
      </c>
      <c r="I93" s="42">
        <v>0.43493700613686315</v>
      </c>
      <c r="J93" s="40" t="s">
        <v>48</v>
      </c>
      <c r="K93" s="70">
        <v>0.52997555944521646</v>
      </c>
      <c r="L93" s="40" t="s">
        <v>48</v>
      </c>
      <c r="M93" s="40" t="s">
        <v>48</v>
      </c>
      <c r="N93" s="40" t="s">
        <v>48</v>
      </c>
      <c r="O93" s="40" t="s">
        <v>48</v>
      </c>
      <c r="P93" s="42" t="s">
        <v>48</v>
      </c>
      <c r="Q93" s="40" t="s">
        <v>48</v>
      </c>
      <c r="R93" s="40" t="s">
        <v>48</v>
      </c>
      <c r="S93" s="42" t="s">
        <v>48</v>
      </c>
      <c r="T93" s="40" t="s">
        <v>48</v>
      </c>
      <c r="U93" s="40" t="s">
        <v>48</v>
      </c>
      <c r="W93" s="33"/>
      <c r="X93" s="38" t="str">
        <f>Notes!U92</f>
        <v xml:space="preserve">               Petroleum products</v>
      </c>
      <c r="Y93" s="4" t="s">
        <v>728</v>
      </c>
      <c r="Z93" s="42" t="s">
        <v>48</v>
      </c>
      <c r="AA93" s="40" t="s">
        <v>48</v>
      </c>
      <c r="AB93" s="70" t="s">
        <v>48</v>
      </c>
      <c r="AC93" s="42" t="s">
        <v>48</v>
      </c>
      <c r="AD93" s="40" t="s">
        <v>48</v>
      </c>
      <c r="AE93" s="70" t="s">
        <v>48</v>
      </c>
      <c r="AF93" s="40">
        <v>0.41031593340148498</v>
      </c>
      <c r="AG93" s="40">
        <v>-4.0268083680376092</v>
      </c>
      <c r="AH93" s="40">
        <v>-0.33003566086336367</v>
      </c>
      <c r="AI93" s="42">
        <v>0.4617854458266577</v>
      </c>
      <c r="AJ93" s="40" t="s">
        <v>48</v>
      </c>
      <c r="AK93" s="70" t="s">
        <v>48</v>
      </c>
      <c r="AL93" s="40">
        <v>0.45483980968119564</v>
      </c>
      <c r="AM93" s="40" t="s">
        <v>48</v>
      </c>
      <c r="AN93" s="40" t="s">
        <v>48</v>
      </c>
    </row>
    <row r="94" spans="1:40" x14ac:dyDescent="0.35">
      <c r="A94" s="12">
        <v>85</v>
      </c>
      <c r="B94" s="33"/>
      <c r="C94" s="38" t="str">
        <f>Notes!U93</f>
        <v xml:space="preserve">               Fertilizers and herbicides</v>
      </c>
      <c r="D94" s="4" t="s">
        <v>729</v>
      </c>
      <c r="E94" s="42">
        <v>6.5041427791634954</v>
      </c>
      <c r="F94" s="40">
        <v>11.289356667401716</v>
      </c>
      <c r="G94" s="40">
        <v>6.6309538901633731</v>
      </c>
      <c r="H94" s="40">
        <v>9.943733720487673</v>
      </c>
      <c r="I94" s="42">
        <v>1.1012017121703817</v>
      </c>
      <c r="J94" s="40" t="s">
        <v>48</v>
      </c>
      <c r="K94" s="70">
        <v>1.3418264834560469</v>
      </c>
      <c r="L94" s="40" t="s">
        <v>48</v>
      </c>
      <c r="M94" s="40">
        <v>65.536333475397896</v>
      </c>
      <c r="N94" s="40">
        <v>3.5027473296438933</v>
      </c>
      <c r="O94" s="40">
        <v>0.74916344771439736</v>
      </c>
      <c r="P94" s="42" t="s">
        <v>48</v>
      </c>
      <c r="Q94" s="40">
        <v>2.7778858103488142</v>
      </c>
      <c r="R94" s="40">
        <v>1.2818725694929227</v>
      </c>
      <c r="S94" s="42" t="s">
        <v>48</v>
      </c>
      <c r="T94" s="40" t="s">
        <v>48</v>
      </c>
      <c r="U94" s="40" t="s">
        <v>48</v>
      </c>
      <c r="W94" s="33"/>
      <c r="X94" s="38" t="str">
        <f>Notes!U93</f>
        <v xml:space="preserve">               Fertilizers and herbicides</v>
      </c>
      <c r="Y94" s="4" t="s">
        <v>729</v>
      </c>
      <c r="Z94" s="42">
        <v>0.74916344771439736</v>
      </c>
      <c r="AA94" s="40" t="s">
        <v>48</v>
      </c>
      <c r="AB94" s="70" t="s">
        <v>48</v>
      </c>
      <c r="AC94" s="42">
        <v>3.5027473296438933</v>
      </c>
      <c r="AD94" s="40" t="s">
        <v>48</v>
      </c>
      <c r="AE94" s="70" t="s">
        <v>48</v>
      </c>
      <c r="AF94" s="40">
        <v>9.943733720487673</v>
      </c>
      <c r="AG94" s="40">
        <v>5.163249357407361</v>
      </c>
      <c r="AH94" s="40">
        <v>10.255435557574815</v>
      </c>
      <c r="AI94" s="42">
        <v>11.289356667401716</v>
      </c>
      <c r="AJ94" s="40" t="s">
        <v>48</v>
      </c>
      <c r="AK94" s="70" t="s">
        <v>48</v>
      </c>
      <c r="AL94" s="40">
        <v>6.5041427791634954</v>
      </c>
      <c r="AM94" s="40" t="s">
        <v>48</v>
      </c>
      <c r="AN94" s="40" t="s">
        <v>48</v>
      </c>
    </row>
    <row r="95" spans="1:40" x14ac:dyDescent="0.35">
      <c r="A95" s="12">
        <v>86</v>
      </c>
      <c r="B95" s="33"/>
      <c r="C95" s="38" t="str">
        <f>Notes!U94</f>
        <v xml:space="preserve">               Other chemicals</v>
      </c>
      <c r="D95" s="4" t="s">
        <v>368</v>
      </c>
      <c r="E95" s="42">
        <v>52.33044723368139</v>
      </c>
      <c r="F95" s="40">
        <v>53.156843137312237</v>
      </c>
      <c r="G95" s="40">
        <v>56.816262718129742</v>
      </c>
      <c r="H95" s="40">
        <v>46.598573762054187</v>
      </c>
      <c r="I95" s="42">
        <v>36.883498158709948</v>
      </c>
      <c r="J95" s="40" t="s">
        <v>48</v>
      </c>
      <c r="K95" s="70">
        <v>44.942951036932193</v>
      </c>
      <c r="L95" s="40">
        <v>100</v>
      </c>
      <c r="M95" s="40">
        <v>7.1516716967610578E-3</v>
      </c>
      <c r="N95" s="40">
        <v>32.426285710664729</v>
      </c>
      <c r="O95" s="40">
        <v>10.764013352041054</v>
      </c>
      <c r="P95" s="42" t="s">
        <v>48</v>
      </c>
      <c r="Q95" s="40">
        <v>5.3810168487106065</v>
      </c>
      <c r="R95" s="40">
        <v>3.8566753534653988</v>
      </c>
      <c r="S95" s="42" t="s">
        <v>48</v>
      </c>
      <c r="T95" s="40" t="s">
        <v>48</v>
      </c>
      <c r="U95" s="40" t="s">
        <v>48</v>
      </c>
      <c r="W95" s="33"/>
      <c r="X95" s="38" t="str">
        <f>Notes!U94</f>
        <v xml:space="preserve">               Other chemicals</v>
      </c>
      <c r="Y95" s="4" t="s">
        <v>368</v>
      </c>
      <c r="Z95" s="42">
        <v>10.764013352041054</v>
      </c>
      <c r="AA95" s="40" t="s">
        <v>48</v>
      </c>
      <c r="AB95" s="70" t="s">
        <v>48</v>
      </c>
      <c r="AC95" s="42">
        <v>32.426285710664729</v>
      </c>
      <c r="AD95" s="40" t="s">
        <v>48</v>
      </c>
      <c r="AE95" s="70" t="s">
        <v>48</v>
      </c>
      <c r="AF95" s="40">
        <v>46.598573762054187</v>
      </c>
      <c r="AG95" s="40">
        <v>3.3542085425468229</v>
      </c>
      <c r="AH95" s="40">
        <v>31.220813104192484</v>
      </c>
      <c r="AI95" s="42">
        <v>53.156843137312237</v>
      </c>
      <c r="AJ95" s="40">
        <v>-1.395806460235258</v>
      </c>
      <c r="AK95" s="70">
        <v>100</v>
      </c>
      <c r="AL95" s="40">
        <v>52.33044723368139</v>
      </c>
      <c r="AM95" s="40" t="s">
        <v>48</v>
      </c>
      <c r="AN95" s="40" t="s">
        <v>48</v>
      </c>
    </row>
    <row r="96" spans="1:40" x14ac:dyDescent="0.35">
      <c r="A96" s="12">
        <v>87</v>
      </c>
      <c r="B96" s="33"/>
      <c r="C96" s="38" t="str">
        <f>Notes!U95</f>
        <v xml:space="preserve">               Non-metal minerals</v>
      </c>
      <c r="D96" s="4" t="s">
        <v>730</v>
      </c>
      <c r="E96" s="42">
        <v>9.0458405193778741</v>
      </c>
      <c r="F96" s="40">
        <v>9.524193510623828</v>
      </c>
      <c r="G96" s="40">
        <v>8.4511223318250277</v>
      </c>
      <c r="H96" s="40">
        <v>8.2191074361957135</v>
      </c>
      <c r="I96" s="42">
        <v>0.13542077252469287</v>
      </c>
      <c r="J96" s="40" t="s">
        <v>48</v>
      </c>
      <c r="K96" s="70">
        <v>0.1650117112745598</v>
      </c>
      <c r="L96" s="40" t="s">
        <v>48</v>
      </c>
      <c r="M96" s="40" t="s">
        <v>48</v>
      </c>
      <c r="N96" s="40">
        <v>1.6204531510397954E-2</v>
      </c>
      <c r="O96" s="40">
        <v>2.9801604400244847E-3</v>
      </c>
      <c r="P96" s="42" t="s">
        <v>48</v>
      </c>
      <c r="Q96" s="40">
        <v>1.4974590514008988E-2</v>
      </c>
      <c r="R96" s="40">
        <v>5.8523270864367528E-3</v>
      </c>
      <c r="S96" s="42" t="s">
        <v>48</v>
      </c>
      <c r="T96" s="40" t="s">
        <v>48</v>
      </c>
      <c r="U96" s="40" t="s">
        <v>48</v>
      </c>
      <c r="W96" s="33"/>
      <c r="X96" s="38" t="str">
        <f>Notes!U95</f>
        <v xml:space="preserve">               Non-metal minerals</v>
      </c>
      <c r="Y96" s="4" t="s">
        <v>730</v>
      </c>
      <c r="Z96" s="42">
        <v>2.9801604400244847E-3</v>
      </c>
      <c r="AA96" s="40" t="s">
        <v>48</v>
      </c>
      <c r="AB96" s="70" t="s">
        <v>48</v>
      </c>
      <c r="AC96" s="42">
        <v>1.6204531510397954E-2</v>
      </c>
      <c r="AD96" s="40" t="s">
        <v>48</v>
      </c>
      <c r="AE96" s="70" t="s">
        <v>48</v>
      </c>
      <c r="AF96" s="40">
        <v>8.2191074361957135</v>
      </c>
      <c r="AG96" s="40">
        <v>2.7437690636531609E-2</v>
      </c>
      <c r="AH96" s="40">
        <v>4.5045741138569281E-2</v>
      </c>
      <c r="AI96" s="42">
        <v>9.524193510623828</v>
      </c>
      <c r="AJ96" s="40" t="s">
        <v>48</v>
      </c>
      <c r="AK96" s="70" t="s">
        <v>48</v>
      </c>
      <c r="AL96" s="40">
        <v>9.0458405193778741</v>
      </c>
      <c r="AM96" s="40" t="s">
        <v>48</v>
      </c>
      <c r="AN96" s="40" t="s">
        <v>48</v>
      </c>
    </row>
    <row r="97" spans="1:40" x14ac:dyDescent="0.35">
      <c r="A97" s="12">
        <v>88</v>
      </c>
      <c r="B97" s="33"/>
      <c r="C97" s="38" t="str">
        <f>Notes!U96</f>
        <v xml:space="preserve">               Metals and metal products</v>
      </c>
      <c r="D97" s="4" t="s">
        <v>371</v>
      </c>
      <c r="E97" s="42">
        <v>9.0458405193778741</v>
      </c>
      <c r="F97" s="40">
        <v>9.524193510623828</v>
      </c>
      <c r="G97" s="40">
        <v>8.4511223318250277</v>
      </c>
      <c r="H97" s="40">
        <v>8.2191074361957135</v>
      </c>
      <c r="I97" s="42">
        <v>0.13542077252469287</v>
      </c>
      <c r="J97" s="40" t="s">
        <v>48</v>
      </c>
      <c r="K97" s="70">
        <v>0.1650117112745598</v>
      </c>
      <c r="L97" s="40" t="s">
        <v>48</v>
      </c>
      <c r="M97" s="40" t="s">
        <v>48</v>
      </c>
      <c r="N97" s="40">
        <v>1.6204531510397954E-2</v>
      </c>
      <c r="O97" s="40">
        <v>2.9801604400244847E-3</v>
      </c>
      <c r="P97" s="42" t="s">
        <v>48</v>
      </c>
      <c r="Q97" s="40">
        <v>1.4974590514008988E-2</v>
      </c>
      <c r="R97" s="40">
        <v>5.8523270864367528E-3</v>
      </c>
      <c r="S97" s="42" t="s">
        <v>48</v>
      </c>
      <c r="T97" s="40" t="s">
        <v>48</v>
      </c>
      <c r="U97" s="40" t="s">
        <v>48</v>
      </c>
      <c r="W97" s="33"/>
      <c r="X97" s="38" t="str">
        <f>Notes!U96</f>
        <v xml:space="preserve">               Metals and metal products</v>
      </c>
      <c r="Y97" s="4" t="s">
        <v>371</v>
      </c>
      <c r="Z97" s="42">
        <v>2.9801604400244847E-3</v>
      </c>
      <c r="AA97" s="40" t="s">
        <v>48</v>
      </c>
      <c r="AB97" s="70" t="s">
        <v>48</v>
      </c>
      <c r="AC97" s="42">
        <v>1.6204531510397954E-2</v>
      </c>
      <c r="AD97" s="40" t="s">
        <v>48</v>
      </c>
      <c r="AE97" s="70" t="s">
        <v>48</v>
      </c>
      <c r="AF97" s="40">
        <v>8.2191074361957135</v>
      </c>
      <c r="AG97" s="40">
        <v>2.7437690636531609E-2</v>
      </c>
      <c r="AH97" s="40">
        <v>4.5045741138569281E-2</v>
      </c>
      <c r="AI97" s="42">
        <v>9.524193510623828</v>
      </c>
      <c r="AJ97" s="40" t="s">
        <v>48</v>
      </c>
      <c r="AK97" s="70" t="s">
        <v>48</v>
      </c>
      <c r="AL97" s="40">
        <v>9.0458405193778741</v>
      </c>
      <c r="AM97" s="40" t="s">
        <v>48</v>
      </c>
      <c r="AN97" s="40" t="s">
        <v>48</v>
      </c>
    </row>
    <row r="98" spans="1:40" x14ac:dyDescent="0.35">
      <c r="A98" s="12">
        <v>89</v>
      </c>
      <c r="B98" s="33"/>
      <c r="C98" s="38" t="str">
        <f>Notes!U97</f>
        <v xml:space="preserve">               Machinery and equipment</v>
      </c>
      <c r="D98" s="4" t="s">
        <v>731</v>
      </c>
      <c r="E98" s="42">
        <v>5.0412273497742248</v>
      </c>
      <c r="F98" s="40">
        <v>5.0816021812743699</v>
      </c>
      <c r="G98" s="40">
        <v>5.4538084625536225</v>
      </c>
      <c r="H98" s="40">
        <v>4.3342091439167163</v>
      </c>
      <c r="I98" s="42">
        <v>5.1247266596593812</v>
      </c>
      <c r="J98" s="40" t="s">
        <v>48</v>
      </c>
      <c r="K98" s="70">
        <v>6.2445361975066085</v>
      </c>
      <c r="L98" s="40" t="s">
        <v>48</v>
      </c>
      <c r="M98" s="40" t="s">
        <v>48</v>
      </c>
      <c r="N98" s="40">
        <v>9.8646121381305552</v>
      </c>
      <c r="O98" s="40">
        <v>2.9944661873981895</v>
      </c>
      <c r="P98" s="42" t="s">
        <v>48</v>
      </c>
      <c r="Q98" s="40">
        <v>17.445193940734725</v>
      </c>
      <c r="R98" s="40">
        <v>11.995262100925904</v>
      </c>
      <c r="S98" s="42" t="s">
        <v>48</v>
      </c>
      <c r="T98" s="40" t="s">
        <v>48</v>
      </c>
      <c r="U98" s="40" t="s">
        <v>48</v>
      </c>
      <c r="W98" s="33"/>
      <c r="X98" s="38" t="str">
        <f>Notes!U97</f>
        <v xml:space="preserve">               Machinery and equipment</v>
      </c>
      <c r="Y98" s="4" t="s">
        <v>731</v>
      </c>
      <c r="Z98" s="42">
        <v>2.9944661873981895</v>
      </c>
      <c r="AA98" s="40" t="s">
        <v>48</v>
      </c>
      <c r="AB98" s="70" t="s">
        <v>48</v>
      </c>
      <c r="AC98" s="42">
        <v>9.8646121381305552</v>
      </c>
      <c r="AD98" s="40" t="s">
        <v>48</v>
      </c>
      <c r="AE98" s="70" t="s">
        <v>48</v>
      </c>
      <c r="AF98" s="40">
        <v>4.3342091439167163</v>
      </c>
      <c r="AG98" s="40">
        <v>7.0618049773616072</v>
      </c>
      <c r="AH98" s="40">
        <v>6.113742007090412</v>
      </c>
      <c r="AI98" s="42">
        <v>5.0816021812743699</v>
      </c>
      <c r="AJ98" s="40">
        <v>-14.601037706215234</v>
      </c>
      <c r="AK98" s="70">
        <v>100</v>
      </c>
      <c r="AL98" s="40">
        <v>5.0412273497742248</v>
      </c>
      <c r="AM98" s="40" t="s">
        <v>48</v>
      </c>
      <c r="AN98" s="40" t="s">
        <v>48</v>
      </c>
    </row>
    <row r="99" spans="1:40" x14ac:dyDescent="0.35">
      <c r="A99" s="12">
        <v>90</v>
      </c>
      <c r="B99" s="33"/>
      <c r="C99" s="38" t="str">
        <f>Notes!U98</f>
        <v xml:space="preserve">               Machinery and other equipment</v>
      </c>
      <c r="D99" s="4" t="s">
        <v>732</v>
      </c>
      <c r="E99" s="42">
        <v>4.8991045428336388</v>
      </c>
      <c r="F99" s="40">
        <v>4.9431056563876039</v>
      </c>
      <c r="G99" s="40">
        <v>5.3000016713204534</v>
      </c>
      <c r="H99" s="40">
        <v>4.2820711088821772</v>
      </c>
      <c r="I99" s="42">
        <v>5.1056845160733646</v>
      </c>
      <c r="J99" s="40" t="s">
        <v>48</v>
      </c>
      <c r="K99" s="70">
        <v>6.2213331346316609</v>
      </c>
      <c r="L99" s="40" t="s">
        <v>48</v>
      </c>
      <c r="M99" s="40" t="s">
        <v>48</v>
      </c>
      <c r="N99" s="40">
        <v>9.4455057206476756</v>
      </c>
      <c r="O99" s="40">
        <v>2.9458832807260746</v>
      </c>
      <c r="P99" s="42" t="s">
        <v>48</v>
      </c>
      <c r="Q99" s="40">
        <v>17.005493908096845</v>
      </c>
      <c r="R99" s="40">
        <v>11.955392421898683</v>
      </c>
      <c r="S99" s="42" t="s">
        <v>48</v>
      </c>
      <c r="T99" s="40" t="s">
        <v>48</v>
      </c>
      <c r="U99" s="40" t="s">
        <v>48</v>
      </c>
      <c r="W99" s="33"/>
      <c r="X99" s="38" t="str">
        <f>Notes!U98</f>
        <v xml:space="preserve">               Machinery and other equipment</v>
      </c>
      <c r="Y99" s="4" t="s">
        <v>732</v>
      </c>
      <c r="Z99" s="42">
        <v>2.9458832807260746</v>
      </c>
      <c r="AA99" s="40" t="s">
        <v>48</v>
      </c>
      <c r="AB99" s="70" t="s">
        <v>48</v>
      </c>
      <c r="AC99" s="42">
        <v>9.4455057206476756</v>
      </c>
      <c r="AD99" s="40" t="s">
        <v>48</v>
      </c>
      <c r="AE99" s="70" t="s">
        <v>48</v>
      </c>
      <c r="AF99" s="40">
        <v>4.2820711088821772</v>
      </c>
      <c r="AG99" s="40">
        <v>7.1477887515574725</v>
      </c>
      <c r="AH99" s="40">
        <v>6.113742007090412</v>
      </c>
      <c r="AI99" s="42">
        <v>4.9431056563876039</v>
      </c>
      <c r="AJ99" s="40">
        <v>-15.010131325211285</v>
      </c>
      <c r="AK99" s="70">
        <v>100</v>
      </c>
      <c r="AL99" s="40">
        <v>4.8991045428336388</v>
      </c>
      <c r="AM99" s="40" t="s">
        <v>48</v>
      </c>
      <c r="AN99" s="40" t="s">
        <v>48</v>
      </c>
    </row>
    <row r="100" spans="1:40" x14ac:dyDescent="0.35">
      <c r="A100" s="12">
        <v>91</v>
      </c>
      <c r="B100" s="33"/>
      <c r="C100" s="38" t="str">
        <f>Notes!U99</f>
        <v xml:space="preserve">               Electrical equipment</v>
      </c>
      <c r="D100" s="4" t="s">
        <v>373</v>
      </c>
      <c r="E100" s="42">
        <v>0.14212280694058665</v>
      </c>
      <c r="F100" s="40">
        <v>0.13849652488676722</v>
      </c>
      <c r="G100" s="40">
        <v>0.15380679123316987</v>
      </c>
      <c r="H100" s="40">
        <v>5.2138035034538746E-2</v>
      </c>
      <c r="I100" s="42">
        <v>1.9042143586017309E-2</v>
      </c>
      <c r="J100" s="40" t="s">
        <v>48</v>
      </c>
      <c r="K100" s="70">
        <v>2.3203062874948881E-2</v>
      </c>
      <c r="L100" s="40" t="s">
        <v>48</v>
      </c>
      <c r="M100" s="40" t="s">
        <v>48</v>
      </c>
      <c r="N100" s="40">
        <v>0.41910641748287897</v>
      </c>
      <c r="O100" s="40">
        <v>4.8582906672114672E-2</v>
      </c>
      <c r="P100" s="42" t="s">
        <v>48</v>
      </c>
      <c r="Q100" s="40">
        <v>41.808031804255151</v>
      </c>
      <c r="R100" s="40">
        <v>15.035686475924489</v>
      </c>
      <c r="S100" s="42" t="s">
        <v>48</v>
      </c>
      <c r="T100" s="40" t="s">
        <v>48</v>
      </c>
      <c r="U100" s="40" t="s">
        <v>48</v>
      </c>
      <c r="W100" s="33"/>
      <c r="X100" s="38" t="str">
        <f>Notes!U99</f>
        <v xml:space="preserve">               Electrical equipment</v>
      </c>
      <c r="Y100" s="4" t="s">
        <v>373</v>
      </c>
      <c r="Z100" s="42">
        <v>4.8582906672114672E-2</v>
      </c>
      <c r="AA100" s="40" t="s">
        <v>48</v>
      </c>
      <c r="AB100" s="70" t="s">
        <v>48</v>
      </c>
      <c r="AC100" s="42">
        <v>0.41910641748287897</v>
      </c>
      <c r="AD100" s="40" t="s">
        <v>48</v>
      </c>
      <c r="AE100" s="70" t="s">
        <v>48</v>
      </c>
      <c r="AF100" s="40">
        <v>5.2138035034538746E-2</v>
      </c>
      <c r="AG100" s="40" t="s">
        <v>48</v>
      </c>
      <c r="AH100" s="40" t="s">
        <v>48</v>
      </c>
      <c r="AI100" s="42">
        <v>0.13849652488676722</v>
      </c>
      <c r="AJ100" s="40" t="s">
        <v>48</v>
      </c>
      <c r="AK100" s="70" t="s">
        <v>48</v>
      </c>
      <c r="AL100" s="40">
        <v>0.14212280694058665</v>
      </c>
      <c r="AM100" s="40" t="s">
        <v>48</v>
      </c>
      <c r="AN100" s="40" t="s">
        <v>48</v>
      </c>
    </row>
    <row r="101" spans="1:40" x14ac:dyDescent="0.35">
      <c r="A101" s="12">
        <v>92</v>
      </c>
      <c r="B101" s="33"/>
      <c r="C101" s="38" t="str">
        <f>Notes!U100</f>
        <v xml:space="preserve">               Vehicles and transport equipment</v>
      </c>
      <c r="D101" s="4" t="s">
        <v>733</v>
      </c>
      <c r="E101" s="42">
        <v>3.8910561430600059</v>
      </c>
      <c r="F101" s="40">
        <v>6.6973612883455074</v>
      </c>
      <c r="G101" s="40">
        <v>3.2204706087989621</v>
      </c>
      <c r="H101" s="40">
        <v>5.6850188211741353</v>
      </c>
      <c r="I101" s="42">
        <v>8.3951952742660705</v>
      </c>
      <c r="J101" s="40" t="s">
        <v>48</v>
      </c>
      <c r="K101" s="70">
        <v>10.229638428906043</v>
      </c>
      <c r="L101" s="40" t="s">
        <v>48</v>
      </c>
      <c r="M101" s="40">
        <v>7.1516716967610578E-3</v>
      </c>
      <c r="N101" s="40">
        <v>1.746610295255814</v>
      </c>
      <c r="O101" s="40">
        <v>0.89050041937008828</v>
      </c>
      <c r="P101" s="42" t="s">
        <v>48</v>
      </c>
      <c r="Q101" s="40">
        <v>2.480799178132294</v>
      </c>
      <c r="R101" s="40">
        <v>2.6820290770668866</v>
      </c>
      <c r="S101" s="42" t="s">
        <v>48</v>
      </c>
      <c r="T101" s="40" t="s">
        <v>48</v>
      </c>
      <c r="U101" s="40" t="s">
        <v>48</v>
      </c>
      <c r="W101" s="33"/>
      <c r="X101" s="38" t="str">
        <f>Notes!U100</f>
        <v xml:space="preserve">               Vehicles and transport equipment</v>
      </c>
      <c r="Y101" s="4" t="s">
        <v>733</v>
      </c>
      <c r="Z101" s="42">
        <v>0.89050041937008828</v>
      </c>
      <c r="AA101" s="40" t="s">
        <v>48</v>
      </c>
      <c r="AB101" s="70" t="s">
        <v>48</v>
      </c>
      <c r="AC101" s="42">
        <v>1.746610295255814</v>
      </c>
      <c r="AD101" s="40" t="s">
        <v>48</v>
      </c>
      <c r="AE101" s="70" t="s">
        <v>48</v>
      </c>
      <c r="AF101" s="40">
        <v>5.6850188211741353</v>
      </c>
      <c r="AG101" s="40">
        <v>5.7604582457822824</v>
      </c>
      <c r="AH101" s="40">
        <v>6.5413963485080373</v>
      </c>
      <c r="AI101" s="42">
        <v>6.6973612883455074</v>
      </c>
      <c r="AJ101" s="40" t="s">
        <v>48</v>
      </c>
      <c r="AK101" s="70" t="s">
        <v>48</v>
      </c>
      <c r="AL101" s="40">
        <v>3.8910561430600059</v>
      </c>
      <c r="AM101" s="40" t="s">
        <v>48</v>
      </c>
      <c r="AN101" s="40" t="s">
        <v>48</v>
      </c>
    </row>
    <row r="102" spans="1:40" x14ac:dyDescent="0.35">
      <c r="A102" s="12">
        <v>93</v>
      </c>
      <c r="B102" s="33"/>
      <c r="C102" s="38" t="str">
        <f>Notes!U101</f>
        <v xml:space="preserve">               Other manufacturing</v>
      </c>
      <c r="D102" s="4" t="s">
        <v>374</v>
      </c>
      <c r="E102" s="42">
        <v>1.9881267406928032</v>
      </c>
      <c r="F102" s="40">
        <v>4.455264822780495</v>
      </c>
      <c r="G102" s="40">
        <v>1.8073040743834909</v>
      </c>
      <c r="H102" s="40">
        <v>3.8786991952983567</v>
      </c>
      <c r="I102" s="42">
        <v>6.2578096841013533</v>
      </c>
      <c r="J102" s="40" t="s">
        <v>48</v>
      </c>
      <c r="K102" s="70">
        <v>7.6252104130907137</v>
      </c>
      <c r="L102" s="40" t="s">
        <v>48</v>
      </c>
      <c r="M102" s="40" t="s">
        <v>48</v>
      </c>
      <c r="N102" s="40" t="s">
        <v>48</v>
      </c>
      <c r="O102" s="40" t="s">
        <v>48</v>
      </c>
      <c r="P102" s="42" t="s">
        <v>48</v>
      </c>
      <c r="Q102" s="40" t="s">
        <v>48</v>
      </c>
      <c r="R102" s="40" t="s">
        <v>48</v>
      </c>
      <c r="S102" s="42" t="s">
        <v>48</v>
      </c>
      <c r="T102" s="40" t="s">
        <v>48</v>
      </c>
      <c r="U102" s="40" t="s">
        <v>48</v>
      </c>
      <c r="W102" s="33"/>
      <c r="X102" s="38" t="str">
        <f>Notes!U101</f>
        <v xml:space="preserve">               Other manufacturing</v>
      </c>
      <c r="Y102" s="4" t="s">
        <v>374</v>
      </c>
      <c r="Z102" s="42" t="s">
        <v>48</v>
      </c>
      <c r="AA102" s="40" t="s">
        <v>48</v>
      </c>
      <c r="AB102" s="70" t="s">
        <v>48</v>
      </c>
      <c r="AC102" s="42" t="s">
        <v>48</v>
      </c>
      <c r="AD102" s="40" t="s">
        <v>48</v>
      </c>
      <c r="AE102" s="70" t="s">
        <v>48</v>
      </c>
      <c r="AF102" s="40">
        <v>3.8786991952983567</v>
      </c>
      <c r="AG102" s="40">
        <v>0.7676039762486333</v>
      </c>
      <c r="AH102" s="40">
        <v>0.59470945083654392</v>
      </c>
      <c r="AI102" s="42">
        <v>4.455264822780495</v>
      </c>
      <c r="AJ102" s="40" t="s">
        <v>48</v>
      </c>
      <c r="AK102" s="70" t="s">
        <v>48</v>
      </c>
      <c r="AL102" s="40">
        <v>1.9881267406928032</v>
      </c>
      <c r="AM102" s="40" t="s">
        <v>48</v>
      </c>
      <c r="AN102" s="40" t="s">
        <v>48</v>
      </c>
    </row>
    <row r="103" spans="1:40" x14ac:dyDescent="0.35">
      <c r="A103" s="12">
        <v>94</v>
      </c>
      <c r="B103" s="33"/>
      <c r="C103" s="38" t="str">
        <f>Notes!U102</f>
        <v xml:space="preserve">               Utilities</v>
      </c>
      <c r="D103" s="4" t="s">
        <v>734</v>
      </c>
      <c r="E103" s="42" t="s">
        <v>48</v>
      </c>
      <c r="F103" s="40" t="s">
        <v>48</v>
      </c>
      <c r="G103" s="40" t="s">
        <v>48</v>
      </c>
      <c r="H103" s="40" t="s">
        <v>48</v>
      </c>
      <c r="I103" s="42" t="s">
        <v>48</v>
      </c>
      <c r="J103" s="40" t="s">
        <v>48</v>
      </c>
      <c r="K103" s="70" t="s">
        <v>48</v>
      </c>
      <c r="L103" s="40" t="s">
        <v>48</v>
      </c>
      <c r="M103" s="40" t="s">
        <v>48</v>
      </c>
      <c r="N103" s="40" t="s">
        <v>48</v>
      </c>
      <c r="O103" s="40" t="s">
        <v>48</v>
      </c>
      <c r="P103" s="42" t="s">
        <v>48</v>
      </c>
      <c r="Q103" s="40" t="s">
        <v>48</v>
      </c>
      <c r="R103" s="40" t="s">
        <v>48</v>
      </c>
      <c r="S103" s="42" t="s">
        <v>48</v>
      </c>
      <c r="T103" s="40" t="s">
        <v>48</v>
      </c>
      <c r="U103" s="40" t="s">
        <v>48</v>
      </c>
      <c r="W103" s="33"/>
      <c r="X103" s="38" t="str">
        <f>Notes!U102</f>
        <v xml:space="preserve">               Utilities</v>
      </c>
      <c r="Y103" s="4" t="s">
        <v>734</v>
      </c>
      <c r="Z103" s="42" t="s">
        <v>48</v>
      </c>
      <c r="AA103" s="40" t="s">
        <v>48</v>
      </c>
      <c r="AB103" s="70" t="s">
        <v>48</v>
      </c>
      <c r="AC103" s="42" t="s">
        <v>48</v>
      </c>
      <c r="AD103" s="40" t="s">
        <v>48</v>
      </c>
      <c r="AE103" s="70" t="s">
        <v>48</v>
      </c>
      <c r="AF103" s="40" t="s">
        <v>48</v>
      </c>
      <c r="AG103" s="40" t="s">
        <v>48</v>
      </c>
      <c r="AH103" s="40" t="s">
        <v>48</v>
      </c>
      <c r="AI103" s="42" t="s">
        <v>48</v>
      </c>
      <c r="AJ103" s="40" t="s">
        <v>48</v>
      </c>
      <c r="AK103" s="70" t="s">
        <v>48</v>
      </c>
      <c r="AL103" s="40" t="s">
        <v>48</v>
      </c>
      <c r="AM103" s="40" t="s">
        <v>48</v>
      </c>
      <c r="AN103" s="40" t="s">
        <v>48</v>
      </c>
    </row>
    <row r="104" spans="1:40" x14ac:dyDescent="0.35">
      <c r="A104" s="12">
        <v>95</v>
      </c>
      <c r="B104" s="33"/>
      <c r="C104" s="38" t="str">
        <f>Notes!U103</f>
        <v xml:space="preserve">               Electricity, gas and steam</v>
      </c>
      <c r="D104" s="4" t="s">
        <v>735</v>
      </c>
      <c r="E104" s="42">
        <v>1.5893926337183939</v>
      </c>
      <c r="F104" s="40">
        <v>1.9187714309762409</v>
      </c>
      <c r="G104" s="40">
        <v>1.1802763690560245</v>
      </c>
      <c r="H104" s="40">
        <v>1.4584792904345436</v>
      </c>
      <c r="I104" s="42">
        <v>2.1373855901647181</v>
      </c>
      <c r="J104" s="40" t="s">
        <v>48</v>
      </c>
      <c r="K104" s="70">
        <v>2.6044280158153303</v>
      </c>
      <c r="L104" s="40" t="s">
        <v>48</v>
      </c>
      <c r="M104" s="40" t="s">
        <v>48</v>
      </c>
      <c r="N104" s="40">
        <v>1.6462309098111332</v>
      </c>
      <c r="O104" s="40">
        <v>0.89050041937008828</v>
      </c>
      <c r="P104" s="42" t="s">
        <v>48</v>
      </c>
      <c r="Q104" s="40">
        <v>10.692450587950059</v>
      </c>
      <c r="R104" s="40">
        <v>12.096738521060947</v>
      </c>
      <c r="S104" s="42" t="s">
        <v>48</v>
      </c>
      <c r="T104" s="40" t="s">
        <v>48</v>
      </c>
      <c r="U104" s="40" t="s">
        <v>48</v>
      </c>
      <c r="W104" s="33"/>
      <c r="X104" s="38" t="str">
        <f>Notes!U103</f>
        <v xml:space="preserve">               Electricity, gas and steam</v>
      </c>
      <c r="Y104" s="4" t="s">
        <v>735</v>
      </c>
      <c r="Z104" s="42">
        <v>0.89050041937008828</v>
      </c>
      <c r="AA104" s="40" t="s">
        <v>48</v>
      </c>
      <c r="AB104" s="70" t="s">
        <v>48</v>
      </c>
      <c r="AC104" s="42">
        <v>1.6462309098111332</v>
      </c>
      <c r="AD104" s="40" t="s">
        <v>48</v>
      </c>
      <c r="AE104" s="70" t="s">
        <v>48</v>
      </c>
      <c r="AF104" s="40">
        <v>1.4584792904345436</v>
      </c>
      <c r="AG104" s="40">
        <v>18.555831368784599</v>
      </c>
      <c r="AH104" s="40">
        <v>5.4058278106008686</v>
      </c>
      <c r="AI104" s="42">
        <v>1.9187714309762409</v>
      </c>
      <c r="AJ104" s="40" t="s">
        <v>48</v>
      </c>
      <c r="AK104" s="70" t="s">
        <v>48</v>
      </c>
      <c r="AL104" s="40">
        <v>1.5893926337183939</v>
      </c>
      <c r="AM104" s="40" t="s">
        <v>48</v>
      </c>
      <c r="AN104" s="40" t="s">
        <v>48</v>
      </c>
    </row>
    <row r="105" spans="1:40" x14ac:dyDescent="0.35">
      <c r="A105" s="12">
        <v>96</v>
      </c>
      <c r="B105" s="33"/>
      <c r="C105" s="38" t="str">
        <f>Notes!U104</f>
        <v xml:space="preserve">               Water supply and sewage</v>
      </c>
      <c r="D105" s="4" t="s">
        <v>736</v>
      </c>
      <c r="E105" s="42">
        <v>0.31353676864880875</v>
      </c>
      <c r="F105" s="40">
        <v>0.3233250345887711</v>
      </c>
      <c r="G105" s="40">
        <v>0.2328901653594469</v>
      </c>
      <c r="H105" s="40">
        <v>0.34784033544123494</v>
      </c>
      <c r="I105" s="42" t="s">
        <v>48</v>
      </c>
      <c r="J105" s="40" t="s">
        <v>48</v>
      </c>
      <c r="K105" s="70" t="s">
        <v>48</v>
      </c>
      <c r="L105" s="40" t="s">
        <v>48</v>
      </c>
      <c r="M105" s="40">
        <v>7.1516716967610578E-3</v>
      </c>
      <c r="N105" s="40">
        <v>0.10037938544468059</v>
      </c>
      <c r="O105" s="40" t="s">
        <v>48</v>
      </c>
      <c r="P105" s="42" t="s">
        <v>48</v>
      </c>
      <c r="Q105" s="40">
        <v>2.3212590846281489</v>
      </c>
      <c r="R105" s="40" t="s">
        <v>48</v>
      </c>
      <c r="S105" s="42" t="s">
        <v>48</v>
      </c>
      <c r="T105" s="40" t="s">
        <v>48</v>
      </c>
      <c r="U105" s="40" t="s">
        <v>48</v>
      </c>
      <c r="W105" s="33"/>
      <c r="X105" s="38" t="str">
        <f>Notes!U104</f>
        <v xml:space="preserve">               Water supply and sewage</v>
      </c>
      <c r="Y105" s="4" t="s">
        <v>736</v>
      </c>
      <c r="Z105" s="42" t="s">
        <v>48</v>
      </c>
      <c r="AA105" s="40" t="s">
        <v>48</v>
      </c>
      <c r="AB105" s="70" t="s">
        <v>48</v>
      </c>
      <c r="AC105" s="42">
        <v>0.10037938544468059</v>
      </c>
      <c r="AD105" s="40" t="s">
        <v>48</v>
      </c>
      <c r="AE105" s="70" t="s">
        <v>48</v>
      </c>
      <c r="AF105" s="40">
        <v>0.34784033544123494</v>
      </c>
      <c r="AG105" s="40">
        <v>7.784355570132151</v>
      </c>
      <c r="AH105" s="40">
        <v>0.54085908707062413</v>
      </c>
      <c r="AI105" s="42">
        <v>0.3233250345887711</v>
      </c>
      <c r="AJ105" s="40" t="s">
        <v>48</v>
      </c>
      <c r="AK105" s="70" t="s">
        <v>48</v>
      </c>
      <c r="AL105" s="40">
        <v>0.31353676864880875</v>
      </c>
      <c r="AM105" s="40" t="s">
        <v>48</v>
      </c>
      <c r="AN105" s="40" t="s">
        <v>48</v>
      </c>
    </row>
    <row r="106" spans="1:40" x14ac:dyDescent="0.35">
      <c r="A106" s="12">
        <v>97</v>
      </c>
      <c r="B106" s="33"/>
      <c r="C106" s="38" t="str">
        <f>Notes!U105</f>
        <v xml:space="preserve">               Construction</v>
      </c>
      <c r="D106" s="4" t="s">
        <v>737</v>
      </c>
      <c r="E106" s="42">
        <v>16.913314004125965</v>
      </c>
      <c r="F106" s="40">
        <v>12.009063594264488</v>
      </c>
      <c r="G106" s="40">
        <v>11.906085073007041</v>
      </c>
      <c r="H106" s="40">
        <v>12.394614583297809</v>
      </c>
      <c r="I106" s="42">
        <v>10.422504284931042</v>
      </c>
      <c r="J106" s="40" t="s">
        <v>48</v>
      </c>
      <c r="K106" s="70">
        <v>12.699936913366122</v>
      </c>
      <c r="L106" s="40">
        <v>2.0035099944823851</v>
      </c>
      <c r="M106" s="40" t="s">
        <v>48</v>
      </c>
      <c r="N106" s="40">
        <v>6.469134671698991</v>
      </c>
      <c r="O106" s="40">
        <v>7.464684991651338</v>
      </c>
      <c r="P106" s="42" t="s">
        <v>48</v>
      </c>
      <c r="Q106" s="40">
        <v>4.5073836799514915</v>
      </c>
      <c r="R106" s="40">
        <v>10.372686579613939</v>
      </c>
      <c r="S106" s="42" t="s">
        <v>48</v>
      </c>
      <c r="T106" s="40" t="s">
        <v>48</v>
      </c>
      <c r="U106" s="40" t="s">
        <v>48</v>
      </c>
      <c r="W106" s="33"/>
      <c r="X106" s="38" t="str">
        <f>Notes!U105</f>
        <v xml:space="preserve">               Construction</v>
      </c>
      <c r="Y106" s="4" t="s">
        <v>737</v>
      </c>
      <c r="Z106" s="42">
        <v>7.464684991651338</v>
      </c>
      <c r="AA106" s="40" t="s">
        <v>48</v>
      </c>
      <c r="AB106" s="70" t="s">
        <v>48</v>
      </c>
      <c r="AC106" s="42">
        <v>6.469134671698991</v>
      </c>
      <c r="AD106" s="40" t="s">
        <v>48</v>
      </c>
      <c r="AE106" s="70" t="s">
        <v>48</v>
      </c>
      <c r="AF106" s="40">
        <v>12.394614583297809</v>
      </c>
      <c r="AG106" s="40">
        <v>6.3125045297935429</v>
      </c>
      <c r="AH106" s="40">
        <v>15.62846245695898</v>
      </c>
      <c r="AI106" s="42">
        <v>12.009063594264488</v>
      </c>
      <c r="AJ106" s="40" t="s">
        <v>48</v>
      </c>
      <c r="AK106" s="70" t="s">
        <v>48</v>
      </c>
      <c r="AL106" s="40">
        <v>16.913314004125965</v>
      </c>
      <c r="AM106" s="40" t="s">
        <v>48</v>
      </c>
      <c r="AN106" s="40" t="s">
        <v>48</v>
      </c>
    </row>
    <row r="107" spans="1:40" x14ac:dyDescent="0.35">
      <c r="A107" s="12">
        <v>98</v>
      </c>
      <c r="B107" s="33"/>
      <c r="C107" s="38" t="str">
        <f>Notes!U106</f>
        <v xml:space="preserve">               Services</v>
      </c>
      <c r="D107" s="4" t="s">
        <v>738</v>
      </c>
      <c r="E107" s="42">
        <v>0.76669466490953542</v>
      </c>
      <c r="F107" s="40">
        <v>1.0043060421255841</v>
      </c>
      <c r="G107" s="40">
        <v>0.84246852796163119</v>
      </c>
      <c r="H107" s="40">
        <v>0.80559777783776321</v>
      </c>
      <c r="I107" s="42">
        <v>0.8505315550924849</v>
      </c>
      <c r="J107" s="40" t="s">
        <v>48</v>
      </c>
      <c r="K107" s="70">
        <v>1.0363821205733574</v>
      </c>
      <c r="L107" s="40">
        <v>2.0035099944823851</v>
      </c>
      <c r="M107" s="40" t="s">
        <v>48</v>
      </c>
      <c r="N107" s="40">
        <v>2.2606759528321825</v>
      </c>
      <c r="O107" s="40">
        <v>0.72293354632335793</v>
      </c>
      <c r="P107" s="42" t="s">
        <v>48</v>
      </c>
      <c r="Q107" s="40">
        <v>19.947624250277691</v>
      </c>
      <c r="R107" s="40">
        <v>14.48019946454524</v>
      </c>
      <c r="S107" s="42" t="s">
        <v>48</v>
      </c>
      <c r="T107" s="40" t="s">
        <v>48</v>
      </c>
      <c r="U107" s="40" t="s">
        <v>48</v>
      </c>
      <c r="W107" s="33"/>
      <c r="X107" s="38" t="str">
        <f>Notes!U106</f>
        <v xml:space="preserve">               Services</v>
      </c>
      <c r="Y107" s="4" t="s">
        <v>738</v>
      </c>
      <c r="Z107" s="42">
        <v>0.72293354632335793</v>
      </c>
      <c r="AA107" s="40" t="s">
        <v>48</v>
      </c>
      <c r="AB107" s="70" t="s">
        <v>48</v>
      </c>
      <c r="AC107" s="42">
        <v>2.2606759528321825</v>
      </c>
      <c r="AD107" s="40" t="s">
        <v>48</v>
      </c>
      <c r="AE107" s="70" t="s">
        <v>48</v>
      </c>
      <c r="AF107" s="40">
        <v>0.80559777783776321</v>
      </c>
      <c r="AG107" s="40" t="s">
        <v>48</v>
      </c>
      <c r="AH107" s="40" t="s">
        <v>48</v>
      </c>
      <c r="AI107" s="42">
        <v>1.0043060421255841</v>
      </c>
      <c r="AJ107" s="40" t="s">
        <v>48</v>
      </c>
      <c r="AK107" s="70" t="s">
        <v>48</v>
      </c>
      <c r="AL107" s="40">
        <v>0.76669466490953542</v>
      </c>
      <c r="AM107" s="40" t="s">
        <v>48</v>
      </c>
      <c r="AN107" s="40" t="s">
        <v>48</v>
      </c>
    </row>
    <row r="108" spans="1:40" x14ac:dyDescent="0.35">
      <c r="A108" s="12">
        <v>99</v>
      </c>
      <c r="B108" s="33"/>
      <c r="C108" s="38" t="str">
        <f>Notes!U107</f>
        <v xml:space="preserve">               Trade and food services</v>
      </c>
      <c r="D108" s="4" t="s">
        <v>739</v>
      </c>
      <c r="E108" s="42">
        <v>0.56535089470511857</v>
      </c>
      <c r="F108" s="40">
        <v>0.42233692202272255</v>
      </c>
      <c r="G108" s="40">
        <v>0.62092473511680879</v>
      </c>
      <c r="H108" s="40">
        <v>0.43222328683341621</v>
      </c>
      <c r="I108" s="42">
        <v>0.4314912168193738</v>
      </c>
      <c r="J108" s="40" t="s">
        <v>48</v>
      </c>
      <c r="K108" s="70">
        <v>0.52577682699546002</v>
      </c>
      <c r="L108" s="40" t="s">
        <v>48</v>
      </c>
      <c r="M108" s="40" t="s">
        <v>48</v>
      </c>
      <c r="N108" s="40">
        <v>9.51782966477423E-2</v>
      </c>
      <c r="O108" s="40">
        <v>0.19674265900992416</v>
      </c>
      <c r="P108" s="42" t="s">
        <v>48</v>
      </c>
      <c r="Q108" s="40">
        <v>1.9970908296950938</v>
      </c>
      <c r="R108" s="40">
        <v>8.2152508971288007</v>
      </c>
      <c r="S108" s="42" t="s">
        <v>48</v>
      </c>
      <c r="T108" s="40" t="s">
        <v>48</v>
      </c>
      <c r="U108" s="40" t="s">
        <v>48</v>
      </c>
      <c r="W108" s="33"/>
      <c r="X108" s="38" t="str">
        <f>Notes!U107</f>
        <v xml:space="preserve">               Trade and food services</v>
      </c>
      <c r="Y108" s="4" t="s">
        <v>739</v>
      </c>
      <c r="Z108" s="42">
        <v>0.19674265900992416</v>
      </c>
      <c r="AA108" s="40" t="s">
        <v>48</v>
      </c>
      <c r="AB108" s="70" t="s">
        <v>48</v>
      </c>
      <c r="AC108" s="42">
        <v>9.51782966477423E-2</v>
      </c>
      <c r="AD108" s="40" t="s">
        <v>48</v>
      </c>
      <c r="AE108" s="70" t="s">
        <v>48</v>
      </c>
      <c r="AF108" s="40">
        <v>0.43222328683341621</v>
      </c>
      <c r="AG108" s="40">
        <v>10.594554899301775</v>
      </c>
      <c r="AH108" s="40">
        <v>0.91468677880618754</v>
      </c>
      <c r="AI108" s="42">
        <v>0.42233692202272255</v>
      </c>
      <c r="AJ108" s="40" t="s">
        <v>48</v>
      </c>
      <c r="AK108" s="70" t="s">
        <v>48</v>
      </c>
      <c r="AL108" s="40">
        <v>0.56535089470511857</v>
      </c>
      <c r="AM108" s="40" t="s">
        <v>48</v>
      </c>
      <c r="AN108" s="40" t="s">
        <v>48</v>
      </c>
    </row>
    <row r="109" spans="1:40" x14ac:dyDescent="0.35">
      <c r="A109" s="12">
        <v>100</v>
      </c>
      <c r="B109" s="33"/>
      <c r="C109" s="38" t="str">
        <f>Notes!U108</f>
        <v xml:space="preserve">               Wholesale and retail trade</v>
      </c>
      <c r="D109" s="4" t="s">
        <v>378</v>
      </c>
      <c r="E109" s="42">
        <v>1.3753190837288689</v>
      </c>
      <c r="F109" s="40">
        <v>1.2328563240928516</v>
      </c>
      <c r="G109" s="40">
        <v>1.5104085117181252</v>
      </c>
      <c r="H109" s="40">
        <v>1.1936160789877983</v>
      </c>
      <c r="I109" s="42">
        <v>1.242529503012733</v>
      </c>
      <c r="J109" s="40" t="s">
        <v>48</v>
      </c>
      <c r="K109" s="70">
        <v>1.5140359619782371</v>
      </c>
      <c r="L109" s="40" t="s">
        <v>48</v>
      </c>
      <c r="M109" s="40" t="s">
        <v>48</v>
      </c>
      <c r="N109" s="40" t="s">
        <v>48</v>
      </c>
      <c r="O109" s="40" t="s">
        <v>48</v>
      </c>
      <c r="P109" s="42" t="s">
        <v>48</v>
      </c>
      <c r="Q109" s="40" t="s">
        <v>48</v>
      </c>
      <c r="R109" s="40" t="s">
        <v>48</v>
      </c>
      <c r="S109" s="42" t="s">
        <v>48</v>
      </c>
      <c r="T109" s="40" t="s">
        <v>48</v>
      </c>
      <c r="U109" s="40" t="s">
        <v>48</v>
      </c>
      <c r="W109" s="33"/>
      <c r="X109" s="38" t="str">
        <f>Notes!U108</f>
        <v xml:space="preserve">               Wholesale and retail trade</v>
      </c>
      <c r="Y109" s="4" t="s">
        <v>378</v>
      </c>
      <c r="Z109" s="42" t="s">
        <v>48</v>
      </c>
      <c r="AA109" s="40" t="s">
        <v>48</v>
      </c>
      <c r="AB109" s="70" t="s">
        <v>48</v>
      </c>
      <c r="AC109" s="42" t="s">
        <v>48</v>
      </c>
      <c r="AD109" s="40" t="s">
        <v>48</v>
      </c>
      <c r="AE109" s="70" t="s">
        <v>48</v>
      </c>
      <c r="AF109" s="40">
        <v>1.1936160789877983</v>
      </c>
      <c r="AG109" s="40">
        <v>3.3130041034457216</v>
      </c>
      <c r="AH109" s="40">
        <v>0.78989280621548819</v>
      </c>
      <c r="AI109" s="42">
        <v>1.2328563240928516</v>
      </c>
      <c r="AJ109" s="40" t="s">
        <v>48</v>
      </c>
      <c r="AK109" s="70" t="s">
        <v>48</v>
      </c>
      <c r="AL109" s="40">
        <v>1.3753190837288689</v>
      </c>
      <c r="AM109" s="40" t="s">
        <v>48</v>
      </c>
      <c r="AN109" s="40" t="s">
        <v>48</v>
      </c>
    </row>
    <row r="110" spans="1:40" x14ac:dyDescent="0.35">
      <c r="A110" s="12">
        <v>101</v>
      </c>
      <c r="B110" s="33"/>
      <c r="C110" s="38" t="str">
        <f>Notes!U109</f>
        <v xml:space="preserve">               Accommodation</v>
      </c>
      <c r="D110" s="4" t="s">
        <v>740</v>
      </c>
      <c r="E110" s="42">
        <v>5.8744726401176202</v>
      </c>
      <c r="F110" s="40">
        <v>3.5864289913305902</v>
      </c>
      <c r="G110" s="40">
        <v>2.0044409697817365</v>
      </c>
      <c r="H110" s="40">
        <v>3.0755004947722</v>
      </c>
      <c r="I110" s="42">
        <v>7.2043948792080785</v>
      </c>
      <c r="J110" s="40" t="s">
        <v>48</v>
      </c>
      <c r="K110" s="70">
        <v>8.7786349579347647</v>
      </c>
      <c r="L110" s="40" t="s">
        <v>48</v>
      </c>
      <c r="M110" s="40" t="s">
        <v>48</v>
      </c>
      <c r="N110" s="40" t="s">
        <v>48</v>
      </c>
      <c r="O110" s="40" t="s">
        <v>48</v>
      </c>
      <c r="P110" s="42" t="s">
        <v>48</v>
      </c>
      <c r="Q110" s="40" t="s">
        <v>48</v>
      </c>
      <c r="R110" s="40" t="s">
        <v>48</v>
      </c>
      <c r="S110" s="42" t="s">
        <v>48</v>
      </c>
      <c r="T110" s="40" t="s">
        <v>48</v>
      </c>
      <c r="U110" s="40" t="s">
        <v>48</v>
      </c>
      <c r="W110" s="33"/>
      <c r="X110" s="38" t="str">
        <f>Notes!U109</f>
        <v xml:space="preserve">               Accommodation</v>
      </c>
      <c r="Y110" s="4" t="s">
        <v>740</v>
      </c>
      <c r="Z110" s="42" t="s">
        <v>48</v>
      </c>
      <c r="AA110" s="40" t="s">
        <v>48</v>
      </c>
      <c r="AB110" s="70" t="s">
        <v>48</v>
      </c>
      <c r="AC110" s="42" t="s">
        <v>48</v>
      </c>
      <c r="AD110" s="40" t="s">
        <v>48</v>
      </c>
      <c r="AE110" s="70" t="s">
        <v>48</v>
      </c>
      <c r="AF110" s="40">
        <v>3.0755004947722</v>
      </c>
      <c r="AG110" s="40" t="s">
        <v>48</v>
      </c>
      <c r="AH110" s="40" t="s">
        <v>48</v>
      </c>
      <c r="AI110" s="42">
        <v>3.5864289913305902</v>
      </c>
      <c r="AJ110" s="40" t="s">
        <v>48</v>
      </c>
      <c r="AK110" s="70" t="s">
        <v>48</v>
      </c>
      <c r="AL110" s="40">
        <v>5.8744726401176202</v>
      </c>
      <c r="AM110" s="40" t="s">
        <v>48</v>
      </c>
      <c r="AN110" s="40" t="s">
        <v>48</v>
      </c>
    </row>
    <row r="111" spans="1:40" x14ac:dyDescent="0.35">
      <c r="A111" s="12">
        <v>102</v>
      </c>
      <c r="B111" s="33"/>
      <c r="C111" s="38" t="str">
        <f>Notes!U110</f>
        <v xml:space="preserve">               Restaurants and food services</v>
      </c>
      <c r="D111" s="4" t="s">
        <v>741</v>
      </c>
      <c r="E111" s="42">
        <v>2.068103964951769</v>
      </c>
      <c r="F111" s="40">
        <v>1.4224671831550013</v>
      </c>
      <c r="G111" s="40">
        <v>0.70493930000849525</v>
      </c>
      <c r="H111" s="40">
        <v>1.4246705430358484</v>
      </c>
      <c r="I111" s="42">
        <v>1.1440658905466588E-13</v>
      </c>
      <c r="J111" s="40" t="s">
        <v>48</v>
      </c>
      <c r="K111" s="70">
        <v>1.394056959581545E-13</v>
      </c>
      <c r="L111" s="40" t="s">
        <v>48</v>
      </c>
      <c r="M111" s="40" t="s">
        <v>48</v>
      </c>
      <c r="N111" s="40" t="s">
        <v>48</v>
      </c>
      <c r="O111" s="40" t="s">
        <v>48</v>
      </c>
      <c r="P111" s="42" t="s">
        <v>48</v>
      </c>
      <c r="Q111" s="40" t="s">
        <v>48</v>
      </c>
      <c r="R111" s="40" t="s">
        <v>48</v>
      </c>
      <c r="S111" s="42" t="s">
        <v>48</v>
      </c>
      <c r="T111" s="40" t="s">
        <v>48</v>
      </c>
      <c r="U111" s="40" t="s">
        <v>48</v>
      </c>
      <c r="W111" s="33"/>
      <c r="X111" s="38" t="str">
        <f>Notes!U110</f>
        <v xml:space="preserve">               Restaurants and food services</v>
      </c>
      <c r="Y111" s="4" t="s">
        <v>741</v>
      </c>
      <c r="Z111" s="42" t="s">
        <v>48</v>
      </c>
      <c r="AA111" s="40" t="s">
        <v>48</v>
      </c>
      <c r="AB111" s="70" t="s">
        <v>48</v>
      </c>
      <c r="AC111" s="42" t="s">
        <v>48</v>
      </c>
      <c r="AD111" s="40" t="s">
        <v>48</v>
      </c>
      <c r="AE111" s="70" t="s">
        <v>48</v>
      </c>
      <c r="AF111" s="40">
        <v>1.4246705430358484</v>
      </c>
      <c r="AG111" s="40">
        <v>1.8465961154141428</v>
      </c>
      <c r="AH111" s="40">
        <v>0.52549415129676313</v>
      </c>
      <c r="AI111" s="42">
        <v>1.4224671831550013</v>
      </c>
      <c r="AJ111" s="40" t="s">
        <v>48</v>
      </c>
      <c r="AK111" s="70" t="s">
        <v>48</v>
      </c>
      <c r="AL111" s="40">
        <v>2.068103964951769</v>
      </c>
      <c r="AM111" s="40" t="s">
        <v>48</v>
      </c>
      <c r="AN111" s="40" t="s">
        <v>48</v>
      </c>
    </row>
    <row r="112" spans="1:40" x14ac:dyDescent="0.35">
      <c r="A112" s="12">
        <v>103</v>
      </c>
      <c r="B112" s="33"/>
      <c r="C112" s="38" t="str">
        <f>Notes!U111</f>
        <v xml:space="preserve">               Transport and communication</v>
      </c>
      <c r="D112" s="4" t="s">
        <v>382</v>
      </c>
      <c r="E112" s="42">
        <v>6.2633727557130534</v>
      </c>
      <c r="F112" s="40">
        <v>4.3406681315377398</v>
      </c>
      <c r="G112" s="40">
        <v>6.2229030284202436</v>
      </c>
      <c r="H112" s="40">
        <v>5.4630064018307838</v>
      </c>
      <c r="I112" s="42">
        <v>0.69355713079825543</v>
      </c>
      <c r="J112" s="40" t="s">
        <v>48</v>
      </c>
      <c r="K112" s="70">
        <v>0.84510704588415864</v>
      </c>
      <c r="L112" s="40" t="s">
        <v>48</v>
      </c>
      <c r="M112" s="40" t="s">
        <v>48</v>
      </c>
      <c r="N112" s="40">
        <v>4.1132804222190664</v>
      </c>
      <c r="O112" s="40">
        <v>6.5450087863180562</v>
      </c>
      <c r="P112" s="42" t="s">
        <v>48</v>
      </c>
      <c r="Q112" s="40">
        <v>7.715389979063751</v>
      </c>
      <c r="R112" s="40">
        <v>22.037689761999921</v>
      </c>
      <c r="S112" s="42" t="s">
        <v>48</v>
      </c>
      <c r="T112" s="40" t="s">
        <v>48</v>
      </c>
      <c r="U112" s="40" t="s">
        <v>48</v>
      </c>
      <c r="W112" s="33"/>
      <c r="X112" s="38" t="str">
        <f>Notes!U111</f>
        <v xml:space="preserve">               Transport and communication</v>
      </c>
      <c r="Y112" s="4" t="s">
        <v>382</v>
      </c>
      <c r="Z112" s="42">
        <v>6.5450087863180562</v>
      </c>
      <c r="AA112" s="40" t="s">
        <v>48</v>
      </c>
      <c r="AB112" s="70" t="s">
        <v>48</v>
      </c>
      <c r="AC112" s="42">
        <v>4.1132804222190664</v>
      </c>
      <c r="AD112" s="40" t="s">
        <v>48</v>
      </c>
      <c r="AE112" s="70" t="s">
        <v>48</v>
      </c>
      <c r="AF112" s="40">
        <v>5.4630064018307838</v>
      </c>
      <c r="AG112" s="40">
        <v>12.278331081651297</v>
      </c>
      <c r="AH112" s="40">
        <v>13.398388720640542</v>
      </c>
      <c r="AI112" s="42">
        <v>4.3406681315377398</v>
      </c>
      <c r="AJ112" s="40" t="s">
        <v>48</v>
      </c>
      <c r="AK112" s="70" t="s">
        <v>48</v>
      </c>
      <c r="AL112" s="40">
        <v>6.2633727557130534</v>
      </c>
      <c r="AM112" s="40" t="s">
        <v>48</v>
      </c>
      <c r="AN112" s="40" t="s">
        <v>48</v>
      </c>
    </row>
    <row r="113" spans="1:40" x14ac:dyDescent="0.35">
      <c r="A113" s="12">
        <v>104</v>
      </c>
      <c r="B113" s="33"/>
      <c r="C113" s="38" t="str">
        <f>Notes!U112</f>
        <v xml:space="preserve">               Transportation and storage</v>
      </c>
      <c r="D113" s="4" t="s">
        <v>384</v>
      </c>
      <c r="E113" s="42">
        <v>11.053211740556332</v>
      </c>
      <c r="F113" s="40">
        <v>14.608206576884786</v>
      </c>
      <c r="G113" s="40">
        <v>17.901575302819396</v>
      </c>
      <c r="H113" s="40">
        <v>11.396812735964369</v>
      </c>
      <c r="I113" s="42">
        <v>7.7803614780052985</v>
      </c>
      <c r="J113" s="40" t="s">
        <v>48</v>
      </c>
      <c r="K113" s="70">
        <v>9.4804566381144966</v>
      </c>
      <c r="L113" s="40">
        <v>90.133326453035238</v>
      </c>
      <c r="M113" s="40" t="s">
        <v>48</v>
      </c>
      <c r="N113" s="40">
        <v>14.32972407406897</v>
      </c>
      <c r="O113" s="40" t="s">
        <v>48</v>
      </c>
      <c r="P113" s="42" t="s">
        <v>48</v>
      </c>
      <c r="Q113" s="40">
        <v>8.7203951022318016</v>
      </c>
      <c r="R113" s="40" t="s">
        <v>48</v>
      </c>
      <c r="S113" s="42" t="s">
        <v>48</v>
      </c>
      <c r="T113" s="40" t="s">
        <v>48</v>
      </c>
      <c r="U113" s="40" t="s">
        <v>48</v>
      </c>
      <c r="W113" s="33"/>
      <c r="X113" s="38" t="str">
        <f>Notes!U112</f>
        <v xml:space="preserve">               Transportation and storage</v>
      </c>
      <c r="Y113" s="4" t="s">
        <v>384</v>
      </c>
      <c r="Z113" s="42" t="s">
        <v>48</v>
      </c>
      <c r="AA113" s="40" t="s">
        <v>48</v>
      </c>
      <c r="AB113" s="70" t="s">
        <v>48</v>
      </c>
      <c r="AC113" s="42">
        <v>14.32972407406897</v>
      </c>
      <c r="AD113" s="40" t="s">
        <v>48</v>
      </c>
      <c r="AE113" s="70" t="s">
        <v>48</v>
      </c>
      <c r="AF113" s="40">
        <v>11.396812735964369</v>
      </c>
      <c r="AG113" s="40">
        <v>5.626332204093324E-2</v>
      </c>
      <c r="AH113" s="40">
        <v>0.12808265103188032</v>
      </c>
      <c r="AI113" s="42">
        <v>14.608206576884786</v>
      </c>
      <c r="AJ113" s="40" t="s">
        <v>48</v>
      </c>
      <c r="AK113" s="70" t="s">
        <v>48</v>
      </c>
      <c r="AL113" s="40">
        <v>11.053211740556332</v>
      </c>
      <c r="AM113" s="40" t="s">
        <v>48</v>
      </c>
      <c r="AN113" s="40" t="s">
        <v>48</v>
      </c>
    </row>
    <row r="114" spans="1:40" x14ac:dyDescent="0.35">
      <c r="A114" s="12">
        <v>105</v>
      </c>
      <c r="B114" s="33"/>
      <c r="C114" s="38" t="str">
        <f>Notes!U113</f>
        <v xml:space="preserve">               Information and communication</v>
      </c>
      <c r="D114" s="4" t="s">
        <v>386</v>
      </c>
      <c r="E114" s="42">
        <v>6.3509802485088178</v>
      </c>
      <c r="F114" s="40">
        <v>9.6130059721603232</v>
      </c>
      <c r="G114" s="40">
        <v>11.494139560599752</v>
      </c>
      <c r="H114" s="40">
        <v>7.1494780895646208</v>
      </c>
      <c r="I114" s="42">
        <v>0.74843780610442745</v>
      </c>
      <c r="J114" s="40" t="s">
        <v>48</v>
      </c>
      <c r="K114" s="70">
        <v>0.91197975661635922</v>
      </c>
      <c r="L114" s="40">
        <v>76.807129638735262</v>
      </c>
      <c r="M114" s="40" t="s">
        <v>48</v>
      </c>
      <c r="N114" s="40">
        <v>14.32972407406897</v>
      </c>
      <c r="O114" s="40" t="s">
        <v>48</v>
      </c>
      <c r="P114" s="42" t="s">
        <v>48</v>
      </c>
      <c r="Q114" s="40">
        <v>13.20983994354045</v>
      </c>
      <c r="R114" s="40" t="s">
        <v>48</v>
      </c>
      <c r="S114" s="42" t="s">
        <v>48</v>
      </c>
      <c r="T114" s="40" t="s">
        <v>48</v>
      </c>
      <c r="U114" s="40" t="s">
        <v>48</v>
      </c>
      <c r="W114" s="33"/>
      <c r="X114" s="38" t="str">
        <f>Notes!U113</f>
        <v xml:space="preserve">               Information and communication</v>
      </c>
      <c r="Y114" s="4" t="s">
        <v>386</v>
      </c>
      <c r="Z114" s="42" t="s">
        <v>48</v>
      </c>
      <c r="AA114" s="40" t="s">
        <v>48</v>
      </c>
      <c r="AB114" s="70" t="s">
        <v>48</v>
      </c>
      <c r="AC114" s="42">
        <v>14.32972407406897</v>
      </c>
      <c r="AD114" s="40" t="s">
        <v>48</v>
      </c>
      <c r="AE114" s="70" t="s">
        <v>48</v>
      </c>
      <c r="AF114" s="40">
        <v>7.1494780895646208</v>
      </c>
      <c r="AG114" s="40" t="s">
        <v>48</v>
      </c>
      <c r="AH114" s="40" t="s">
        <v>48</v>
      </c>
      <c r="AI114" s="42">
        <v>9.6130059721603232</v>
      </c>
      <c r="AJ114" s="40" t="s">
        <v>48</v>
      </c>
      <c r="AK114" s="70" t="s">
        <v>48</v>
      </c>
      <c r="AL114" s="40">
        <v>6.3509802485088178</v>
      </c>
      <c r="AM114" s="40" t="s">
        <v>48</v>
      </c>
      <c r="AN114" s="40" t="s">
        <v>48</v>
      </c>
    </row>
    <row r="115" spans="1:40" x14ac:dyDescent="0.35">
      <c r="A115" s="12">
        <v>106</v>
      </c>
      <c r="B115" s="33"/>
      <c r="C115" s="38" t="str">
        <f>Notes!U114</f>
        <v xml:space="preserve">               Finance and business services</v>
      </c>
      <c r="D115" s="4" t="s">
        <v>742</v>
      </c>
      <c r="E115" s="42">
        <v>3.2672542791831267</v>
      </c>
      <c r="F115" s="40">
        <v>3.1743960404173102</v>
      </c>
      <c r="G115" s="40">
        <v>4.5596851418674671</v>
      </c>
      <c r="H115" s="40">
        <v>2.6686614887742843</v>
      </c>
      <c r="I115" s="42">
        <v>3.691981705147211</v>
      </c>
      <c r="J115" s="40" t="s">
        <v>48</v>
      </c>
      <c r="K115" s="70">
        <v>4.4987206010039724</v>
      </c>
      <c r="L115" s="40">
        <v>11.395728942196609</v>
      </c>
      <c r="M115" s="40" t="s">
        <v>48</v>
      </c>
      <c r="N115" s="40" t="s">
        <v>48</v>
      </c>
      <c r="O115" s="40" t="s">
        <v>48</v>
      </c>
      <c r="P115" s="42" t="s">
        <v>48</v>
      </c>
      <c r="Q115" s="40" t="s">
        <v>48</v>
      </c>
      <c r="R115" s="40" t="s">
        <v>48</v>
      </c>
      <c r="S115" s="42" t="s">
        <v>48</v>
      </c>
      <c r="T115" s="40" t="s">
        <v>48</v>
      </c>
      <c r="U115" s="40" t="s">
        <v>48</v>
      </c>
      <c r="W115" s="33"/>
      <c r="X115" s="38" t="str">
        <f>Notes!U114</f>
        <v xml:space="preserve">               Finance and business services</v>
      </c>
      <c r="Y115" s="4" t="s">
        <v>742</v>
      </c>
      <c r="Z115" s="42" t="s">
        <v>48</v>
      </c>
      <c r="AA115" s="40" t="s">
        <v>48</v>
      </c>
      <c r="AB115" s="70" t="s">
        <v>48</v>
      </c>
      <c r="AC115" s="42" t="s">
        <v>48</v>
      </c>
      <c r="AD115" s="40" t="s">
        <v>48</v>
      </c>
      <c r="AE115" s="70" t="s">
        <v>48</v>
      </c>
      <c r="AF115" s="40">
        <v>2.6686614887742843</v>
      </c>
      <c r="AG115" s="40">
        <v>9.2405184086631495E-2</v>
      </c>
      <c r="AH115" s="40">
        <v>4.9257384684312358E-2</v>
      </c>
      <c r="AI115" s="42">
        <v>3.1743960404173102</v>
      </c>
      <c r="AJ115" s="40" t="s">
        <v>48</v>
      </c>
      <c r="AK115" s="70" t="s">
        <v>48</v>
      </c>
      <c r="AL115" s="40">
        <v>3.2672542791831267</v>
      </c>
      <c r="AM115" s="40" t="s">
        <v>48</v>
      </c>
      <c r="AN115" s="40" t="s">
        <v>48</v>
      </c>
    </row>
    <row r="116" spans="1:40" x14ac:dyDescent="0.35">
      <c r="A116" s="12">
        <v>107</v>
      </c>
      <c r="B116" s="33"/>
      <c r="C116" s="38" t="str">
        <f>Notes!U115</f>
        <v xml:space="preserve">               Finance and insurance</v>
      </c>
      <c r="D116" s="4" t="s">
        <v>743</v>
      </c>
      <c r="E116" s="42">
        <v>1.4349772128643883</v>
      </c>
      <c r="F116" s="40">
        <v>1.820804564307154</v>
      </c>
      <c r="G116" s="40">
        <v>1.8477506003521758</v>
      </c>
      <c r="H116" s="40">
        <v>1.578673157625464</v>
      </c>
      <c r="I116" s="42">
        <v>3.3399419667536616</v>
      </c>
      <c r="J116" s="40" t="s">
        <v>48</v>
      </c>
      <c r="K116" s="70">
        <v>4.0697562804941665</v>
      </c>
      <c r="L116" s="40">
        <v>1.9304678721033599</v>
      </c>
      <c r="M116" s="40" t="s">
        <v>48</v>
      </c>
      <c r="N116" s="40" t="s">
        <v>48</v>
      </c>
      <c r="O116" s="40" t="s">
        <v>48</v>
      </c>
      <c r="P116" s="42" t="s">
        <v>48</v>
      </c>
      <c r="Q116" s="40" t="s">
        <v>48</v>
      </c>
      <c r="R116" s="40" t="s">
        <v>48</v>
      </c>
      <c r="S116" s="42" t="s">
        <v>48</v>
      </c>
      <c r="T116" s="40" t="s">
        <v>48</v>
      </c>
      <c r="U116" s="40" t="s">
        <v>48</v>
      </c>
      <c r="W116" s="33"/>
      <c r="X116" s="38" t="str">
        <f>Notes!U115</f>
        <v xml:space="preserve">               Finance and insurance</v>
      </c>
      <c r="Y116" s="4" t="s">
        <v>743</v>
      </c>
      <c r="Z116" s="42" t="s">
        <v>48</v>
      </c>
      <c r="AA116" s="40" t="s">
        <v>48</v>
      </c>
      <c r="AB116" s="70" t="s">
        <v>48</v>
      </c>
      <c r="AC116" s="42" t="s">
        <v>48</v>
      </c>
      <c r="AD116" s="40" t="s">
        <v>48</v>
      </c>
      <c r="AE116" s="70" t="s">
        <v>48</v>
      </c>
      <c r="AF116" s="40">
        <v>1.578673157625464</v>
      </c>
      <c r="AG116" s="40">
        <v>0.24997219162340664</v>
      </c>
      <c r="AH116" s="40">
        <v>7.8825266347567979E-2</v>
      </c>
      <c r="AI116" s="42">
        <v>1.820804564307154</v>
      </c>
      <c r="AJ116" s="40" t="s">
        <v>48</v>
      </c>
      <c r="AK116" s="70" t="s">
        <v>48</v>
      </c>
      <c r="AL116" s="40">
        <v>1.4349772128643883</v>
      </c>
      <c r="AM116" s="40" t="s">
        <v>48</v>
      </c>
      <c r="AN116" s="40" t="s">
        <v>48</v>
      </c>
    </row>
    <row r="117" spans="1:40" x14ac:dyDescent="0.35">
      <c r="A117" s="12">
        <v>108</v>
      </c>
      <c r="B117" s="33"/>
      <c r="C117" s="38" t="str">
        <f>Notes!U116</f>
        <v xml:space="preserve">               Real estate activities</v>
      </c>
      <c r="D117" s="4" t="s">
        <v>744</v>
      </c>
      <c r="E117" s="42">
        <v>6.3857974767869834</v>
      </c>
      <c r="F117" s="40">
        <v>5.2364159859192609</v>
      </c>
      <c r="G117" s="40">
        <v>9.8832009391256754</v>
      </c>
      <c r="H117" s="40">
        <v>4.5688110415054384</v>
      </c>
      <c r="I117" s="42">
        <v>5.0252896893234507</v>
      </c>
      <c r="J117" s="40" t="s">
        <v>48</v>
      </c>
      <c r="K117" s="70">
        <v>6.1233711477643498</v>
      </c>
      <c r="L117" s="40">
        <v>7.8631635524823817</v>
      </c>
      <c r="M117" s="40" t="s">
        <v>48</v>
      </c>
      <c r="N117" s="40" t="s">
        <v>48</v>
      </c>
      <c r="O117" s="40">
        <v>-0.58861840681858524</v>
      </c>
      <c r="P117" s="42" t="s">
        <v>48</v>
      </c>
      <c r="Q117" s="40" t="s">
        <v>48</v>
      </c>
      <c r="R117" s="40">
        <v>-2.1437896524540703</v>
      </c>
      <c r="S117" s="42" t="s">
        <v>48</v>
      </c>
      <c r="T117" s="40" t="s">
        <v>48</v>
      </c>
      <c r="U117" s="40" t="s">
        <v>48</v>
      </c>
      <c r="W117" s="33"/>
      <c r="X117" s="38" t="str">
        <f>Notes!U116</f>
        <v xml:space="preserve">               Real estate activities</v>
      </c>
      <c r="Y117" s="4" t="s">
        <v>744</v>
      </c>
      <c r="Z117" s="42">
        <v>-0.58861840681858524</v>
      </c>
      <c r="AA117" s="40" t="s">
        <v>48</v>
      </c>
      <c r="AB117" s="70" t="s">
        <v>48</v>
      </c>
      <c r="AC117" s="42" t="s">
        <v>48</v>
      </c>
      <c r="AD117" s="40" t="s">
        <v>48</v>
      </c>
      <c r="AE117" s="70" t="s">
        <v>48</v>
      </c>
      <c r="AF117" s="40">
        <v>4.5688110415054384</v>
      </c>
      <c r="AG117" s="40">
        <v>3.0287714312790737</v>
      </c>
      <c r="AH117" s="40">
        <v>2.7640838994646035</v>
      </c>
      <c r="AI117" s="42">
        <v>5.2364159859192609</v>
      </c>
      <c r="AJ117" s="40" t="s">
        <v>48</v>
      </c>
      <c r="AK117" s="70" t="s">
        <v>48</v>
      </c>
      <c r="AL117" s="40">
        <v>6.3857974767869834</v>
      </c>
      <c r="AM117" s="40" t="s">
        <v>48</v>
      </c>
      <c r="AN117" s="40" t="s">
        <v>48</v>
      </c>
    </row>
    <row r="118" spans="1:40" x14ac:dyDescent="0.35">
      <c r="A118" s="12">
        <v>109</v>
      </c>
      <c r="B118" s="33"/>
      <c r="C118" s="38" t="str">
        <f>Notes!U117</f>
        <v xml:space="preserve">               Business services</v>
      </c>
      <c r="D118" s="4" t="s">
        <v>745</v>
      </c>
      <c r="E118" s="42">
        <v>0.83326446057437109</v>
      </c>
      <c r="F118" s="40">
        <v>0.86143977028820473</v>
      </c>
      <c r="G118" s="40">
        <v>1.0737632441394886</v>
      </c>
      <c r="H118" s="40">
        <v>0.72658174214898408</v>
      </c>
      <c r="I118" s="42">
        <v>0.12455909008880826</v>
      </c>
      <c r="J118" s="40" t="s">
        <v>48</v>
      </c>
      <c r="K118" s="70">
        <v>0.15177663091981336</v>
      </c>
      <c r="L118" s="40">
        <v>7.8631635524823817</v>
      </c>
      <c r="M118" s="40" t="s">
        <v>48</v>
      </c>
      <c r="N118" s="40" t="s">
        <v>48</v>
      </c>
      <c r="O118" s="40" t="s">
        <v>48</v>
      </c>
      <c r="P118" s="42" t="s">
        <v>48</v>
      </c>
      <c r="Q118" s="40" t="s">
        <v>48</v>
      </c>
      <c r="R118" s="40" t="s">
        <v>48</v>
      </c>
      <c r="S118" s="42" t="s">
        <v>48</v>
      </c>
      <c r="T118" s="40" t="s">
        <v>48</v>
      </c>
      <c r="U118" s="40" t="s">
        <v>48</v>
      </c>
      <c r="W118" s="33"/>
      <c r="X118" s="38" t="str">
        <f>Notes!U117</f>
        <v xml:space="preserve">               Business services</v>
      </c>
      <c r="Y118" s="4" t="s">
        <v>745</v>
      </c>
      <c r="Z118" s="42" t="s">
        <v>48</v>
      </c>
      <c r="AA118" s="40" t="s">
        <v>48</v>
      </c>
      <c r="AB118" s="70" t="s">
        <v>48</v>
      </c>
      <c r="AC118" s="42" t="s">
        <v>48</v>
      </c>
      <c r="AD118" s="40" t="s">
        <v>48</v>
      </c>
      <c r="AE118" s="70" t="s">
        <v>48</v>
      </c>
      <c r="AF118" s="40">
        <v>0.72658174214898408</v>
      </c>
      <c r="AG118" s="40">
        <v>0.27923954692364694</v>
      </c>
      <c r="AH118" s="40">
        <v>4.052685751807121E-2</v>
      </c>
      <c r="AI118" s="42">
        <v>0.86143977028820473</v>
      </c>
      <c r="AJ118" s="40" t="s">
        <v>48</v>
      </c>
      <c r="AK118" s="70" t="s">
        <v>48</v>
      </c>
      <c r="AL118" s="40">
        <v>0.83326446057437109</v>
      </c>
      <c r="AM118" s="40" t="s">
        <v>48</v>
      </c>
      <c r="AN118" s="40" t="s">
        <v>48</v>
      </c>
    </row>
    <row r="119" spans="1:40" x14ac:dyDescent="0.35">
      <c r="A119" s="12">
        <v>110</v>
      </c>
      <c r="B119" s="33"/>
      <c r="C119" s="38" t="str">
        <f>Notes!U118</f>
        <v xml:space="preserve">               Public and social services</v>
      </c>
      <c r="D119" s="4" t="s">
        <v>388</v>
      </c>
      <c r="E119" s="42">
        <v>0.17414345983432503</v>
      </c>
      <c r="F119" s="40">
        <v>0.13052040694803826</v>
      </c>
      <c r="G119" s="40">
        <v>0.2762199904613144</v>
      </c>
      <c r="H119" s="40">
        <v>0.11325287568695368</v>
      </c>
      <c r="I119" s="42">
        <v>0.26792545087599595</v>
      </c>
      <c r="J119" s="40" t="s">
        <v>48</v>
      </c>
      <c r="K119" s="70">
        <v>0.32647012949947996</v>
      </c>
      <c r="L119" s="40" t="s">
        <v>48</v>
      </c>
      <c r="M119" s="40" t="s">
        <v>48</v>
      </c>
      <c r="N119" s="40" t="s">
        <v>48</v>
      </c>
      <c r="O119" s="40" t="s">
        <v>48</v>
      </c>
      <c r="P119" s="42" t="s">
        <v>48</v>
      </c>
      <c r="Q119" s="40" t="s">
        <v>48</v>
      </c>
      <c r="R119" s="40" t="s">
        <v>48</v>
      </c>
      <c r="S119" s="42" t="s">
        <v>48</v>
      </c>
      <c r="T119" s="40" t="s">
        <v>48</v>
      </c>
      <c r="U119" s="40" t="s">
        <v>48</v>
      </c>
      <c r="W119" s="33"/>
      <c r="X119" s="38" t="str">
        <f>Notes!U118</f>
        <v xml:space="preserve">               Public and social services</v>
      </c>
      <c r="Y119" s="4" t="s">
        <v>388</v>
      </c>
      <c r="Z119" s="42" t="s">
        <v>48</v>
      </c>
      <c r="AA119" s="40" t="s">
        <v>48</v>
      </c>
      <c r="AB119" s="70" t="s">
        <v>48</v>
      </c>
      <c r="AC119" s="42" t="s">
        <v>48</v>
      </c>
      <c r="AD119" s="40" t="s">
        <v>48</v>
      </c>
      <c r="AE119" s="70" t="s">
        <v>48</v>
      </c>
      <c r="AF119" s="40">
        <v>0.11325287568695368</v>
      </c>
      <c r="AG119" s="40">
        <v>1.2982986711090965</v>
      </c>
      <c r="AH119" s="40">
        <v>2.9370096618172897E-2</v>
      </c>
      <c r="AI119" s="42">
        <v>0.13052040694803826</v>
      </c>
      <c r="AJ119" s="40" t="s">
        <v>48</v>
      </c>
      <c r="AK119" s="70" t="s">
        <v>48</v>
      </c>
      <c r="AL119" s="40">
        <v>0.17414345983432503</v>
      </c>
      <c r="AM119" s="40" t="s">
        <v>48</v>
      </c>
      <c r="AN119" s="40" t="s">
        <v>48</v>
      </c>
    </row>
    <row r="120" spans="1:40" x14ac:dyDescent="0.35">
      <c r="A120" s="12">
        <v>111</v>
      </c>
      <c r="B120" s="33"/>
      <c r="C120" s="38" t="str">
        <f>Notes!U119</f>
        <v xml:space="preserve">               Public administration</v>
      </c>
      <c r="D120" s="4" t="s">
        <v>746</v>
      </c>
      <c r="E120" s="42">
        <v>1.0958903631831651</v>
      </c>
      <c r="F120" s="40">
        <v>0.69712466793792782</v>
      </c>
      <c r="G120" s="40">
        <v>1.7385971621763026</v>
      </c>
      <c r="H120" s="40">
        <v>0.68955083854846766</v>
      </c>
      <c r="I120" s="42">
        <v>1.3819394581116997</v>
      </c>
      <c r="J120" s="40" t="s">
        <v>48</v>
      </c>
      <c r="K120" s="70">
        <v>1.6839085364047002</v>
      </c>
      <c r="L120" s="40" t="s">
        <v>48</v>
      </c>
      <c r="M120" s="40" t="s">
        <v>48</v>
      </c>
      <c r="N120" s="40" t="s">
        <v>48</v>
      </c>
      <c r="O120" s="40" t="s">
        <v>48</v>
      </c>
      <c r="P120" s="42" t="s">
        <v>48</v>
      </c>
      <c r="Q120" s="40" t="s">
        <v>48</v>
      </c>
      <c r="R120" s="40" t="s">
        <v>48</v>
      </c>
      <c r="S120" s="42" t="s">
        <v>48</v>
      </c>
      <c r="T120" s="40" t="s">
        <v>48</v>
      </c>
      <c r="U120" s="40" t="s">
        <v>48</v>
      </c>
      <c r="W120" s="33"/>
      <c r="X120" s="38" t="str">
        <f>Notes!U119</f>
        <v xml:space="preserve">               Public administration</v>
      </c>
      <c r="Y120" s="4" t="s">
        <v>746</v>
      </c>
      <c r="Z120" s="42" t="s">
        <v>48</v>
      </c>
      <c r="AA120" s="40" t="s">
        <v>48</v>
      </c>
      <c r="AB120" s="70" t="s">
        <v>48</v>
      </c>
      <c r="AC120" s="42" t="s">
        <v>48</v>
      </c>
      <c r="AD120" s="40" t="s">
        <v>48</v>
      </c>
      <c r="AE120" s="70" t="s">
        <v>48</v>
      </c>
      <c r="AF120" s="40">
        <v>0.68955083854846766</v>
      </c>
      <c r="AG120" s="40">
        <v>4.3894608286284438</v>
      </c>
      <c r="AH120" s="40">
        <v>0.6045872622836902</v>
      </c>
      <c r="AI120" s="42">
        <v>0.69712466793792782</v>
      </c>
      <c r="AJ120" s="40" t="s">
        <v>48</v>
      </c>
      <c r="AK120" s="70" t="s">
        <v>48</v>
      </c>
      <c r="AL120" s="40">
        <v>1.0958903631831651</v>
      </c>
      <c r="AM120" s="40" t="s">
        <v>48</v>
      </c>
      <c r="AN120" s="40" t="s">
        <v>48</v>
      </c>
    </row>
    <row r="121" spans="1:40" x14ac:dyDescent="0.35">
      <c r="A121" s="12">
        <v>112</v>
      </c>
      <c r="B121" s="33"/>
      <c r="C121" s="38" t="str">
        <f>Notes!U120</f>
        <v xml:space="preserve">               Education</v>
      </c>
      <c r="D121" s="4" t="s">
        <v>747</v>
      </c>
      <c r="E121" s="42">
        <v>4.2824991931951217</v>
      </c>
      <c r="F121" s="40">
        <v>3.54733114074509</v>
      </c>
      <c r="G121" s="40">
        <v>6.7946205423485715</v>
      </c>
      <c r="H121" s="40">
        <v>3.039425585121033</v>
      </c>
      <c r="I121" s="42">
        <v>3.2508656902469451</v>
      </c>
      <c r="J121" s="40" t="s">
        <v>48</v>
      </c>
      <c r="K121" s="70">
        <v>3.9612158509403548</v>
      </c>
      <c r="L121" s="40" t="s">
        <v>48</v>
      </c>
      <c r="M121" s="40" t="s">
        <v>48</v>
      </c>
      <c r="N121" s="40" t="s">
        <v>48</v>
      </c>
      <c r="O121" s="40">
        <v>-0.58861840681858524</v>
      </c>
      <c r="P121" s="42" t="s">
        <v>48</v>
      </c>
      <c r="Q121" s="40" t="s">
        <v>48</v>
      </c>
      <c r="R121" s="40">
        <v>-3.2362923492203133</v>
      </c>
      <c r="S121" s="42" t="s">
        <v>48</v>
      </c>
      <c r="T121" s="40" t="s">
        <v>48</v>
      </c>
      <c r="U121" s="40" t="s">
        <v>48</v>
      </c>
      <c r="W121" s="33"/>
      <c r="X121" s="38" t="str">
        <f>Notes!U120</f>
        <v xml:space="preserve">               Education</v>
      </c>
      <c r="Y121" s="4" t="s">
        <v>747</v>
      </c>
      <c r="Z121" s="42">
        <v>-0.58861840681858524</v>
      </c>
      <c r="AA121" s="40" t="s">
        <v>48</v>
      </c>
      <c r="AB121" s="70" t="s">
        <v>48</v>
      </c>
      <c r="AC121" s="42" t="s">
        <v>48</v>
      </c>
      <c r="AD121" s="40" t="s">
        <v>48</v>
      </c>
      <c r="AE121" s="70" t="s">
        <v>48</v>
      </c>
      <c r="AF121" s="40">
        <v>3.039425585121033</v>
      </c>
      <c r="AG121" s="40">
        <v>3.4418350621888179</v>
      </c>
      <c r="AH121" s="40">
        <v>2.089599683044669</v>
      </c>
      <c r="AI121" s="42">
        <v>3.54733114074509</v>
      </c>
      <c r="AJ121" s="40" t="s">
        <v>48</v>
      </c>
      <c r="AK121" s="70" t="s">
        <v>48</v>
      </c>
      <c r="AL121" s="40">
        <v>4.2824991931951217</v>
      </c>
      <c r="AM121" s="40" t="s">
        <v>48</v>
      </c>
      <c r="AN121" s="40" t="s">
        <v>48</v>
      </c>
    </row>
    <row r="122" spans="1:40" x14ac:dyDescent="0.35">
      <c r="A122" s="12">
        <v>113</v>
      </c>
      <c r="B122" s="33"/>
      <c r="C122" s="38" t="str">
        <f>Notes!U121</f>
        <v xml:space="preserve">               Health and social work</v>
      </c>
      <c r="D122" s="4" t="s">
        <v>746</v>
      </c>
      <c r="E122" s="42">
        <v>0.35242448625929729</v>
      </c>
      <c r="F122" s="40">
        <v>0.2203187127780897</v>
      </c>
      <c r="G122" s="40">
        <v>0.55901538382724703</v>
      </c>
      <c r="H122" s="40">
        <v>0.18879740630741415</v>
      </c>
      <c r="I122" s="42">
        <v>0.44666340019540762</v>
      </c>
      <c r="J122" s="40" t="s">
        <v>48</v>
      </c>
      <c r="K122" s="70">
        <v>0.54426430048992902</v>
      </c>
      <c r="L122" s="40" t="s">
        <v>48</v>
      </c>
      <c r="M122" s="40" t="s">
        <v>48</v>
      </c>
      <c r="N122" s="40" t="s">
        <v>48</v>
      </c>
      <c r="O122" s="40" t="s">
        <v>48</v>
      </c>
      <c r="P122" s="42" t="s">
        <v>48</v>
      </c>
      <c r="Q122" s="40" t="s">
        <v>48</v>
      </c>
      <c r="R122" s="40" t="s">
        <v>48</v>
      </c>
      <c r="S122" s="42" t="s">
        <v>48</v>
      </c>
      <c r="T122" s="40" t="s">
        <v>48</v>
      </c>
      <c r="U122" s="40" t="s">
        <v>48</v>
      </c>
      <c r="W122" s="33"/>
      <c r="X122" s="38" t="str">
        <f>Notes!U121</f>
        <v xml:space="preserve">               Health and social work</v>
      </c>
      <c r="Y122" s="4" t="s">
        <v>746</v>
      </c>
      <c r="Z122" s="42" t="s">
        <v>48</v>
      </c>
      <c r="AA122" s="40" t="s">
        <v>48</v>
      </c>
      <c r="AB122" s="70" t="s">
        <v>48</v>
      </c>
      <c r="AC122" s="42" t="s">
        <v>48</v>
      </c>
      <c r="AD122" s="40" t="s">
        <v>48</v>
      </c>
      <c r="AE122" s="70" t="s">
        <v>48</v>
      </c>
      <c r="AF122" s="40">
        <v>0.18879740630741415</v>
      </c>
      <c r="AG122" s="40" t="s">
        <v>48</v>
      </c>
      <c r="AH122" s="40" t="s">
        <v>48</v>
      </c>
      <c r="AI122" s="42">
        <v>0.2203187127780897</v>
      </c>
      <c r="AJ122" s="40" t="s">
        <v>48</v>
      </c>
      <c r="AK122" s="70" t="s">
        <v>48</v>
      </c>
      <c r="AL122" s="40">
        <v>0.35242448625929729</v>
      </c>
      <c r="AM122" s="40" t="s">
        <v>48</v>
      </c>
      <c r="AN122" s="40" t="s">
        <v>48</v>
      </c>
    </row>
    <row r="123" spans="1:40" x14ac:dyDescent="0.35">
      <c r="A123" s="12">
        <v>114</v>
      </c>
      <c r="B123" s="33"/>
      <c r="C123" s="38" t="str">
        <f>Notes!U122</f>
        <v xml:space="preserve">               Other services</v>
      </c>
      <c r="D123" s="4" t="s">
        <v>747</v>
      </c>
      <c r="E123" s="42" t="s">
        <v>48</v>
      </c>
      <c r="F123" s="40" t="s">
        <v>48</v>
      </c>
      <c r="G123" s="40" t="s">
        <v>48</v>
      </c>
      <c r="H123" s="40">
        <v>-9.4979147018241797E-2</v>
      </c>
      <c r="I123" s="42">
        <v>-4.0130045160988619</v>
      </c>
      <c r="J123" s="40" t="s">
        <v>48</v>
      </c>
      <c r="K123" s="70">
        <v>-4.8898904518748374</v>
      </c>
      <c r="L123" s="40" t="s">
        <v>48</v>
      </c>
      <c r="M123" s="40" t="s">
        <v>48</v>
      </c>
      <c r="N123" s="40" t="s">
        <v>48</v>
      </c>
      <c r="O123" s="40">
        <v>-0.58861840681858524</v>
      </c>
      <c r="P123" s="42" t="s">
        <v>48</v>
      </c>
      <c r="Q123" s="40" t="s">
        <v>48</v>
      </c>
      <c r="R123" s="40">
        <v>100.00000000000067</v>
      </c>
      <c r="S123" s="42" t="s">
        <v>48</v>
      </c>
      <c r="T123" s="40" t="s">
        <v>48</v>
      </c>
      <c r="U123" s="40" t="s">
        <v>48</v>
      </c>
      <c r="W123" s="33"/>
      <c r="X123" s="38" t="str">
        <f>Notes!U122</f>
        <v xml:space="preserve">               Other services</v>
      </c>
      <c r="Y123" s="4" t="s">
        <v>747</v>
      </c>
      <c r="Z123" s="42">
        <v>-0.58861840681858524</v>
      </c>
      <c r="AA123" s="40" t="s">
        <v>48</v>
      </c>
      <c r="AB123" s="70" t="s">
        <v>48</v>
      </c>
      <c r="AC123" s="42" t="s">
        <v>48</v>
      </c>
      <c r="AD123" s="40" t="s">
        <v>48</v>
      </c>
      <c r="AE123" s="70" t="s">
        <v>48</v>
      </c>
      <c r="AF123" s="40">
        <v>-9.4979147018241797E-2</v>
      </c>
      <c r="AG123" s="40" t="s">
        <v>48</v>
      </c>
      <c r="AH123" s="40" t="s">
        <v>48</v>
      </c>
      <c r="AI123" s="42" t="s">
        <v>48</v>
      </c>
      <c r="AJ123" s="40" t="s">
        <v>48</v>
      </c>
      <c r="AK123" s="70" t="s">
        <v>48</v>
      </c>
      <c r="AL123" s="40" t="s">
        <v>48</v>
      </c>
      <c r="AM123" s="40" t="s">
        <v>48</v>
      </c>
      <c r="AN123" s="40" t="s">
        <v>48</v>
      </c>
    </row>
    <row r="124" spans="1:40" x14ac:dyDescent="0.35">
      <c r="A124" s="12">
        <v>115</v>
      </c>
      <c r="B124" s="33"/>
      <c r="C124" s="38" t="str">
        <f>Notes!U123</f>
        <v xml:space="preserve">               </v>
      </c>
      <c r="D124" s="4" t="s">
        <v>386</v>
      </c>
      <c r="E124" s="42"/>
      <c r="F124" s="40"/>
      <c r="G124" s="40"/>
      <c r="H124" s="40"/>
      <c r="I124" s="42"/>
      <c r="J124" s="40"/>
      <c r="K124" s="70"/>
      <c r="L124" s="40"/>
      <c r="M124" s="40"/>
      <c r="N124" s="40"/>
      <c r="O124" s="40" t="s">
        <v>48</v>
      </c>
      <c r="P124" s="42" t="s">
        <v>48</v>
      </c>
      <c r="Q124" s="40" t="s">
        <v>48</v>
      </c>
      <c r="R124" s="40" t="s">
        <v>48</v>
      </c>
      <c r="S124" s="42" t="s">
        <v>48</v>
      </c>
      <c r="T124" s="40" t="s">
        <v>48</v>
      </c>
      <c r="U124" s="40" t="s">
        <v>48</v>
      </c>
      <c r="W124" s="33"/>
      <c r="X124" s="38" t="str">
        <f>Notes!U123</f>
        <v xml:space="preserve">               </v>
      </c>
      <c r="Y124" s="4" t="s">
        <v>386</v>
      </c>
      <c r="Z124" s="42"/>
      <c r="AA124" s="40"/>
      <c r="AB124" s="70"/>
      <c r="AC124" s="42"/>
      <c r="AD124" s="40"/>
      <c r="AE124" s="70"/>
      <c r="AF124" s="40"/>
      <c r="AG124" s="40"/>
      <c r="AH124" s="40"/>
      <c r="AI124" s="42"/>
      <c r="AJ124" s="40"/>
      <c r="AK124" s="70"/>
      <c r="AL124" s="40"/>
      <c r="AM124" s="40"/>
      <c r="AN124" s="40" t="s">
        <v>48</v>
      </c>
    </row>
    <row r="125" spans="1:40" x14ac:dyDescent="0.35">
      <c r="A125" s="12">
        <v>116</v>
      </c>
      <c r="B125" s="33"/>
      <c r="C125" s="38" t="str">
        <f>Notes!U124</f>
        <v xml:space="preserve">               </v>
      </c>
      <c r="D125" s="4" t="s">
        <v>388</v>
      </c>
      <c r="E125" s="42"/>
      <c r="F125" s="40"/>
      <c r="G125" s="40"/>
      <c r="H125" s="40"/>
      <c r="I125" s="42"/>
      <c r="J125" s="40"/>
      <c r="K125" s="70"/>
      <c r="L125" s="40"/>
      <c r="M125" s="40"/>
      <c r="N125" s="40"/>
      <c r="O125" s="40" t="s">
        <v>48</v>
      </c>
      <c r="P125" s="42" t="s">
        <v>48</v>
      </c>
      <c r="Q125" s="40" t="s">
        <v>48</v>
      </c>
      <c r="R125" s="40" t="s">
        <v>48</v>
      </c>
      <c r="S125" s="42" t="s">
        <v>48</v>
      </c>
      <c r="T125" s="40" t="s">
        <v>48</v>
      </c>
      <c r="U125" s="40" t="s">
        <v>48</v>
      </c>
      <c r="W125" s="33"/>
      <c r="X125" s="38" t="str">
        <f>Notes!U124</f>
        <v xml:space="preserve">               </v>
      </c>
      <c r="Y125" s="4" t="s">
        <v>388</v>
      </c>
      <c r="Z125" s="42"/>
      <c r="AA125" s="40"/>
      <c r="AB125" s="70"/>
      <c r="AC125" s="42"/>
      <c r="AD125" s="40"/>
      <c r="AE125" s="70"/>
      <c r="AF125" s="40"/>
      <c r="AG125" s="40"/>
      <c r="AH125" s="40"/>
      <c r="AI125" s="42"/>
      <c r="AJ125" s="40"/>
      <c r="AK125" s="70"/>
      <c r="AL125" s="40"/>
      <c r="AM125" s="40"/>
      <c r="AN125" s="40" t="s">
        <v>48</v>
      </c>
    </row>
    <row r="126" spans="1:40" x14ac:dyDescent="0.35">
      <c r="A126" s="12">
        <v>117</v>
      </c>
      <c r="B126" s="33"/>
      <c r="C126" s="38" t="str">
        <f>Notes!U125</f>
        <v xml:space="preserve">               </v>
      </c>
      <c r="D126" s="4"/>
      <c r="E126" s="42"/>
      <c r="F126" s="40"/>
      <c r="G126" s="40"/>
      <c r="H126" s="40"/>
      <c r="I126" s="42"/>
      <c r="J126" s="40"/>
      <c r="K126" s="70"/>
      <c r="L126" s="40"/>
      <c r="M126" s="40"/>
      <c r="N126" s="40"/>
      <c r="O126" s="40"/>
      <c r="P126" s="42"/>
      <c r="Q126" s="40"/>
      <c r="R126" s="40"/>
      <c r="S126" s="42"/>
      <c r="T126" s="40"/>
      <c r="U126" s="40"/>
      <c r="W126" s="33"/>
      <c r="X126" s="38" t="str">
        <f>Notes!U125</f>
        <v xml:space="preserve">               </v>
      </c>
      <c r="Y126" s="4"/>
      <c r="Z126" s="42"/>
      <c r="AA126" s="40"/>
      <c r="AB126" s="70"/>
      <c r="AC126" s="42"/>
      <c r="AD126" s="40"/>
      <c r="AE126" s="70"/>
      <c r="AF126" s="40"/>
      <c r="AG126" s="40"/>
      <c r="AH126" s="40"/>
      <c r="AI126" s="42"/>
      <c r="AJ126" s="40"/>
      <c r="AK126" s="70"/>
      <c r="AL126" s="40"/>
      <c r="AM126" s="40"/>
      <c r="AN126" s="40"/>
    </row>
    <row r="127" spans="1:40" x14ac:dyDescent="0.35">
      <c r="A127" s="12">
        <v>118</v>
      </c>
      <c r="B127" s="33"/>
      <c r="C127" s="38" t="str">
        <f>Notes!U126</f>
        <v xml:space="preserve">               </v>
      </c>
      <c r="D127" s="4"/>
      <c r="E127" s="42"/>
      <c r="F127" s="40"/>
      <c r="G127" s="40"/>
      <c r="H127" s="40"/>
      <c r="I127" s="42"/>
      <c r="J127" s="40"/>
      <c r="K127" s="70"/>
      <c r="L127" s="40"/>
      <c r="M127" s="40"/>
      <c r="N127" s="40"/>
      <c r="O127" s="40"/>
      <c r="P127" s="42"/>
      <c r="Q127" s="40"/>
      <c r="R127" s="40"/>
      <c r="S127" s="42"/>
      <c r="T127" s="40"/>
      <c r="U127" s="40"/>
      <c r="W127" s="33"/>
      <c r="X127" s="38" t="str">
        <f>Notes!U126</f>
        <v xml:space="preserve">               </v>
      </c>
      <c r="Y127" s="4"/>
      <c r="Z127" s="42"/>
      <c r="AA127" s="40"/>
      <c r="AB127" s="70"/>
      <c r="AC127" s="42"/>
      <c r="AD127" s="40"/>
      <c r="AE127" s="70"/>
      <c r="AF127" s="40"/>
      <c r="AG127" s="40"/>
      <c r="AH127" s="40"/>
      <c r="AI127" s="42"/>
      <c r="AJ127" s="40"/>
      <c r="AK127" s="70"/>
      <c r="AL127" s="40"/>
      <c r="AM127" s="40"/>
      <c r="AN127" s="40"/>
    </row>
    <row r="128" spans="1:40" x14ac:dyDescent="0.35">
      <c r="A128" s="12">
        <v>119</v>
      </c>
      <c r="B128" s="33"/>
      <c r="C128" s="38" t="str">
        <f>Notes!U127</f>
        <v xml:space="preserve">               </v>
      </c>
      <c r="D128" s="4"/>
      <c r="E128" s="42"/>
      <c r="F128" s="40"/>
      <c r="G128" s="40"/>
      <c r="H128" s="40"/>
      <c r="I128" s="42"/>
      <c r="J128" s="40"/>
      <c r="K128" s="70"/>
      <c r="L128" s="40"/>
      <c r="M128" s="40"/>
      <c r="N128" s="40"/>
      <c r="O128" s="40"/>
      <c r="P128" s="42"/>
      <c r="Q128" s="40"/>
      <c r="R128" s="40"/>
      <c r="S128" s="42"/>
      <c r="T128" s="40"/>
      <c r="U128" s="40"/>
      <c r="W128" s="33"/>
      <c r="X128" s="38" t="str">
        <f>Notes!U127</f>
        <v xml:space="preserve">               </v>
      </c>
      <c r="Y128" s="4"/>
      <c r="Z128" s="42"/>
      <c r="AA128" s="40"/>
      <c r="AB128" s="70"/>
      <c r="AC128" s="42"/>
      <c r="AD128" s="40"/>
      <c r="AE128" s="70"/>
      <c r="AF128" s="40"/>
      <c r="AG128" s="40"/>
      <c r="AH128" s="40"/>
      <c r="AI128" s="42"/>
      <c r="AJ128" s="40"/>
      <c r="AK128" s="70"/>
      <c r="AL128" s="40"/>
      <c r="AM128" s="40"/>
      <c r="AN128" s="40"/>
    </row>
    <row r="129" spans="1:40" x14ac:dyDescent="0.35">
      <c r="A129" s="12">
        <v>120</v>
      </c>
      <c r="B129" s="33"/>
      <c r="C129" s="38" t="str">
        <f>Notes!U128</f>
        <v xml:space="preserve">               </v>
      </c>
      <c r="D129" s="4"/>
      <c r="E129" s="42"/>
      <c r="F129" s="40"/>
      <c r="G129" s="40"/>
      <c r="H129" s="40"/>
      <c r="I129" s="42"/>
      <c r="J129" s="40"/>
      <c r="K129" s="70"/>
      <c r="L129" s="40"/>
      <c r="M129" s="40"/>
      <c r="N129" s="40"/>
      <c r="O129" s="40"/>
      <c r="P129" s="42"/>
      <c r="Q129" s="40"/>
      <c r="R129" s="40"/>
      <c r="S129" s="42"/>
      <c r="T129" s="40"/>
      <c r="U129" s="40"/>
      <c r="W129" s="33"/>
      <c r="X129" s="38" t="str">
        <f>Notes!U128</f>
        <v xml:space="preserve">               </v>
      </c>
      <c r="Y129" s="4"/>
      <c r="Z129" s="42"/>
      <c r="AA129" s="40"/>
      <c r="AB129" s="70"/>
      <c r="AC129" s="42"/>
      <c r="AD129" s="40"/>
      <c r="AE129" s="70"/>
      <c r="AF129" s="40"/>
      <c r="AG129" s="40"/>
      <c r="AH129" s="40"/>
      <c r="AI129" s="42"/>
      <c r="AJ129" s="40"/>
      <c r="AK129" s="70"/>
      <c r="AL129" s="40"/>
      <c r="AM129" s="40"/>
      <c r="AN129" s="40"/>
    </row>
    <row r="130" spans="1:40" x14ac:dyDescent="0.35">
      <c r="A130" s="12">
        <v>121</v>
      </c>
      <c r="B130" s="33"/>
      <c r="C130" s="38" t="str">
        <f>Notes!U129</f>
        <v xml:space="preserve">               </v>
      </c>
      <c r="D130" s="4"/>
      <c r="E130" s="42"/>
      <c r="F130" s="40"/>
      <c r="G130" s="40"/>
      <c r="H130" s="40"/>
      <c r="I130" s="42"/>
      <c r="J130" s="40"/>
      <c r="K130" s="70"/>
      <c r="L130" s="40"/>
      <c r="M130" s="40"/>
      <c r="N130" s="40"/>
      <c r="O130" s="40"/>
      <c r="P130" s="42"/>
      <c r="Q130" s="40"/>
      <c r="R130" s="40"/>
      <c r="S130" s="42"/>
      <c r="T130" s="40"/>
      <c r="U130" s="40"/>
      <c r="W130" s="33"/>
      <c r="X130" s="38" t="str">
        <f>Notes!U129</f>
        <v xml:space="preserve">               </v>
      </c>
      <c r="Y130" s="4"/>
      <c r="Z130" s="42"/>
      <c r="AA130" s="40"/>
      <c r="AB130" s="70"/>
      <c r="AC130" s="42"/>
      <c r="AD130" s="40"/>
      <c r="AE130" s="70"/>
      <c r="AF130" s="40"/>
      <c r="AG130" s="40"/>
      <c r="AH130" s="40"/>
      <c r="AI130" s="42"/>
      <c r="AJ130" s="40"/>
      <c r="AK130" s="70"/>
      <c r="AL130" s="40"/>
      <c r="AM130" s="40"/>
      <c r="AN130" s="40"/>
    </row>
    <row r="131" spans="1:40" x14ac:dyDescent="0.35">
      <c r="A131" s="12">
        <v>122</v>
      </c>
      <c r="B131" s="33"/>
      <c r="C131" s="38" t="str">
        <f>Notes!U130</f>
        <v xml:space="preserve">               </v>
      </c>
      <c r="D131" s="4"/>
      <c r="E131" s="42"/>
      <c r="F131" s="40"/>
      <c r="G131" s="40"/>
      <c r="H131" s="40"/>
      <c r="I131" s="42"/>
      <c r="J131" s="40"/>
      <c r="K131" s="70"/>
      <c r="L131" s="40"/>
      <c r="M131" s="40"/>
      <c r="N131" s="40"/>
      <c r="O131" s="40"/>
      <c r="P131" s="42"/>
      <c r="Q131" s="40"/>
      <c r="R131" s="40"/>
      <c r="S131" s="42"/>
      <c r="T131" s="40"/>
      <c r="U131" s="40"/>
      <c r="W131" s="33"/>
      <c r="X131" s="38" t="str">
        <f>Notes!U130</f>
        <v xml:space="preserve">               </v>
      </c>
      <c r="Y131" s="4"/>
      <c r="Z131" s="42"/>
      <c r="AA131" s="40"/>
      <c r="AB131" s="70"/>
      <c r="AC131" s="42"/>
      <c r="AD131" s="40"/>
      <c r="AE131" s="70"/>
      <c r="AF131" s="40"/>
      <c r="AG131" s="40"/>
      <c r="AH131" s="40"/>
      <c r="AI131" s="42"/>
      <c r="AJ131" s="40"/>
      <c r="AK131" s="70"/>
      <c r="AL131" s="40"/>
      <c r="AM131" s="40"/>
      <c r="AN131" s="40"/>
    </row>
    <row r="132" spans="1:40" x14ac:dyDescent="0.35">
      <c r="A132" s="12">
        <v>123</v>
      </c>
      <c r="B132" s="33"/>
      <c r="C132" s="38" t="str">
        <f>Notes!U131</f>
        <v xml:space="preserve">               </v>
      </c>
      <c r="D132" s="4"/>
      <c r="E132" s="42"/>
      <c r="F132" s="40"/>
      <c r="G132" s="40"/>
      <c r="H132" s="40"/>
      <c r="I132" s="42"/>
      <c r="J132" s="40"/>
      <c r="K132" s="70"/>
      <c r="L132" s="40"/>
      <c r="M132" s="40"/>
      <c r="N132" s="40"/>
      <c r="O132" s="40"/>
      <c r="P132" s="42"/>
      <c r="Q132" s="40"/>
      <c r="R132" s="40"/>
      <c r="S132" s="42"/>
      <c r="T132" s="40"/>
      <c r="U132" s="40"/>
      <c r="W132" s="33"/>
      <c r="X132" s="38" t="str">
        <f>Notes!U131</f>
        <v xml:space="preserve">               </v>
      </c>
      <c r="Y132" s="4"/>
      <c r="Z132" s="42"/>
      <c r="AA132" s="40"/>
      <c r="AB132" s="70"/>
      <c r="AC132" s="42"/>
      <c r="AD132" s="40"/>
      <c r="AE132" s="70"/>
      <c r="AF132" s="40"/>
      <c r="AG132" s="40"/>
      <c r="AH132" s="40"/>
      <c r="AI132" s="42"/>
      <c r="AJ132" s="40"/>
      <c r="AK132" s="70"/>
      <c r="AL132" s="40"/>
      <c r="AM132" s="40"/>
      <c r="AN132" s="40"/>
    </row>
    <row r="133" spans="1:40" x14ac:dyDescent="0.35">
      <c r="A133" s="12">
        <v>124</v>
      </c>
      <c r="B133" s="33"/>
      <c r="C133" s="38" t="str">
        <f>Notes!U132</f>
        <v xml:space="preserve">               </v>
      </c>
      <c r="D133" s="4"/>
      <c r="E133" s="42"/>
      <c r="F133" s="40"/>
      <c r="G133" s="40"/>
      <c r="H133" s="40"/>
      <c r="I133" s="42"/>
      <c r="J133" s="40"/>
      <c r="K133" s="70"/>
      <c r="L133" s="40"/>
      <c r="M133" s="40"/>
      <c r="N133" s="40"/>
      <c r="O133" s="40"/>
      <c r="P133" s="42"/>
      <c r="Q133" s="40"/>
      <c r="R133" s="40"/>
      <c r="S133" s="42"/>
      <c r="T133" s="40"/>
      <c r="U133" s="40"/>
      <c r="W133" s="33"/>
      <c r="X133" s="38" t="str">
        <f>Notes!U132</f>
        <v xml:space="preserve">               </v>
      </c>
      <c r="Y133" s="4"/>
      <c r="Z133" s="42"/>
      <c r="AA133" s="40"/>
      <c r="AB133" s="70"/>
      <c r="AC133" s="42"/>
      <c r="AD133" s="40"/>
      <c r="AE133" s="70"/>
      <c r="AF133" s="40"/>
      <c r="AG133" s="40"/>
      <c r="AH133" s="40"/>
      <c r="AI133" s="42"/>
      <c r="AJ133" s="40"/>
      <c r="AK133" s="70"/>
      <c r="AL133" s="40"/>
      <c r="AM133" s="40"/>
      <c r="AN133" s="40"/>
    </row>
    <row r="134" spans="1:40" x14ac:dyDescent="0.35">
      <c r="A134" s="12">
        <v>125</v>
      </c>
      <c r="B134" s="33"/>
      <c r="C134" s="38" t="str">
        <f>Notes!U133</f>
        <v xml:space="preserve">               </v>
      </c>
      <c r="D134" s="4"/>
      <c r="E134" s="42"/>
      <c r="F134" s="40"/>
      <c r="G134" s="40"/>
      <c r="H134" s="40"/>
      <c r="I134" s="42"/>
      <c r="J134" s="40"/>
      <c r="K134" s="70"/>
      <c r="L134" s="40"/>
      <c r="M134" s="40"/>
      <c r="N134" s="40"/>
      <c r="O134" s="40"/>
      <c r="P134" s="42"/>
      <c r="Q134" s="40"/>
      <c r="R134" s="40"/>
      <c r="S134" s="42"/>
      <c r="T134" s="40"/>
      <c r="U134" s="40"/>
      <c r="W134" s="33"/>
      <c r="X134" s="38" t="str">
        <f>Notes!U133</f>
        <v xml:space="preserve">               </v>
      </c>
      <c r="Y134" s="4"/>
      <c r="Z134" s="42"/>
      <c r="AA134" s="40"/>
      <c r="AB134" s="70"/>
      <c r="AC134" s="42"/>
      <c r="AD134" s="40"/>
      <c r="AE134" s="70"/>
      <c r="AF134" s="40"/>
      <c r="AG134" s="40"/>
      <c r="AH134" s="40"/>
      <c r="AI134" s="42"/>
      <c r="AJ134" s="40"/>
      <c r="AK134" s="70"/>
      <c r="AL134" s="40"/>
      <c r="AM134" s="40"/>
      <c r="AN134" s="40"/>
    </row>
    <row r="135" spans="1:40" x14ac:dyDescent="0.35">
      <c r="A135" s="12">
        <v>126</v>
      </c>
      <c r="B135" s="33"/>
      <c r="C135" s="38" t="str">
        <f>Notes!U134</f>
        <v xml:space="preserve">               </v>
      </c>
      <c r="D135" s="4"/>
      <c r="E135" s="42"/>
      <c r="F135" s="40"/>
      <c r="G135" s="40"/>
      <c r="H135" s="40"/>
      <c r="I135" s="42"/>
      <c r="J135" s="40"/>
      <c r="K135" s="70"/>
      <c r="L135" s="40"/>
      <c r="M135" s="40"/>
      <c r="N135" s="40"/>
      <c r="O135" s="40"/>
      <c r="P135" s="42"/>
      <c r="Q135" s="40"/>
      <c r="R135" s="40"/>
      <c r="S135" s="42"/>
      <c r="T135" s="40"/>
      <c r="U135" s="40"/>
      <c r="W135" s="33"/>
      <c r="X135" s="38" t="str">
        <f>Notes!U134</f>
        <v xml:space="preserve">               </v>
      </c>
      <c r="Y135" s="4"/>
      <c r="Z135" s="42"/>
      <c r="AA135" s="40"/>
      <c r="AB135" s="70"/>
      <c r="AC135" s="42"/>
      <c r="AD135" s="40"/>
      <c r="AE135" s="70"/>
      <c r="AF135" s="40"/>
      <c r="AG135" s="40"/>
      <c r="AH135" s="40"/>
      <c r="AI135" s="42"/>
      <c r="AJ135" s="40"/>
      <c r="AK135" s="70"/>
      <c r="AL135" s="40"/>
      <c r="AM135" s="40"/>
      <c r="AN135" s="40"/>
    </row>
    <row r="136" spans="1:40" x14ac:dyDescent="0.35">
      <c r="A136" s="12">
        <v>127</v>
      </c>
      <c r="B136" s="33"/>
      <c r="C136" s="38" t="str">
        <f>Notes!U135</f>
        <v xml:space="preserve">               </v>
      </c>
      <c r="D136" s="4"/>
      <c r="E136" s="42"/>
      <c r="F136" s="40"/>
      <c r="G136" s="40"/>
      <c r="H136" s="40"/>
      <c r="I136" s="42"/>
      <c r="J136" s="40"/>
      <c r="K136" s="70"/>
      <c r="L136" s="40"/>
      <c r="M136" s="40"/>
      <c r="N136" s="40"/>
      <c r="O136" s="40"/>
      <c r="P136" s="42"/>
      <c r="Q136" s="40"/>
      <c r="R136" s="40"/>
      <c r="S136" s="42"/>
      <c r="T136" s="40"/>
      <c r="U136" s="40"/>
      <c r="W136" s="33"/>
      <c r="X136" s="38" t="str">
        <f>Notes!U135</f>
        <v xml:space="preserve">               </v>
      </c>
      <c r="Y136" s="4"/>
      <c r="Z136" s="42"/>
      <c r="AA136" s="40"/>
      <c r="AB136" s="70"/>
      <c r="AC136" s="42"/>
      <c r="AD136" s="40"/>
      <c r="AE136" s="70"/>
      <c r="AF136" s="40"/>
      <c r="AG136" s="40"/>
      <c r="AH136" s="40"/>
      <c r="AI136" s="42"/>
      <c r="AJ136" s="40"/>
      <c r="AK136" s="70"/>
      <c r="AL136" s="40"/>
      <c r="AM136" s="40"/>
      <c r="AN136" s="40"/>
    </row>
    <row r="137" spans="1:40" x14ac:dyDescent="0.35">
      <c r="A137" s="12">
        <v>128</v>
      </c>
      <c r="B137" s="33"/>
      <c r="C137" s="38" t="str">
        <f>Notes!U136</f>
        <v xml:space="preserve">               </v>
      </c>
      <c r="D137" s="4"/>
      <c r="E137" s="42"/>
      <c r="F137" s="40"/>
      <c r="G137" s="40"/>
      <c r="H137" s="40"/>
      <c r="I137" s="42"/>
      <c r="J137" s="40"/>
      <c r="K137" s="70"/>
      <c r="L137" s="40"/>
      <c r="M137" s="40"/>
      <c r="N137" s="40"/>
      <c r="O137" s="40"/>
      <c r="P137" s="42"/>
      <c r="Q137" s="40"/>
      <c r="R137" s="40"/>
      <c r="S137" s="42"/>
      <c r="T137" s="40"/>
      <c r="U137" s="40"/>
      <c r="W137" s="33"/>
      <c r="X137" s="38" t="str">
        <f>Notes!U136</f>
        <v xml:space="preserve">               </v>
      </c>
      <c r="Y137" s="4"/>
      <c r="Z137" s="42"/>
      <c r="AA137" s="40"/>
      <c r="AB137" s="70"/>
      <c r="AC137" s="42"/>
      <c r="AD137" s="40"/>
      <c r="AE137" s="70"/>
      <c r="AF137" s="40"/>
      <c r="AG137" s="40"/>
      <c r="AH137" s="40"/>
      <c r="AI137" s="42"/>
      <c r="AJ137" s="40"/>
      <c r="AK137" s="70"/>
      <c r="AL137" s="40"/>
      <c r="AM137" s="40"/>
      <c r="AN137" s="40"/>
    </row>
    <row r="138" spans="1:40" x14ac:dyDescent="0.35">
      <c r="A138" s="12">
        <v>129</v>
      </c>
      <c r="B138" s="33"/>
      <c r="C138" s="38" t="str">
        <f>Notes!U137</f>
        <v xml:space="preserve">               </v>
      </c>
      <c r="D138" s="4"/>
      <c r="E138" s="42"/>
      <c r="F138" s="40"/>
      <c r="G138" s="40"/>
      <c r="H138" s="40"/>
      <c r="I138" s="42"/>
      <c r="J138" s="40"/>
      <c r="K138" s="70"/>
      <c r="L138" s="40"/>
      <c r="M138" s="40"/>
      <c r="N138" s="40"/>
      <c r="O138" s="40"/>
      <c r="P138" s="42"/>
      <c r="Q138" s="40"/>
      <c r="R138" s="40"/>
      <c r="S138" s="42"/>
      <c r="T138" s="40"/>
      <c r="U138" s="40"/>
      <c r="W138" s="33"/>
      <c r="X138" s="38" t="str">
        <f>Notes!U137</f>
        <v xml:space="preserve">               </v>
      </c>
      <c r="Y138" s="4"/>
      <c r="Z138" s="42"/>
      <c r="AA138" s="40"/>
      <c r="AB138" s="70"/>
      <c r="AC138" s="42"/>
      <c r="AD138" s="40"/>
      <c r="AE138" s="70"/>
      <c r="AF138" s="40"/>
      <c r="AG138" s="40"/>
      <c r="AH138" s="40"/>
      <c r="AI138" s="42"/>
      <c r="AJ138" s="40"/>
      <c r="AK138" s="70"/>
      <c r="AL138" s="40"/>
      <c r="AM138" s="40"/>
      <c r="AN138" s="40"/>
    </row>
    <row r="139" spans="1:40" x14ac:dyDescent="0.35">
      <c r="A139" s="12">
        <v>130</v>
      </c>
      <c r="B139" s="33"/>
      <c r="C139" s="38" t="str">
        <f>Notes!U138</f>
        <v xml:space="preserve">               </v>
      </c>
      <c r="D139" s="4"/>
      <c r="E139" s="42"/>
      <c r="F139" s="40"/>
      <c r="G139" s="40"/>
      <c r="H139" s="40"/>
      <c r="I139" s="42"/>
      <c r="J139" s="40"/>
      <c r="K139" s="70"/>
      <c r="L139" s="40"/>
      <c r="M139" s="40"/>
      <c r="N139" s="40"/>
      <c r="O139" s="40"/>
      <c r="P139" s="42"/>
      <c r="Q139" s="40"/>
      <c r="R139" s="40"/>
      <c r="S139" s="42"/>
      <c r="T139" s="40"/>
      <c r="U139" s="40"/>
      <c r="W139" s="33"/>
      <c r="X139" s="38" t="str">
        <f>Notes!U138</f>
        <v xml:space="preserve">               </v>
      </c>
      <c r="Y139" s="4"/>
      <c r="Z139" s="42"/>
      <c r="AA139" s="40"/>
      <c r="AB139" s="70"/>
      <c r="AC139" s="42"/>
      <c r="AD139" s="40"/>
      <c r="AE139" s="70"/>
      <c r="AF139" s="40"/>
      <c r="AG139" s="40"/>
      <c r="AH139" s="40"/>
      <c r="AI139" s="42"/>
      <c r="AJ139" s="40"/>
      <c r="AK139" s="70"/>
      <c r="AL139" s="40"/>
      <c r="AM139" s="40"/>
      <c r="AN139" s="40"/>
    </row>
    <row r="140" spans="1:40" x14ac:dyDescent="0.35">
      <c r="A140" s="12">
        <v>131</v>
      </c>
      <c r="B140" s="33"/>
      <c r="C140" s="38" t="str">
        <f>Notes!U139</f>
        <v xml:space="preserve">               </v>
      </c>
      <c r="D140" s="4"/>
      <c r="E140" s="42"/>
      <c r="F140" s="40"/>
      <c r="G140" s="40"/>
      <c r="H140" s="40"/>
      <c r="I140" s="42"/>
      <c r="J140" s="40"/>
      <c r="K140" s="70"/>
      <c r="L140" s="40"/>
      <c r="M140" s="40"/>
      <c r="N140" s="40"/>
      <c r="O140" s="40"/>
      <c r="P140" s="42"/>
      <c r="Q140" s="40"/>
      <c r="R140" s="40"/>
      <c r="S140" s="42"/>
      <c r="T140" s="40"/>
      <c r="U140" s="40"/>
      <c r="W140" s="33"/>
      <c r="X140" s="38" t="str">
        <f>Notes!U139</f>
        <v xml:space="preserve">               </v>
      </c>
      <c r="Y140" s="4"/>
      <c r="Z140" s="42"/>
      <c r="AA140" s="40"/>
      <c r="AB140" s="70"/>
      <c r="AC140" s="42"/>
      <c r="AD140" s="40"/>
      <c r="AE140" s="70"/>
      <c r="AF140" s="40"/>
      <c r="AG140" s="40"/>
      <c r="AH140" s="40"/>
      <c r="AI140" s="42"/>
      <c r="AJ140" s="40"/>
      <c r="AK140" s="70"/>
      <c r="AL140" s="40"/>
      <c r="AM140" s="40"/>
      <c r="AN140" s="40"/>
    </row>
    <row r="141" spans="1:40" x14ac:dyDescent="0.35">
      <c r="A141" s="12">
        <v>132</v>
      </c>
      <c r="B141" s="33"/>
      <c r="C141" s="38" t="str">
        <f>Notes!U140</f>
        <v xml:space="preserve">               </v>
      </c>
      <c r="D141" s="4"/>
      <c r="E141" s="42"/>
      <c r="F141" s="40"/>
      <c r="G141" s="40"/>
      <c r="H141" s="40"/>
      <c r="I141" s="42"/>
      <c r="J141" s="40"/>
      <c r="K141" s="70"/>
      <c r="L141" s="40"/>
      <c r="M141" s="40"/>
      <c r="N141" s="40"/>
      <c r="O141" s="40"/>
      <c r="P141" s="42"/>
      <c r="Q141" s="40"/>
      <c r="R141" s="40"/>
      <c r="S141" s="42"/>
      <c r="T141" s="40"/>
      <c r="U141" s="40"/>
      <c r="W141" s="33"/>
      <c r="X141" s="38" t="str">
        <f>Notes!U140</f>
        <v xml:space="preserve">               </v>
      </c>
      <c r="Y141" s="4"/>
      <c r="Z141" s="42"/>
      <c r="AA141" s="40"/>
      <c r="AB141" s="70"/>
      <c r="AC141" s="42"/>
      <c r="AD141" s="40"/>
      <c r="AE141" s="70"/>
      <c r="AF141" s="40"/>
      <c r="AG141" s="40"/>
      <c r="AH141" s="40"/>
      <c r="AI141" s="42"/>
      <c r="AJ141" s="40"/>
      <c r="AK141" s="70"/>
      <c r="AL141" s="40"/>
      <c r="AM141" s="40"/>
      <c r="AN141" s="40"/>
    </row>
    <row r="142" spans="1:40" x14ac:dyDescent="0.35">
      <c r="A142" s="12">
        <v>133</v>
      </c>
      <c r="B142" s="33"/>
      <c r="C142" s="38" t="str">
        <f>Notes!U141</f>
        <v xml:space="preserve">               </v>
      </c>
      <c r="D142" s="4"/>
      <c r="E142" s="42"/>
      <c r="F142" s="40"/>
      <c r="G142" s="40"/>
      <c r="H142" s="40"/>
      <c r="I142" s="42"/>
      <c r="J142" s="40"/>
      <c r="K142" s="70"/>
      <c r="L142" s="40"/>
      <c r="M142" s="40"/>
      <c r="N142" s="40"/>
      <c r="O142" s="40"/>
      <c r="P142" s="42"/>
      <c r="Q142" s="40"/>
      <c r="R142" s="40"/>
      <c r="S142" s="42"/>
      <c r="T142" s="40"/>
      <c r="U142" s="40"/>
      <c r="W142" s="33"/>
      <c r="X142" s="38" t="str">
        <f>Notes!U141</f>
        <v xml:space="preserve">               </v>
      </c>
      <c r="Y142" s="4"/>
      <c r="Z142" s="42"/>
      <c r="AA142" s="40"/>
      <c r="AB142" s="70"/>
      <c r="AC142" s="42"/>
      <c r="AD142" s="40"/>
      <c r="AE142" s="70"/>
      <c r="AF142" s="40"/>
      <c r="AG142" s="40"/>
      <c r="AH142" s="40"/>
      <c r="AI142" s="42"/>
      <c r="AJ142" s="40"/>
      <c r="AK142" s="70"/>
      <c r="AL142" s="40"/>
      <c r="AM142" s="40"/>
      <c r="AN142" s="40"/>
    </row>
    <row r="143" spans="1:40" x14ac:dyDescent="0.35">
      <c r="A143" s="12">
        <v>134</v>
      </c>
      <c r="B143" s="33"/>
      <c r="C143" s="38" t="str">
        <f>Notes!U142</f>
        <v xml:space="preserve">               </v>
      </c>
      <c r="D143" s="4"/>
      <c r="E143" s="42"/>
      <c r="F143" s="40"/>
      <c r="G143" s="40"/>
      <c r="H143" s="40"/>
      <c r="I143" s="42"/>
      <c r="J143" s="40"/>
      <c r="K143" s="70"/>
      <c r="L143" s="40"/>
      <c r="M143" s="40"/>
      <c r="N143" s="40"/>
      <c r="O143" s="40"/>
      <c r="P143" s="42"/>
      <c r="Q143" s="40"/>
      <c r="R143" s="40"/>
      <c r="S143" s="42"/>
      <c r="T143" s="40"/>
      <c r="U143" s="40"/>
      <c r="W143" s="33"/>
      <c r="X143" s="38" t="str">
        <f>Notes!U142</f>
        <v xml:space="preserve">               </v>
      </c>
      <c r="Y143" s="4"/>
      <c r="Z143" s="42"/>
      <c r="AA143" s="40"/>
      <c r="AB143" s="70"/>
      <c r="AC143" s="42"/>
      <c r="AD143" s="40"/>
      <c r="AE143" s="70"/>
      <c r="AF143" s="40"/>
      <c r="AG143" s="40"/>
      <c r="AH143" s="40"/>
      <c r="AI143" s="42"/>
      <c r="AJ143" s="40"/>
      <c r="AK143" s="70"/>
      <c r="AL143" s="40"/>
      <c r="AM143" s="40"/>
      <c r="AN143" s="40"/>
    </row>
    <row r="144" spans="1:40" x14ac:dyDescent="0.35">
      <c r="A144" s="12">
        <v>135</v>
      </c>
      <c r="B144" s="33"/>
      <c r="C144" s="38" t="str">
        <f>Notes!U143</f>
        <v xml:space="preserve">               </v>
      </c>
      <c r="D144" s="4"/>
      <c r="E144" s="42"/>
      <c r="F144" s="40"/>
      <c r="G144" s="40"/>
      <c r="H144" s="40"/>
      <c r="I144" s="42"/>
      <c r="J144" s="40"/>
      <c r="K144" s="70"/>
      <c r="L144" s="40"/>
      <c r="M144" s="40"/>
      <c r="N144" s="40"/>
      <c r="O144" s="40"/>
      <c r="P144" s="42"/>
      <c r="Q144" s="40"/>
      <c r="R144" s="40"/>
      <c r="S144" s="42"/>
      <c r="T144" s="40"/>
      <c r="U144" s="40"/>
      <c r="W144" s="33"/>
      <c r="X144" s="38" t="str">
        <f>Notes!U143</f>
        <v xml:space="preserve">               </v>
      </c>
      <c r="Y144" s="4"/>
      <c r="Z144" s="42"/>
      <c r="AA144" s="40"/>
      <c r="AB144" s="70"/>
      <c r="AC144" s="42"/>
      <c r="AD144" s="40"/>
      <c r="AE144" s="70"/>
      <c r="AF144" s="40"/>
      <c r="AG144" s="40"/>
      <c r="AH144" s="40"/>
      <c r="AI144" s="42"/>
      <c r="AJ144" s="40"/>
      <c r="AK144" s="70"/>
      <c r="AL144" s="40"/>
      <c r="AM144" s="40"/>
      <c r="AN144" s="40"/>
    </row>
    <row r="145" spans="1:40" x14ac:dyDescent="0.35">
      <c r="A145" s="12">
        <v>136</v>
      </c>
      <c r="B145" s="33"/>
      <c r="C145" s="38" t="str">
        <f>Notes!U144</f>
        <v xml:space="preserve">               </v>
      </c>
      <c r="D145" s="4"/>
      <c r="E145" s="42"/>
      <c r="F145" s="40"/>
      <c r="G145" s="40"/>
      <c r="H145" s="40"/>
      <c r="I145" s="42"/>
      <c r="J145" s="40"/>
      <c r="K145" s="70"/>
      <c r="L145" s="40"/>
      <c r="M145" s="40"/>
      <c r="N145" s="40"/>
      <c r="O145" s="40"/>
      <c r="P145" s="42"/>
      <c r="Q145" s="40"/>
      <c r="R145" s="40"/>
      <c r="S145" s="42"/>
      <c r="T145" s="40"/>
      <c r="U145" s="40"/>
      <c r="W145" s="33"/>
      <c r="X145" s="38" t="str">
        <f>Notes!U144</f>
        <v xml:space="preserve">               </v>
      </c>
      <c r="Y145" s="4"/>
      <c r="Z145" s="42"/>
      <c r="AA145" s="40"/>
      <c r="AB145" s="70"/>
      <c r="AC145" s="42"/>
      <c r="AD145" s="40"/>
      <c r="AE145" s="70"/>
      <c r="AF145" s="40"/>
      <c r="AG145" s="40"/>
      <c r="AH145" s="40"/>
      <c r="AI145" s="42"/>
      <c r="AJ145" s="40"/>
      <c r="AK145" s="70"/>
      <c r="AL145" s="40"/>
      <c r="AM145" s="40"/>
      <c r="AN145" s="40"/>
    </row>
    <row r="146" spans="1:40" x14ac:dyDescent="0.35">
      <c r="A146" s="12">
        <v>137</v>
      </c>
      <c r="B146" s="33"/>
      <c r="C146" s="38" t="str">
        <f>Notes!U145</f>
        <v xml:space="preserve">               </v>
      </c>
      <c r="D146" s="4"/>
      <c r="E146" s="42"/>
      <c r="F146" s="40"/>
      <c r="G146" s="40"/>
      <c r="H146" s="40"/>
      <c r="I146" s="42"/>
      <c r="J146" s="40"/>
      <c r="K146" s="70"/>
      <c r="L146" s="40"/>
      <c r="M146" s="40"/>
      <c r="N146" s="40"/>
      <c r="O146" s="40"/>
      <c r="P146" s="42"/>
      <c r="Q146" s="40"/>
      <c r="R146" s="40"/>
      <c r="S146" s="42"/>
      <c r="T146" s="40"/>
      <c r="U146" s="40"/>
      <c r="W146" s="33"/>
      <c r="X146" s="38" t="str">
        <f>Notes!U145</f>
        <v xml:space="preserve">               </v>
      </c>
      <c r="Y146" s="4"/>
      <c r="Z146" s="42"/>
      <c r="AA146" s="40"/>
      <c r="AB146" s="70"/>
      <c r="AC146" s="42"/>
      <c r="AD146" s="40"/>
      <c r="AE146" s="70"/>
      <c r="AF146" s="40"/>
      <c r="AG146" s="40"/>
      <c r="AH146" s="40"/>
      <c r="AI146" s="42"/>
      <c r="AJ146" s="40"/>
      <c r="AK146" s="70"/>
      <c r="AL146" s="40"/>
      <c r="AM146" s="40"/>
      <c r="AN146" s="40"/>
    </row>
    <row r="147" spans="1:40" x14ac:dyDescent="0.35">
      <c r="A147" s="12">
        <v>138</v>
      </c>
      <c r="B147" s="33"/>
      <c r="C147" s="38" t="str">
        <f>Notes!U146</f>
        <v xml:space="preserve">               </v>
      </c>
      <c r="D147" s="4"/>
      <c r="E147" s="42"/>
      <c r="F147" s="40"/>
      <c r="G147" s="40"/>
      <c r="H147" s="40"/>
      <c r="I147" s="42"/>
      <c r="J147" s="40"/>
      <c r="K147" s="70"/>
      <c r="L147" s="40"/>
      <c r="M147" s="40"/>
      <c r="N147" s="40"/>
      <c r="O147" s="40"/>
      <c r="P147" s="42"/>
      <c r="Q147" s="40"/>
      <c r="R147" s="40"/>
      <c r="S147" s="42"/>
      <c r="T147" s="40"/>
      <c r="U147" s="40"/>
      <c r="W147" s="33"/>
      <c r="X147" s="38" t="str">
        <f>Notes!U146</f>
        <v xml:space="preserve">               </v>
      </c>
      <c r="Y147" s="4"/>
      <c r="Z147" s="42"/>
      <c r="AA147" s="40"/>
      <c r="AB147" s="70"/>
      <c r="AC147" s="42"/>
      <c r="AD147" s="40"/>
      <c r="AE147" s="70"/>
      <c r="AF147" s="40"/>
      <c r="AG147" s="40"/>
      <c r="AH147" s="40"/>
      <c r="AI147" s="42"/>
      <c r="AJ147" s="40"/>
      <c r="AK147" s="70"/>
      <c r="AL147" s="40"/>
      <c r="AM147" s="40"/>
      <c r="AN147" s="40"/>
    </row>
    <row r="148" spans="1:40" x14ac:dyDescent="0.35">
      <c r="A148" s="12">
        <v>139</v>
      </c>
      <c r="B148" s="33"/>
      <c r="C148" s="38" t="str">
        <f>Notes!U147</f>
        <v xml:space="preserve">               </v>
      </c>
      <c r="D148" s="4"/>
      <c r="E148" s="42"/>
      <c r="F148" s="40"/>
      <c r="G148" s="40"/>
      <c r="H148" s="40"/>
      <c r="I148" s="42"/>
      <c r="J148" s="40"/>
      <c r="K148" s="70"/>
      <c r="L148" s="40"/>
      <c r="M148" s="40"/>
      <c r="N148" s="40"/>
      <c r="O148" s="40"/>
      <c r="P148" s="42"/>
      <c r="Q148" s="40"/>
      <c r="R148" s="40"/>
      <c r="S148" s="42"/>
      <c r="T148" s="40"/>
      <c r="U148" s="40"/>
      <c r="W148" s="33"/>
      <c r="X148" s="38" t="str">
        <f>Notes!U147</f>
        <v xml:space="preserve">               </v>
      </c>
      <c r="Y148" s="4"/>
      <c r="Z148" s="42"/>
      <c r="AA148" s="40"/>
      <c r="AB148" s="70"/>
      <c r="AC148" s="42"/>
      <c r="AD148" s="40"/>
      <c r="AE148" s="70"/>
      <c r="AF148" s="40"/>
      <c r="AG148" s="40"/>
      <c r="AH148" s="40"/>
      <c r="AI148" s="42"/>
      <c r="AJ148" s="40"/>
      <c r="AK148" s="70"/>
      <c r="AL148" s="40"/>
      <c r="AM148" s="40"/>
      <c r="AN148" s="40"/>
    </row>
    <row r="149" spans="1:40" x14ac:dyDescent="0.35">
      <c r="A149" s="12">
        <v>140</v>
      </c>
      <c r="B149" s="33"/>
      <c r="C149" s="38" t="str">
        <f>Notes!U148</f>
        <v xml:space="preserve">               </v>
      </c>
      <c r="D149" s="4"/>
      <c r="E149" s="42"/>
      <c r="F149" s="40"/>
      <c r="G149" s="40"/>
      <c r="H149" s="40"/>
      <c r="I149" s="42"/>
      <c r="J149" s="40"/>
      <c r="K149" s="70"/>
      <c r="L149" s="40"/>
      <c r="M149" s="40"/>
      <c r="N149" s="40"/>
      <c r="O149" s="40"/>
      <c r="P149" s="42"/>
      <c r="Q149" s="40"/>
      <c r="R149" s="40"/>
      <c r="S149" s="42"/>
      <c r="T149" s="40"/>
      <c r="U149" s="40"/>
      <c r="W149" s="33"/>
      <c r="X149" s="38" t="str">
        <f>Notes!U148</f>
        <v xml:space="preserve">               </v>
      </c>
      <c r="Y149" s="4"/>
      <c r="Z149" s="42"/>
      <c r="AA149" s="40"/>
      <c r="AB149" s="70"/>
      <c r="AC149" s="42"/>
      <c r="AD149" s="40"/>
      <c r="AE149" s="70"/>
      <c r="AF149" s="40"/>
      <c r="AG149" s="40"/>
      <c r="AH149" s="40"/>
      <c r="AI149" s="42"/>
      <c r="AJ149" s="40"/>
      <c r="AK149" s="70"/>
      <c r="AL149" s="40"/>
      <c r="AM149" s="40"/>
      <c r="AN149" s="40"/>
    </row>
    <row r="150" spans="1:40" x14ac:dyDescent="0.35">
      <c r="A150" s="12">
        <v>141</v>
      </c>
      <c r="B150" s="33"/>
      <c r="C150" s="38" t="str">
        <f>Notes!U149</f>
        <v xml:space="preserve">               </v>
      </c>
      <c r="D150" s="4"/>
      <c r="E150" s="42"/>
      <c r="F150" s="40"/>
      <c r="G150" s="40"/>
      <c r="H150" s="40"/>
      <c r="I150" s="42"/>
      <c r="J150" s="40"/>
      <c r="K150" s="70"/>
      <c r="L150" s="40"/>
      <c r="M150" s="40"/>
      <c r="N150" s="40"/>
      <c r="O150" s="40"/>
      <c r="P150" s="42"/>
      <c r="Q150" s="40"/>
      <c r="R150" s="40"/>
      <c r="S150" s="42"/>
      <c r="T150" s="40"/>
      <c r="U150" s="40"/>
      <c r="W150" s="33"/>
      <c r="X150" s="38" t="str">
        <f>Notes!U149</f>
        <v xml:space="preserve">               </v>
      </c>
      <c r="Y150" s="4"/>
      <c r="Z150" s="42"/>
      <c r="AA150" s="40"/>
      <c r="AB150" s="70"/>
      <c r="AC150" s="42"/>
      <c r="AD150" s="40"/>
      <c r="AE150" s="70"/>
      <c r="AF150" s="40"/>
      <c r="AG150" s="40"/>
      <c r="AH150" s="40"/>
      <c r="AI150" s="42"/>
      <c r="AJ150" s="40"/>
      <c r="AK150" s="70"/>
      <c r="AL150" s="40"/>
      <c r="AM150" s="40"/>
      <c r="AN150" s="40"/>
    </row>
    <row r="151" spans="1:40" x14ac:dyDescent="0.35">
      <c r="A151" s="12">
        <v>142</v>
      </c>
      <c r="B151" s="33"/>
      <c r="C151" s="38" t="str">
        <f>Notes!U150</f>
        <v xml:space="preserve">               </v>
      </c>
      <c r="D151" s="4"/>
      <c r="E151" s="42"/>
      <c r="F151" s="40"/>
      <c r="G151" s="40"/>
      <c r="H151" s="40"/>
      <c r="I151" s="42"/>
      <c r="J151" s="40"/>
      <c r="K151" s="70"/>
      <c r="L151" s="40"/>
      <c r="M151" s="40"/>
      <c r="N151" s="40"/>
      <c r="O151" s="40"/>
      <c r="P151" s="42"/>
      <c r="Q151" s="40"/>
      <c r="R151" s="40"/>
      <c r="S151" s="42"/>
      <c r="T151" s="40"/>
      <c r="U151" s="40"/>
      <c r="W151" s="33"/>
      <c r="X151" s="38" t="str">
        <f>Notes!U150</f>
        <v xml:space="preserve">               </v>
      </c>
      <c r="Y151" s="4"/>
      <c r="Z151" s="42"/>
      <c r="AA151" s="40"/>
      <c r="AB151" s="70"/>
      <c r="AC151" s="42"/>
      <c r="AD151" s="40"/>
      <c r="AE151" s="70"/>
      <c r="AF151" s="40"/>
      <c r="AG151" s="40"/>
      <c r="AH151" s="40"/>
      <c r="AI151" s="42"/>
      <c r="AJ151" s="40"/>
      <c r="AK151" s="70"/>
      <c r="AL151" s="40"/>
      <c r="AM151" s="40"/>
      <c r="AN151" s="40"/>
    </row>
    <row r="152" spans="1:40" x14ac:dyDescent="0.35">
      <c r="A152" s="12">
        <v>143</v>
      </c>
      <c r="B152" s="33"/>
      <c r="C152" s="38" t="str">
        <f>Notes!U151</f>
        <v xml:space="preserve">               </v>
      </c>
      <c r="D152" s="4"/>
      <c r="E152" s="42"/>
      <c r="F152" s="40"/>
      <c r="G152" s="40"/>
      <c r="H152" s="40"/>
      <c r="I152" s="42"/>
      <c r="J152" s="40"/>
      <c r="K152" s="70"/>
      <c r="L152" s="40"/>
      <c r="M152" s="40"/>
      <c r="N152" s="40"/>
      <c r="O152" s="40"/>
      <c r="P152" s="42"/>
      <c r="Q152" s="40"/>
      <c r="R152" s="40"/>
      <c r="S152" s="42"/>
      <c r="T152" s="40"/>
      <c r="U152" s="40"/>
      <c r="W152" s="33"/>
      <c r="X152" s="38" t="str">
        <f>Notes!U151</f>
        <v xml:space="preserve">               </v>
      </c>
      <c r="Y152" s="4"/>
      <c r="Z152" s="42"/>
      <c r="AA152" s="40"/>
      <c r="AB152" s="70"/>
      <c r="AC152" s="42"/>
      <c r="AD152" s="40"/>
      <c r="AE152" s="70"/>
      <c r="AF152" s="40"/>
      <c r="AG152" s="40"/>
      <c r="AH152" s="40"/>
      <c r="AI152" s="42"/>
      <c r="AJ152" s="40"/>
      <c r="AK152" s="70"/>
      <c r="AL152" s="40"/>
      <c r="AM152" s="40"/>
      <c r="AN152" s="40"/>
    </row>
    <row r="153" spans="1:40" x14ac:dyDescent="0.35">
      <c r="A153" s="12">
        <v>144</v>
      </c>
      <c r="B153" s="33"/>
      <c r="C153" s="38" t="str">
        <f>Notes!U152</f>
        <v xml:space="preserve">               </v>
      </c>
      <c r="D153" s="4"/>
      <c r="E153" s="42"/>
      <c r="F153" s="40"/>
      <c r="G153" s="40"/>
      <c r="H153" s="40"/>
      <c r="I153" s="42"/>
      <c r="J153" s="40"/>
      <c r="K153" s="70"/>
      <c r="L153" s="40"/>
      <c r="M153" s="40"/>
      <c r="N153" s="40"/>
      <c r="O153" s="40"/>
      <c r="P153" s="42"/>
      <c r="Q153" s="40"/>
      <c r="R153" s="40"/>
      <c r="S153" s="42"/>
      <c r="T153" s="40"/>
      <c r="U153" s="40"/>
      <c r="W153" s="33"/>
      <c r="X153" s="38" t="str">
        <f>Notes!U152</f>
        <v xml:space="preserve">               </v>
      </c>
      <c r="Y153" s="4"/>
      <c r="Z153" s="42"/>
      <c r="AA153" s="40"/>
      <c r="AB153" s="70"/>
      <c r="AC153" s="42"/>
      <c r="AD153" s="40"/>
      <c r="AE153" s="70"/>
      <c r="AF153" s="40"/>
      <c r="AG153" s="40"/>
      <c r="AH153" s="40"/>
      <c r="AI153" s="42"/>
      <c r="AJ153" s="40"/>
      <c r="AK153" s="70"/>
      <c r="AL153" s="40"/>
      <c r="AM153" s="40"/>
      <c r="AN153" s="40"/>
    </row>
    <row r="154" spans="1:40" x14ac:dyDescent="0.35">
      <c r="A154" s="12">
        <v>145</v>
      </c>
      <c r="B154" s="33"/>
      <c r="C154" s="38" t="str">
        <f>Notes!U153</f>
        <v xml:space="preserve">               </v>
      </c>
      <c r="D154" s="4"/>
      <c r="E154" s="42"/>
      <c r="F154" s="40"/>
      <c r="G154" s="40"/>
      <c r="H154" s="40"/>
      <c r="I154" s="42"/>
      <c r="J154" s="40"/>
      <c r="K154" s="70"/>
      <c r="L154" s="40"/>
      <c r="M154" s="40"/>
      <c r="N154" s="40"/>
      <c r="O154" s="40"/>
      <c r="P154" s="42"/>
      <c r="Q154" s="40"/>
      <c r="R154" s="40"/>
      <c r="S154" s="42"/>
      <c r="T154" s="40"/>
      <c r="U154" s="40"/>
      <c r="W154" s="33"/>
      <c r="X154" s="38" t="str">
        <f>Notes!U153</f>
        <v xml:space="preserve">               </v>
      </c>
      <c r="Y154" s="4"/>
      <c r="Z154" s="42"/>
      <c r="AA154" s="40"/>
      <c r="AB154" s="70"/>
      <c r="AC154" s="42"/>
      <c r="AD154" s="40"/>
      <c r="AE154" s="70"/>
      <c r="AF154" s="40"/>
      <c r="AG154" s="40"/>
      <c r="AH154" s="40"/>
      <c r="AI154" s="42"/>
      <c r="AJ154" s="40"/>
      <c r="AK154" s="70"/>
      <c r="AL154" s="40"/>
      <c r="AM154" s="40"/>
      <c r="AN154" s="40"/>
    </row>
    <row r="155" spans="1:40" x14ac:dyDescent="0.35">
      <c r="A155" s="12">
        <v>146</v>
      </c>
      <c r="B155" s="33"/>
      <c r="C155" s="38" t="str">
        <f>Notes!U154</f>
        <v xml:space="preserve">               </v>
      </c>
      <c r="D155" s="4"/>
      <c r="E155" s="42"/>
      <c r="F155" s="40"/>
      <c r="G155" s="40"/>
      <c r="H155" s="40"/>
      <c r="I155" s="42"/>
      <c r="J155" s="40"/>
      <c r="K155" s="70"/>
      <c r="L155" s="40"/>
      <c r="M155" s="40"/>
      <c r="N155" s="40"/>
      <c r="O155" s="40"/>
      <c r="P155" s="42"/>
      <c r="Q155" s="40"/>
      <c r="R155" s="40"/>
      <c r="S155" s="42"/>
      <c r="T155" s="40"/>
      <c r="U155" s="40"/>
      <c r="W155" s="33"/>
      <c r="X155" s="38" t="str">
        <f>Notes!U154</f>
        <v xml:space="preserve">               </v>
      </c>
      <c r="Y155" s="4"/>
      <c r="Z155" s="42"/>
      <c r="AA155" s="40"/>
      <c r="AB155" s="70"/>
      <c r="AC155" s="42"/>
      <c r="AD155" s="40"/>
      <c r="AE155" s="70"/>
      <c r="AF155" s="40"/>
      <c r="AG155" s="40"/>
      <c r="AH155" s="40"/>
      <c r="AI155" s="42"/>
      <c r="AJ155" s="40"/>
      <c r="AK155" s="70"/>
      <c r="AL155" s="40"/>
      <c r="AM155" s="40"/>
      <c r="AN155" s="40"/>
    </row>
    <row r="156" spans="1:40" x14ac:dyDescent="0.35">
      <c r="A156" s="12">
        <v>147</v>
      </c>
      <c r="B156" s="33"/>
      <c r="C156" s="38" t="str">
        <f>Notes!U155</f>
        <v xml:space="preserve">               </v>
      </c>
      <c r="D156" s="4"/>
      <c r="E156" s="42"/>
      <c r="F156" s="40"/>
      <c r="G156" s="40"/>
      <c r="H156" s="40"/>
      <c r="I156" s="42"/>
      <c r="J156" s="40"/>
      <c r="K156" s="70"/>
      <c r="L156" s="40"/>
      <c r="M156" s="40"/>
      <c r="N156" s="40"/>
      <c r="O156" s="40"/>
      <c r="P156" s="42"/>
      <c r="Q156" s="40"/>
      <c r="R156" s="40"/>
      <c r="S156" s="42"/>
      <c r="T156" s="40"/>
      <c r="U156" s="40"/>
      <c r="W156" s="33"/>
      <c r="X156" s="38" t="str">
        <f>Notes!U155</f>
        <v xml:space="preserve">               </v>
      </c>
      <c r="Y156" s="4"/>
      <c r="Z156" s="42"/>
      <c r="AA156" s="40"/>
      <c r="AB156" s="70"/>
      <c r="AC156" s="42"/>
      <c r="AD156" s="40"/>
      <c r="AE156" s="70"/>
      <c r="AF156" s="40"/>
      <c r="AG156" s="40"/>
      <c r="AH156" s="40"/>
      <c r="AI156" s="42"/>
      <c r="AJ156" s="40"/>
      <c r="AK156" s="70"/>
      <c r="AL156" s="40"/>
      <c r="AM156" s="40"/>
      <c r="AN156" s="40"/>
    </row>
    <row r="157" spans="1:40" x14ac:dyDescent="0.35">
      <c r="A157" s="12">
        <v>148</v>
      </c>
      <c r="B157" s="33"/>
      <c r="C157" s="38" t="str">
        <f>Notes!U156</f>
        <v xml:space="preserve">               </v>
      </c>
      <c r="D157" s="4"/>
      <c r="E157" s="42"/>
      <c r="F157" s="40"/>
      <c r="G157" s="40"/>
      <c r="H157" s="40"/>
      <c r="I157" s="42"/>
      <c r="J157" s="40"/>
      <c r="K157" s="70"/>
      <c r="L157" s="40"/>
      <c r="M157" s="40"/>
      <c r="N157" s="40"/>
      <c r="O157" s="40"/>
      <c r="P157" s="42"/>
      <c r="Q157" s="40"/>
      <c r="R157" s="40"/>
      <c r="S157" s="42"/>
      <c r="T157" s="40"/>
      <c r="U157" s="40"/>
      <c r="W157" s="33"/>
      <c r="X157" s="38" t="str">
        <f>Notes!U156</f>
        <v xml:space="preserve">               </v>
      </c>
      <c r="Y157" s="4"/>
      <c r="Z157" s="42"/>
      <c r="AA157" s="40"/>
      <c r="AB157" s="70"/>
      <c r="AC157" s="42"/>
      <c r="AD157" s="40"/>
      <c r="AE157" s="70"/>
      <c r="AF157" s="40"/>
      <c r="AG157" s="40"/>
      <c r="AH157" s="40"/>
      <c r="AI157" s="42"/>
      <c r="AJ157" s="40"/>
      <c r="AK157" s="70"/>
      <c r="AL157" s="40"/>
      <c r="AM157" s="40"/>
      <c r="AN157" s="40"/>
    </row>
    <row r="158" spans="1:40" x14ac:dyDescent="0.35">
      <c r="A158" s="12">
        <v>149</v>
      </c>
      <c r="B158" s="33"/>
      <c r="C158" s="38" t="str">
        <f>Notes!U157</f>
        <v xml:space="preserve">               </v>
      </c>
      <c r="D158" s="4"/>
      <c r="E158" s="42"/>
      <c r="F158" s="40"/>
      <c r="G158" s="40"/>
      <c r="H158" s="40"/>
      <c r="I158" s="42"/>
      <c r="J158" s="40"/>
      <c r="K158" s="70"/>
      <c r="L158" s="40"/>
      <c r="M158" s="40"/>
      <c r="N158" s="40"/>
      <c r="O158" s="40"/>
      <c r="P158" s="42"/>
      <c r="Q158" s="40"/>
      <c r="R158" s="40"/>
      <c r="S158" s="42"/>
      <c r="T158" s="40"/>
      <c r="U158" s="40"/>
      <c r="W158" s="33"/>
      <c r="X158" s="38" t="str">
        <f>Notes!U157</f>
        <v xml:space="preserve">               </v>
      </c>
      <c r="Y158" s="4"/>
      <c r="Z158" s="42"/>
      <c r="AA158" s="40"/>
      <c r="AB158" s="70"/>
      <c r="AC158" s="42"/>
      <c r="AD158" s="40"/>
      <c r="AE158" s="70"/>
      <c r="AF158" s="40"/>
      <c r="AG158" s="40"/>
      <c r="AH158" s="40"/>
      <c r="AI158" s="42"/>
      <c r="AJ158" s="40"/>
      <c r="AK158" s="70"/>
      <c r="AL158" s="40"/>
      <c r="AM158" s="40"/>
      <c r="AN158" s="40"/>
    </row>
    <row r="159" spans="1:40" x14ac:dyDescent="0.35">
      <c r="A159" s="12">
        <v>150</v>
      </c>
      <c r="B159" s="33"/>
      <c r="C159" s="38" t="str">
        <f>Notes!U158</f>
        <v xml:space="preserve">               </v>
      </c>
      <c r="D159" s="4"/>
      <c r="E159" s="54"/>
      <c r="F159" s="55"/>
      <c r="G159" s="55"/>
      <c r="H159" s="55"/>
      <c r="I159" s="54"/>
      <c r="J159" s="55"/>
      <c r="K159" s="72"/>
      <c r="L159" s="55"/>
      <c r="M159" s="55"/>
      <c r="N159" s="55"/>
      <c r="O159" s="55"/>
      <c r="P159" s="54"/>
      <c r="Q159" s="55"/>
      <c r="R159" s="55"/>
      <c r="S159" s="54"/>
      <c r="T159" s="55"/>
      <c r="U159" s="55"/>
      <c r="W159" s="33"/>
      <c r="X159" s="38" t="str">
        <f>Notes!U158</f>
        <v xml:space="preserve">               </v>
      </c>
      <c r="Y159" s="4"/>
      <c r="Z159" s="54"/>
      <c r="AA159" s="55"/>
      <c r="AB159" s="72"/>
      <c r="AC159" s="54"/>
      <c r="AD159" s="55"/>
      <c r="AE159" s="72"/>
      <c r="AF159" s="40"/>
      <c r="AG159" s="40"/>
      <c r="AH159" s="40"/>
      <c r="AI159" s="54"/>
      <c r="AJ159" s="55"/>
      <c r="AK159" s="72"/>
      <c r="AL159" s="40"/>
      <c r="AM159" s="40"/>
      <c r="AN159" s="40"/>
    </row>
    <row r="160" spans="1:40" x14ac:dyDescent="0.35"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</sheetData>
  <sheetProtection sheet="1" objects="1" scenarios="1"/>
  <mergeCells count="9">
    <mergeCell ref="AL6:AN6"/>
    <mergeCell ref="E6:O6"/>
    <mergeCell ref="P6:R6"/>
    <mergeCell ref="I7:K7"/>
    <mergeCell ref="Z6:AB6"/>
    <mergeCell ref="AC6:AE6"/>
    <mergeCell ref="AF6:AH6"/>
    <mergeCell ref="AI6:AK6"/>
    <mergeCell ref="S6:U6"/>
  </mergeCells>
  <conditionalFormatting sqref="E10:U159">
    <cfRule type="cellIs" dxfId="21" priority="1" operator="equal">
      <formula>"Eps"</formula>
    </cfRule>
  </conditionalFormatting>
  <conditionalFormatting sqref="Z10:AN159">
    <cfRule type="cellIs" dxfId="20" priority="2" operator="equal">
      <formula>"Eps"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A4B2-37DC-41C4-A83B-CBA8EE472923}">
  <sheetPr>
    <tabColor theme="8" tint="-0.499984740745262"/>
  </sheetPr>
  <dimension ref="A1:V39"/>
  <sheetViews>
    <sheetView zoomScale="130" zoomScaleNormal="130" workbookViewId="0">
      <pane ySplit="7" topLeftCell="A8" activePane="bottomLeft" state="frozen"/>
      <selection activeCell="K75" sqref="K75"/>
      <selection pane="bottomLeft" activeCell="F37" sqref="F37"/>
    </sheetView>
  </sheetViews>
  <sheetFormatPr defaultColWidth="0" defaultRowHeight="14.5" zeroHeight="1" x14ac:dyDescent="0.35"/>
  <cols>
    <col min="1" max="2" width="2.453125" customWidth="1"/>
    <col min="3" max="3" width="15" customWidth="1"/>
    <col min="4" max="4" width="26.81640625" customWidth="1"/>
    <col min="5" max="5" width="9.08984375" hidden="1" customWidth="1"/>
    <col min="6" max="21" width="9.08984375" customWidth="1"/>
    <col min="22" max="22" width="2.453125" customWidth="1"/>
    <col min="23" max="16384" width="9.08984375" hidden="1"/>
  </cols>
  <sheetData>
    <row r="1" spans="1:22" ht="18.5" x14ac:dyDescent="0.45">
      <c r="A1" s="9" t="s">
        <v>148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7" t="s">
        <v>70</v>
      </c>
      <c r="N1" s="8" t="str">
        <f>C5</f>
        <v>Quantities, price indices, and GDP shares</v>
      </c>
    </row>
    <row r="2" spans="1:22" x14ac:dyDescent="0.35">
      <c r="M2" s="8"/>
      <c r="N2" s="8"/>
    </row>
    <row r="3" spans="1:22" x14ac:dyDescent="0.35">
      <c r="M3" s="8"/>
      <c r="N3" s="8"/>
    </row>
    <row r="4" spans="1:22" x14ac:dyDescent="0.35"/>
    <row r="5" spans="1:22" ht="15.5" x14ac:dyDescent="0.35">
      <c r="B5" s="13"/>
      <c r="C5" s="11" t="s">
        <v>149</v>
      </c>
      <c r="D5" s="11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2" x14ac:dyDescent="0.35">
      <c r="B6" s="29"/>
      <c r="C6" s="35" t="s">
        <v>109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2" x14ac:dyDescent="0.35">
      <c r="B7" s="29"/>
      <c r="C7" s="34"/>
      <c r="D7" s="34"/>
      <c r="E7" s="34"/>
      <c r="F7" s="43" t="s">
        <v>42</v>
      </c>
      <c r="G7" s="41" t="s">
        <v>588</v>
      </c>
      <c r="H7" s="39" t="s">
        <v>589</v>
      </c>
      <c r="I7" s="39" t="s">
        <v>590</v>
      </c>
      <c r="J7" s="39" t="s">
        <v>465</v>
      </c>
      <c r="K7" s="39" t="s">
        <v>455</v>
      </c>
      <c r="L7" s="39" t="s">
        <v>456</v>
      </c>
      <c r="M7" s="39" t="s">
        <v>457</v>
      </c>
      <c r="N7" s="39" t="s">
        <v>458</v>
      </c>
      <c r="O7" s="39" t="s">
        <v>459</v>
      </c>
      <c r="P7" s="39" t="s">
        <v>460</v>
      </c>
      <c r="Q7" s="39" t="s">
        <v>43</v>
      </c>
      <c r="R7" s="39" t="s">
        <v>44</v>
      </c>
      <c r="S7" s="39" t="s">
        <v>45</v>
      </c>
      <c r="T7" s="39" t="s">
        <v>46</v>
      </c>
      <c r="U7" s="39" t="s">
        <v>47</v>
      </c>
    </row>
    <row r="8" spans="1:22" x14ac:dyDescent="0.35">
      <c r="A8" s="12">
        <v>1</v>
      </c>
      <c r="B8" s="33"/>
      <c r="C8" s="52" t="s">
        <v>179</v>
      </c>
      <c r="D8" s="38" t="s">
        <v>182</v>
      </c>
      <c r="E8" s="4" t="s">
        <v>150</v>
      </c>
      <c r="F8" s="90">
        <v>8844.7899764065478</v>
      </c>
      <c r="G8" s="42" t="s">
        <v>48</v>
      </c>
      <c r="H8" s="40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U8" s="40" t="s">
        <v>48</v>
      </c>
    </row>
    <row r="9" spans="1:22" x14ac:dyDescent="0.35">
      <c r="A9" s="12">
        <v>2</v>
      </c>
      <c r="B9" s="33"/>
      <c r="C9" s="38"/>
      <c r="D9" s="63" t="s">
        <v>183</v>
      </c>
      <c r="E9" s="64" t="s">
        <v>151</v>
      </c>
      <c r="F9" s="91">
        <v>5689.3218664283258</v>
      </c>
      <c r="G9" s="66" t="s">
        <v>48</v>
      </c>
      <c r="H9" s="67" t="s">
        <v>48</v>
      </c>
      <c r="I9" s="67" t="s">
        <v>48</v>
      </c>
      <c r="J9" s="67" t="s">
        <v>48</v>
      </c>
      <c r="K9" s="67" t="s">
        <v>48</v>
      </c>
      <c r="L9" s="67" t="s">
        <v>48</v>
      </c>
      <c r="M9" s="67" t="s">
        <v>48</v>
      </c>
      <c r="N9" s="67" t="s">
        <v>48</v>
      </c>
      <c r="O9" s="67" t="s">
        <v>48</v>
      </c>
      <c r="P9" s="67" t="s">
        <v>48</v>
      </c>
      <c r="Q9" s="67" t="s">
        <v>48</v>
      </c>
      <c r="R9" s="67" t="s">
        <v>48</v>
      </c>
      <c r="S9" s="67" t="s">
        <v>48</v>
      </c>
      <c r="T9" s="67" t="s">
        <v>48</v>
      </c>
      <c r="U9" s="67" t="s">
        <v>48</v>
      </c>
      <c r="V9" s="49"/>
    </row>
    <row r="10" spans="1:22" x14ac:dyDescent="0.35">
      <c r="A10" s="12">
        <v>3</v>
      </c>
      <c r="B10" s="33"/>
      <c r="C10" s="38"/>
      <c r="D10" s="63" t="s">
        <v>184</v>
      </c>
      <c r="E10" s="64" t="s">
        <v>152</v>
      </c>
      <c r="F10" s="92">
        <v>1153.6233050122262</v>
      </c>
      <c r="G10" s="68" t="s">
        <v>48</v>
      </c>
      <c r="H10" s="69" t="s">
        <v>48</v>
      </c>
      <c r="I10" s="69" t="s">
        <v>48</v>
      </c>
      <c r="J10" s="69" t="s">
        <v>48</v>
      </c>
      <c r="K10" s="69" t="s">
        <v>48</v>
      </c>
      <c r="L10" s="69" t="s">
        <v>48</v>
      </c>
      <c r="M10" s="69" t="s">
        <v>48</v>
      </c>
      <c r="N10" s="69" t="s">
        <v>48</v>
      </c>
      <c r="O10" s="69" t="s">
        <v>48</v>
      </c>
      <c r="P10" s="69" t="s">
        <v>48</v>
      </c>
      <c r="Q10" s="69" t="s">
        <v>48</v>
      </c>
      <c r="R10" s="69" t="s">
        <v>48</v>
      </c>
      <c r="S10" s="69" t="s">
        <v>48</v>
      </c>
      <c r="T10" s="69" t="s">
        <v>48</v>
      </c>
      <c r="U10" s="69" t="s">
        <v>48</v>
      </c>
    </row>
    <row r="11" spans="1:22" x14ac:dyDescent="0.35">
      <c r="A11" s="12">
        <v>4</v>
      </c>
      <c r="B11" s="33"/>
      <c r="C11" s="38"/>
      <c r="D11" s="63" t="s">
        <v>185</v>
      </c>
      <c r="E11" s="64" t="s">
        <v>153</v>
      </c>
      <c r="F11" s="92">
        <v>2001.8448049659949</v>
      </c>
      <c r="G11" s="68" t="s">
        <v>48</v>
      </c>
      <c r="H11" s="69" t="s">
        <v>48</v>
      </c>
      <c r="I11" s="69" t="s">
        <v>48</v>
      </c>
      <c r="J11" s="69" t="s">
        <v>48</v>
      </c>
      <c r="K11" s="69" t="s">
        <v>48</v>
      </c>
      <c r="L11" s="69" t="s">
        <v>48</v>
      </c>
      <c r="M11" s="69" t="s">
        <v>48</v>
      </c>
      <c r="N11" s="69" t="s">
        <v>48</v>
      </c>
      <c r="O11" s="69" t="s">
        <v>48</v>
      </c>
      <c r="P11" s="69" t="s">
        <v>48</v>
      </c>
      <c r="Q11" s="69" t="s">
        <v>48</v>
      </c>
      <c r="R11" s="69" t="s">
        <v>48</v>
      </c>
      <c r="S11" s="69" t="s">
        <v>48</v>
      </c>
      <c r="T11" s="69" t="s">
        <v>48</v>
      </c>
      <c r="U11" s="69" t="s">
        <v>48</v>
      </c>
    </row>
    <row r="12" spans="1:22" x14ac:dyDescent="0.35">
      <c r="A12" s="12">
        <v>5</v>
      </c>
      <c r="B12" s="33"/>
      <c r="C12" s="38"/>
      <c r="D12" s="38" t="s">
        <v>186</v>
      </c>
      <c r="E12" s="4" t="s">
        <v>154</v>
      </c>
      <c r="F12" s="93">
        <v>1022.1353914072753</v>
      </c>
      <c r="G12" s="42" t="s">
        <v>48</v>
      </c>
      <c r="H12" s="40" t="s">
        <v>48</v>
      </c>
      <c r="I12" s="40" t="s">
        <v>48</v>
      </c>
      <c r="J12" s="40" t="s">
        <v>48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U12" s="40" t="s">
        <v>48</v>
      </c>
    </row>
    <row r="13" spans="1:22" x14ac:dyDescent="0.35">
      <c r="A13" s="12">
        <v>6</v>
      </c>
      <c r="B13" s="33"/>
      <c r="C13" s="38"/>
      <c r="D13" s="38" t="s">
        <v>187</v>
      </c>
      <c r="E13" s="4" t="s">
        <v>155</v>
      </c>
      <c r="F13" s="93">
        <v>2171.8972438339129</v>
      </c>
      <c r="G13" s="42" t="s">
        <v>48</v>
      </c>
      <c r="H13" s="40" t="s">
        <v>48</v>
      </c>
      <c r="I13" s="40" t="s">
        <v>48</v>
      </c>
      <c r="J13" s="40" t="s">
        <v>48</v>
      </c>
      <c r="K13" s="40" t="s">
        <v>48</v>
      </c>
      <c r="L13" s="40" t="s">
        <v>48</v>
      </c>
      <c r="M13" s="40" t="s">
        <v>48</v>
      </c>
      <c r="N13" s="40" t="s">
        <v>48</v>
      </c>
      <c r="O13" s="40" t="s">
        <v>48</v>
      </c>
      <c r="P13" s="40" t="s">
        <v>48</v>
      </c>
      <c r="Q13" s="40" t="s">
        <v>48</v>
      </c>
      <c r="R13" s="40" t="s">
        <v>48</v>
      </c>
      <c r="S13" s="40" t="s">
        <v>48</v>
      </c>
      <c r="T13" s="40" t="s">
        <v>48</v>
      </c>
      <c r="U13" s="40" t="s">
        <v>48</v>
      </c>
    </row>
    <row r="14" spans="1:22" x14ac:dyDescent="0.35">
      <c r="A14" s="12">
        <v>7</v>
      </c>
      <c r="B14" s="33"/>
      <c r="C14" s="58" t="s">
        <v>180</v>
      </c>
      <c r="D14" s="56" t="s">
        <v>188</v>
      </c>
      <c r="E14" s="59" t="s">
        <v>156</v>
      </c>
      <c r="F14" s="60">
        <v>99.999999999999972</v>
      </c>
      <c r="G14" s="61" t="s">
        <v>48</v>
      </c>
      <c r="H14" s="57" t="s">
        <v>48</v>
      </c>
      <c r="I14" s="57" t="s">
        <v>48</v>
      </c>
      <c r="J14" s="57" t="s">
        <v>48</v>
      </c>
      <c r="K14" s="57" t="s">
        <v>48</v>
      </c>
      <c r="L14" s="57" t="s">
        <v>48</v>
      </c>
      <c r="M14" s="57" t="s">
        <v>48</v>
      </c>
      <c r="N14" s="57" t="s">
        <v>48</v>
      </c>
      <c r="O14" s="57" t="s">
        <v>48</v>
      </c>
      <c r="P14" s="57" t="s">
        <v>48</v>
      </c>
      <c r="Q14" s="57" t="s">
        <v>48</v>
      </c>
      <c r="R14" s="57" t="s">
        <v>48</v>
      </c>
      <c r="S14" s="57" t="s">
        <v>48</v>
      </c>
      <c r="T14" s="57" t="s">
        <v>48</v>
      </c>
      <c r="U14" s="57" t="s">
        <v>48</v>
      </c>
    </row>
    <row r="15" spans="1:22" x14ac:dyDescent="0.35">
      <c r="A15" s="12">
        <v>8</v>
      </c>
      <c r="B15" s="33"/>
      <c r="C15" s="38"/>
      <c r="D15" s="38" t="s">
        <v>189</v>
      </c>
      <c r="E15" s="4" t="s">
        <v>157</v>
      </c>
      <c r="F15" s="46">
        <v>100</v>
      </c>
      <c r="G15" s="42" t="s">
        <v>48</v>
      </c>
      <c r="H15" s="40" t="s">
        <v>48</v>
      </c>
      <c r="I15" s="40" t="s">
        <v>48</v>
      </c>
      <c r="J15" s="40" t="s">
        <v>48</v>
      </c>
      <c r="K15" s="4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      <c r="U15" s="40" t="s">
        <v>48</v>
      </c>
    </row>
    <row r="16" spans="1:22" x14ac:dyDescent="0.35">
      <c r="A16" s="12">
        <v>9</v>
      </c>
      <c r="B16" s="33"/>
      <c r="C16" s="38"/>
      <c r="D16" s="38" t="s">
        <v>190</v>
      </c>
      <c r="E16" s="4" t="s">
        <v>158</v>
      </c>
      <c r="F16" s="46">
        <v>100</v>
      </c>
      <c r="G16" s="42" t="s">
        <v>48</v>
      </c>
      <c r="H16" s="40" t="s">
        <v>48</v>
      </c>
      <c r="I16" s="40" t="s">
        <v>48</v>
      </c>
      <c r="J16" s="40" t="s">
        <v>48</v>
      </c>
      <c r="K16" s="4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0" t="s">
        <v>48</v>
      </c>
      <c r="Q16" s="40" t="s">
        <v>48</v>
      </c>
      <c r="R16" s="40" t="s">
        <v>48</v>
      </c>
      <c r="S16" s="40" t="s">
        <v>48</v>
      </c>
      <c r="T16" s="40" t="s">
        <v>48</v>
      </c>
      <c r="U16" s="40" t="s">
        <v>48</v>
      </c>
    </row>
    <row r="17" spans="1:21" x14ac:dyDescent="0.35">
      <c r="A17" s="12">
        <v>10</v>
      </c>
      <c r="B17" s="33"/>
      <c r="C17" s="38"/>
      <c r="D17" s="38" t="s">
        <v>191</v>
      </c>
      <c r="E17" s="4" t="s">
        <v>159</v>
      </c>
      <c r="F17" s="44">
        <v>100</v>
      </c>
      <c r="G17" s="42" t="s">
        <v>48</v>
      </c>
      <c r="H17" s="40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U17" s="40" t="s">
        <v>48</v>
      </c>
    </row>
    <row r="18" spans="1:21" x14ac:dyDescent="0.35">
      <c r="A18" s="12">
        <v>11</v>
      </c>
      <c r="B18" s="33"/>
      <c r="C18" s="38"/>
      <c r="D18" s="38" t="s">
        <v>192</v>
      </c>
      <c r="E18" s="4" t="s">
        <v>160</v>
      </c>
      <c r="F18" s="44">
        <v>100</v>
      </c>
      <c r="G18" s="42" t="s">
        <v>48</v>
      </c>
      <c r="H18" s="40" t="s">
        <v>48</v>
      </c>
      <c r="I18" s="40" t="s">
        <v>48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0" t="s">
        <v>48</v>
      </c>
      <c r="Q18" s="40" t="s">
        <v>48</v>
      </c>
      <c r="R18" s="40" t="s">
        <v>48</v>
      </c>
      <c r="S18" s="40" t="s">
        <v>48</v>
      </c>
      <c r="T18" s="40" t="s">
        <v>48</v>
      </c>
      <c r="U18" s="40" t="s">
        <v>48</v>
      </c>
    </row>
    <row r="19" spans="1:21" x14ac:dyDescent="0.35">
      <c r="A19" s="12">
        <v>12</v>
      </c>
      <c r="B19" s="33"/>
      <c r="C19" s="38"/>
      <c r="D19" s="38" t="s">
        <v>193</v>
      </c>
      <c r="E19" s="4" t="s">
        <v>161</v>
      </c>
      <c r="F19" s="44">
        <v>100.00000000000003</v>
      </c>
      <c r="G19" s="42" t="s">
        <v>48</v>
      </c>
      <c r="H19" s="40" t="s">
        <v>48</v>
      </c>
      <c r="I19" s="40" t="s">
        <v>48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0" t="s">
        <v>48</v>
      </c>
      <c r="P19" s="40" t="s">
        <v>48</v>
      </c>
      <c r="Q19" s="40" t="s">
        <v>48</v>
      </c>
      <c r="R19" s="40" t="s">
        <v>48</v>
      </c>
      <c r="S19" s="40" t="s">
        <v>48</v>
      </c>
      <c r="T19" s="40" t="s">
        <v>48</v>
      </c>
      <c r="U19" s="40" t="s">
        <v>48</v>
      </c>
    </row>
    <row r="20" spans="1:21" x14ac:dyDescent="0.35">
      <c r="A20" s="12">
        <v>13</v>
      </c>
      <c r="B20" s="33"/>
      <c r="C20" s="38"/>
      <c r="D20" s="38" t="s">
        <v>194</v>
      </c>
      <c r="E20" s="4" t="s">
        <v>162</v>
      </c>
      <c r="F20" s="44">
        <v>100</v>
      </c>
      <c r="G20" s="42" t="s">
        <v>48</v>
      </c>
      <c r="H20" s="40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U20" s="40" t="s">
        <v>48</v>
      </c>
    </row>
    <row r="21" spans="1:21" x14ac:dyDescent="0.35">
      <c r="A21" s="12">
        <v>14</v>
      </c>
      <c r="B21" s="33"/>
      <c r="C21" s="38"/>
      <c r="D21" s="38" t="s">
        <v>195</v>
      </c>
      <c r="E21" s="4" t="s">
        <v>163</v>
      </c>
      <c r="F21" s="44">
        <v>100</v>
      </c>
      <c r="G21" s="42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U21" s="40" t="s">
        <v>48</v>
      </c>
    </row>
    <row r="22" spans="1:21" x14ac:dyDescent="0.35">
      <c r="A22" s="12">
        <v>15</v>
      </c>
      <c r="B22" s="33"/>
      <c r="C22" s="58" t="s">
        <v>181</v>
      </c>
      <c r="D22" s="56" t="s">
        <v>199</v>
      </c>
      <c r="E22" s="59" t="s">
        <v>164</v>
      </c>
      <c r="F22" s="62">
        <v>26.014782177698269</v>
      </c>
      <c r="G22" s="61" t="s">
        <v>48</v>
      </c>
      <c r="H22" s="57" t="s">
        <v>48</v>
      </c>
      <c r="I22" s="57" t="s">
        <v>48</v>
      </c>
      <c r="J22" s="57" t="s">
        <v>48</v>
      </c>
      <c r="K22" s="57" t="s">
        <v>48</v>
      </c>
      <c r="L22" s="57" t="s">
        <v>48</v>
      </c>
      <c r="M22" s="57" t="s">
        <v>48</v>
      </c>
      <c r="N22" s="57" t="s">
        <v>48</v>
      </c>
      <c r="O22" s="57" t="s">
        <v>48</v>
      </c>
      <c r="P22" s="57" t="s">
        <v>48</v>
      </c>
      <c r="Q22" s="57" t="s">
        <v>48</v>
      </c>
      <c r="R22" s="57" t="s">
        <v>48</v>
      </c>
      <c r="S22" s="57" t="s">
        <v>48</v>
      </c>
      <c r="T22" s="57" t="s">
        <v>48</v>
      </c>
      <c r="U22" s="57" t="s">
        <v>48</v>
      </c>
    </row>
    <row r="23" spans="1:21" x14ac:dyDescent="0.35">
      <c r="A23" s="12"/>
      <c r="B23" s="33"/>
      <c r="C23" s="52"/>
      <c r="D23" s="38" t="s">
        <v>200</v>
      </c>
      <c r="E23" s="4" t="s">
        <v>198</v>
      </c>
      <c r="F23" s="44">
        <v>26.014782177698244</v>
      </c>
      <c r="G23" s="42" t="s">
        <v>48</v>
      </c>
      <c r="H23" s="40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U23" s="40" t="s">
        <v>48</v>
      </c>
    </row>
    <row r="24" spans="1:21" x14ac:dyDescent="0.35">
      <c r="A24" s="12">
        <v>16</v>
      </c>
      <c r="B24" s="33"/>
      <c r="C24" s="38"/>
      <c r="D24" s="63" t="s">
        <v>203</v>
      </c>
      <c r="E24" s="64" t="s">
        <v>165</v>
      </c>
      <c r="F24" s="65">
        <v>11.663570999016395</v>
      </c>
      <c r="G24" s="68" t="s">
        <v>48</v>
      </c>
      <c r="H24" s="69" t="s">
        <v>48</v>
      </c>
      <c r="I24" s="69" t="s">
        <v>48</v>
      </c>
      <c r="J24" s="69" t="s">
        <v>48</v>
      </c>
      <c r="K24" s="69" t="s">
        <v>48</v>
      </c>
      <c r="L24" s="69" t="s">
        <v>48</v>
      </c>
      <c r="M24" s="69" t="s">
        <v>48</v>
      </c>
      <c r="N24" s="69" t="s">
        <v>48</v>
      </c>
      <c r="O24" s="69" t="s">
        <v>48</v>
      </c>
      <c r="P24" s="69" t="s">
        <v>48</v>
      </c>
      <c r="Q24" s="69" t="s">
        <v>48</v>
      </c>
      <c r="R24" s="69" t="s">
        <v>48</v>
      </c>
      <c r="S24" s="69" t="s">
        <v>48</v>
      </c>
      <c r="T24" s="69" t="s">
        <v>48</v>
      </c>
      <c r="U24" s="69" t="s">
        <v>48</v>
      </c>
    </row>
    <row r="25" spans="1:21" x14ac:dyDescent="0.35">
      <c r="A25" s="12">
        <v>17</v>
      </c>
      <c r="B25" s="33"/>
      <c r="C25" s="38"/>
      <c r="D25" s="63" t="s">
        <v>204</v>
      </c>
      <c r="E25" s="64" t="s">
        <v>168</v>
      </c>
      <c r="F25" s="65">
        <v>2.664984188074881</v>
      </c>
      <c r="G25" s="68" t="s">
        <v>48</v>
      </c>
      <c r="H25" s="69" t="s">
        <v>48</v>
      </c>
      <c r="I25" s="69" t="s">
        <v>48</v>
      </c>
      <c r="J25" s="69" t="s">
        <v>48</v>
      </c>
      <c r="K25" s="69" t="s">
        <v>48</v>
      </c>
      <c r="L25" s="69" t="s">
        <v>48</v>
      </c>
      <c r="M25" s="69" t="s">
        <v>48</v>
      </c>
      <c r="N25" s="69" t="s">
        <v>48</v>
      </c>
      <c r="O25" s="69" t="s">
        <v>48</v>
      </c>
      <c r="P25" s="69" t="s">
        <v>48</v>
      </c>
      <c r="Q25" s="69" t="s">
        <v>48</v>
      </c>
      <c r="R25" s="69" t="s">
        <v>48</v>
      </c>
      <c r="S25" s="69" t="s">
        <v>48</v>
      </c>
      <c r="T25" s="69" t="s">
        <v>48</v>
      </c>
      <c r="U25" s="69" t="s">
        <v>48</v>
      </c>
    </row>
    <row r="26" spans="1:21" x14ac:dyDescent="0.35">
      <c r="A26" s="12">
        <v>18</v>
      </c>
      <c r="B26" s="33"/>
      <c r="C26" s="38"/>
      <c r="D26" s="63" t="s">
        <v>205</v>
      </c>
      <c r="E26" s="64" t="s">
        <v>166</v>
      </c>
      <c r="F26" s="65">
        <v>11.686226990606965</v>
      </c>
      <c r="G26" s="68" t="s">
        <v>48</v>
      </c>
      <c r="H26" s="69" t="s">
        <v>48</v>
      </c>
      <c r="I26" s="69" t="s">
        <v>48</v>
      </c>
      <c r="J26" s="69" t="s">
        <v>48</v>
      </c>
      <c r="K26" s="69" t="s">
        <v>48</v>
      </c>
      <c r="L26" s="69" t="s">
        <v>48</v>
      </c>
      <c r="M26" s="69" t="s">
        <v>48</v>
      </c>
      <c r="N26" s="69" t="s">
        <v>48</v>
      </c>
      <c r="O26" s="69" t="s">
        <v>48</v>
      </c>
      <c r="P26" s="69" t="s">
        <v>48</v>
      </c>
      <c r="Q26" s="69" t="s">
        <v>48</v>
      </c>
      <c r="R26" s="69" t="s">
        <v>48</v>
      </c>
      <c r="S26" s="69" t="s">
        <v>48</v>
      </c>
      <c r="T26" s="69" t="s">
        <v>48</v>
      </c>
      <c r="U26" s="69" t="s">
        <v>48</v>
      </c>
    </row>
    <row r="27" spans="1:21" x14ac:dyDescent="0.35">
      <c r="A27" s="12">
        <v>19</v>
      </c>
      <c r="B27" s="33"/>
      <c r="C27" s="38"/>
      <c r="D27" s="63" t="s">
        <v>206</v>
      </c>
      <c r="E27" s="64" t="s">
        <v>167</v>
      </c>
      <c r="F27" s="65">
        <v>24.816881624449252</v>
      </c>
      <c r="G27" s="68" t="s">
        <v>48</v>
      </c>
      <c r="H27" s="69" t="s">
        <v>48</v>
      </c>
      <c r="I27" s="69" t="s">
        <v>48</v>
      </c>
      <c r="J27" s="69" t="s">
        <v>48</v>
      </c>
      <c r="K27" s="69" t="s">
        <v>48</v>
      </c>
      <c r="L27" s="69" t="s">
        <v>48</v>
      </c>
      <c r="M27" s="69" t="s">
        <v>48</v>
      </c>
      <c r="N27" s="69" t="s">
        <v>48</v>
      </c>
      <c r="O27" s="69" t="s">
        <v>48</v>
      </c>
      <c r="P27" s="69" t="s">
        <v>48</v>
      </c>
      <c r="Q27" s="69" t="s">
        <v>48</v>
      </c>
      <c r="R27" s="69" t="s">
        <v>48</v>
      </c>
      <c r="S27" s="69" t="s">
        <v>48</v>
      </c>
      <c r="T27" s="69" t="s">
        <v>48</v>
      </c>
      <c r="U27" s="69" t="s">
        <v>48</v>
      </c>
    </row>
    <row r="28" spans="1:21" x14ac:dyDescent="0.35">
      <c r="A28" s="12">
        <v>20</v>
      </c>
      <c r="B28" s="33"/>
      <c r="C28" s="38"/>
      <c r="D28" s="38" t="s">
        <v>201</v>
      </c>
      <c r="E28" s="4" t="s">
        <v>169</v>
      </c>
      <c r="F28" s="44">
        <v>14.724558809728297</v>
      </c>
      <c r="G28" s="42" t="s">
        <v>48</v>
      </c>
      <c r="H28" s="40" t="s">
        <v>48</v>
      </c>
      <c r="I28" s="40" t="s">
        <v>48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0" t="s">
        <v>48</v>
      </c>
      <c r="Q28" s="40" t="s">
        <v>48</v>
      </c>
      <c r="R28" s="40" t="s">
        <v>48</v>
      </c>
      <c r="S28" s="40" t="s">
        <v>48</v>
      </c>
      <c r="T28" s="40" t="s">
        <v>48</v>
      </c>
      <c r="U28" s="40" t="s">
        <v>48</v>
      </c>
    </row>
    <row r="29" spans="1:21" x14ac:dyDescent="0.35">
      <c r="A29" s="12">
        <v>21</v>
      </c>
      <c r="B29" s="33"/>
      <c r="C29" s="38"/>
      <c r="D29" s="38" t="s">
        <v>202</v>
      </c>
      <c r="E29" s="4" t="s">
        <v>170</v>
      </c>
      <c r="F29" s="44">
        <v>8.4891422927230469</v>
      </c>
      <c r="G29" s="42" t="s">
        <v>48</v>
      </c>
      <c r="H29" s="40" t="s">
        <v>48</v>
      </c>
      <c r="I29" s="40" t="s">
        <v>48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U29" s="40" t="s">
        <v>48</v>
      </c>
    </row>
    <row r="30" spans="1:21" x14ac:dyDescent="0.35">
      <c r="A30" s="12">
        <v>22</v>
      </c>
      <c r="B30" s="33"/>
      <c r="C30" s="38"/>
      <c r="D30" s="63" t="s">
        <v>207</v>
      </c>
      <c r="E30" s="64" t="s">
        <v>171</v>
      </c>
      <c r="F30" s="65">
        <v>-1.1121507527665841</v>
      </c>
      <c r="G30" s="68" t="s">
        <v>48</v>
      </c>
      <c r="H30" s="69" t="s">
        <v>48</v>
      </c>
      <c r="I30" s="69" t="s">
        <v>48</v>
      </c>
      <c r="J30" s="69" t="s">
        <v>48</v>
      </c>
      <c r="K30" s="69" t="s">
        <v>48</v>
      </c>
      <c r="L30" s="69" t="s">
        <v>48</v>
      </c>
      <c r="M30" s="69" t="s">
        <v>48</v>
      </c>
      <c r="N30" s="69" t="s">
        <v>48</v>
      </c>
      <c r="O30" s="69" t="s">
        <v>48</v>
      </c>
      <c r="P30" s="69" t="s">
        <v>48</v>
      </c>
      <c r="Q30" s="69" t="s">
        <v>48</v>
      </c>
      <c r="R30" s="69" t="s">
        <v>48</v>
      </c>
      <c r="S30" s="69" t="s">
        <v>48</v>
      </c>
      <c r="T30" s="69" t="s">
        <v>48</v>
      </c>
      <c r="U30" s="69" t="s">
        <v>48</v>
      </c>
    </row>
    <row r="31" spans="1:21" x14ac:dyDescent="0.35">
      <c r="A31" s="12">
        <v>23</v>
      </c>
      <c r="B31" s="33"/>
      <c r="C31" s="38"/>
      <c r="D31" s="63" t="s">
        <v>208</v>
      </c>
      <c r="E31" s="64" t="s">
        <v>172</v>
      </c>
      <c r="F31" s="65" t="s">
        <v>48</v>
      </c>
      <c r="G31" s="68" t="s">
        <v>48</v>
      </c>
      <c r="H31" s="69" t="s">
        <v>48</v>
      </c>
      <c r="I31" s="69" t="s">
        <v>48</v>
      </c>
      <c r="J31" s="69" t="s">
        <v>48</v>
      </c>
      <c r="K31" s="69" t="s">
        <v>48</v>
      </c>
      <c r="L31" s="69" t="s">
        <v>48</v>
      </c>
      <c r="M31" s="69" t="s">
        <v>48</v>
      </c>
      <c r="N31" s="69" t="s">
        <v>48</v>
      </c>
      <c r="O31" s="69" t="s">
        <v>48</v>
      </c>
      <c r="P31" s="69" t="s">
        <v>48</v>
      </c>
      <c r="Q31" s="69" t="s">
        <v>48</v>
      </c>
      <c r="R31" s="69" t="s">
        <v>48</v>
      </c>
      <c r="S31" s="69" t="s">
        <v>48</v>
      </c>
      <c r="T31" s="69" t="s">
        <v>48</v>
      </c>
      <c r="U31" s="69" t="s">
        <v>48</v>
      </c>
    </row>
    <row r="32" spans="1:21" x14ac:dyDescent="0.35">
      <c r="A32" s="12">
        <v>24</v>
      </c>
      <c r="B32" s="33"/>
      <c r="C32" s="38"/>
      <c r="D32" s="63" t="s">
        <v>209</v>
      </c>
      <c r="E32" s="64" t="s">
        <v>173</v>
      </c>
      <c r="F32" s="65">
        <v>8.7569548862146096</v>
      </c>
      <c r="G32" s="68" t="s">
        <v>48</v>
      </c>
      <c r="H32" s="69" t="s">
        <v>48</v>
      </c>
      <c r="I32" s="69" t="s">
        <v>48</v>
      </c>
      <c r="J32" s="69" t="s">
        <v>48</v>
      </c>
      <c r="K32" s="69" t="s">
        <v>48</v>
      </c>
      <c r="L32" s="69" t="s">
        <v>48</v>
      </c>
      <c r="M32" s="69" t="s">
        <v>48</v>
      </c>
      <c r="N32" s="69" t="s">
        <v>48</v>
      </c>
      <c r="O32" s="69" t="s">
        <v>48</v>
      </c>
      <c r="P32" s="69" t="s">
        <v>48</v>
      </c>
      <c r="Q32" s="69" t="s">
        <v>48</v>
      </c>
      <c r="R32" s="69" t="s">
        <v>48</v>
      </c>
      <c r="S32" s="69" t="s">
        <v>48</v>
      </c>
      <c r="T32" s="69" t="s">
        <v>48</v>
      </c>
      <c r="U32" s="69" t="s">
        <v>48</v>
      </c>
    </row>
    <row r="33" spans="1:21" x14ac:dyDescent="0.35">
      <c r="A33" s="12">
        <v>25</v>
      </c>
      <c r="B33" s="33"/>
      <c r="C33" s="38"/>
      <c r="D33" s="63" t="s">
        <v>210</v>
      </c>
      <c r="E33" s="64" t="s">
        <v>174</v>
      </c>
      <c r="F33" s="65" t="s">
        <v>48</v>
      </c>
      <c r="G33" s="68" t="s">
        <v>48</v>
      </c>
      <c r="H33" s="69" t="s">
        <v>48</v>
      </c>
      <c r="I33" s="69" t="s">
        <v>48</v>
      </c>
      <c r="J33" s="69" t="s">
        <v>48</v>
      </c>
      <c r="K33" s="69" t="s">
        <v>48</v>
      </c>
      <c r="L33" s="69" t="s">
        <v>48</v>
      </c>
      <c r="M33" s="69" t="s">
        <v>48</v>
      </c>
      <c r="N33" s="69" t="s">
        <v>48</v>
      </c>
      <c r="O33" s="69" t="s">
        <v>48</v>
      </c>
      <c r="P33" s="69" t="s">
        <v>48</v>
      </c>
      <c r="Q33" s="69" t="s">
        <v>48</v>
      </c>
      <c r="R33" s="69" t="s">
        <v>48</v>
      </c>
      <c r="S33" s="69" t="s">
        <v>48</v>
      </c>
      <c r="T33" s="69" t="s">
        <v>48</v>
      </c>
      <c r="U33" s="69" t="s">
        <v>48</v>
      </c>
    </row>
    <row r="34" spans="1:21" x14ac:dyDescent="0.35">
      <c r="A34" s="12">
        <v>26</v>
      </c>
      <c r="B34" s="33"/>
      <c r="C34" s="38"/>
      <c r="D34" s="63" t="s">
        <v>211</v>
      </c>
      <c r="E34" s="64" t="s">
        <v>175</v>
      </c>
      <c r="F34" s="65">
        <v>0.84433815927502065</v>
      </c>
      <c r="G34" s="68" t="s">
        <v>48</v>
      </c>
      <c r="H34" s="69" t="s">
        <v>48</v>
      </c>
      <c r="I34" s="69" t="s">
        <v>48</v>
      </c>
      <c r="J34" s="69" t="s">
        <v>48</v>
      </c>
      <c r="K34" s="69" t="s">
        <v>48</v>
      </c>
      <c r="L34" s="69" t="s">
        <v>48</v>
      </c>
      <c r="M34" s="69" t="s">
        <v>48</v>
      </c>
      <c r="N34" s="69" t="s">
        <v>48</v>
      </c>
      <c r="O34" s="69" t="s">
        <v>48</v>
      </c>
      <c r="P34" s="69" t="s">
        <v>48</v>
      </c>
      <c r="Q34" s="69" t="s">
        <v>48</v>
      </c>
      <c r="R34" s="69" t="s">
        <v>48</v>
      </c>
      <c r="S34" s="69" t="s">
        <v>48</v>
      </c>
      <c r="T34" s="69" t="s">
        <v>48</v>
      </c>
      <c r="U34" s="69" t="s">
        <v>48</v>
      </c>
    </row>
    <row r="35" spans="1:21" x14ac:dyDescent="0.35">
      <c r="A35" s="12">
        <v>27</v>
      </c>
      <c r="B35" s="33"/>
      <c r="C35" s="38"/>
      <c r="D35" s="38" t="s">
        <v>462</v>
      </c>
      <c r="E35" s="4" t="s">
        <v>176</v>
      </c>
      <c r="F35" s="44">
        <v>6.23541651700525</v>
      </c>
      <c r="G35" s="42" t="s">
        <v>48</v>
      </c>
      <c r="H35" s="40" t="s">
        <v>48</v>
      </c>
      <c r="I35" s="40" t="s">
        <v>48</v>
      </c>
      <c r="J35" s="40" t="s">
        <v>48</v>
      </c>
      <c r="K35" s="40" t="s">
        <v>48</v>
      </c>
      <c r="L35" s="40" t="s">
        <v>48</v>
      </c>
      <c r="M35" s="40" t="s">
        <v>48</v>
      </c>
      <c r="N35" s="40" t="s">
        <v>48</v>
      </c>
      <c r="O35" s="40" t="s">
        <v>48</v>
      </c>
      <c r="P35" s="40" t="s">
        <v>48</v>
      </c>
      <c r="Q35" s="40" t="s">
        <v>48</v>
      </c>
      <c r="R35" s="40" t="s">
        <v>48</v>
      </c>
      <c r="S35" s="40" t="s">
        <v>48</v>
      </c>
      <c r="T35" s="40" t="s">
        <v>48</v>
      </c>
      <c r="U35" s="40" t="s">
        <v>48</v>
      </c>
    </row>
    <row r="36" spans="1:21" x14ac:dyDescent="0.35">
      <c r="A36" s="12">
        <v>28</v>
      </c>
      <c r="B36" s="33"/>
      <c r="C36" s="38"/>
      <c r="D36" s="63" t="s">
        <v>463</v>
      </c>
      <c r="E36" s="64" t="s">
        <v>177</v>
      </c>
      <c r="F36" s="65">
        <v>1.5299999008805534E-2</v>
      </c>
      <c r="G36" s="68" t="s">
        <v>48</v>
      </c>
      <c r="H36" s="69" t="s">
        <v>48</v>
      </c>
      <c r="I36" s="69" t="s">
        <v>48</v>
      </c>
      <c r="J36" s="69" t="s">
        <v>48</v>
      </c>
      <c r="K36" s="69" t="s">
        <v>48</v>
      </c>
      <c r="L36" s="69" t="s">
        <v>48</v>
      </c>
      <c r="M36" s="69" t="s">
        <v>48</v>
      </c>
      <c r="N36" s="69" t="s">
        <v>48</v>
      </c>
      <c r="O36" s="69" t="s">
        <v>48</v>
      </c>
      <c r="P36" s="69" t="s">
        <v>48</v>
      </c>
      <c r="Q36" s="69" t="s">
        <v>48</v>
      </c>
      <c r="R36" s="69" t="s">
        <v>48</v>
      </c>
      <c r="S36" s="69" t="s">
        <v>48</v>
      </c>
      <c r="T36" s="69" t="s">
        <v>48</v>
      </c>
      <c r="U36" s="69" t="s">
        <v>48</v>
      </c>
    </row>
    <row r="37" spans="1:21" x14ac:dyDescent="0.35">
      <c r="A37" s="12">
        <v>29</v>
      </c>
      <c r="B37" s="33"/>
      <c r="C37" s="38"/>
      <c r="D37" s="63" t="s">
        <v>464</v>
      </c>
      <c r="E37" s="64" t="s">
        <v>178</v>
      </c>
      <c r="F37" s="65">
        <v>6.2201165179964448</v>
      </c>
      <c r="G37" s="68" t="s">
        <v>48</v>
      </c>
      <c r="H37" s="69" t="s">
        <v>48</v>
      </c>
      <c r="I37" s="69" t="s">
        <v>48</v>
      </c>
      <c r="J37" s="69" t="s">
        <v>48</v>
      </c>
      <c r="K37" s="69" t="s">
        <v>48</v>
      </c>
      <c r="L37" s="69" t="s">
        <v>48</v>
      </c>
      <c r="M37" s="69" t="s">
        <v>48</v>
      </c>
      <c r="N37" s="69" t="s">
        <v>48</v>
      </c>
      <c r="O37" s="69" t="s">
        <v>48</v>
      </c>
      <c r="P37" s="69" t="s">
        <v>48</v>
      </c>
      <c r="Q37" s="69" t="s">
        <v>48</v>
      </c>
      <c r="R37" s="69" t="s">
        <v>48</v>
      </c>
      <c r="S37" s="69" t="s">
        <v>48</v>
      </c>
      <c r="T37" s="69" t="s">
        <v>48</v>
      </c>
      <c r="U37" s="69" t="s">
        <v>48</v>
      </c>
    </row>
    <row r="38" spans="1:21" x14ac:dyDescent="0.35">
      <c r="A38" s="12">
        <v>30</v>
      </c>
      <c r="B38" s="33"/>
      <c r="C38" s="38"/>
      <c r="D38" s="38"/>
      <c r="E38" s="4"/>
      <c r="F38" s="44"/>
      <c r="G38" s="42" t="s">
        <v>48</v>
      </c>
      <c r="H38" s="40" t="s">
        <v>48</v>
      </c>
      <c r="I38" s="40" t="s">
        <v>48</v>
      </c>
      <c r="J38" s="40" t="s">
        <v>48</v>
      </c>
      <c r="K38" s="40" t="s">
        <v>48</v>
      </c>
      <c r="L38" s="40" t="s">
        <v>48</v>
      </c>
      <c r="M38" s="40" t="s">
        <v>48</v>
      </c>
      <c r="N38" s="40" t="s">
        <v>48</v>
      </c>
      <c r="O38" s="40" t="s">
        <v>48</v>
      </c>
      <c r="P38" s="40" t="s">
        <v>48</v>
      </c>
      <c r="Q38" s="40" t="s">
        <v>48</v>
      </c>
      <c r="R38" s="40" t="s">
        <v>48</v>
      </c>
      <c r="S38" s="40" t="s">
        <v>48</v>
      </c>
      <c r="T38" s="40" t="s">
        <v>48</v>
      </c>
      <c r="U38" s="40" t="s">
        <v>48</v>
      </c>
    </row>
    <row r="39" spans="1:21" x14ac:dyDescent="0.35">
      <c r="A39" s="12">
        <v>31</v>
      </c>
      <c r="B39" s="56"/>
      <c r="C39" s="56"/>
      <c r="D39" s="56"/>
      <c r="E39" s="56"/>
      <c r="F39" s="56"/>
      <c r="G39" s="56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</row>
  </sheetData>
  <sheetProtection sheet="1" objects="1" scenarios="1"/>
  <conditionalFormatting sqref="F8:U39">
    <cfRule type="cellIs" dxfId="19" priority="1" operator="equal">
      <formula>"Eps"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67E9-160C-4E69-B04C-802CB98ACFFD}">
  <sheetPr>
    <tabColor theme="8" tint="-0.499984740745262"/>
  </sheetPr>
  <dimension ref="A1:AS33"/>
  <sheetViews>
    <sheetView zoomScale="85" zoomScaleNormal="85" workbookViewId="0">
      <selection activeCell="G22" sqref="G22"/>
    </sheetView>
  </sheetViews>
  <sheetFormatPr defaultColWidth="0" defaultRowHeight="14.5" zeroHeight="1" x14ac:dyDescent="0.35"/>
  <cols>
    <col min="1" max="2" width="2.453125" customWidth="1"/>
    <col min="3" max="3" width="9.54296875" customWidth="1"/>
    <col min="4" max="4" width="27" customWidth="1"/>
    <col min="5" max="6" width="9.08984375" hidden="1" customWidth="1"/>
    <col min="7" max="22" width="9.08984375" customWidth="1"/>
    <col min="23" max="24" width="2.453125" customWidth="1"/>
    <col min="25" max="25" width="9.54296875" customWidth="1"/>
    <col min="26" max="26" width="27" customWidth="1"/>
    <col min="27" max="28" width="9.08984375" hidden="1" customWidth="1"/>
    <col min="29" max="44" width="9.08984375" customWidth="1"/>
    <col min="45" max="45" width="2.453125" customWidth="1"/>
    <col min="46" max="16384" width="9.08984375" hidden="1"/>
  </cols>
  <sheetData>
    <row r="1" spans="1:44" ht="18.5" x14ac:dyDescent="0.45">
      <c r="A1" s="9" t="s">
        <v>113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7" t="s">
        <v>70</v>
      </c>
      <c r="O1" s="8" t="str">
        <f>C5</f>
        <v>GDP by expenditure component</v>
      </c>
    </row>
    <row r="2" spans="1:44" x14ac:dyDescent="0.35">
      <c r="N2" s="8"/>
      <c r="O2" s="8" t="str">
        <f>Y5</f>
        <v>Share of total GDP at market prices</v>
      </c>
    </row>
    <row r="3" spans="1:44" x14ac:dyDescent="0.35">
      <c r="N3" s="8"/>
      <c r="O3" s="8"/>
    </row>
    <row r="4" spans="1:44" x14ac:dyDescent="0.35"/>
    <row r="5" spans="1:44" ht="15.5" x14ac:dyDescent="0.35">
      <c r="B5" s="13"/>
      <c r="C5" s="11" t="s">
        <v>145</v>
      </c>
      <c r="D5" s="11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X5" s="13"/>
      <c r="Y5" s="11" t="s">
        <v>144</v>
      </c>
      <c r="Z5" s="11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x14ac:dyDescent="0.35">
      <c r="B6" s="29"/>
      <c r="C6" s="35" t="s">
        <v>146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X6" s="29"/>
      <c r="Y6" s="35" t="s">
        <v>147</v>
      </c>
      <c r="Z6" s="35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</row>
    <row r="7" spans="1:44" x14ac:dyDescent="0.35">
      <c r="B7" s="29"/>
      <c r="C7" s="51"/>
      <c r="D7" s="51"/>
      <c r="E7" s="34"/>
      <c r="F7" s="34"/>
      <c r="G7" s="43" t="s">
        <v>42</v>
      </c>
      <c r="H7" s="41" t="s">
        <v>588</v>
      </c>
      <c r="I7" s="39" t="s">
        <v>589</v>
      </c>
      <c r="J7" s="39" t="s">
        <v>590</v>
      </c>
      <c r="K7" s="39" t="s">
        <v>465</v>
      </c>
      <c r="L7" s="39" t="s">
        <v>455</v>
      </c>
      <c r="M7" s="39" t="s">
        <v>456</v>
      </c>
      <c r="N7" s="39" t="s">
        <v>457</v>
      </c>
      <c r="O7" s="39" t="s">
        <v>458</v>
      </c>
      <c r="P7" s="39" t="s">
        <v>459</v>
      </c>
      <c r="Q7" s="39" t="s">
        <v>460</v>
      </c>
      <c r="R7" s="39" t="s">
        <v>43</v>
      </c>
      <c r="S7" s="39" t="s">
        <v>44</v>
      </c>
      <c r="T7" s="39" t="s">
        <v>45</v>
      </c>
      <c r="U7" s="39" t="s">
        <v>46</v>
      </c>
      <c r="V7" s="39" t="s">
        <v>47</v>
      </c>
      <c r="X7" s="29"/>
      <c r="Y7" s="51"/>
      <c r="Z7" s="51"/>
      <c r="AA7" s="34"/>
      <c r="AB7" s="34"/>
      <c r="AC7" s="43" t="s">
        <v>42</v>
      </c>
      <c r="AD7" s="41" t="s">
        <v>588</v>
      </c>
      <c r="AE7" s="39" t="s">
        <v>589</v>
      </c>
      <c r="AF7" s="39" t="s">
        <v>590</v>
      </c>
      <c r="AG7" s="39" t="s">
        <v>465</v>
      </c>
      <c r="AH7" s="39" t="s">
        <v>455</v>
      </c>
      <c r="AI7" s="39" t="s">
        <v>456</v>
      </c>
      <c r="AJ7" s="39" t="s">
        <v>457</v>
      </c>
      <c r="AK7" s="39" t="s">
        <v>458</v>
      </c>
      <c r="AL7" s="39" t="s">
        <v>459</v>
      </c>
      <c r="AM7" s="39" t="s">
        <v>460</v>
      </c>
      <c r="AN7" s="39" t="s">
        <v>43</v>
      </c>
      <c r="AO7" s="39" t="s">
        <v>44</v>
      </c>
      <c r="AP7" s="39" t="s">
        <v>45</v>
      </c>
      <c r="AQ7" s="39" t="s">
        <v>46</v>
      </c>
      <c r="AR7" s="39" t="s">
        <v>47</v>
      </c>
    </row>
    <row r="8" spans="1:44" x14ac:dyDescent="0.35">
      <c r="A8" s="12">
        <v>1</v>
      </c>
      <c r="B8" s="33"/>
      <c r="C8" s="52" t="s">
        <v>130</v>
      </c>
      <c r="D8" s="38" t="s">
        <v>132</v>
      </c>
      <c r="E8" s="4" t="s">
        <v>114</v>
      </c>
      <c r="F8" s="4" t="s">
        <v>115</v>
      </c>
      <c r="G8" s="44">
        <v>91.510857707276983</v>
      </c>
      <c r="H8" s="42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U8" s="40" t="s">
        <v>48</v>
      </c>
      <c r="V8" s="40" t="s">
        <v>48</v>
      </c>
      <c r="X8" s="33"/>
      <c r="Y8" s="52" t="s">
        <v>130</v>
      </c>
      <c r="Z8" s="38" t="s">
        <v>132</v>
      </c>
      <c r="AA8" s="4" t="s">
        <v>114</v>
      </c>
      <c r="AB8" s="4" t="s">
        <v>115</v>
      </c>
      <c r="AC8" s="44">
        <v>91.510857707276983</v>
      </c>
      <c r="AD8" s="42" t="s">
        <v>48</v>
      </c>
      <c r="AE8" s="40" t="s">
        <v>48</v>
      </c>
      <c r="AF8" s="40" t="s">
        <v>48</v>
      </c>
      <c r="AG8" s="40" t="s">
        <v>48</v>
      </c>
      <c r="AH8" s="40" t="s">
        <v>48</v>
      </c>
      <c r="AI8" s="40" t="s">
        <v>48</v>
      </c>
      <c r="AJ8" s="40" t="s">
        <v>48</v>
      </c>
      <c r="AK8" s="40" t="s">
        <v>48</v>
      </c>
      <c r="AL8" s="40" t="s">
        <v>48</v>
      </c>
      <c r="AM8" s="40" t="s">
        <v>48</v>
      </c>
      <c r="AN8" s="40" t="s">
        <v>48</v>
      </c>
      <c r="AO8" s="40" t="s">
        <v>48</v>
      </c>
      <c r="AP8" s="40" t="s">
        <v>48</v>
      </c>
      <c r="AQ8" s="40" t="s">
        <v>48</v>
      </c>
      <c r="AR8" s="40" t="s">
        <v>48</v>
      </c>
    </row>
    <row r="9" spans="1:44" x14ac:dyDescent="0.35">
      <c r="A9" s="12">
        <v>2</v>
      </c>
      <c r="B9" s="33"/>
      <c r="C9" s="52"/>
      <c r="D9" s="38" t="s">
        <v>133</v>
      </c>
      <c r="E9" s="4" t="s">
        <v>114</v>
      </c>
      <c r="F9" s="4" t="s">
        <v>116</v>
      </c>
      <c r="G9" s="44">
        <v>8.4891422927230167</v>
      </c>
      <c r="H9" s="47" t="s">
        <v>48</v>
      </c>
      <c r="I9" s="48" t="s">
        <v>48</v>
      </c>
      <c r="J9" s="48" t="s">
        <v>48</v>
      </c>
      <c r="K9" s="48" t="s">
        <v>48</v>
      </c>
      <c r="L9" s="48" t="s">
        <v>48</v>
      </c>
      <c r="M9" s="48" t="s">
        <v>48</v>
      </c>
      <c r="N9" s="48" t="s">
        <v>48</v>
      </c>
      <c r="O9" s="48" t="s">
        <v>48</v>
      </c>
      <c r="P9" s="48" t="s">
        <v>48</v>
      </c>
      <c r="Q9" s="48" t="s">
        <v>48</v>
      </c>
      <c r="R9" s="48" t="s">
        <v>48</v>
      </c>
      <c r="S9" s="48" t="s">
        <v>48</v>
      </c>
      <c r="T9" s="48" t="s">
        <v>48</v>
      </c>
      <c r="U9" s="48" t="s">
        <v>48</v>
      </c>
      <c r="V9" s="48" t="s">
        <v>48</v>
      </c>
      <c r="W9" s="49"/>
      <c r="X9" s="33"/>
      <c r="Y9" s="52"/>
      <c r="Z9" s="38" t="s">
        <v>133</v>
      </c>
      <c r="AA9" s="4" t="s">
        <v>114</v>
      </c>
      <c r="AB9" s="4" t="s">
        <v>116</v>
      </c>
      <c r="AC9" s="44">
        <v>8.4891422927230167</v>
      </c>
      <c r="AD9" s="47" t="s">
        <v>48</v>
      </c>
      <c r="AE9" s="48" t="s">
        <v>48</v>
      </c>
      <c r="AF9" s="48" t="s">
        <v>48</v>
      </c>
      <c r="AG9" s="48" t="s">
        <v>48</v>
      </c>
      <c r="AH9" s="48" t="s">
        <v>48</v>
      </c>
      <c r="AI9" s="48" t="s">
        <v>48</v>
      </c>
      <c r="AJ9" s="48" t="s">
        <v>48</v>
      </c>
      <c r="AK9" s="48" t="s">
        <v>48</v>
      </c>
      <c r="AL9" s="48" t="s">
        <v>48</v>
      </c>
      <c r="AM9" s="48" t="s">
        <v>48</v>
      </c>
      <c r="AN9" s="48" t="s">
        <v>48</v>
      </c>
      <c r="AO9" s="48" t="s">
        <v>48</v>
      </c>
      <c r="AP9" s="48" t="s">
        <v>48</v>
      </c>
      <c r="AQ9" s="48" t="s">
        <v>48</v>
      </c>
      <c r="AR9" s="48" t="s">
        <v>48</v>
      </c>
    </row>
    <row r="10" spans="1:44" x14ac:dyDescent="0.35">
      <c r="A10" s="12">
        <v>3</v>
      </c>
      <c r="B10" s="33"/>
      <c r="C10" s="52"/>
      <c r="D10" s="38" t="s">
        <v>134</v>
      </c>
      <c r="E10" s="4" t="s">
        <v>114</v>
      </c>
      <c r="F10" s="4" t="s">
        <v>117</v>
      </c>
      <c r="G10" s="46">
        <v>100</v>
      </c>
      <c r="H10" s="42" t="s">
        <v>48</v>
      </c>
      <c r="I10" s="40" t="s">
        <v>48</v>
      </c>
      <c r="J10" s="40" t="s">
        <v>48</v>
      </c>
      <c r="K10" s="40" t="s">
        <v>48</v>
      </c>
      <c r="L10" s="40" t="s">
        <v>48</v>
      </c>
      <c r="M10" s="40" t="s">
        <v>48</v>
      </c>
      <c r="N10" s="40" t="s">
        <v>48</v>
      </c>
      <c r="O10" s="40" t="s">
        <v>48</v>
      </c>
      <c r="P10" s="40" t="s">
        <v>48</v>
      </c>
      <c r="Q10" s="40" t="s">
        <v>48</v>
      </c>
      <c r="R10" s="40" t="s">
        <v>48</v>
      </c>
      <c r="S10" s="40" t="s">
        <v>48</v>
      </c>
      <c r="T10" s="40" t="s">
        <v>48</v>
      </c>
      <c r="U10" s="40" t="s">
        <v>48</v>
      </c>
      <c r="V10" s="40" t="s">
        <v>48</v>
      </c>
      <c r="X10" s="33"/>
      <c r="Y10" s="52"/>
      <c r="Z10" s="38" t="s">
        <v>134</v>
      </c>
      <c r="AA10" s="4" t="s">
        <v>114</v>
      </c>
      <c r="AB10" s="4" t="s">
        <v>117</v>
      </c>
      <c r="AC10" s="46">
        <v>100</v>
      </c>
      <c r="AD10" s="42" t="s">
        <v>48</v>
      </c>
      <c r="AE10" s="40" t="s">
        <v>48</v>
      </c>
      <c r="AF10" s="40" t="s">
        <v>48</v>
      </c>
      <c r="AG10" s="40" t="s">
        <v>48</v>
      </c>
      <c r="AH10" s="40" t="s">
        <v>48</v>
      </c>
      <c r="AI10" s="40" t="s">
        <v>48</v>
      </c>
      <c r="AJ10" s="40" t="s">
        <v>48</v>
      </c>
      <c r="AK10" s="40" t="s">
        <v>48</v>
      </c>
      <c r="AL10" s="40" t="s">
        <v>48</v>
      </c>
      <c r="AM10" s="40" t="s">
        <v>48</v>
      </c>
      <c r="AN10" s="40" t="s">
        <v>48</v>
      </c>
      <c r="AO10" s="40" t="s">
        <v>48</v>
      </c>
      <c r="AP10" s="40" t="s">
        <v>48</v>
      </c>
      <c r="AQ10" s="40" t="s">
        <v>48</v>
      </c>
      <c r="AR10" s="40" t="s">
        <v>48</v>
      </c>
    </row>
    <row r="11" spans="1:44" x14ac:dyDescent="0.35">
      <c r="A11" s="12">
        <v>4</v>
      </c>
      <c r="B11" s="33"/>
      <c r="C11" s="52"/>
      <c r="D11" s="38" t="s">
        <v>135</v>
      </c>
      <c r="E11" s="4" t="s">
        <v>114</v>
      </c>
      <c r="F11" s="4" t="s">
        <v>118</v>
      </c>
      <c r="G11" s="46">
        <v>114.94161988626983</v>
      </c>
      <c r="H11" s="42" t="s">
        <v>48</v>
      </c>
      <c r="I11" s="40" t="s">
        <v>48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48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U11" s="40" t="s">
        <v>48</v>
      </c>
      <c r="V11" s="40" t="s">
        <v>48</v>
      </c>
      <c r="X11" s="33"/>
      <c r="Y11" s="52"/>
      <c r="Z11" s="38" t="s">
        <v>135</v>
      </c>
      <c r="AA11" s="4" t="s">
        <v>114</v>
      </c>
      <c r="AB11" s="4" t="s">
        <v>118</v>
      </c>
      <c r="AC11" s="46">
        <v>114.94161988626983</v>
      </c>
      <c r="AD11" s="42" t="s">
        <v>48</v>
      </c>
      <c r="AE11" s="40" t="s">
        <v>48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40" t="s">
        <v>48</v>
      </c>
      <c r="AK11" s="40" t="s">
        <v>48</v>
      </c>
      <c r="AL11" s="40" t="s">
        <v>48</v>
      </c>
      <c r="AM11" s="40" t="s">
        <v>48</v>
      </c>
      <c r="AN11" s="40" t="s">
        <v>48</v>
      </c>
      <c r="AO11" s="40" t="s">
        <v>48</v>
      </c>
      <c r="AP11" s="40" t="s">
        <v>48</v>
      </c>
      <c r="AQ11" s="40" t="s">
        <v>48</v>
      </c>
      <c r="AR11" s="40" t="s">
        <v>48</v>
      </c>
    </row>
    <row r="12" spans="1:44" x14ac:dyDescent="0.35">
      <c r="A12" s="12">
        <v>5</v>
      </c>
      <c r="B12" s="33"/>
      <c r="C12" s="52"/>
      <c r="D12" s="63" t="s">
        <v>136</v>
      </c>
      <c r="E12" s="64" t="s">
        <v>114</v>
      </c>
      <c r="F12" s="64" t="s">
        <v>119</v>
      </c>
      <c r="G12" s="99">
        <v>73.935036685555062</v>
      </c>
      <c r="H12" s="68" t="s">
        <v>48</v>
      </c>
      <c r="I12" s="69" t="s">
        <v>48</v>
      </c>
      <c r="J12" s="69" t="s">
        <v>48</v>
      </c>
      <c r="K12" s="69" t="s">
        <v>48</v>
      </c>
      <c r="L12" s="69" t="s">
        <v>48</v>
      </c>
      <c r="M12" s="69" t="s">
        <v>48</v>
      </c>
      <c r="N12" s="69" t="s">
        <v>48</v>
      </c>
      <c r="O12" s="69" t="s">
        <v>48</v>
      </c>
      <c r="P12" s="69" t="s">
        <v>48</v>
      </c>
      <c r="Q12" s="69" t="s">
        <v>48</v>
      </c>
      <c r="R12" s="69" t="s">
        <v>48</v>
      </c>
      <c r="S12" s="69" t="s">
        <v>48</v>
      </c>
      <c r="T12" s="69" t="s">
        <v>48</v>
      </c>
      <c r="U12" s="69" t="s">
        <v>48</v>
      </c>
      <c r="V12" s="69" t="s">
        <v>48</v>
      </c>
      <c r="X12" s="33"/>
      <c r="Y12" s="52"/>
      <c r="Z12" s="63" t="s">
        <v>136</v>
      </c>
      <c r="AA12" s="64" t="s">
        <v>114</v>
      </c>
      <c r="AB12" s="64" t="s">
        <v>119</v>
      </c>
      <c r="AC12" s="99">
        <v>73.935036685555062</v>
      </c>
      <c r="AD12" s="68" t="s">
        <v>48</v>
      </c>
      <c r="AE12" s="69" t="s">
        <v>48</v>
      </c>
      <c r="AF12" s="69" t="s">
        <v>48</v>
      </c>
      <c r="AG12" s="69" t="s">
        <v>48</v>
      </c>
      <c r="AH12" s="69" t="s">
        <v>48</v>
      </c>
      <c r="AI12" s="69" t="s">
        <v>48</v>
      </c>
      <c r="AJ12" s="69" t="s">
        <v>48</v>
      </c>
      <c r="AK12" s="69" t="s">
        <v>48</v>
      </c>
      <c r="AL12" s="69" t="s">
        <v>48</v>
      </c>
      <c r="AM12" s="69" t="s">
        <v>48</v>
      </c>
      <c r="AN12" s="69" t="s">
        <v>48</v>
      </c>
      <c r="AO12" s="69" t="s">
        <v>48</v>
      </c>
      <c r="AP12" s="69" t="s">
        <v>48</v>
      </c>
      <c r="AQ12" s="69" t="s">
        <v>48</v>
      </c>
      <c r="AR12" s="69" t="s">
        <v>48</v>
      </c>
    </row>
    <row r="13" spans="1:44" x14ac:dyDescent="0.35">
      <c r="A13" s="12">
        <v>6</v>
      </c>
      <c r="B13" s="33"/>
      <c r="C13" s="52"/>
      <c r="D13" s="63" t="s">
        <v>137</v>
      </c>
      <c r="E13" s="64" t="s">
        <v>114</v>
      </c>
      <c r="F13" s="64" t="s">
        <v>120</v>
      </c>
      <c r="G13" s="99">
        <v>14.991801023016482</v>
      </c>
      <c r="H13" s="68" t="s">
        <v>48</v>
      </c>
      <c r="I13" s="69" t="s">
        <v>48</v>
      </c>
      <c r="J13" s="69" t="s">
        <v>48</v>
      </c>
      <c r="K13" s="69" t="s">
        <v>48</v>
      </c>
      <c r="L13" s="69" t="s">
        <v>48</v>
      </c>
      <c r="M13" s="69" t="s">
        <v>48</v>
      </c>
      <c r="N13" s="69" t="s">
        <v>48</v>
      </c>
      <c r="O13" s="69" t="s">
        <v>48</v>
      </c>
      <c r="P13" s="69" t="s">
        <v>48</v>
      </c>
      <c r="Q13" s="69" t="s">
        <v>48</v>
      </c>
      <c r="R13" s="69" t="s">
        <v>48</v>
      </c>
      <c r="S13" s="69" t="s">
        <v>48</v>
      </c>
      <c r="T13" s="69" t="s">
        <v>48</v>
      </c>
      <c r="U13" s="69" t="s">
        <v>48</v>
      </c>
      <c r="V13" s="69" t="s">
        <v>48</v>
      </c>
      <c r="X13" s="33"/>
      <c r="Y13" s="52"/>
      <c r="Z13" s="63" t="s">
        <v>137</v>
      </c>
      <c r="AA13" s="64" t="s">
        <v>114</v>
      </c>
      <c r="AB13" s="64" t="s">
        <v>120</v>
      </c>
      <c r="AC13" s="99">
        <v>14.991801023016482</v>
      </c>
      <c r="AD13" s="68" t="s">
        <v>48</v>
      </c>
      <c r="AE13" s="69" t="s">
        <v>48</v>
      </c>
      <c r="AF13" s="69" t="s">
        <v>48</v>
      </c>
      <c r="AG13" s="69" t="s">
        <v>48</v>
      </c>
      <c r="AH13" s="69" t="s">
        <v>48</v>
      </c>
      <c r="AI13" s="69" t="s">
        <v>48</v>
      </c>
      <c r="AJ13" s="69" t="s">
        <v>48</v>
      </c>
      <c r="AK13" s="69" t="s">
        <v>48</v>
      </c>
      <c r="AL13" s="69" t="s">
        <v>48</v>
      </c>
      <c r="AM13" s="69" t="s">
        <v>48</v>
      </c>
      <c r="AN13" s="69" t="s">
        <v>48</v>
      </c>
      <c r="AO13" s="69" t="s">
        <v>48</v>
      </c>
      <c r="AP13" s="69" t="s">
        <v>48</v>
      </c>
      <c r="AQ13" s="69" t="s">
        <v>48</v>
      </c>
      <c r="AR13" s="69" t="s">
        <v>48</v>
      </c>
    </row>
    <row r="14" spans="1:44" x14ac:dyDescent="0.35">
      <c r="A14" s="12">
        <v>7</v>
      </c>
      <c r="B14" s="33"/>
      <c r="C14" s="52"/>
      <c r="D14" s="63" t="s">
        <v>138</v>
      </c>
      <c r="E14" s="64" t="s">
        <v>114</v>
      </c>
      <c r="F14" s="64" t="s">
        <v>121</v>
      </c>
      <c r="G14" s="99">
        <v>26.014782177698269</v>
      </c>
      <c r="H14" s="68" t="s">
        <v>48</v>
      </c>
      <c r="I14" s="69" t="s">
        <v>48</v>
      </c>
      <c r="J14" s="69" t="s">
        <v>48</v>
      </c>
      <c r="K14" s="69" t="s">
        <v>48</v>
      </c>
      <c r="L14" s="69" t="s">
        <v>48</v>
      </c>
      <c r="M14" s="69" t="s">
        <v>48</v>
      </c>
      <c r="N14" s="69" t="s">
        <v>48</v>
      </c>
      <c r="O14" s="69" t="s">
        <v>48</v>
      </c>
      <c r="P14" s="69" t="s">
        <v>48</v>
      </c>
      <c r="Q14" s="69" t="s">
        <v>48</v>
      </c>
      <c r="R14" s="69" t="s">
        <v>48</v>
      </c>
      <c r="S14" s="69" t="s">
        <v>48</v>
      </c>
      <c r="T14" s="69" t="s">
        <v>48</v>
      </c>
      <c r="U14" s="69" t="s">
        <v>48</v>
      </c>
      <c r="V14" s="69" t="s">
        <v>48</v>
      </c>
      <c r="X14" s="33"/>
      <c r="Y14" s="52"/>
      <c r="Z14" s="63" t="s">
        <v>138</v>
      </c>
      <c r="AA14" s="64" t="s">
        <v>114</v>
      </c>
      <c r="AB14" s="64" t="s">
        <v>121</v>
      </c>
      <c r="AC14" s="99">
        <v>26.014782177698269</v>
      </c>
      <c r="AD14" s="68" t="s">
        <v>48</v>
      </c>
      <c r="AE14" s="69" t="s">
        <v>48</v>
      </c>
      <c r="AF14" s="69" t="s">
        <v>48</v>
      </c>
      <c r="AG14" s="69" t="s">
        <v>48</v>
      </c>
      <c r="AH14" s="69" t="s">
        <v>48</v>
      </c>
      <c r="AI14" s="69" t="s">
        <v>48</v>
      </c>
      <c r="AJ14" s="69" t="s">
        <v>48</v>
      </c>
      <c r="AK14" s="69" t="s">
        <v>48</v>
      </c>
      <c r="AL14" s="69" t="s">
        <v>48</v>
      </c>
      <c r="AM14" s="69" t="s">
        <v>48</v>
      </c>
      <c r="AN14" s="69" t="s">
        <v>48</v>
      </c>
      <c r="AO14" s="69" t="s">
        <v>48</v>
      </c>
      <c r="AP14" s="69" t="s">
        <v>48</v>
      </c>
      <c r="AQ14" s="69" t="s">
        <v>48</v>
      </c>
      <c r="AR14" s="69" t="s">
        <v>48</v>
      </c>
    </row>
    <row r="15" spans="1:44" x14ac:dyDescent="0.35">
      <c r="A15" s="12">
        <v>8</v>
      </c>
      <c r="B15" s="33"/>
      <c r="C15" s="52"/>
      <c r="D15" s="3" t="s">
        <v>139</v>
      </c>
      <c r="E15" s="95" t="s">
        <v>114</v>
      </c>
      <c r="F15" s="95" t="s">
        <v>122</v>
      </c>
      <c r="G15" s="96">
        <v>22.712229420802903</v>
      </c>
      <c r="H15" s="97" t="s">
        <v>48</v>
      </c>
      <c r="I15" s="98" t="s">
        <v>48</v>
      </c>
      <c r="J15" s="98" t="s">
        <v>48</v>
      </c>
      <c r="K15" s="98" t="s">
        <v>48</v>
      </c>
      <c r="L15" s="98" t="s">
        <v>48</v>
      </c>
      <c r="M15" s="98" t="s">
        <v>48</v>
      </c>
      <c r="N15" s="98" t="s">
        <v>48</v>
      </c>
      <c r="O15" s="98" t="s">
        <v>48</v>
      </c>
      <c r="P15" s="98" t="s">
        <v>48</v>
      </c>
      <c r="Q15" s="98" t="s">
        <v>48</v>
      </c>
      <c r="R15" s="98" t="s">
        <v>48</v>
      </c>
      <c r="S15" s="98" t="s">
        <v>48</v>
      </c>
      <c r="T15" s="98" t="s">
        <v>48</v>
      </c>
      <c r="U15" s="98" t="s">
        <v>48</v>
      </c>
      <c r="V15" s="98" t="s">
        <v>48</v>
      </c>
      <c r="X15" s="33"/>
      <c r="Y15" s="52"/>
      <c r="Z15" s="3" t="s">
        <v>139</v>
      </c>
      <c r="AA15" s="95" t="s">
        <v>114</v>
      </c>
      <c r="AB15" s="95" t="s">
        <v>122</v>
      </c>
      <c r="AC15" s="96">
        <v>22.712229420802903</v>
      </c>
      <c r="AD15" s="97" t="s">
        <v>48</v>
      </c>
      <c r="AE15" s="98" t="s">
        <v>48</v>
      </c>
      <c r="AF15" s="98" t="s">
        <v>48</v>
      </c>
      <c r="AG15" s="98" t="s">
        <v>48</v>
      </c>
      <c r="AH15" s="98" t="s">
        <v>48</v>
      </c>
      <c r="AI15" s="98" t="s">
        <v>48</v>
      </c>
      <c r="AJ15" s="98" t="s">
        <v>48</v>
      </c>
      <c r="AK15" s="98" t="s">
        <v>48</v>
      </c>
      <c r="AL15" s="98" t="s">
        <v>48</v>
      </c>
      <c r="AM15" s="98" t="s">
        <v>48</v>
      </c>
      <c r="AN15" s="98" t="s">
        <v>48</v>
      </c>
      <c r="AO15" s="98" t="s">
        <v>48</v>
      </c>
      <c r="AP15" s="98" t="s">
        <v>48</v>
      </c>
      <c r="AQ15" s="98" t="s">
        <v>48</v>
      </c>
      <c r="AR15" s="98" t="s">
        <v>48</v>
      </c>
    </row>
    <row r="16" spans="1:44" x14ac:dyDescent="0.35">
      <c r="A16" s="12">
        <v>9</v>
      </c>
      <c r="B16" s="33"/>
      <c r="C16" s="52"/>
      <c r="D16" s="3" t="s">
        <v>140</v>
      </c>
      <c r="E16" s="95" t="s">
        <v>114</v>
      </c>
      <c r="F16" s="95" t="s">
        <v>123</v>
      </c>
      <c r="G16" s="96">
        <v>3.3025527568953681</v>
      </c>
      <c r="H16" s="97" t="s">
        <v>48</v>
      </c>
      <c r="I16" s="98" t="s">
        <v>48</v>
      </c>
      <c r="J16" s="98" t="s">
        <v>48</v>
      </c>
      <c r="K16" s="98" t="s">
        <v>48</v>
      </c>
      <c r="L16" s="98" t="s">
        <v>48</v>
      </c>
      <c r="M16" s="98" t="s">
        <v>48</v>
      </c>
      <c r="N16" s="98" t="s">
        <v>48</v>
      </c>
      <c r="O16" s="98" t="s">
        <v>48</v>
      </c>
      <c r="P16" s="98" t="s">
        <v>48</v>
      </c>
      <c r="Q16" s="98" t="s">
        <v>48</v>
      </c>
      <c r="R16" s="98" t="s">
        <v>48</v>
      </c>
      <c r="S16" s="98" t="s">
        <v>48</v>
      </c>
      <c r="T16" s="98" t="s">
        <v>48</v>
      </c>
      <c r="U16" s="98" t="s">
        <v>48</v>
      </c>
      <c r="V16" s="98" t="s">
        <v>48</v>
      </c>
      <c r="X16" s="33"/>
      <c r="Y16" s="52"/>
      <c r="Z16" s="3" t="s">
        <v>140</v>
      </c>
      <c r="AA16" s="95" t="s">
        <v>114</v>
      </c>
      <c r="AB16" s="95" t="s">
        <v>123</v>
      </c>
      <c r="AC16" s="96">
        <v>3.3025527568953681</v>
      </c>
      <c r="AD16" s="97" t="s">
        <v>48</v>
      </c>
      <c r="AE16" s="98" t="s">
        <v>48</v>
      </c>
      <c r="AF16" s="98" t="s">
        <v>48</v>
      </c>
      <c r="AG16" s="98" t="s">
        <v>48</v>
      </c>
      <c r="AH16" s="98" t="s">
        <v>48</v>
      </c>
      <c r="AI16" s="98" t="s">
        <v>48</v>
      </c>
      <c r="AJ16" s="98" t="s">
        <v>48</v>
      </c>
      <c r="AK16" s="98" t="s">
        <v>48</v>
      </c>
      <c r="AL16" s="98" t="s">
        <v>48</v>
      </c>
      <c r="AM16" s="98" t="s">
        <v>48</v>
      </c>
      <c r="AN16" s="98" t="s">
        <v>48</v>
      </c>
      <c r="AO16" s="98" t="s">
        <v>48</v>
      </c>
      <c r="AP16" s="98" t="s">
        <v>48</v>
      </c>
      <c r="AQ16" s="98" t="s">
        <v>48</v>
      </c>
      <c r="AR16" s="98" t="s">
        <v>48</v>
      </c>
    </row>
    <row r="17" spans="1:44" x14ac:dyDescent="0.35">
      <c r="A17" s="12">
        <v>10</v>
      </c>
      <c r="B17" s="33"/>
      <c r="C17" s="52"/>
      <c r="D17" s="38" t="s">
        <v>141</v>
      </c>
      <c r="E17" s="4" t="s">
        <v>114</v>
      </c>
      <c r="F17" s="4" t="s">
        <v>124</v>
      </c>
      <c r="G17" s="44">
        <v>-14.941619886269821</v>
      </c>
      <c r="H17" s="42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U17" s="40" t="s">
        <v>48</v>
      </c>
      <c r="V17" s="40" t="s">
        <v>48</v>
      </c>
      <c r="X17" s="33"/>
      <c r="Y17" s="52"/>
      <c r="Z17" s="38" t="s">
        <v>141</v>
      </c>
      <c r="AA17" s="4" t="s">
        <v>114</v>
      </c>
      <c r="AB17" s="4" t="s">
        <v>124</v>
      </c>
      <c r="AC17" s="44">
        <v>-14.941619886269821</v>
      </c>
      <c r="AD17" s="42" t="s">
        <v>48</v>
      </c>
      <c r="AE17" s="40" t="s">
        <v>48</v>
      </c>
      <c r="AF17" s="40" t="s">
        <v>48</v>
      </c>
      <c r="AG17" s="40" t="s">
        <v>48</v>
      </c>
      <c r="AH17" s="40" t="s">
        <v>48</v>
      </c>
      <c r="AI17" s="40" t="s">
        <v>48</v>
      </c>
      <c r="AJ17" s="40" t="s">
        <v>48</v>
      </c>
      <c r="AK17" s="40" t="s">
        <v>48</v>
      </c>
      <c r="AL17" s="40" t="s">
        <v>48</v>
      </c>
      <c r="AM17" s="40" t="s">
        <v>48</v>
      </c>
      <c r="AN17" s="40" t="s">
        <v>48</v>
      </c>
      <c r="AO17" s="40" t="s">
        <v>48</v>
      </c>
      <c r="AP17" s="40" t="s">
        <v>48</v>
      </c>
      <c r="AQ17" s="40" t="s">
        <v>48</v>
      </c>
      <c r="AR17" s="40" t="s">
        <v>48</v>
      </c>
    </row>
    <row r="18" spans="1:44" x14ac:dyDescent="0.35">
      <c r="A18" s="12">
        <v>11</v>
      </c>
      <c r="B18" s="33"/>
      <c r="C18" s="52"/>
      <c r="D18" s="63" t="s">
        <v>142</v>
      </c>
      <c r="E18" s="64" t="s">
        <v>114</v>
      </c>
      <c r="F18" s="64" t="s">
        <v>125</v>
      </c>
      <c r="G18" s="65">
        <v>13.283062452000779</v>
      </c>
      <c r="H18" s="68" t="s">
        <v>48</v>
      </c>
      <c r="I18" s="69" t="s">
        <v>48</v>
      </c>
      <c r="J18" s="69" t="s">
        <v>48</v>
      </c>
      <c r="K18" s="69" t="s">
        <v>48</v>
      </c>
      <c r="L18" s="69" t="s">
        <v>48</v>
      </c>
      <c r="M18" s="69" t="s">
        <v>48</v>
      </c>
      <c r="N18" s="69" t="s">
        <v>48</v>
      </c>
      <c r="O18" s="69" t="s">
        <v>48</v>
      </c>
      <c r="P18" s="69" t="s">
        <v>48</v>
      </c>
      <c r="Q18" s="69" t="s">
        <v>48</v>
      </c>
      <c r="R18" s="69" t="s">
        <v>48</v>
      </c>
      <c r="S18" s="69" t="s">
        <v>48</v>
      </c>
      <c r="T18" s="69" t="s">
        <v>48</v>
      </c>
      <c r="U18" s="69" t="s">
        <v>48</v>
      </c>
      <c r="V18" s="69" t="s">
        <v>48</v>
      </c>
      <c r="X18" s="33"/>
      <c r="Y18" s="52"/>
      <c r="Z18" s="63" t="s">
        <v>142</v>
      </c>
      <c r="AA18" s="64" t="s">
        <v>114</v>
      </c>
      <c r="AB18" s="64" t="s">
        <v>125</v>
      </c>
      <c r="AC18" s="65">
        <v>13.283062452000779</v>
      </c>
      <c r="AD18" s="68" t="s">
        <v>48</v>
      </c>
      <c r="AE18" s="69" t="s">
        <v>48</v>
      </c>
      <c r="AF18" s="69" t="s">
        <v>48</v>
      </c>
      <c r="AG18" s="69" t="s">
        <v>48</v>
      </c>
      <c r="AH18" s="69" t="s">
        <v>48</v>
      </c>
      <c r="AI18" s="69" t="s">
        <v>48</v>
      </c>
      <c r="AJ18" s="69" t="s">
        <v>48</v>
      </c>
      <c r="AK18" s="69" t="s">
        <v>48</v>
      </c>
      <c r="AL18" s="69" t="s">
        <v>48</v>
      </c>
      <c r="AM18" s="69" t="s">
        <v>48</v>
      </c>
      <c r="AN18" s="69" t="s">
        <v>48</v>
      </c>
      <c r="AO18" s="69" t="s">
        <v>48</v>
      </c>
      <c r="AP18" s="69" t="s">
        <v>48</v>
      </c>
      <c r="AQ18" s="69" t="s">
        <v>48</v>
      </c>
      <c r="AR18" s="69" t="s">
        <v>48</v>
      </c>
    </row>
    <row r="19" spans="1:44" x14ac:dyDescent="0.35">
      <c r="A19" s="12">
        <v>12</v>
      </c>
      <c r="B19" s="33"/>
      <c r="C19" s="53"/>
      <c r="D19" s="100" t="s">
        <v>143</v>
      </c>
      <c r="E19" s="101" t="s">
        <v>114</v>
      </c>
      <c r="F19" s="101" t="s">
        <v>126</v>
      </c>
      <c r="G19" s="102">
        <v>28.224682338270597</v>
      </c>
      <c r="H19" s="103" t="s">
        <v>48</v>
      </c>
      <c r="I19" s="104" t="s">
        <v>48</v>
      </c>
      <c r="J19" s="104" t="s">
        <v>48</v>
      </c>
      <c r="K19" s="104" t="s">
        <v>48</v>
      </c>
      <c r="L19" s="104" t="s">
        <v>48</v>
      </c>
      <c r="M19" s="104" t="s">
        <v>48</v>
      </c>
      <c r="N19" s="104" t="s">
        <v>48</v>
      </c>
      <c r="O19" s="104" t="s">
        <v>48</v>
      </c>
      <c r="P19" s="104" t="s">
        <v>48</v>
      </c>
      <c r="Q19" s="104" t="s">
        <v>48</v>
      </c>
      <c r="R19" s="104" t="s">
        <v>48</v>
      </c>
      <c r="S19" s="104" t="s">
        <v>48</v>
      </c>
      <c r="T19" s="104" t="s">
        <v>48</v>
      </c>
      <c r="U19" s="104" t="s">
        <v>48</v>
      </c>
      <c r="V19" s="104" t="s">
        <v>48</v>
      </c>
      <c r="X19" s="33"/>
      <c r="Y19" s="53"/>
      <c r="Z19" s="100" t="s">
        <v>143</v>
      </c>
      <c r="AA19" s="101" t="s">
        <v>114</v>
      </c>
      <c r="AB19" s="101" t="s">
        <v>126</v>
      </c>
      <c r="AC19" s="102">
        <v>28.224682338270597</v>
      </c>
      <c r="AD19" s="103" t="s">
        <v>48</v>
      </c>
      <c r="AE19" s="104" t="s">
        <v>48</v>
      </c>
      <c r="AF19" s="104" t="s">
        <v>48</v>
      </c>
      <c r="AG19" s="104" t="s">
        <v>48</v>
      </c>
      <c r="AH19" s="104" t="s">
        <v>48</v>
      </c>
      <c r="AI19" s="104" t="s">
        <v>48</v>
      </c>
      <c r="AJ19" s="104" t="s">
        <v>48</v>
      </c>
      <c r="AK19" s="104" t="s">
        <v>48</v>
      </c>
      <c r="AL19" s="104" t="s">
        <v>48</v>
      </c>
      <c r="AM19" s="104" t="s">
        <v>48</v>
      </c>
      <c r="AN19" s="104" t="s">
        <v>48</v>
      </c>
      <c r="AO19" s="104" t="s">
        <v>48</v>
      </c>
      <c r="AP19" s="104" t="s">
        <v>48</v>
      </c>
      <c r="AQ19" s="104" t="s">
        <v>48</v>
      </c>
      <c r="AR19" s="104" t="s">
        <v>48</v>
      </c>
    </row>
    <row r="20" spans="1:44" x14ac:dyDescent="0.35">
      <c r="A20" s="12">
        <v>13</v>
      </c>
      <c r="B20" s="33"/>
      <c r="C20" s="52" t="s">
        <v>131</v>
      </c>
      <c r="D20" s="38" t="s">
        <v>132</v>
      </c>
      <c r="E20" s="4" t="s">
        <v>127</v>
      </c>
      <c r="F20" s="4" t="s">
        <v>115</v>
      </c>
      <c r="G20" s="44">
        <v>91.510857707276983</v>
      </c>
      <c r="H20" s="42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U20" s="40" t="s">
        <v>48</v>
      </c>
      <c r="V20" s="40" t="s">
        <v>48</v>
      </c>
      <c r="X20" s="33"/>
      <c r="Y20" s="52" t="s">
        <v>131</v>
      </c>
      <c r="Z20" s="38" t="s">
        <v>132</v>
      </c>
      <c r="AA20" s="4" t="s">
        <v>127</v>
      </c>
      <c r="AB20" s="4" t="s">
        <v>115</v>
      </c>
      <c r="AC20" s="44">
        <v>91.510857707276983</v>
      </c>
      <c r="AD20" s="42" t="s">
        <v>48</v>
      </c>
      <c r="AE20" s="40" t="s">
        <v>48</v>
      </c>
      <c r="AF20" s="40" t="s">
        <v>48</v>
      </c>
      <c r="AG20" s="40" t="s">
        <v>48</v>
      </c>
      <c r="AH20" s="40" t="s">
        <v>48</v>
      </c>
      <c r="AI20" s="40" t="s">
        <v>48</v>
      </c>
      <c r="AJ20" s="40" t="s">
        <v>48</v>
      </c>
      <c r="AK20" s="40" t="s">
        <v>48</v>
      </c>
      <c r="AL20" s="40" t="s">
        <v>48</v>
      </c>
      <c r="AM20" s="40" t="s">
        <v>48</v>
      </c>
      <c r="AN20" s="40" t="s">
        <v>48</v>
      </c>
      <c r="AO20" s="40" t="s">
        <v>48</v>
      </c>
      <c r="AP20" s="40" t="s">
        <v>48</v>
      </c>
      <c r="AQ20" s="40" t="s">
        <v>48</v>
      </c>
      <c r="AR20" s="40" t="s">
        <v>48</v>
      </c>
    </row>
    <row r="21" spans="1:44" x14ac:dyDescent="0.35">
      <c r="A21" s="12">
        <v>14</v>
      </c>
      <c r="B21" s="33"/>
      <c r="C21" s="38"/>
      <c r="D21" s="38" t="s">
        <v>133</v>
      </c>
      <c r="E21" s="4" t="s">
        <v>127</v>
      </c>
      <c r="F21" s="4" t="s">
        <v>116</v>
      </c>
      <c r="G21" s="44">
        <v>8.4891422927230167</v>
      </c>
      <c r="H21" s="42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U21" s="40" t="s">
        <v>48</v>
      </c>
      <c r="V21" s="40" t="s">
        <v>48</v>
      </c>
      <c r="X21" s="33"/>
      <c r="Y21" s="38"/>
      <c r="Z21" s="38" t="s">
        <v>133</v>
      </c>
      <c r="AA21" s="4" t="s">
        <v>127</v>
      </c>
      <c r="AB21" s="4" t="s">
        <v>116</v>
      </c>
      <c r="AC21" s="44">
        <v>8.4891422927230167</v>
      </c>
      <c r="AD21" s="42" t="s">
        <v>48</v>
      </c>
      <c r="AE21" s="40" t="s">
        <v>48</v>
      </c>
      <c r="AF21" s="40" t="s">
        <v>48</v>
      </c>
      <c r="AG21" s="40" t="s">
        <v>48</v>
      </c>
      <c r="AH21" s="40" t="s">
        <v>48</v>
      </c>
      <c r="AI21" s="40" t="s">
        <v>48</v>
      </c>
      <c r="AJ21" s="40" t="s">
        <v>48</v>
      </c>
      <c r="AK21" s="40" t="s">
        <v>48</v>
      </c>
      <c r="AL21" s="40" t="s">
        <v>48</v>
      </c>
      <c r="AM21" s="40" t="s">
        <v>48</v>
      </c>
      <c r="AN21" s="40" t="s">
        <v>48</v>
      </c>
      <c r="AO21" s="40" t="s">
        <v>48</v>
      </c>
      <c r="AP21" s="40" t="s">
        <v>48</v>
      </c>
      <c r="AQ21" s="40" t="s">
        <v>48</v>
      </c>
      <c r="AR21" s="40" t="s">
        <v>48</v>
      </c>
    </row>
    <row r="22" spans="1:44" x14ac:dyDescent="0.35">
      <c r="A22" s="12">
        <v>15</v>
      </c>
      <c r="B22" s="33"/>
      <c r="C22" s="38"/>
      <c r="D22" s="38" t="s">
        <v>134</v>
      </c>
      <c r="E22" s="4" t="s">
        <v>127</v>
      </c>
      <c r="F22" s="4" t="s">
        <v>117</v>
      </c>
      <c r="G22" s="44">
        <v>100</v>
      </c>
      <c r="H22" s="42" t="s">
        <v>48</v>
      </c>
      <c r="I22" s="40" t="s">
        <v>48</v>
      </c>
      <c r="J22" s="40" t="s">
        <v>48</v>
      </c>
      <c r="K22" s="4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0" t="s">
        <v>48</v>
      </c>
      <c r="Q22" s="40" t="s">
        <v>48</v>
      </c>
      <c r="R22" s="40" t="s">
        <v>48</v>
      </c>
      <c r="S22" s="40" t="s">
        <v>48</v>
      </c>
      <c r="T22" s="40" t="s">
        <v>48</v>
      </c>
      <c r="U22" s="40" t="s">
        <v>48</v>
      </c>
      <c r="V22" s="40" t="s">
        <v>48</v>
      </c>
      <c r="X22" s="33"/>
      <c r="Y22" s="38"/>
      <c r="Z22" s="38" t="s">
        <v>134</v>
      </c>
      <c r="AA22" s="4" t="s">
        <v>127</v>
      </c>
      <c r="AB22" s="4" t="s">
        <v>117</v>
      </c>
      <c r="AC22" s="44">
        <v>100</v>
      </c>
      <c r="AD22" s="42" t="s">
        <v>48</v>
      </c>
      <c r="AE22" s="40" t="s">
        <v>48</v>
      </c>
      <c r="AF22" s="40" t="s">
        <v>48</v>
      </c>
      <c r="AG22" s="40" t="s">
        <v>48</v>
      </c>
      <c r="AH22" s="40" t="s">
        <v>48</v>
      </c>
      <c r="AI22" s="40" t="s">
        <v>48</v>
      </c>
      <c r="AJ22" s="40" t="s">
        <v>48</v>
      </c>
      <c r="AK22" s="40" t="s">
        <v>48</v>
      </c>
      <c r="AL22" s="40" t="s">
        <v>48</v>
      </c>
      <c r="AM22" s="40" t="s">
        <v>48</v>
      </c>
      <c r="AN22" s="40" t="s">
        <v>48</v>
      </c>
      <c r="AO22" s="40" t="s">
        <v>48</v>
      </c>
      <c r="AP22" s="40" t="s">
        <v>48</v>
      </c>
      <c r="AQ22" s="40" t="s">
        <v>48</v>
      </c>
      <c r="AR22" s="40" t="s">
        <v>48</v>
      </c>
    </row>
    <row r="23" spans="1:44" x14ac:dyDescent="0.35">
      <c r="A23" s="12">
        <v>16</v>
      </c>
      <c r="B23" s="33"/>
      <c r="C23" s="38"/>
      <c r="D23" s="38" t="s">
        <v>135</v>
      </c>
      <c r="E23" s="4" t="s">
        <v>127</v>
      </c>
      <c r="F23" s="4" t="s">
        <v>118</v>
      </c>
      <c r="G23" s="44">
        <v>114.94161988626983</v>
      </c>
      <c r="H23" s="42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U23" s="40" t="s">
        <v>48</v>
      </c>
      <c r="V23" s="40" t="s">
        <v>48</v>
      </c>
      <c r="X23" s="33"/>
      <c r="Y23" s="38"/>
      <c r="Z23" s="38" t="s">
        <v>135</v>
      </c>
      <c r="AA23" s="4" t="s">
        <v>127</v>
      </c>
      <c r="AB23" s="4" t="s">
        <v>118</v>
      </c>
      <c r="AC23" s="44">
        <v>114.94161988626983</v>
      </c>
      <c r="AD23" s="42" t="s">
        <v>48</v>
      </c>
      <c r="AE23" s="40" t="s">
        <v>48</v>
      </c>
      <c r="AF23" s="40" t="s">
        <v>48</v>
      </c>
      <c r="AG23" s="40" t="s">
        <v>48</v>
      </c>
      <c r="AH23" s="40" t="s">
        <v>48</v>
      </c>
      <c r="AI23" s="40" t="s">
        <v>48</v>
      </c>
      <c r="AJ23" s="40" t="s">
        <v>48</v>
      </c>
      <c r="AK23" s="40" t="s">
        <v>48</v>
      </c>
      <c r="AL23" s="40" t="s">
        <v>48</v>
      </c>
      <c r="AM23" s="40" t="s">
        <v>48</v>
      </c>
      <c r="AN23" s="40" t="s">
        <v>48</v>
      </c>
      <c r="AO23" s="40" t="s">
        <v>48</v>
      </c>
      <c r="AP23" s="40" t="s">
        <v>48</v>
      </c>
      <c r="AQ23" s="40" t="s">
        <v>48</v>
      </c>
      <c r="AR23" s="40" t="s">
        <v>48</v>
      </c>
    </row>
    <row r="24" spans="1:44" x14ac:dyDescent="0.35">
      <c r="A24" s="12">
        <v>17</v>
      </c>
      <c r="B24" s="33"/>
      <c r="C24" s="38"/>
      <c r="D24" s="63" t="s">
        <v>136</v>
      </c>
      <c r="E24" s="64" t="s">
        <v>127</v>
      </c>
      <c r="F24" s="64" t="s">
        <v>119</v>
      </c>
      <c r="G24" s="65">
        <v>73.935036685555062</v>
      </c>
      <c r="H24" s="68" t="s">
        <v>48</v>
      </c>
      <c r="I24" s="69" t="s">
        <v>48</v>
      </c>
      <c r="J24" s="69" t="s">
        <v>48</v>
      </c>
      <c r="K24" s="69" t="s">
        <v>48</v>
      </c>
      <c r="L24" s="69" t="s">
        <v>48</v>
      </c>
      <c r="M24" s="69" t="s">
        <v>48</v>
      </c>
      <c r="N24" s="69" t="s">
        <v>48</v>
      </c>
      <c r="O24" s="69" t="s">
        <v>48</v>
      </c>
      <c r="P24" s="69" t="s">
        <v>48</v>
      </c>
      <c r="Q24" s="69" t="s">
        <v>48</v>
      </c>
      <c r="R24" s="69" t="s">
        <v>48</v>
      </c>
      <c r="S24" s="69" t="s">
        <v>48</v>
      </c>
      <c r="T24" s="69" t="s">
        <v>48</v>
      </c>
      <c r="U24" s="69" t="s">
        <v>48</v>
      </c>
      <c r="V24" s="69" t="s">
        <v>48</v>
      </c>
      <c r="X24" s="33"/>
      <c r="Y24" s="38"/>
      <c r="Z24" s="63" t="s">
        <v>136</v>
      </c>
      <c r="AA24" s="64" t="s">
        <v>127</v>
      </c>
      <c r="AB24" s="64" t="s">
        <v>119</v>
      </c>
      <c r="AC24" s="65">
        <v>73.935036685555062</v>
      </c>
      <c r="AD24" s="68" t="s">
        <v>48</v>
      </c>
      <c r="AE24" s="69" t="s">
        <v>48</v>
      </c>
      <c r="AF24" s="69" t="s">
        <v>48</v>
      </c>
      <c r="AG24" s="69" t="s">
        <v>48</v>
      </c>
      <c r="AH24" s="69" t="s">
        <v>48</v>
      </c>
      <c r="AI24" s="69" t="s">
        <v>48</v>
      </c>
      <c r="AJ24" s="69" t="s">
        <v>48</v>
      </c>
      <c r="AK24" s="69" t="s">
        <v>48</v>
      </c>
      <c r="AL24" s="69" t="s">
        <v>48</v>
      </c>
      <c r="AM24" s="69" t="s">
        <v>48</v>
      </c>
      <c r="AN24" s="69" t="s">
        <v>48</v>
      </c>
      <c r="AO24" s="69" t="s">
        <v>48</v>
      </c>
      <c r="AP24" s="69" t="s">
        <v>48</v>
      </c>
      <c r="AQ24" s="69" t="s">
        <v>48</v>
      </c>
      <c r="AR24" s="69" t="s">
        <v>48</v>
      </c>
    </row>
    <row r="25" spans="1:44" x14ac:dyDescent="0.35">
      <c r="A25" s="12">
        <v>18</v>
      </c>
      <c r="B25" s="33"/>
      <c r="C25" s="38"/>
      <c r="D25" s="63" t="s">
        <v>137</v>
      </c>
      <c r="E25" s="64" t="s">
        <v>127</v>
      </c>
      <c r="F25" s="64" t="s">
        <v>120</v>
      </c>
      <c r="G25" s="65">
        <v>14.991801023016482</v>
      </c>
      <c r="H25" s="68" t="s">
        <v>48</v>
      </c>
      <c r="I25" s="69" t="s">
        <v>48</v>
      </c>
      <c r="J25" s="69" t="s">
        <v>48</v>
      </c>
      <c r="K25" s="69" t="s">
        <v>48</v>
      </c>
      <c r="L25" s="69" t="s">
        <v>48</v>
      </c>
      <c r="M25" s="69" t="s">
        <v>48</v>
      </c>
      <c r="N25" s="69" t="s">
        <v>48</v>
      </c>
      <c r="O25" s="69" t="s">
        <v>48</v>
      </c>
      <c r="P25" s="69" t="s">
        <v>48</v>
      </c>
      <c r="Q25" s="69" t="s">
        <v>48</v>
      </c>
      <c r="R25" s="69" t="s">
        <v>48</v>
      </c>
      <c r="S25" s="69" t="s">
        <v>48</v>
      </c>
      <c r="T25" s="69" t="s">
        <v>48</v>
      </c>
      <c r="U25" s="69" t="s">
        <v>48</v>
      </c>
      <c r="V25" s="69" t="s">
        <v>48</v>
      </c>
      <c r="X25" s="33"/>
      <c r="Y25" s="38"/>
      <c r="Z25" s="63" t="s">
        <v>137</v>
      </c>
      <c r="AA25" s="64" t="s">
        <v>127</v>
      </c>
      <c r="AB25" s="64" t="s">
        <v>120</v>
      </c>
      <c r="AC25" s="65">
        <v>14.991801023016482</v>
      </c>
      <c r="AD25" s="68" t="s">
        <v>48</v>
      </c>
      <c r="AE25" s="69" t="s">
        <v>48</v>
      </c>
      <c r="AF25" s="69" t="s">
        <v>48</v>
      </c>
      <c r="AG25" s="69" t="s">
        <v>48</v>
      </c>
      <c r="AH25" s="69" t="s">
        <v>48</v>
      </c>
      <c r="AI25" s="69" t="s">
        <v>48</v>
      </c>
      <c r="AJ25" s="69" t="s">
        <v>48</v>
      </c>
      <c r="AK25" s="69" t="s">
        <v>48</v>
      </c>
      <c r="AL25" s="69" t="s">
        <v>48</v>
      </c>
      <c r="AM25" s="69" t="s">
        <v>48</v>
      </c>
      <c r="AN25" s="69" t="s">
        <v>48</v>
      </c>
      <c r="AO25" s="69" t="s">
        <v>48</v>
      </c>
      <c r="AP25" s="69" t="s">
        <v>48</v>
      </c>
      <c r="AQ25" s="69" t="s">
        <v>48</v>
      </c>
      <c r="AR25" s="69" t="s">
        <v>48</v>
      </c>
    </row>
    <row r="26" spans="1:44" x14ac:dyDescent="0.35">
      <c r="A26" s="12">
        <v>19</v>
      </c>
      <c r="B26" s="33"/>
      <c r="C26" s="38"/>
      <c r="D26" s="63" t="s">
        <v>138</v>
      </c>
      <c r="E26" s="64" t="s">
        <v>127</v>
      </c>
      <c r="F26" s="64" t="s">
        <v>121</v>
      </c>
      <c r="G26" s="65">
        <v>26.014782177698269</v>
      </c>
      <c r="H26" s="68" t="s">
        <v>48</v>
      </c>
      <c r="I26" s="69" t="s">
        <v>48</v>
      </c>
      <c r="J26" s="69" t="s">
        <v>48</v>
      </c>
      <c r="K26" s="69" t="s">
        <v>48</v>
      </c>
      <c r="L26" s="69" t="s">
        <v>48</v>
      </c>
      <c r="M26" s="69" t="s">
        <v>48</v>
      </c>
      <c r="N26" s="69" t="s">
        <v>48</v>
      </c>
      <c r="O26" s="69" t="s">
        <v>48</v>
      </c>
      <c r="P26" s="69" t="s">
        <v>48</v>
      </c>
      <c r="Q26" s="69" t="s">
        <v>48</v>
      </c>
      <c r="R26" s="69" t="s">
        <v>48</v>
      </c>
      <c r="S26" s="69" t="s">
        <v>48</v>
      </c>
      <c r="T26" s="69" t="s">
        <v>48</v>
      </c>
      <c r="U26" s="69" t="s">
        <v>48</v>
      </c>
      <c r="V26" s="69" t="s">
        <v>48</v>
      </c>
      <c r="X26" s="33"/>
      <c r="Y26" s="38"/>
      <c r="Z26" s="63" t="s">
        <v>138</v>
      </c>
      <c r="AA26" s="64" t="s">
        <v>127</v>
      </c>
      <c r="AB26" s="64" t="s">
        <v>121</v>
      </c>
      <c r="AC26" s="65">
        <v>26.014782177698269</v>
      </c>
      <c r="AD26" s="68" t="s">
        <v>48</v>
      </c>
      <c r="AE26" s="69" t="s">
        <v>48</v>
      </c>
      <c r="AF26" s="69" t="s">
        <v>48</v>
      </c>
      <c r="AG26" s="69" t="s">
        <v>48</v>
      </c>
      <c r="AH26" s="69" t="s">
        <v>48</v>
      </c>
      <c r="AI26" s="69" t="s">
        <v>48</v>
      </c>
      <c r="AJ26" s="69" t="s">
        <v>48</v>
      </c>
      <c r="AK26" s="69" t="s">
        <v>48</v>
      </c>
      <c r="AL26" s="69" t="s">
        <v>48</v>
      </c>
      <c r="AM26" s="69" t="s">
        <v>48</v>
      </c>
      <c r="AN26" s="69" t="s">
        <v>48</v>
      </c>
      <c r="AO26" s="69" t="s">
        <v>48</v>
      </c>
      <c r="AP26" s="69" t="s">
        <v>48</v>
      </c>
      <c r="AQ26" s="69" t="s">
        <v>48</v>
      </c>
      <c r="AR26" s="69" t="s">
        <v>48</v>
      </c>
    </row>
    <row r="27" spans="1:44" x14ac:dyDescent="0.35">
      <c r="A27" s="12">
        <v>20</v>
      </c>
      <c r="B27" s="33"/>
      <c r="C27" s="38"/>
      <c r="D27" s="3" t="s">
        <v>139</v>
      </c>
      <c r="E27" s="95" t="s">
        <v>127</v>
      </c>
      <c r="F27" s="95" t="s">
        <v>122</v>
      </c>
      <c r="G27" s="105">
        <v>22.712229420802903</v>
      </c>
      <c r="H27" s="97" t="s">
        <v>48</v>
      </c>
      <c r="I27" s="98" t="s">
        <v>48</v>
      </c>
      <c r="J27" s="98" t="s">
        <v>48</v>
      </c>
      <c r="K27" s="98" t="s">
        <v>48</v>
      </c>
      <c r="L27" s="98" t="s">
        <v>48</v>
      </c>
      <c r="M27" s="98" t="s">
        <v>48</v>
      </c>
      <c r="N27" s="98" t="s">
        <v>48</v>
      </c>
      <c r="O27" s="98" t="s">
        <v>48</v>
      </c>
      <c r="P27" s="98" t="s">
        <v>48</v>
      </c>
      <c r="Q27" s="98" t="s">
        <v>48</v>
      </c>
      <c r="R27" s="98" t="s">
        <v>48</v>
      </c>
      <c r="S27" s="98" t="s">
        <v>48</v>
      </c>
      <c r="T27" s="98" t="s">
        <v>48</v>
      </c>
      <c r="U27" s="98" t="s">
        <v>48</v>
      </c>
      <c r="V27" s="98" t="s">
        <v>48</v>
      </c>
      <c r="X27" s="33"/>
      <c r="Y27" s="38"/>
      <c r="Z27" s="3" t="s">
        <v>139</v>
      </c>
      <c r="AA27" s="95" t="s">
        <v>127</v>
      </c>
      <c r="AB27" s="95" t="s">
        <v>122</v>
      </c>
      <c r="AC27" s="105">
        <v>22.712229420802903</v>
      </c>
      <c r="AD27" s="97" t="s">
        <v>48</v>
      </c>
      <c r="AE27" s="98" t="s">
        <v>48</v>
      </c>
      <c r="AF27" s="98" t="s">
        <v>48</v>
      </c>
      <c r="AG27" s="98" t="s">
        <v>48</v>
      </c>
      <c r="AH27" s="98" t="s">
        <v>48</v>
      </c>
      <c r="AI27" s="98" t="s">
        <v>48</v>
      </c>
      <c r="AJ27" s="98" t="s">
        <v>48</v>
      </c>
      <c r="AK27" s="98" t="s">
        <v>48</v>
      </c>
      <c r="AL27" s="98" t="s">
        <v>48</v>
      </c>
      <c r="AM27" s="98" t="s">
        <v>48</v>
      </c>
      <c r="AN27" s="98" t="s">
        <v>48</v>
      </c>
      <c r="AO27" s="98" t="s">
        <v>48</v>
      </c>
      <c r="AP27" s="98" t="s">
        <v>48</v>
      </c>
      <c r="AQ27" s="98" t="s">
        <v>48</v>
      </c>
      <c r="AR27" s="98" t="s">
        <v>48</v>
      </c>
    </row>
    <row r="28" spans="1:44" x14ac:dyDescent="0.35">
      <c r="A28" s="12">
        <v>21</v>
      </c>
      <c r="B28" s="33"/>
      <c r="C28" s="38"/>
      <c r="D28" s="3" t="s">
        <v>140</v>
      </c>
      <c r="E28" s="95" t="s">
        <v>127</v>
      </c>
      <c r="F28" s="95" t="s">
        <v>123</v>
      </c>
      <c r="G28" s="105">
        <v>3.3025527568953681</v>
      </c>
      <c r="H28" s="97" t="s">
        <v>48</v>
      </c>
      <c r="I28" s="98" t="s">
        <v>48</v>
      </c>
      <c r="J28" s="98" t="s">
        <v>48</v>
      </c>
      <c r="K28" s="98" t="s">
        <v>48</v>
      </c>
      <c r="L28" s="98" t="s">
        <v>48</v>
      </c>
      <c r="M28" s="98" t="s">
        <v>48</v>
      </c>
      <c r="N28" s="98" t="s">
        <v>48</v>
      </c>
      <c r="O28" s="98" t="s">
        <v>48</v>
      </c>
      <c r="P28" s="98" t="s">
        <v>48</v>
      </c>
      <c r="Q28" s="98" t="s">
        <v>48</v>
      </c>
      <c r="R28" s="98" t="s">
        <v>48</v>
      </c>
      <c r="S28" s="98" t="s">
        <v>48</v>
      </c>
      <c r="T28" s="98" t="s">
        <v>48</v>
      </c>
      <c r="U28" s="98" t="s">
        <v>48</v>
      </c>
      <c r="V28" s="98" t="s">
        <v>48</v>
      </c>
      <c r="X28" s="33"/>
      <c r="Y28" s="38"/>
      <c r="Z28" s="3" t="s">
        <v>140</v>
      </c>
      <c r="AA28" s="95" t="s">
        <v>127</v>
      </c>
      <c r="AB28" s="95" t="s">
        <v>123</v>
      </c>
      <c r="AC28" s="105">
        <v>3.3025527568953681</v>
      </c>
      <c r="AD28" s="97" t="s">
        <v>48</v>
      </c>
      <c r="AE28" s="98" t="s">
        <v>48</v>
      </c>
      <c r="AF28" s="98" t="s">
        <v>48</v>
      </c>
      <c r="AG28" s="98" t="s">
        <v>48</v>
      </c>
      <c r="AH28" s="98" t="s">
        <v>48</v>
      </c>
      <c r="AI28" s="98" t="s">
        <v>48</v>
      </c>
      <c r="AJ28" s="98" t="s">
        <v>48</v>
      </c>
      <c r="AK28" s="98" t="s">
        <v>48</v>
      </c>
      <c r="AL28" s="98" t="s">
        <v>48</v>
      </c>
      <c r="AM28" s="98" t="s">
        <v>48</v>
      </c>
      <c r="AN28" s="98" t="s">
        <v>48</v>
      </c>
      <c r="AO28" s="98" t="s">
        <v>48</v>
      </c>
      <c r="AP28" s="98" t="s">
        <v>48</v>
      </c>
      <c r="AQ28" s="98" t="s">
        <v>48</v>
      </c>
      <c r="AR28" s="98" t="s">
        <v>48</v>
      </c>
    </row>
    <row r="29" spans="1:44" x14ac:dyDescent="0.35">
      <c r="A29" s="12">
        <v>22</v>
      </c>
      <c r="B29" s="33"/>
      <c r="C29" s="38"/>
      <c r="D29" s="38" t="s">
        <v>141</v>
      </c>
      <c r="E29" s="4" t="s">
        <v>127</v>
      </c>
      <c r="F29" s="4" t="s">
        <v>124</v>
      </c>
      <c r="G29" s="44">
        <v>-14.941619886269821</v>
      </c>
      <c r="H29" s="42" t="s">
        <v>48</v>
      </c>
      <c r="I29" s="40" t="s">
        <v>48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U29" s="40" t="s">
        <v>48</v>
      </c>
      <c r="V29" s="40" t="s">
        <v>48</v>
      </c>
      <c r="X29" s="33"/>
      <c r="Y29" s="38"/>
      <c r="Z29" s="38" t="s">
        <v>141</v>
      </c>
      <c r="AA29" s="4" t="s">
        <v>127</v>
      </c>
      <c r="AB29" s="4" t="s">
        <v>124</v>
      </c>
      <c r="AC29" s="44">
        <v>-14.941619886269821</v>
      </c>
      <c r="AD29" s="42" t="s">
        <v>48</v>
      </c>
      <c r="AE29" s="40" t="s">
        <v>48</v>
      </c>
      <c r="AF29" s="40" t="s">
        <v>48</v>
      </c>
      <c r="AG29" s="40" t="s">
        <v>48</v>
      </c>
      <c r="AH29" s="40" t="s">
        <v>48</v>
      </c>
      <c r="AI29" s="40" t="s">
        <v>48</v>
      </c>
      <c r="AJ29" s="40" t="s">
        <v>48</v>
      </c>
      <c r="AK29" s="40" t="s">
        <v>48</v>
      </c>
      <c r="AL29" s="40" t="s">
        <v>48</v>
      </c>
      <c r="AM29" s="40" t="s">
        <v>48</v>
      </c>
      <c r="AN29" s="40" t="s">
        <v>48</v>
      </c>
      <c r="AO29" s="40" t="s">
        <v>48</v>
      </c>
      <c r="AP29" s="40" t="s">
        <v>48</v>
      </c>
      <c r="AQ29" s="40" t="s">
        <v>48</v>
      </c>
      <c r="AR29" s="40" t="s">
        <v>48</v>
      </c>
    </row>
    <row r="30" spans="1:44" x14ac:dyDescent="0.35">
      <c r="A30" s="12">
        <v>23</v>
      </c>
      <c r="B30" s="33"/>
      <c r="C30" s="38"/>
      <c r="D30" s="63" t="s">
        <v>142</v>
      </c>
      <c r="E30" s="64" t="s">
        <v>127</v>
      </c>
      <c r="F30" s="64" t="s">
        <v>125</v>
      </c>
      <c r="G30" s="65">
        <v>13.283062452000779</v>
      </c>
      <c r="H30" s="68" t="s">
        <v>48</v>
      </c>
      <c r="I30" s="69" t="s">
        <v>48</v>
      </c>
      <c r="J30" s="69" t="s">
        <v>48</v>
      </c>
      <c r="K30" s="69" t="s">
        <v>48</v>
      </c>
      <c r="L30" s="69" t="s">
        <v>48</v>
      </c>
      <c r="M30" s="69" t="s">
        <v>48</v>
      </c>
      <c r="N30" s="69" t="s">
        <v>48</v>
      </c>
      <c r="O30" s="69" t="s">
        <v>48</v>
      </c>
      <c r="P30" s="69" t="s">
        <v>48</v>
      </c>
      <c r="Q30" s="69" t="s">
        <v>48</v>
      </c>
      <c r="R30" s="69" t="s">
        <v>48</v>
      </c>
      <c r="S30" s="69" t="s">
        <v>48</v>
      </c>
      <c r="T30" s="69" t="s">
        <v>48</v>
      </c>
      <c r="U30" s="69" t="s">
        <v>48</v>
      </c>
      <c r="V30" s="69" t="s">
        <v>48</v>
      </c>
      <c r="X30" s="33"/>
      <c r="Y30" s="38"/>
      <c r="Z30" s="63" t="s">
        <v>142</v>
      </c>
      <c r="AA30" s="64" t="s">
        <v>127</v>
      </c>
      <c r="AB30" s="64" t="s">
        <v>125</v>
      </c>
      <c r="AC30" s="65">
        <v>13.283062452000779</v>
      </c>
      <c r="AD30" s="68" t="s">
        <v>48</v>
      </c>
      <c r="AE30" s="69" t="s">
        <v>48</v>
      </c>
      <c r="AF30" s="69" t="s">
        <v>48</v>
      </c>
      <c r="AG30" s="69" t="s">
        <v>48</v>
      </c>
      <c r="AH30" s="69" t="s">
        <v>48</v>
      </c>
      <c r="AI30" s="69" t="s">
        <v>48</v>
      </c>
      <c r="AJ30" s="69" t="s">
        <v>48</v>
      </c>
      <c r="AK30" s="69" t="s">
        <v>48</v>
      </c>
      <c r="AL30" s="69" t="s">
        <v>48</v>
      </c>
      <c r="AM30" s="69" t="s">
        <v>48</v>
      </c>
      <c r="AN30" s="69" t="s">
        <v>48</v>
      </c>
      <c r="AO30" s="69" t="s">
        <v>48</v>
      </c>
      <c r="AP30" s="69" t="s">
        <v>48</v>
      </c>
      <c r="AQ30" s="69" t="s">
        <v>48</v>
      </c>
      <c r="AR30" s="69" t="s">
        <v>48</v>
      </c>
    </row>
    <row r="31" spans="1:44" x14ac:dyDescent="0.35">
      <c r="A31" s="12">
        <v>24</v>
      </c>
      <c r="B31" s="33"/>
      <c r="C31" s="38"/>
      <c r="D31" s="63" t="s">
        <v>143</v>
      </c>
      <c r="E31" s="64" t="s">
        <v>127</v>
      </c>
      <c r="F31" s="64" t="s">
        <v>126</v>
      </c>
      <c r="G31" s="65">
        <v>28.224682338270597</v>
      </c>
      <c r="H31" s="68" t="s">
        <v>48</v>
      </c>
      <c r="I31" s="69" t="s">
        <v>48</v>
      </c>
      <c r="J31" s="69" t="s">
        <v>48</v>
      </c>
      <c r="K31" s="69" t="s">
        <v>48</v>
      </c>
      <c r="L31" s="69" t="s">
        <v>48</v>
      </c>
      <c r="M31" s="69" t="s">
        <v>48</v>
      </c>
      <c r="N31" s="69" t="s">
        <v>48</v>
      </c>
      <c r="O31" s="69" t="s">
        <v>48</v>
      </c>
      <c r="P31" s="69" t="s">
        <v>48</v>
      </c>
      <c r="Q31" s="69" t="s">
        <v>48</v>
      </c>
      <c r="R31" s="69" t="s">
        <v>48</v>
      </c>
      <c r="S31" s="69" t="s">
        <v>48</v>
      </c>
      <c r="T31" s="69" t="s">
        <v>48</v>
      </c>
      <c r="U31" s="69" t="s">
        <v>48</v>
      </c>
      <c r="V31" s="69" t="s">
        <v>48</v>
      </c>
      <c r="X31" s="33"/>
      <c r="Y31" s="38"/>
      <c r="Z31" s="63" t="s">
        <v>143</v>
      </c>
      <c r="AA31" s="64" t="s">
        <v>127</v>
      </c>
      <c r="AB31" s="64" t="s">
        <v>126</v>
      </c>
      <c r="AC31" s="65">
        <v>28.224682338270597</v>
      </c>
      <c r="AD31" s="68" t="s">
        <v>48</v>
      </c>
      <c r="AE31" s="69" t="s">
        <v>48</v>
      </c>
      <c r="AF31" s="69" t="s">
        <v>48</v>
      </c>
      <c r="AG31" s="69" t="s">
        <v>48</v>
      </c>
      <c r="AH31" s="69" t="s">
        <v>48</v>
      </c>
      <c r="AI31" s="69" t="s">
        <v>48</v>
      </c>
      <c r="AJ31" s="69" t="s">
        <v>48</v>
      </c>
      <c r="AK31" s="69" t="s">
        <v>48</v>
      </c>
      <c r="AL31" s="69" t="s">
        <v>48</v>
      </c>
      <c r="AM31" s="69" t="s">
        <v>48</v>
      </c>
      <c r="AN31" s="69" t="s">
        <v>48</v>
      </c>
      <c r="AO31" s="69" t="s">
        <v>48</v>
      </c>
      <c r="AP31" s="69" t="s">
        <v>48</v>
      </c>
      <c r="AQ31" s="69" t="s">
        <v>48</v>
      </c>
      <c r="AR31" s="69" t="s">
        <v>48</v>
      </c>
    </row>
    <row r="32" spans="1:44" x14ac:dyDescent="0.35">
      <c r="A32" s="12">
        <v>150</v>
      </c>
      <c r="B32" s="33"/>
      <c r="C32" s="38"/>
      <c r="D32" s="38"/>
      <c r="E32" s="4"/>
      <c r="F32" s="4"/>
      <c r="G32" s="45"/>
      <c r="H32" s="42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X32" s="33"/>
      <c r="Y32" s="38"/>
      <c r="Z32" s="38"/>
      <c r="AA32" s="4"/>
      <c r="AB32" s="4"/>
      <c r="AC32" s="44"/>
      <c r="AD32" s="42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</row>
    <row r="33" spans="2:44" x14ac:dyDescent="0.35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</row>
  </sheetData>
  <sheetProtection sheet="1" objects="1" scenarios="1"/>
  <conditionalFormatting sqref="G8:V32 AC8:AR32">
    <cfRule type="cellIs" dxfId="18" priority="2" operator="equal">
      <formula>"Eps"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AF8E-2E10-4140-8B38-D7A466573163}">
  <sheetPr>
    <tabColor theme="8" tint="-0.499984740745262"/>
  </sheetPr>
  <dimension ref="A1:BH158"/>
  <sheetViews>
    <sheetView zoomScale="85" zoomScaleNormal="85" workbookViewId="0">
      <pane ySplit="7" topLeftCell="A98" activePane="bottomLeft" state="frozen"/>
      <selection activeCell="K75" sqref="K75"/>
      <selection pane="bottomLeft" activeCell="C24" sqref="C24"/>
    </sheetView>
  </sheetViews>
  <sheetFormatPr defaultColWidth="0" defaultRowHeight="14.5" zeroHeight="1" x14ac:dyDescent="0.35"/>
  <cols>
    <col min="1" max="2" width="2.453125" customWidth="1"/>
    <col min="3" max="3" width="28.90625" customWidth="1"/>
    <col min="4" max="4" width="9.08984375" hidden="1"/>
    <col min="5" max="20" width="9.08984375" customWidth="1"/>
    <col min="21" max="22" width="2.453125" customWidth="1"/>
    <col min="23" max="23" width="28.90625" customWidth="1"/>
    <col min="24" max="24" width="9.08984375" hidden="1"/>
    <col min="25" max="40" width="9.08984375" customWidth="1"/>
    <col min="41" max="41" width="2.453125" customWidth="1"/>
    <col min="42" max="43" width="9.08984375" hidden="1" customWidth="1"/>
    <col min="44" max="60" width="0" hidden="1" customWidth="1"/>
    <col min="61" max="16384" width="9.08984375" hidden="1"/>
  </cols>
  <sheetData>
    <row r="1" spans="1:43" ht="18.5" x14ac:dyDescent="0.45">
      <c r="A1" s="9" t="s">
        <v>102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7" t="s">
        <v>70</v>
      </c>
      <c r="M1" s="8" t="str">
        <f>C5</f>
        <v>GDP at factor cost (PVA×QVA)</v>
      </c>
    </row>
    <row r="2" spans="1:43" x14ac:dyDescent="0.35">
      <c r="L2" s="8"/>
      <c r="M2" s="8" t="str">
        <f>W5</f>
        <v>Share of total GDP at factor cost (PVA×QVA)</v>
      </c>
    </row>
    <row r="3" spans="1:43" x14ac:dyDescent="0.35">
      <c r="L3" s="8"/>
      <c r="M3" s="8"/>
    </row>
    <row r="4" spans="1:43" x14ac:dyDescent="0.35"/>
    <row r="5" spans="1:43" ht="16" x14ac:dyDescent="0.4">
      <c r="B5" s="13"/>
      <c r="C5" s="11" t="s">
        <v>103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V5" s="13"/>
      <c r="W5" s="11" t="s">
        <v>108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3" x14ac:dyDescent="0.35">
      <c r="B6" s="29"/>
      <c r="C6" s="35" t="s">
        <v>109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V6" s="29"/>
      <c r="W6" s="35" t="s">
        <v>110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3" x14ac:dyDescent="0.35">
      <c r="B7" s="29"/>
      <c r="C7" s="34"/>
      <c r="D7" s="34"/>
      <c r="E7" s="43" t="s">
        <v>42</v>
      </c>
      <c r="F7" s="41" t="s">
        <v>588</v>
      </c>
      <c r="G7" s="39" t="s">
        <v>589</v>
      </c>
      <c r="H7" s="39" t="s">
        <v>590</v>
      </c>
      <c r="I7" s="39" t="s">
        <v>465</v>
      </c>
      <c r="J7" s="39" t="s">
        <v>455</v>
      </c>
      <c r="K7" s="39" t="s">
        <v>456</v>
      </c>
      <c r="L7" s="39" t="s">
        <v>457</v>
      </c>
      <c r="M7" s="39" t="s">
        <v>458</v>
      </c>
      <c r="N7" s="39" t="s">
        <v>459</v>
      </c>
      <c r="O7" s="39" t="s">
        <v>460</v>
      </c>
      <c r="P7" s="39" t="s">
        <v>43</v>
      </c>
      <c r="Q7" s="39" t="s">
        <v>44</v>
      </c>
      <c r="R7" s="39" t="s">
        <v>45</v>
      </c>
      <c r="S7" s="39" t="s">
        <v>46</v>
      </c>
      <c r="T7" s="39" t="s">
        <v>47</v>
      </c>
      <c r="V7" s="29"/>
      <c r="W7" s="34"/>
      <c r="X7" s="34"/>
      <c r="Y7" s="43" t="s">
        <v>42</v>
      </c>
      <c r="Z7" s="41" t="s">
        <v>588</v>
      </c>
      <c r="AA7" s="39" t="s">
        <v>589</v>
      </c>
      <c r="AB7" s="39" t="s">
        <v>590</v>
      </c>
      <c r="AC7" s="39" t="s">
        <v>465</v>
      </c>
      <c r="AD7" s="39" t="s">
        <v>455</v>
      </c>
      <c r="AE7" s="39" t="s">
        <v>456</v>
      </c>
      <c r="AF7" s="39" t="s">
        <v>457</v>
      </c>
      <c r="AG7" s="39" t="s">
        <v>458</v>
      </c>
      <c r="AH7" s="39" t="s">
        <v>459</v>
      </c>
      <c r="AI7" s="39" t="s">
        <v>460</v>
      </c>
      <c r="AJ7" s="39" t="s">
        <v>43</v>
      </c>
      <c r="AK7" s="39" t="s">
        <v>44</v>
      </c>
      <c r="AL7" s="39" t="s">
        <v>45</v>
      </c>
      <c r="AM7" s="39" t="s">
        <v>46</v>
      </c>
      <c r="AN7" s="39" t="s">
        <v>47</v>
      </c>
    </row>
    <row r="8" spans="1:43" x14ac:dyDescent="0.35">
      <c r="A8" s="12">
        <v>1</v>
      </c>
      <c r="B8" s="33"/>
      <c r="C8" s="38" t="str">
        <f>Notes!T9</f>
        <v xml:space="preserve">               All sectors</v>
      </c>
      <c r="D8" s="4" t="s">
        <v>309</v>
      </c>
      <c r="E8" s="44">
        <v>100</v>
      </c>
      <c r="F8" s="42" t="s">
        <v>48</v>
      </c>
      <c r="G8" s="40" t="s">
        <v>48</v>
      </c>
      <c r="H8" s="40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V8" s="33"/>
      <c r="W8" s="38" t="str">
        <f>Notes!T9</f>
        <v xml:space="preserve">               All sectors</v>
      </c>
      <c r="X8" s="4" t="s">
        <v>309</v>
      </c>
      <c r="Y8" s="44">
        <v>100</v>
      </c>
      <c r="Z8" s="42" t="s">
        <v>48</v>
      </c>
      <c r="AA8" s="40" t="s">
        <v>48</v>
      </c>
      <c r="AB8" s="40" t="s">
        <v>48</v>
      </c>
      <c r="AC8" s="40" t="s">
        <v>48</v>
      </c>
      <c r="AD8" s="40" t="s">
        <v>48</v>
      </c>
      <c r="AE8" s="40" t="s">
        <v>48</v>
      </c>
      <c r="AF8" s="40" t="s">
        <v>48</v>
      </c>
      <c r="AG8" s="40" t="s">
        <v>48</v>
      </c>
      <c r="AH8" s="40" t="s">
        <v>48</v>
      </c>
      <c r="AI8" s="40" t="s">
        <v>48</v>
      </c>
      <c r="AJ8" s="40" t="s">
        <v>48</v>
      </c>
      <c r="AK8" s="40" t="s">
        <v>48</v>
      </c>
      <c r="AL8" s="40" t="s">
        <v>48</v>
      </c>
      <c r="AM8" s="40" t="s">
        <v>48</v>
      </c>
      <c r="AN8" s="40" t="s">
        <v>48</v>
      </c>
    </row>
    <row r="9" spans="1:43" x14ac:dyDescent="0.35">
      <c r="A9" s="12">
        <v>2</v>
      </c>
      <c r="B9" s="33"/>
      <c r="C9" s="38" t="str">
        <f>Notes!T10</f>
        <v xml:space="preserve">               Agriculture</v>
      </c>
      <c r="D9" s="4" t="s">
        <v>695</v>
      </c>
      <c r="E9" s="44">
        <v>28.796404118720186</v>
      </c>
      <c r="F9" s="47" t="s">
        <v>48</v>
      </c>
      <c r="G9" s="48" t="s">
        <v>48</v>
      </c>
      <c r="H9" s="48" t="s">
        <v>48</v>
      </c>
      <c r="I9" s="48" t="s">
        <v>48</v>
      </c>
      <c r="J9" s="48" t="s">
        <v>48</v>
      </c>
      <c r="K9" s="48" t="s">
        <v>48</v>
      </c>
      <c r="L9" s="48" t="s">
        <v>48</v>
      </c>
      <c r="M9" s="48" t="s">
        <v>48</v>
      </c>
      <c r="N9" s="48" t="s">
        <v>48</v>
      </c>
      <c r="O9" s="48" t="s">
        <v>48</v>
      </c>
      <c r="P9" s="48" t="s">
        <v>48</v>
      </c>
      <c r="Q9" s="48" t="s">
        <v>48</v>
      </c>
      <c r="R9" s="48" t="s">
        <v>48</v>
      </c>
      <c r="S9" s="48" t="s">
        <v>48</v>
      </c>
      <c r="T9" s="48" t="s">
        <v>48</v>
      </c>
      <c r="U9" s="49"/>
      <c r="V9" s="33"/>
      <c r="W9" s="38" t="str">
        <f>Notes!T10</f>
        <v xml:space="preserve">               Agriculture</v>
      </c>
      <c r="X9" s="4" t="s">
        <v>695</v>
      </c>
      <c r="Y9" s="44">
        <v>28.796404118720186</v>
      </c>
      <c r="Z9" s="42" t="s">
        <v>48</v>
      </c>
      <c r="AA9" s="48" t="s">
        <v>48</v>
      </c>
      <c r="AB9" s="48" t="s">
        <v>48</v>
      </c>
      <c r="AC9" s="48" t="s">
        <v>48</v>
      </c>
      <c r="AD9" s="48" t="s">
        <v>48</v>
      </c>
      <c r="AE9" s="48" t="s">
        <v>48</v>
      </c>
      <c r="AF9" s="48" t="s">
        <v>48</v>
      </c>
      <c r="AG9" s="48" t="s">
        <v>48</v>
      </c>
      <c r="AH9" s="48" t="s">
        <v>48</v>
      </c>
      <c r="AI9" s="48" t="s">
        <v>48</v>
      </c>
      <c r="AJ9" s="48" t="s">
        <v>48</v>
      </c>
      <c r="AK9" s="48" t="s">
        <v>48</v>
      </c>
      <c r="AL9" s="48" t="s">
        <v>48</v>
      </c>
      <c r="AM9" s="48" t="s">
        <v>48</v>
      </c>
      <c r="AN9" s="48" t="s">
        <v>48</v>
      </c>
      <c r="AO9" s="49"/>
      <c r="AP9" s="49"/>
      <c r="AQ9" s="49"/>
    </row>
    <row r="10" spans="1:43" x14ac:dyDescent="0.35">
      <c r="A10" s="12">
        <v>3</v>
      </c>
      <c r="B10" s="33"/>
      <c r="C10" s="38" t="str">
        <f>Notes!T11</f>
        <v xml:space="preserve">               All crops</v>
      </c>
      <c r="D10" s="4" t="s">
        <v>696</v>
      </c>
      <c r="E10" s="46">
        <v>20.436288287370587</v>
      </c>
      <c r="F10" s="42" t="s">
        <v>48</v>
      </c>
      <c r="G10" s="40" t="s">
        <v>48</v>
      </c>
      <c r="H10" s="40" t="s">
        <v>48</v>
      </c>
      <c r="I10" s="40" t="s">
        <v>48</v>
      </c>
      <c r="J10" s="40" t="s">
        <v>48</v>
      </c>
      <c r="K10" s="40" t="s">
        <v>48</v>
      </c>
      <c r="L10" s="40" t="s">
        <v>48</v>
      </c>
      <c r="M10" s="40" t="s">
        <v>48</v>
      </c>
      <c r="N10" s="40" t="s">
        <v>48</v>
      </c>
      <c r="O10" s="40" t="s">
        <v>48</v>
      </c>
      <c r="P10" s="40" t="s">
        <v>48</v>
      </c>
      <c r="Q10" s="40" t="s">
        <v>48</v>
      </c>
      <c r="R10" s="40" t="s">
        <v>48</v>
      </c>
      <c r="S10" s="40" t="s">
        <v>48</v>
      </c>
      <c r="T10" s="40" t="s">
        <v>48</v>
      </c>
      <c r="V10" s="33"/>
      <c r="W10" s="38" t="str">
        <f>Notes!T11</f>
        <v xml:space="preserve">               All crops</v>
      </c>
      <c r="X10" s="4" t="s">
        <v>696</v>
      </c>
      <c r="Y10" s="44">
        <v>20.436288287370587</v>
      </c>
      <c r="Z10" s="47" t="s">
        <v>48</v>
      </c>
      <c r="AA10" s="40" t="s">
        <v>48</v>
      </c>
      <c r="AB10" s="40" t="s">
        <v>48</v>
      </c>
      <c r="AC10" s="40" t="s">
        <v>48</v>
      </c>
      <c r="AD10" s="40" t="s">
        <v>48</v>
      </c>
      <c r="AE10" s="40" t="s">
        <v>48</v>
      </c>
      <c r="AF10" s="40" t="s">
        <v>48</v>
      </c>
      <c r="AG10" s="40" t="s">
        <v>48</v>
      </c>
      <c r="AH10" s="40" t="s">
        <v>48</v>
      </c>
      <c r="AI10" s="40" t="s">
        <v>48</v>
      </c>
      <c r="AJ10" s="40" t="s">
        <v>48</v>
      </c>
      <c r="AK10" s="40" t="s">
        <v>48</v>
      </c>
      <c r="AL10" s="40" t="s">
        <v>48</v>
      </c>
      <c r="AM10" s="40" t="s">
        <v>48</v>
      </c>
      <c r="AN10" s="40" t="s">
        <v>48</v>
      </c>
    </row>
    <row r="11" spans="1:43" x14ac:dyDescent="0.35">
      <c r="A11" s="12">
        <v>4</v>
      </c>
      <c r="B11" s="33"/>
      <c r="C11" s="38" t="str">
        <f>Notes!T12</f>
        <v xml:space="preserve">               Sorghum and millet</v>
      </c>
      <c r="D11" s="4" t="s">
        <v>466</v>
      </c>
      <c r="E11" s="46">
        <v>18.433053669461856</v>
      </c>
      <c r="F11" s="42" t="s">
        <v>48</v>
      </c>
      <c r="G11" s="40" t="s">
        <v>48</v>
      </c>
      <c r="H11" s="40" t="s">
        <v>48</v>
      </c>
      <c r="I11" s="40" t="s">
        <v>48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48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V11" s="33"/>
      <c r="W11" s="38" t="str">
        <f>Notes!T12</f>
        <v xml:space="preserve">               Sorghum and millet</v>
      </c>
      <c r="X11" s="4" t="s">
        <v>466</v>
      </c>
      <c r="Y11" s="44">
        <v>18.433053669461856</v>
      </c>
      <c r="Z11" s="47" t="s">
        <v>48</v>
      </c>
      <c r="AA11" s="40" t="s">
        <v>48</v>
      </c>
      <c r="AB11" s="40" t="s">
        <v>48</v>
      </c>
      <c r="AC11" s="40" t="s">
        <v>48</v>
      </c>
      <c r="AD11" s="40" t="s">
        <v>48</v>
      </c>
      <c r="AE11" s="40" t="s">
        <v>48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40" t="s">
        <v>48</v>
      </c>
      <c r="AK11" s="40" t="s">
        <v>48</v>
      </c>
      <c r="AL11" s="40" t="s">
        <v>48</v>
      </c>
      <c r="AM11" s="40" t="s">
        <v>48</v>
      </c>
      <c r="AN11" s="40" t="s">
        <v>48</v>
      </c>
    </row>
    <row r="12" spans="1:43" x14ac:dyDescent="0.35">
      <c r="A12" s="12">
        <v>5</v>
      </c>
      <c r="B12" s="33"/>
      <c r="C12" s="38" t="str">
        <f>Notes!T13</f>
        <v xml:space="preserve">               Maize</v>
      </c>
      <c r="D12" s="4" t="s">
        <v>314</v>
      </c>
      <c r="E12" s="46">
        <v>2.0032346179087295</v>
      </c>
      <c r="F12" s="42" t="s">
        <v>48</v>
      </c>
      <c r="G12" s="40" t="s">
        <v>48</v>
      </c>
      <c r="H12" s="40" t="s">
        <v>48</v>
      </c>
      <c r="I12" s="40" t="s">
        <v>48</v>
      </c>
      <c r="J12" s="40" t="s">
        <v>48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V12" s="33"/>
      <c r="W12" s="38" t="str">
        <f>Notes!T13</f>
        <v xml:space="preserve">               Maize</v>
      </c>
      <c r="X12" s="4" t="s">
        <v>314</v>
      </c>
      <c r="Y12" s="44">
        <v>2.0032346179087295</v>
      </c>
      <c r="Z12" s="47" t="s">
        <v>48</v>
      </c>
      <c r="AA12" s="40" t="s">
        <v>48</v>
      </c>
      <c r="AB12" s="40" t="s">
        <v>48</v>
      </c>
      <c r="AC12" s="40" t="s">
        <v>48</v>
      </c>
      <c r="AD12" s="40" t="s">
        <v>48</v>
      </c>
      <c r="AE12" s="40" t="s">
        <v>48</v>
      </c>
      <c r="AF12" s="40" t="s">
        <v>48</v>
      </c>
      <c r="AG12" s="40" t="s">
        <v>48</v>
      </c>
      <c r="AH12" s="40" t="s">
        <v>48</v>
      </c>
      <c r="AI12" s="40" t="s">
        <v>48</v>
      </c>
      <c r="AJ12" s="40" t="s">
        <v>48</v>
      </c>
      <c r="AK12" s="40" t="s">
        <v>48</v>
      </c>
      <c r="AL12" s="40" t="s">
        <v>48</v>
      </c>
      <c r="AM12" s="40" t="s">
        <v>48</v>
      </c>
      <c r="AN12" s="40" t="s">
        <v>48</v>
      </c>
    </row>
    <row r="13" spans="1:43" x14ac:dyDescent="0.35">
      <c r="A13" s="12">
        <v>6</v>
      </c>
      <c r="B13" s="33"/>
      <c r="C13" s="38" t="str">
        <f>Notes!T14</f>
        <v xml:space="preserve">               Wheat and barley</v>
      </c>
      <c r="D13" s="4" t="s">
        <v>468</v>
      </c>
      <c r="E13" s="46">
        <v>0.59973015402707097</v>
      </c>
      <c r="F13" s="42" t="s">
        <v>48</v>
      </c>
      <c r="G13" s="40" t="s">
        <v>48</v>
      </c>
      <c r="H13" s="40" t="s">
        <v>48</v>
      </c>
      <c r="I13" s="40" t="s">
        <v>48</v>
      </c>
      <c r="J13" s="40" t="s">
        <v>48</v>
      </c>
      <c r="K13" s="40" t="s">
        <v>48</v>
      </c>
      <c r="L13" s="40" t="s">
        <v>48</v>
      </c>
      <c r="M13" s="40" t="s">
        <v>48</v>
      </c>
      <c r="N13" s="40" t="s">
        <v>48</v>
      </c>
      <c r="O13" s="40" t="s">
        <v>48</v>
      </c>
      <c r="P13" s="40" t="s">
        <v>48</v>
      </c>
      <c r="Q13" s="40" t="s">
        <v>48</v>
      </c>
      <c r="R13" s="40" t="s">
        <v>48</v>
      </c>
      <c r="S13" s="40" t="s">
        <v>48</v>
      </c>
      <c r="T13" s="40" t="s">
        <v>48</v>
      </c>
      <c r="V13" s="33"/>
      <c r="W13" s="38" t="str">
        <f>Notes!T14</f>
        <v xml:space="preserve">               Wheat and barley</v>
      </c>
      <c r="X13" s="4" t="s">
        <v>468</v>
      </c>
      <c r="Y13" s="44">
        <v>0.59973015402707097</v>
      </c>
      <c r="Z13" s="47" t="s">
        <v>48</v>
      </c>
      <c r="AA13" s="40" t="s">
        <v>48</v>
      </c>
      <c r="AB13" s="40" t="s">
        <v>48</v>
      </c>
      <c r="AC13" s="40" t="s">
        <v>48</v>
      </c>
      <c r="AD13" s="40" t="s">
        <v>48</v>
      </c>
      <c r="AE13" s="40" t="s">
        <v>48</v>
      </c>
      <c r="AF13" s="40" t="s">
        <v>48</v>
      </c>
      <c r="AG13" s="40" t="s">
        <v>48</v>
      </c>
      <c r="AH13" s="40" t="s">
        <v>48</v>
      </c>
      <c r="AI13" s="40" t="s">
        <v>48</v>
      </c>
      <c r="AJ13" s="40" t="s">
        <v>48</v>
      </c>
      <c r="AK13" s="40" t="s">
        <v>48</v>
      </c>
      <c r="AL13" s="40" t="s">
        <v>48</v>
      </c>
      <c r="AM13" s="40" t="s">
        <v>48</v>
      </c>
      <c r="AN13" s="40" t="s">
        <v>48</v>
      </c>
    </row>
    <row r="14" spans="1:43" x14ac:dyDescent="0.35">
      <c r="A14" s="12">
        <v>7</v>
      </c>
      <c r="B14" s="33"/>
      <c r="C14" s="38" t="str">
        <f>Notes!T15</f>
        <v xml:space="preserve">               Rice paddy (Aman)</v>
      </c>
      <c r="D14" s="4" t="s">
        <v>697</v>
      </c>
      <c r="E14" s="46">
        <v>1.3204534025699544</v>
      </c>
      <c r="F14" s="42" t="s">
        <v>48</v>
      </c>
      <c r="G14" s="40" t="s">
        <v>48</v>
      </c>
      <c r="H14" s="40" t="s">
        <v>48</v>
      </c>
      <c r="I14" s="40" t="s">
        <v>48</v>
      </c>
      <c r="J14" s="40" t="s">
        <v>48</v>
      </c>
      <c r="K14" s="40" t="s">
        <v>48</v>
      </c>
      <c r="L14" s="40" t="s">
        <v>48</v>
      </c>
      <c r="M14" s="40" t="s">
        <v>48</v>
      </c>
      <c r="N14" s="40" t="s">
        <v>48</v>
      </c>
      <c r="O14" s="40" t="s">
        <v>48</v>
      </c>
      <c r="P14" s="40" t="s">
        <v>48</v>
      </c>
      <c r="Q14" s="40" t="s">
        <v>48</v>
      </c>
      <c r="R14" s="40" t="s">
        <v>48</v>
      </c>
      <c r="S14" s="40" t="s">
        <v>48</v>
      </c>
      <c r="T14" s="40" t="s">
        <v>48</v>
      </c>
      <c r="V14" s="33"/>
      <c r="W14" s="38" t="str">
        <f>Notes!T15</f>
        <v xml:space="preserve">               Rice paddy (Aman)</v>
      </c>
      <c r="X14" s="4" t="s">
        <v>697</v>
      </c>
      <c r="Y14" s="44">
        <v>1.3204534025699544</v>
      </c>
      <c r="Z14" s="47" t="s">
        <v>48</v>
      </c>
      <c r="AA14" s="40" t="s">
        <v>48</v>
      </c>
      <c r="AB14" s="40" t="s">
        <v>48</v>
      </c>
      <c r="AC14" s="40" t="s">
        <v>48</v>
      </c>
      <c r="AD14" s="40" t="s">
        <v>48</v>
      </c>
      <c r="AE14" s="40" t="s">
        <v>48</v>
      </c>
      <c r="AF14" s="40" t="s">
        <v>48</v>
      </c>
      <c r="AG14" s="40" t="s">
        <v>48</v>
      </c>
      <c r="AH14" s="40" t="s">
        <v>48</v>
      </c>
      <c r="AI14" s="40" t="s">
        <v>48</v>
      </c>
      <c r="AJ14" s="40" t="s">
        <v>48</v>
      </c>
      <c r="AK14" s="40" t="s">
        <v>48</v>
      </c>
      <c r="AL14" s="40" t="s">
        <v>48</v>
      </c>
      <c r="AM14" s="40" t="s">
        <v>48</v>
      </c>
      <c r="AN14" s="40" t="s">
        <v>48</v>
      </c>
    </row>
    <row r="15" spans="1:43" x14ac:dyDescent="0.35">
      <c r="A15" s="12">
        <v>8</v>
      </c>
      <c r="B15" s="33"/>
      <c r="C15" s="38" t="str">
        <f>Notes!T16</f>
        <v xml:space="preserve">               Other cereals</v>
      </c>
      <c r="D15" s="4" t="s">
        <v>316</v>
      </c>
      <c r="E15" s="46">
        <v>4.314880620219759E-2</v>
      </c>
      <c r="F15" s="42" t="s">
        <v>48</v>
      </c>
      <c r="G15" s="40" t="s">
        <v>48</v>
      </c>
      <c r="H15" s="40" t="s">
        <v>48</v>
      </c>
      <c r="I15" s="40" t="s">
        <v>48</v>
      </c>
      <c r="J15" s="40" t="s">
        <v>48</v>
      </c>
      <c r="K15" s="4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      <c r="V15" s="33"/>
      <c r="W15" s="38" t="str">
        <f>Notes!T16</f>
        <v xml:space="preserve">               Other cereals</v>
      </c>
      <c r="X15" s="4" t="s">
        <v>316</v>
      </c>
      <c r="Y15" s="44">
        <v>4.314880620219759E-2</v>
      </c>
      <c r="Z15" s="47" t="s">
        <v>48</v>
      </c>
      <c r="AA15" s="40" t="s">
        <v>48</v>
      </c>
      <c r="AB15" s="40" t="s">
        <v>48</v>
      </c>
      <c r="AC15" s="40" t="s">
        <v>48</v>
      </c>
      <c r="AD15" s="40" t="s">
        <v>48</v>
      </c>
      <c r="AE15" s="40" t="s">
        <v>48</v>
      </c>
      <c r="AF15" s="40" t="s">
        <v>48</v>
      </c>
      <c r="AG15" s="40" t="s">
        <v>48</v>
      </c>
      <c r="AH15" s="40" t="s">
        <v>48</v>
      </c>
      <c r="AI15" s="40" t="s">
        <v>48</v>
      </c>
      <c r="AJ15" s="40" t="s">
        <v>48</v>
      </c>
      <c r="AK15" s="40" t="s">
        <v>48</v>
      </c>
      <c r="AL15" s="40" t="s">
        <v>48</v>
      </c>
      <c r="AM15" s="40" t="s">
        <v>48</v>
      </c>
      <c r="AN15" s="40" t="s">
        <v>48</v>
      </c>
    </row>
    <row r="16" spans="1:43" x14ac:dyDescent="0.35">
      <c r="A16" s="12">
        <v>9</v>
      </c>
      <c r="B16" s="33"/>
      <c r="C16" s="38" t="str">
        <f>Notes!T17</f>
        <v xml:space="preserve">               Irish potatoes</v>
      </c>
      <c r="D16" s="4" t="s">
        <v>475</v>
      </c>
      <c r="E16" s="46">
        <v>0.78768695901528396</v>
      </c>
      <c r="F16" s="42" t="s">
        <v>48</v>
      </c>
      <c r="G16" s="40" t="s">
        <v>48</v>
      </c>
      <c r="H16" s="40" t="s">
        <v>48</v>
      </c>
      <c r="I16" s="40" t="s">
        <v>48</v>
      </c>
      <c r="J16" s="40" t="s">
        <v>48</v>
      </c>
      <c r="K16" s="4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0" t="s">
        <v>48</v>
      </c>
      <c r="Q16" s="40" t="s">
        <v>48</v>
      </c>
      <c r="R16" s="40" t="s">
        <v>48</v>
      </c>
      <c r="S16" s="40" t="s">
        <v>48</v>
      </c>
      <c r="T16" s="40" t="s">
        <v>48</v>
      </c>
      <c r="V16" s="33"/>
      <c r="W16" s="38" t="str">
        <f>Notes!T17</f>
        <v xml:space="preserve">               Irish potatoes</v>
      </c>
      <c r="X16" s="4" t="s">
        <v>475</v>
      </c>
      <c r="Y16" s="44">
        <v>0.78768695901528396</v>
      </c>
      <c r="Z16" s="47" t="s">
        <v>48</v>
      </c>
      <c r="AA16" s="40" t="s">
        <v>48</v>
      </c>
      <c r="AB16" s="40" t="s">
        <v>48</v>
      </c>
      <c r="AC16" s="40" t="s">
        <v>48</v>
      </c>
      <c r="AD16" s="40" t="s">
        <v>48</v>
      </c>
      <c r="AE16" s="40" t="s">
        <v>48</v>
      </c>
      <c r="AF16" s="40" t="s">
        <v>48</v>
      </c>
      <c r="AG16" s="40" t="s">
        <v>48</v>
      </c>
      <c r="AH16" s="40" t="s">
        <v>48</v>
      </c>
      <c r="AI16" s="40" t="s">
        <v>48</v>
      </c>
      <c r="AJ16" s="40" t="s">
        <v>48</v>
      </c>
      <c r="AK16" s="40" t="s">
        <v>48</v>
      </c>
      <c r="AL16" s="40" t="s">
        <v>48</v>
      </c>
      <c r="AM16" s="40" t="s">
        <v>48</v>
      </c>
      <c r="AN16" s="40" t="s">
        <v>48</v>
      </c>
    </row>
    <row r="17" spans="1:40" x14ac:dyDescent="0.35">
      <c r="A17" s="12">
        <v>10</v>
      </c>
      <c r="B17" s="33"/>
      <c r="C17" s="38" t="str">
        <f>Notes!T18</f>
        <v xml:space="preserve">               Sweet potatoes</v>
      </c>
      <c r="D17" s="4" t="s">
        <v>477</v>
      </c>
      <c r="E17" s="44">
        <v>3.8452902567795528E-3</v>
      </c>
      <c r="F17" s="42" t="s">
        <v>48</v>
      </c>
      <c r="G17" s="40" t="s">
        <v>48</v>
      </c>
      <c r="H17" s="40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V17" s="33"/>
      <c r="W17" s="38" t="str">
        <f>Notes!T18</f>
        <v xml:space="preserve">               Sweet potatoes</v>
      </c>
      <c r="X17" s="4" t="s">
        <v>477</v>
      </c>
      <c r="Y17" s="44">
        <v>3.8452902567795528E-3</v>
      </c>
      <c r="Z17" s="42" t="s">
        <v>48</v>
      </c>
      <c r="AA17" s="40" t="s">
        <v>48</v>
      </c>
      <c r="AB17" s="40" t="s">
        <v>48</v>
      </c>
      <c r="AC17" s="40" t="s">
        <v>48</v>
      </c>
      <c r="AD17" s="40" t="s">
        <v>48</v>
      </c>
      <c r="AE17" s="40" t="s">
        <v>48</v>
      </c>
      <c r="AF17" s="40" t="s">
        <v>48</v>
      </c>
      <c r="AG17" s="40" t="s">
        <v>48</v>
      </c>
      <c r="AH17" s="40" t="s">
        <v>48</v>
      </c>
      <c r="AI17" s="40" t="s">
        <v>48</v>
      </c>
      <c r="AJ17" s="40" t="s">
        <v>48</v>
      </c>
      <c r="AK17" s="40" t="s">
        <v>48</v>
      </c>
      <c r="AL17" s="40" t="s">
        <v>48</v>
      </c>
      <c r="AM17" s="40" t="s">
        <v>48</v>
      </c>
      <c r="AN17" s="40" t="s">
        <v>48</v>
      </c>
    </row>
    <row r="18" spans="1:40" x14ac:dyDescent="0.35">
      <c r="A18" s="12">
        <v>11</v>
      </c>
      <c r="B18" s="33"/>
      <c r="C18" s="38" t="str">
        <f>Notes!T19</f>
        <v xml:space="preserve">               Cassava</v>
      </c>
      <c r="D18" s="4" t="s">
        <v>473</v>
      </c>
      <c r="E18" s="44">
        <v>2.2666916260868089</v>
      </c>
      <c r="F18" s="42" t="s">
        <v>48</v>
      </c>
      <c r="G18" s="40" t="s">
        <v>48</v>
      </c>
      <c r="H18" s="40" t="s">
        <v>48</v>
      </c>
      <c r="I18" s="40" t="s">
        <v>48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0" t="s">
        <v>48</v>
      </c>
      <c r="Q18" s="40" t="s">
        <v>48</v>
      </c>
      <c r="R18" s="40" t="s">
        <v>48</v>
      </c>
      <c r="S18" s="40" t="s">
        <v>48</v>
      </c>
      <c r="T18" s="40" t="s">
        <v>48</v>
      </c>
      <c r="V18" s="33"/>
      <c r="W18" s="38" t="str">
        <f>Notes!T19</f>
        <v xml:space="preserve">               Cassava</v>
      </c>
      <c r="X18" s="4" t="s">
        <v>473</v>
      </c>
      <c r="Y18" s="44">
        <v>2.2666916260868089</v>
      </c>
      <c r="Z18" s="42" t="s">
        <v>48</v>
      </c>
      <c r="AA18" s="40" t="s">
        <v>48</v>
      </c>
      <c r="AB18" s="40" t="s">
        <v>48</v>
      </c>
      <c r="AC18" s="40" t="s">
        <v>48</v>
      </c>
      <c r="AD18" s="40" t="s">
        <v>48</v>
      </c>
      <c r="AE18" s="40" t="s">
        <v>48</v>
      </c>
      <c r="AF18" s="40" t="s">
        <v>48</v>
      </c>
      <c r="AG18" s="40" t="s">
        <v>48</v>
      </c>
      <c r="AH18" s="40" t="s">
        <v>48</v>
      </c>
      <c r="AI18" s="40" t="s">
        <v>48</v>
      </c>
      <c r="AJ18" s="40" t="s">
        <v>48</v>
      </c>
      <c r="AK18" s="40" t="s">
        <v>48</v>
      </c>
      <c r="AL18" s="40" t="s">
        <v>48</v>
      </c>
      <c r="AM18" s="40" t="s">
        <v>48</v>
      </c>
      <c r="AN18" s="40" t="s">
        <v>48</v>
      </c>
    </row>
    <row r="19" spans="1:40" x14ac:dyDescent="0.35">
      <c r="A19" s="12">
        <v>12</v>
      </c>
      <c r="B19" s="33"/>
      <c r="C19" s="38" t="str">
        <f>Notes!T20</f>
        <v xml:space="preserve">               Other roots</v>
      </c>
      <c r="D19" s="4" t="s">
        <v>319</v>
      </c>
      <c r="E19" s="44">
        <v>2.0164101968213828</v>
      </c>
      <c r="F19" s="42" t="s">
        <v>48</v>
      </c>
      <c r="G19" s="40" t="s">
        <v>48</v>
      </c>
      <c r="H19" s="40" t="s">
        <v>48</v>
      </c>
      <c r="I19" s="40" t="s">
        <v>48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0" t="s">
        <v>48</v>
      </c>
      <c r="P19" s="40" t="s">
        <v>48</v>
      </c>
      <c r="Q19" s="40" t="s">
        <v>48</v>
      </c>
      <c r="R19" s="40" t="s">
        <v>48</v>
      </c>
      <c r="S19" s="40" t="s">
        <v>48</v>
      </c>
      <c r="T19" s="40" t="s">
        <v>48</v>
      </c>
      <c r="V19" s="33"/>
      <c r="W19" s="38" t="str">
        <f>Notes!T20</f>
        <v xml:space="preserve">               Other roots</v>
      </c>
      <c r="X19" s="4" t="s">
        <v>319</v>
      </c>
      <c r="Y19" s="44">
        <v>2.0164101968213828</v>
      </c>
      <c r="Z19" s="42" t="s">
        <v>48</v>
      </c>
      <c r="AA19" s="40" t="s">
        <v>48</v>
      </c>
      <c r="AB19" s="40" t="s">
        <v>48</v>
      </c>
      <c r="AC19" s="40" t="s">
        <v>48</v>
      </c>
      <c r="AD19" s="40" t="s">
        <v>48</v>
      </c>
      <c r="AE19" s="40" t="s">
        <v>48</v>
      </c>
      <c r="AF19" s="40" t="s">
        <v>48</v>
      </c>
      <c r="AG19" s="40" t="s">
        <v>48</v>
      </c>
      <c r="AH19" s="40" t="s">
        <v>48</v>
      </c>
      <c r="AI19" s="40" t="s">
        <v>48</v>
      </c>
      <c r="AJ19" s="40" t="s">
        <v>48</v>
      </c>
      <c r="AK19" s="40" t="s">
        <v>48</v>
      </c>
      <c r="AL19" s="40" t="s">
        <v>48</v>
      </c>
      <c r="AM19" s="40" t="s">
        <v>48</v>
      </c>
      <c r="AN19" s="40" t="s">
        <v>48</v>
      </c>
    </row>
    <row r="20" spans="1:40" x14ac:dyDescent="0.35">
      <c r="A20" s="12">
        <v>13</v>
      </c>
      <c r="B20" s="33"/>
      <c r="C20" s="38" t="str">
        <f>Notes!T21</f>
        <v xml:space="preserve">               Beans</v>
      </c>
      <c r="D20" s="4" t="s">
        <v>698</v>
      </c>
      <c r="E20" s="44">
        <v>1.6496232469838712</v>
      </c>
      <c r="F20" s="42" t="s">
        <v>48</v>
      </c>
      <c r="G20" s="40" t="s">
        <v>48</v>
      </c>
      <c r="H20" s="40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V20" s="33"/>
      <c r="W20" s="38" t="str">
        <f>Notes!T21</f>
        <v xml:space="preserve">               Beans</v>
      </c>
      <c r="X20" s="4" t="s">
        <v>698</v>
      </c>
      <c r="Y20" s="44">
        <v>1.6496232469838712</v>
      </c>
      <c r="Z20" s="42" t="s">
        <v>48</v>
      </c>
      <c r="AA20" s="40" t="s">
        <v>48</v>
      </c>
      <c r="AB20" s="40" t="s">
        <v>48</v>
      </c>
      <c r="AC20" s="40" t="s">
        <v>48</v>
      </c>
      <c r="AD20" s="40" t="s">
        <v>48</v>
      </c>
      <c r="AE20" s="40" t="s">
        <v>48</v>
      </c>
      <c r="AF20" s="40" t="s">
        <v>48</v>
      </c>
      <c r="AG20" s="40" t="s">
        <v>48</v>
      </c>
      <c r="AH20" s="40" t="s">
        <v>48</v>
      </c>
      <c r="AI20" s="40" t="s">
        <v>48</v>
      </c>
      <c r="AJ20" s="40" t="s">
        <v>48</v>
      </c>
      <c r="AK20" s="40" t="s">
        <v>48</v>
      </c>
      <c r="AL20" s="40" t="s">
        <v>48</v>
      </c>
      <c r="AM20" s="40" t="s">
        <v>48</v>
      </c>
      <c r="AN20" s="40" t="s">
        <v>48</v>
      </c>
    </row>
    <row r="21" spans="1:40" x14ac:dyDescent="0.35">
      <c r="A21" s="12">
        <v>14</v>
      </c>
      <c r="B21" s="33"/>
      <c r="C21" s="38" t="str">
        <f>Notes!T22</f>
        <v xml:space="preserve">               Peas</v>
      </c>
      <c r="D21" s="4" t="s">
        <v>699</v>
      </c>
      <c r="E21" s="44">
        <v>0.28502289860816521</v>
      </c>
      <c r="F21" s="42" t="s">
        <v>48</v>
      </c>
      <c r="G21" s="40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V21" s="33"/>
      <c r="W21" s="38" t="str">
        <f>Notes!T22</f>
        <v xml:space="preserve">               Peas</v>
      </c>
      <c r="X21" s="4" t="s">
        <v>699</v>
      </c>
      <c r="Y21" s="44">
        <v>0.28502289860816521</v>
      </c>
      <c r="Z21" s="42" t="s">
        <v>48</v>
      </c>
      <c r="AA21" s="40" t="s">
        <v>48</v>
      </c>
      <c r="AB21" s="40" t="s">
        <v>48</v>
      </c>
      <c r="AC21" s="40" t="s">
        <v>48</v>
      </c>
      <c r="AD21" s="40" t="s">
        <v>48</v>
      </c>
      <c r="AE21" s="40" t="s">
        <v>48</v>
      </c>
      <c r="AF21" s="40" t="s">
        <v>48</v>
      </c>
      <c r="AG21" s="40" t="s">
        <v>48</v>
      </c>
      <c r="AH21" s="40" t="s">
        <v>48</v>
      </c>
      <c r="AI21" s="40" t="s">
        <v>48</v>
      </c>
      <c r="AJ21" s="40" t="s">
        <v>48</v>
      </c>
      <c r="AK21" s="40" t="s">
        <v>48</v>
      </c>
      <c r="AL21" s="40" t="s">
        <v>48</v>
      </c>
      <c r="AM21" s="40" t="s">
        <v>48</v>
      </c>
      <c r="AN21" s="40" t="s">
        <v>48</v>
      </c>
    </row>
    <row r="22" spans="1:40" x14ac:dyDescent="0.35">
      <c r="A22" s="12">
        <v>15</v>
      </c>
      <c r="B22" s="33"/>
      <c r="C22" s="38" t="str">
        <f>Notes!T23</f>
        <v xml:space="preserve">               Other vegetables</v>
      </c>
      <c r="D22" s="4" t="s">
        <v>320</v>
      </c>
      <c r="E22" s="44">
        <v>3.0603335744000253</v>
      </c>
      <c r="F22" s="42" t="s">
        <v>48</v>
      </c>
      <c r="G22" s="40" t="s">
        <v>48</v>
      </c>
      <c r="H22" s="40" t="s">
        <v>48</v>
      </c>
      <c r="I22" s="40" t="s">
        <v>48</v>
      </c>
      <c r="J22" s="40" t="s">
        <v>48</v>
      </c>
      <c r="K22" s="4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0" t="s">
        <v>48</v>
      </c>
      <c r="Q22" s="40" t="s">
        <v>48</v>
      </c>
      <c r="R22" s="40" t="s">
        <v>48</v>
      </c>
      <c r="S22" s="40" t="s">
        <v>48</v>
      </c>
      <c r="T22" s="40" t="s">
        <v>48</v>
      </c>
      <c r="V22" s="33"/>
      <c r="W22" s="38" t="str">
        <f>Notes!T23</f>
        <v xml:space="preserve">               Other vegetables</v>
      </c>
      <c r="X22" s="4" t="s">
        <v>320</v>
      </c>
      <c r="Y22" s="44">
        <v>3.0603335744000253</v>
      </c>
      <c r="Z22" s="42" t="s">
        <v>48</v>
      </c>
      <c r="AA22" s="40" t="s">
        <v>48</v>
      </c>
      <c r="AB22" s="40" t="s">
        <v>48</v>
      </c>
      <c r="AC22" s="40" t="s">
        <v>48</v>
      </c>
      <c r="AD22" s="40" t="s">
        <v>48</v>
      </c>
      <c r="AE22" s="40" t="s">
        <v>48</v>
      </c>
      <c r="AF22" s="40" t="s">
        <v>48</v>
      </c>
      <c r="AG22" s="40" t="s">
        <v>48</v>
      </c>
      <c r="AH22" s="40" t="s">
        <v>48</v>
      </c>
      <c r="AI22" s="40" t="s">
        <v>48</v>
      </c>
      <c r="AJ22" s="40" t="s">
        <v>48</v>
      </c>
      <c r="AK22" s="40" t="s">
        <v>48</v>
      </c>
      <c r="AL22" s="40" t="s">
        <v>48</v>
      </c>
      <c r="AM22" s="40" t="s">
        <v>48</v>
      </c>
      <c r="AN22" s="40" t="s">
        <v>48</v>
      </c>
    </row>
    <row r="23" spans="1:40" x14ac:dyDescent="0.35">
      <c r="A23" s="12">
        <v>16</v>
      </c>
      <c r="B23" s="33"/>
      <c r="C23" s="38" t="str">
        <f>Notes!T24</f>
        <v xml:space="preserve">               Bananas and plantains</v>
      </c>
      <c r="D23" s="4" t="s">
        <v>700</v>
      </c>
      <c r="E23" s="44">
        <v>0.28685289036385503</v>
      </c>
      <c r="F23" s="42" t="s">
        <v>48</v>
      </c>
      <c r="G23" s="40" t="s">
        <v>48</v>
      </c>
      <c r="H23" s="40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V23" s="33"/>
      <c r="W23" s="38" t="str">
        <f>Notes!T24</f>
        <v xml:space="preserve">               Bananas and plantains</v>
      </c>
      <c r="X23" s="4" t="s">
        <v>700</v>
      </c>
      <c r="Y23" s="44">
        <v>0.28685289036385503</v>
      </c>
      <c r="Z23" s="42" t="s">
        <v>48</v>
      </c>
      <c r="AA23" s="40" t="s">
        <v>48</v>
      </c>
      <c r="AB23" s="40" t="s">
        <v>48</v>
      </c>
      <c r="AC23" s="40" t="s">
        <v>48</v>
      </c>
      <c r="AD23" s="40" t="s">
        <v>48</v>
      </c>
      <c r="AE23" s="40" t="s">
        <v>48</v>
      </c>
      <c r="AF23" s="40" t="s">
        <v>48</v>
      </c>
      <c r="AG23" s="40" t="s">
        <v>48</v>
      </c>
      <c r="AH23" s="40" t="s">
        <v>48</v>
      </c>
      <c r="AI23" s="40" t="s">
        <v>48</v>
      </c>
      <c r="AJ23" s="40" t="s">
        <v>48</v>
      </c>
      <c r="AK23" s="40" t="s">
        <v>48</v>
      </c>
      <c r="AL23" s="40" t="s">
        <v>48</v>
      </c>
      <c r="AM23" s="40" t="s">
        <v>48</v>
      </c>
      <c r="AN23" s="40" t="s">
        <v>48</v>
      </c>
    </row>
    <row r="24" spans="1:40" x14ac:dyDescent="0.35">
      <c r="A24" s="12">
        <v>17</v>
      </c>
      <c r="B24" s="33"/>
      <c r="C24" s="38" t="str">
        <f>Notes!T25</f>
        <v xml:space="preserve">               Bananas and plantains</v>
      </c>
      <c r="D24" s="4" t="s">
        <v>701</v>
      </c>
      <c r="E24" s="44">
        <v>2.0184465581631028</v>
      </c>
      <c r="F24" s="42" t="s">
        <v>48</v>
      </c>
      <c r="G24" s="40" t="s">
        <v>48</v>
      </c>
      <c r="H24" s="40" t="s">
        <v>48</v>
      </c>
      <c r="I24" s="40" t="s">
        <v>48</v>
      </c>
      <c r="J24" s="40" t="s">
        <v>48</v>
      </c>
      <c r="K24" s="40" t="s">
        <v>48</v>
      </c>
      <c r="L24" s="40" t="s">
        <v>48</v>
      </c>
      <c r="M24" s="40" t="s">
        <v>48</v>
      </c>
      <c r="N24" s="40" t="s">
        <v>48</v>
      </c>
      <c r="O24" s="40" t="s">
        <v>48</v>
      </c>
      <c r="P24" s="40" t="s">
        <v>48</v>
      </c>
      <c r="Q24" s="40" t="s">
        <v>48</v>
      </c>
      <c r="R24" s="40" t="s">
        <v>48</v>
      </c>
      <c r="S24" s="40" t="s">
        <v>48</v>
      </c>
      <c r="T24" s="40" t="s">
        <v>48</v>
      </c>
      <c r="V24" s="33"/>
      <c r="W24" s="38" t="str">
        <f>Notes!T25</f>
        <v xml:space="preserve">               Bananas and plantains</v>
      </c>
      <c r="X24" s="4" t="s">
        <v>701</v>
      </c>
      <c r="Y24" s="44">
        <v>2.0184465581631028</v>
      </c>
      <c r="Z24" s="42" t="s">
        <v>48</v>
      </c>
      <c r="AA24" s="40" t="s">
        <v>48</v>
      </c>
      <c r="AB24" s="40" t="s">
        <v>48</v>
      </c>
      <c r="AC24" s="40" t="s">
        <v>48</v>
      </c>
      <c r="AD24" s="40" t="s">
        <v>48</v>
      </c>
      <c r="AE24" s="40" t="s">
        <v>48</v>
      </c>
      <c r="AF24" s="40" t="s">
        <v>48</v>
      </c>
      <c r="AG24" s="40" t="s">
        <v>48</v>
      </c>
      <c r="AH24" s="40" t="s">
        <v>48</v>
      </c>
      <c r="AI24" s="40" t="s">
        <v>48</v>
      </c>
      <c r="AJ24" s="40" t="s">
        <v>48</v>
      </c>
      <c r="AK24" s="40" t="s">
        <v>48</v>
      </c>
      <c r="AL24" s="40" t="s">
        <v>48</v>
      </c>
      <c r="AM24" s="40" t="s">
        <v>48</v>
      </c>
      <c r="AN24" s="40" t="s">
        <v>48</v>
      </c>
    </row>
    <row r="25" spans="1:40" x14ac:dyDescent="0.35">
      <c r="A25" s="12">
        <v>18</v>
      </c>
      <c r="B25" s="33"/>
      <c r="C25" s="38" t="str">
        <f>Notes!T26</f>
        <v xml:space="preserve">               Bananas and plantains</v>
      </c>
      <c r="D25" s="4" t="s">
        <v>702</v>
      </c>
      <c r="E25" s="44">
        <v>1.1150313797694071</v>
      </c>
      <c r="F25" s="42" t="s">
        <v>48</v>
      </c>
      <c r="G25" s="40" t="s">
        <v>48</v>
      </c>
      <c r="H25" s="40" t="s">
        <v>48</v>
      </c>
      <c r="I25" s="40" t="s">
        <v>48</v>
      </c>
      <c r="J25" s="40" t="s">
        <v>48</v>
      </c>
      <c r="K25" s="40" t="s">
        <v>48</v>
      </c>
      <c r="L25" s="40" t="s">
        <v>48</v>
      </c>
      <c r="M25" s="40" t="s">
        <v>48</v>
      </c>
      <c r="N25" s="40" t="s">
        <v>48</v>
      </c>
      <c r="O25" s="40" t="s">
        <v>48</v>
      </c>
      <c r="P25" s="40" t="s">
        <v>48</v>
      </c>
      <c r="Q25" s="40" t="s">
        <v>48</v>
      </c>
      <c r="R25" s="40" t="s">
        <v>48</v>
      </c>
      <c r="S25" s="40" t="s">
        <v>48</v>
      </c>
      <c r="T25" s="40" t="s">
        <v>48</v>
      </c>
      <c r="V25" s="33"/>
      <c r="W25" s="38" t="str">
        <f>Notes!T26</f>
        <v xml:space="preserve">               Bananas and plantains</v>
      </c>
      <c r="X25" s="4" t="s">
        <v>702</v>
      </c>
      <c r="Y25" s="44">
        <v>1.1150313797694071</v>
      </c>
      <c r="Z25" s="42" t="s">
        <v>48</v>
      </c>
      <c r="AA25" s="40" t="s">
        <v>48</v>
      </c>
      <c r="AB25" s="40" t="s">
        <v>48</v>
      </c>
      <c r="AC25" s="40" t="s">
        <v>48</v>
      </c>
      <c r="AD25" s="40" t="s">
        <v>48</v>
      </c>
      <c r="AE25" s="40" t="s">
        <v>48</v>
      </c>
      <c r="AF25" s="40" t="s">
        <v>48</v>
      </c>
      <c r="AG25" s="40" t="s">
        <v>48</v>
      </c>
      <c r="AH25" s="40" t="s">
        <v>48</v>
      </c>
      <c r="AI25" s="40" t="s">
        <v>48</v>
      </c>
      <c r="AJ25" s="40" t="s">
        <v>48</v>
      </c>
      <c r="AK25" s="40" t="s">
        <v>48</v>
      </c>
      <c r="AL25" s="40" t="s">
        <v>48</v>
      </c>
      <c r="AM25" s="40" t="s">
        <v>48</v>
      </c>
      <c r="AN25" s="40" t="s">
        <v>48</v>
      </c>
    </row>
    <row r="26" spans="1:40" x14ac:dyDescent="0.35">
      <c r="A26" s="12">
        <v>19</v>
      </c>
      <c r="B26" s="33"/>
      <c r="C26" s="38" t="str">
        <f>Notes!T27</f>
        <v xml:space="preserve">               Other fruits</v>
      </c>
      <c r="D26" s="4" t="s">
        <v>326</v>
      </c>
      <c r="E26" s="44">
        <v>2.0797846948330942</v>
      </c>
      <c r="F26" s="42" t="s">
        <v>48</v>
      </c>
      <c r="G26" s="40" t="s">
        <v>48</v>
      </c>
      <c r="H26" s="40" t="s">
        <v>48</v>
      </c>
      <c r="I26" s="40" t="s">
        <v>48</v>
      </c>
      <c r="J26" s="40" t="s">
        <v>48</v>
      </c>
      <c r="K26" s="40" t="s">
        <v>48</v>
      </c>
      <c r="L26" s="40" t="s">
        <v>48</v>
      </c>
      <c r="M26" s="40" t="s">
        <v>48</v>
      </c>
      <c r="N26" s="40" t="s">
        <v>48</v>
      </c>
      <c r="O26" s="40" t="s">
        <v>48</v>
      </c>
      <c r="P26" s="40" t="s">
        <v>48</v>
      </c>
      <c r="Q26" s="40" t="s">
        <v>48</v>
      </c>
      <c r="R26" s="40" t="s">
        <v>48</v>
      </c>
      <c r="S26" s="40" t="s">
        <v>48</v>
      </c>
      <c r="T26" s="40" t="s">
        <v>48</v>
      </c>
      <c r="V26" s="33"/>
      <c r="W26" s="38" t="str">
        <f>Notes!T27</f>
        <v xml:space="preserve">               Other fruits</v>
      </c>
      <c r="X26" s="4" t="s">
        <v>326</v>
      </c>
      <c r="Y26" s="44">
        <v>2.0797846948330942</v>
      </c>
      <c r="Z26" s="42" t="s">
        <v>48</v>
      </c>
      <c r="AA26" s="40" t="s">
        <v>48</v>
      </c>
      <c r="AB26" s="40" t="s">
        <v>48</v>
      </c>
      <c r="AC26" s="40" t="s">
        <v>48</v>
      </c>
      <c r="AD26" s="40" t="s">
        <v>48</v>
      </c>
      <c r="AE26" s="40" t="s">
        <v>48</v>
      </c>
      <c r="AF26" s="40" t="s">
        <v>48</v>
      </c>
      <c r="AG26" s="40" t="s">
        <v>48</v>
      </c>
      <c r="AH26" s="40" t="s">
        <v>48</v>
      </c>
      <c r="AI26" s="40" t="s">
        <v>48</v>
      </c>
      <c r="AJ26" s="40" t="s">
        <v>48</v>
      </c>
      <c r="AK26" s="40" t="s">
        <v>48</v>
      </c>
      <c r="AL26" s="40" t="s">
        <v>48</v>
      </c>
      <c r="AM26" s="40" t="s">
        <v>48</v>
      </c>
      <c r="AN26" s="40" t="s">
        <v>48</v>
      </c>
    </row>
    <row r="27" spans="1:40" x14ac:dyDescent="0.35">
      <c r="A27" s="12">
        <v>20</v>
      </c>
      <c r="B27" s="33"/>
      <c r="C27" s="38" t="str">
        <f>Notes!T28</f>
        <v xml:space="preserve">               Groundnuts</v>
      </c>
      <c r="D27" s="4" t="s">
        <v>470</v>
      </c>
      <c r="E27" s="44">
        <v>0.38166891128947272</v>
      </c>
      <c r="F27" s="42" t="s">
        <v>48</v>
      </c>
      <c r="G27" s="40" t="s">
        <v>48</v>
      </c>
      <c r="H27" s="40" t="s">
        <v>48</v>
      </c>
      <c r="I27" s="40" t="s">
        <v>48</v>
      </c>
      <c r="J27" s="40" t="s">
        <v>48</v>
      </c>
      <c r="K27" s="40" t="s">
        <v>48</v>
      </c>
      <c r="L27" s="40" t="s">
        <v>48</v>
      </c>
      <c r="M27" s="40" t="s">
        <v>48</v>
      </c>
      <c r="N27" s="40" t="s">
        <v>48</v>
      </c>
      <c r="O27" s="40" t="s">
        <v>48</v>
      </c>
      <c r="P27" s="40" t="s">
        <v>48</v>
      </c>
      <c r="Q27" s="40" t="s">
        <v>48</v>
      </c>
      <c r="R27" s="40" t="s">
        <v>48</v>
      </c>
      <c r="S27" s="40" t="s">
        <v>48</v>
      </c>
      <c r="T27" s="40" t="s">
        <v>48</v>
      </c>
      <c r="V27" s="33"/>
      <c r="W27" s="38" t="str">
        <f>Notes!T28</f>
        <v xml:space="preserve">               Groundnuts</v>
      </c>
      <c r="X27" s="4" t="s">
        <v>470</v>
      </c>
      <c r="Y27" s="44">
        <v>0.38166891128947272</v>
      </c>
      <c r="Z27" s="42" t="s">
        <v>48</v>
      </c>
      <c r="AA27" s="40" t="s">
        <v>48</v>
      </c>
      <c r="AB27" s="40" t="s">
        <v>48</v>
      </c>
      <c r="AC27" s="40" t="s">
        <v>48</v>
      </c>
      <c r="AD27" s="40" t="s">
        <v>48</v>
      </c>
      <c r="AE27" s="40" t="s">
        <v>48</v>
      </c>
      <c r="AF27" s="40" t="s">
        <v>48</v>
      </c>
      <c r="AG27" s="40" t="s">
        <v>48</v>
      </c>
      <c r="AH27" s="40" t="s">
        <v>48</v>
      </c>
      <c r="AI27" s="40" t="s">
        <v>48</v>
      </c>
      <c r="AJ27" s="40" t="s">
        <v>48</v>
      </c>
      <c r="AK27" s="40" t="s">
        <v>48</v>
      </c>
      <c r="AL27" s="40" t="s">
        <v>48</v>
      </c>
      <c r="AM27" s="40" t="s">
        <v>48</v>
      </c>
      <c r="AN27" s="40" t="s">
        <v>48</v>
      </c>
    </row>
    <row r="28" spans="1:40" x14ac:dyDescent="0.35">
      <c r="A28" s="12">
        <v>21</v>
      </c>
      <c r="B28" s="33"/>
      <c r="C28" s="38" t="str">
        <f>Notes!T29</f>
        <v xml:space="preserve">               Soya</v>
      </c>
      <c r="D28" s="4" t="s">
        <v>703</v>
      </c>
      <c r="E28" s="44">
        <v>0.35678437872313301</v>
      </c>
      <c r="F28" s="42" t="s">
        <v>48</v>
      </c>
      <c r="G28" s="40" t="s">
        <v>48</v>
      </c>
      <c r="H28" s="40" t="s">
        <v>48</v>
      </c>
      <c r="I28" s="40" t="s">
        <v>48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0" t="s">
        <v>48</v>
      </c>
      <c r="Q28" s="40" t="s">
        <v>48</v>
      </c>
      <c r="R28" s="40" t="s">
        <v>48</v>
      </c>
      <c r="S28" s="40" t="s">
        <v>48</v>
      </c>
      <c r="T28" s="40" t="s">
        <v>48</v>
      </c>
      <c r="V28" s="33"/>
      <c r="W28" s="38" t="str">
        <f>Notes!T29</f>
        <v xml:space="preserve">               Soya</v>
      </c>
      <c r="X28" s="4" t="s">
        <v>703</v>
      </c>
      <c r="Y28" s="44">
        <v>0.35678437872313301</v>
      </c>
      <c r="Z28" s="42" t="s">
        <v>48</v>
      </c>
      <c r="AA28" s="40" t="s">
        <v>48</v>
      </c>
      <c r="AB28" s="40" t="s">
        <v>48</v>
      </c>
      <c r="AC28" s="40" t="s">
        <v>48</v>
      </c>
      <c r="AD28" s="40" t="s">
        <v>48</v>
      </c>
      <c r="AE28" s="40" t="s">
        <v>48</v>
      </c>
      <c r="AF28" s="40" t="s">
        <v>48</v>
      </c>
      <c r="AG28" s="40" t="s">
        <v>48</v>
      </c>
      <c r="AH28" s="40" t="s">
        <v>48</v>
      </c>
      <c r="AI28" s="40" t="s">
        <v>48</v>
      </c>
      <c r="AJ28" s="40" t="s">
        <v>48</v>
      </c>
      <c r="AK28" s="40" t="s">
        <v>48</v>
      </c>
      <c r="AL28" s="40" t="s">
        <v>48</v>
      </c>
      <c r="AM28" s="40" t="s">
        <v>48</v>
      </c>
      <c r="AN28" s="40" t="s">
        <v>48</v>
      </c>
    </row>
    <row r="29" spans="1:40" x14ac:dyDescent="0.35">
      <c r="A29" s="12">
        <v>22</v>
      </c>
      <c r="B29" s="33"/>
      <c r="C29" s="38" t="str">
        <f>Notes!T30</f>
        <v xml:space="preserve">               Other oilseeds</v>
      </c>
      <c r="D29" s="4" t="s">
        <v>765</v>
      </c>
      <c r="E29" s="44">
        <v>0.12108434575371124</v>
      </c>
      <c r="F29" s="42" t="s">
        <v>48</v>
      </c>
      <c r="G29" s="40" t="s">
        <v>48</v>
      </c>
      <c r="H29" s="40" t="s">
        <v>48</v>
      </c>
      <c r="I29" s="40" t="s">
        <v>48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V29" s="33"/>
      <c r="W29" s="38" t="str">
        <f>Notes!T30</f>
        <v xml:space="preserve">               Other oilseeds</v>
      </c>
      <c r="X29" s="4" t="s">
        <v>765</v>
      </c>
      <c r="Y29" s="44">
        <v>0.12108434575371124</v>
      </c>
      <c r="Z29" s="42" t="s">
        <v>48</v>
      </c>
      <c r="AA29" s="40" t="s">
        <v>48</v>
      </c>
      <c r="AB29" s="40" t="s">
        <v>48</v>
      </c>
      <c r="AC29" s="40" t="s">
        <v>48</v>
      </c>
      <c r="AD29" s="40" t="s">
        <v>48</v>
      </c>
      <c r="AE29" s="40" t="s">
        <v>48</v>
      </c>
      <c r="AF29" s="40" t="s">
        <v>48</v>
      </c>
      <c r="AG29" s="40" t="s">
        <v>48</v>
      </c>
      <c r="AH29" s="40" t="s">
        <v>48</v>
      </c>
      <c r="AI29" s="40" t="s">
        <v>48</v>
      </c>
      <c r="AJ29" s="40" t="s">
        <v>48</v>
      </c>
      <c r="AK29" s="40" t="s">
        <v>48</v>
      </c>
      <c r="AL29" s="40" t="s">
        <v>48</v>
      </c>
      <c r="AM29" s="40" t="s">
        <v>48</v>
      </c>
      <c r="AN29" s="40" t="s">
        <v>48</v>
      </c>
    </row>
    <row r="30" spans="1:40" x14ac:dyDescent="0.35">
      <c r="A30" s="12">
        <v>23</v>
      </c>
      <c r="B30" s="33"/>
      <c r="C30" s="38" t="str">
        <f>Notes!T31</f>
        <v xml:space="preserve">               Coffee</v>
      </c>
      <c r="D30" s="4" t="s">
        <v>327</v>
      </c>
      <c r="E30" s="44">
        <v>4.0454355594544682E-2</v>
      </c>
      <c r="F30" s="42" t="s">
        <v>48</v>
      </c>
      <c r="G30" s="40" t="s">
        <v>48</v>
      </c>
      <c r="H30" s="40" t="s">
        <v>48</v>
      </c>
      <c r="I30" s="40" t="s">
        <v>48</v>
      </c>
      <c r="J30" s="40" t="s">
        <v>48</v>
      </c>
      <c r="K30" s="40" t="s">
        <v>48</v>
      </c>
      <c r="L30" s="40" t="s">
        <v>48</v>
      </c>
      <c r="M30" s="40" t="s">
        <v>48</v>
      </c>
      <c r="N30" s="40" t="s">
        <v>48</v>
      </c>
      <c r="O30" s="40" t="s">
        <v>48</v>
      </c>
      <c r="P30" s="40" t="s">
        <v>48</v>
      </c>
      <c r="Q30" s="40" t="s">
        <v>48</v>
      </c>
      <c r="R30" s="40" t="s">
        <v>48</v>
      </c>
      <c r="S30" s="40" t="s">
        <v>48</v>
      </c>
      <c r="T30" s="40" t="s">
        <v>48</v>
      </c>
      <c r="V30" s="33"/>
      <c r="W30" s="38" t="str">
        <f>Notes!T31</f>
        <v xml:space="preserve">               Coffee</v>
      </c>
      <c r="X30" s="4" t="s">
        <v>327</v>
      </c>
      <c r="Y30" s="44">
        <v>4.0454355594544682E-2</v>
      </c>
      <c r="Z30" s="42" t="s">
        <v>48</v>
      </c>
      <c r="AA30" s="40" t="s">
        <v>48</v>
      </c>
      <c r="AB30" s="40" t="s">
        <v>48</v>
      </c>
      <c r="AC30" s="40" t="s">
        <v>48</v>
      </c>
      <c r="AD30" s="40" t="s">
        <v>48</v>
      </c>
      <c r="AE30" s="40" t="s">
        <v>48</v>
      </c>
      <c r="AF30" s="40" t="s">
        <v>48</v>
      </c>
      <c r="AG30" s="40" t="s">
        <v>48</v>
      </c>
      <c r="AH30" s="40" t="s">
        <v>48</v>
      </c>
      <c r="AI30" s="40" t="s">
        <v>48</v>
      </c>
      <c r="AJ30" s="40" t="s">
        <v>48</v>
      </c>
      <c r="AK30" s="40" t="s">
        <v>48</v>
      </c>
      <c r="AL30" s="40" t="s">
        <v>48</v>
      </c>
      <c r="AM30" s="40" t="s">
        <v>48</v>
      </c>
      <c r="AN30" s="40" t="s">
        <v>48</v>
      </c>
    </row>
    <row r="31" spans="1:40" x14ac:dyDescent="0.35">
      <c r="A31" s="12">
        <v>24</v>
      </c>
      <c r="B31" s="33"/>
      <c r="C31" s="38" t="str">
        <f>Notes!T32</f>
        <v xml:space="preserve">               Leaf tea</v>
      </c>
      <c r="D31" s="4" t="s">
        <v>481</v>
      </c>
      <c r="E31" s="44" t="s">
        <v>48</v>
      </c>
      <c r="F31" s="42" t="s">
        <v>48</v>
      </c>
      <c r="G31" s="40" t="s">
        <v>48</v>
      </c>
      <c r="H31" s="40" t="s">
        <v>48</v>
      </c>
      <c r="I31" s="40" t="s">
        <v>48</v>
      </c>
      <c r="J31" s="40" t="s">
        <v>48</v>
      </c>
      <c r="K31" s="40" t="s">
        <v>48</v>
      </c>
      <c r="L31" s="40" t="s">
        <v>48</v>
      </c>
      <c r="M31" s="40" t="s">
        <v>48</v>
      </c>
      <c r="N31" s="40" t="s">
        <v>48</v>
      </c>
      <c r="O31" s="40" t="s">
        <v>48</v>
      </c>
      <c r="P31" s="40" t="s">
        <v>48</v>
      </c>
      <c r="Q31" s="40" t="s">
        <v>48</v>
      </c>
      <c r="R31" s="40" t="s">
        <v>48</v>
      </c>
      <c r="S31" s="40" t="s">
        <v>48</v>
      </c>
      <c r="T31" s="40" t="s">
        <v>48</v>
      </c>
      <c r="V31" s="33"/>
      <c r="W31" s="38" t="str">
        <f>Notes!T32</f>
        <v xml:space="preserve">               Leaf tea</v>
      </c>
      <c r="X31" s="4" t="s">
        <v>481</v>
      </c>
      <c r="Y31" s="44" t="s">
        <v>48</v>
      </c>
      <c r="Z31" s="42" t="s">
        <v>48</v>
      </c>
      <c r="AA31" s="40" t="s">
        <v>48</v>
      </c>
      <c r="AB31" s="40" t="s">
        <v>48</v>
      </c>
      <c r="AC31" s="40" t="s">
        <v>48</v>
      </c>
      <c r="AD31" s="40" t="s">
        <v>48</v>
      </c>
      <c r="AE31" s="40" t="s">
        <v>48</v>
      </c>
      <c r="AF31" s="40" t="s">
        <v>48</v>
      </c>
      <c r="AG31" s="40" t="s">
        <v>48</v>
      </c>
      <c r="AH31" s="40" t="s">
        <v>48</v>
      </c>
      <c r="AI31" s="40" t="s">
        <v>48</v>
      </c>
      <c r="AJ31" s="40" t="s">
        <v>48</v>
      </c>
      <c r="AK31" s="40" t="s">
        <v>48</v>
      </c>
      <c r="AL31" s="40" t="s">
        <v>48</v>
      </c>
      <c r="AM31" s="40" t="s">
        <v>48</v>
      </c>
      <c r="AN31" s="40" t="s">
        <v>48</v>
      </c>
    </row>
    <row r="32" spans="1:40" x14ac:dyDescent="0.35">
      <c r="A32" s="12">
        <v>25</v>
      </c>
      <c r="B32" s="33"/>
      <c r="C32" s="38" t="str">
        <f>Notes!T33</f>
        <v xml:space="preserve">               Tobacco</v>
      </c>
      <c r="D32" s="4" t="s">
        <v>323</v>
      </c>
      <c r="E32" s="44">
        <v>1.0539185576185113</v>
      </c>
      <c r="F32" s="42" t="s">
        <v>48</v>
      </c>
      <c r="G32" s="40" t="s">
        <v>48</v>
      </c>
      <c r="H32" s="40" t="s">
        <v>48</v>
      </c>
      <c r="I32" s="40" t="s">
        <v>48</v>
      </c>
      <c r="J32" s="40" t="s">
        <v>48</v>
      </c>
      <c r="K32" s="40" t="s">
        <v>48</v>
      </c>
      <c r="L32" s="40" t="s">
        <v>48</v>
      </c>
      <c r="M32" s="40" t="s">
        <v>48</v>
      </c>
      <c r="N32" s="40" t="s">
        <v>48</v>
      </c>
      <c r="O32" s="40" t="s">
        <v>48</v>
      </c>
      <c r="P32" s="40" t="s">
        <v>48</v>
      </c>
      <c r="Q32" s="40" t="s">
        <v>48</v>
      </c>
      <c r="R32" s="40" t="s">
        <v>48</v>
      </c>
      <c r="S32" s="40" t="s">
        <v>48</v>
      </c>
      <c r="T32" s="40" t="s">
        <v>48</v>
      </c>
      <c r="V32" s="33"/>
      <c r="W32" s="38" t="str">
        <f>Notes!T33</f>
        <v xml:space="preserve">               Tobacco</v>
      </c>
      <c r="X32" s="4" t="s">
        <v>323</v>
      </c>
      <c r="Y32" s="44">
        <v>1.0539185576185113</v>
      </c>
      <c r="Z32" s="42" t="s">
        <v>48</v>
      </c>
      <c r="AA32" s="40" t="s">
        <v>48</v>
      </c>
      <c r="AB32" s="40" t="s">
        <v>48</v>
      </c>
      <c r="AC32" s="40" t="s">
        <v>48</v>
      </c>
      <c r="AD32" s="40" t="s">
        <v>48</v>
      </c>
      <c r="AE32" s="40" t="s">
        <v>48</v>
      </c>
      <c r="AF32" s="40" t="s">
        <v>48</v>
      </c>
      <c r="AG32" s="40" t="s">
        <v>48</v>
      </c>
      <c r="AH32" s="40" t="s">
        <v>48</v>
      </c>
      <c r="AI32" s="40" t="s">
        <v>48</v>
      </c>
      <c r="AJ32" s="40" t="s">
        <v>48</v>
      </c>
      <c r="AK32" s="40" t="s">
        <v>48</v>
      </c>
      <c r="AL32" s="40" t="s">
        <v>48</v>
      </c>
      <c r="AM32" s="40" t="s">
        <v>48</v>
      </c>
      <c r="AN32" s="40" t="s">
        <v>48</v>
      </c>
    </row>
    <row r="33" spans="1:40" x14ac:dyDescent="0.35">
      <c r="A33" s="12">
        <v>26</v>
      </c>
      <c r="B33" s="33"/>
      <c r="C33" s="38" t="str">
        <f>Notes!T34</f>
        <v xml:space="preserve">               Sugar refining</v>
      </c>
      <c r="D33" s="4" t="s">
        <v>321</v>
      </c>
      <c r="E33" s="44">
        <v>0.32127737473851736</v>
      </c>
      <c r="F33" s="42" t="s">
        <v>48</v>
      </c>
      <c r="G33" s="40" t="s">
        <v>48</v>
      </c>
      <c r="H33" s="40" t="s">
        <v>48</v>
      </c>
      <c r="I33" s="40" t="s">
        <v>48</v>
      </c>
      <c r="J33" s="40" t="s">
        <v>48</v>
      </c>
      <c r="K33" s="40" t="s">
        <v>48</v>
      </c>
      <c r="L33" s="40" t="s">
        <v>48</v>
      </c>
      <c r="M33" s="40" t="s">
        <v>48</v>
      </c>
      <c r="N33" s="40" t="s">
        <v>48</v>
      </c>
      <c r="O33" s="40" t="s">
        <v>48</v>
      </c>
      <c r="P33" s="40" t="s">
        <v>48</v>
      </c>
      <c r="Q33" s="40" t="s">
        <v>48</v>
      </c>
      <c r="R33" s="40" t="s">
        <v>48</v>
      </c>
      <c r="S33" s="40" t="s">
        <v>48</v>
      </c>
      <c r="T33" s="40" t="s">
        <v>48</v>
      </c>
      <c r="V33" s="33"/>
      <c r="W33" s="38" t="str">
        <f>Notes!T34</f>
        <v xml:space="preserve">               Sugar refining</v>
      </c>
      <c r="X33" s="4" t="s">
        <v>321</v>
      </c>
      <c r="Y33" s="44">
        <v>0.32127737473851736</v>
      </c>
      <c r="Z33" s="42" t="s">
        <v>48</v>
      </c>
      <c r="AA33" s="40" t="s">
        <v>48</v>
      </c>
      <c r="AB33" s="40" t="s">
        <v>48</v>
      </c>
      <c r="AC33" s="40" t="s">
        <v>48</v>
      </c>
      <c r="AD33" s="40" t="s">
        <v>48</v>
      </c>
      <c r="AE33" s="40" t="s">
        <v>48</v>
      </c>
      <c r="AF33" s="40" t="s">
        <v>48</v>
      </c>
      <c r="AG33" s="40" t="s">
        <v>48</v>
      </c>
      <c r="AH33" s="40" t="s">
        <v>48</v>
      </c>
      <c r="AI33" s="40" t="s">
        <v>48</v>
      </c>
      <c r="AJ33" s="40" t="s">
        <v>48</v>
      </c>
      <c r="AK33" s="40" t="s">
        <v>48</v>
      </c>
      <c r="AL33" s="40" t="s">
        <v>48</v>
      </c>
      <c r="AM33" s="40" t="s">
        <v>48</v>
      </c>
      <c r="AN33" s="40" t="s">
        <v>48</v>
      </c>
    </row>
    <row r="34" spans="1:40" x14ac:dyDescent="0.35">
      <c r="A34" s="12">
        <v>27</v>
      </c>
      <c r="B34" s="33"/>
      <c r="C34" s="38" t="str">
        <f>Notes!T35</f>
        <v xml:space="preserve">               Pyre</v>
      </c>
      <c r="D34" s="4" t="s">
        <v>704</v>
      </c>
      <c r="E34" s="44">
        <v>5.4992357681657077E-2</v>
      </c>
      <c r="F34" s="42" t="s">
        <v>48</v>
      </c>
      <c r="G34" s="40" t="s">
        <v>48</v>
      </c>
      <c r="H34" s="40" t="s">
        <v>48</v>
      </c>
      <c r="I34" s="40" t="s">
        <v>48</v>
      </c>
      <c r="J34" s="40" t="s">
        <v>48</v>
      </c>
      <c r="K34" s="40" t="s">
        <v>48</v>
      </c>
      <c r="L34" s="40" t="s">
        <v>48</v>
      </c>
      <c r="M34" s="40" t="s">
        <v>48</v>
      </c>
      <c r="N34" s="40" t="s">
        <v>48</v>
      </c>
      <c r="O34" s="40" t="s">
        <v>48</v>
      </c>
      <c r="P34" s="40" t="s">
        <v>48</v>
      </c>
      <c r="Q34" s="40" t="s">
        <v>48</v>
      </c>
      <c r="R34" s="40" t="s">
        <v>48</v>
      </c>
      <c r="S34" s="40" t="s">
        <v>48</v>
      </c>
      <c r="T34" s="40" t="s">
        <v>48</v>
      </c>
      <c r="V34" s="33"/>
      <c r="W34" s="38" t="str">
        <f>Notes!T35</f>
        <v xml:space="preserve">               Pyre</v>
      </c>
      <c r="X34" s="4" t="s">
        <v>704</v>
      </c>
      <c r="Y34" s="44">
        <v>5.4992357681657077E-2</v>
      </c>
      <c r="Z34" s="42" t="s">
        <v>48</v>
      </c>
      <c r="AA34" s="40" t="s">
        <v>48</v>
      </c>
      <c r="AB34" s="40" t="s">
        <v>48</v>
      </c>
      <c r="AC34" s="40" t="s">
        <v>48</v>
      </c>
      <c r="AD34" s="40" t="s">
        <v>48</v>
      </c>
      <c r="AE34" s="40" t="s">
        <v>48</v>
      </c>
      <c r="AF34" s="40" t="s">
        <v>48</v>
      </c>
      <c r="AG34" s="40" t="s">
        <v>48</v>
      </c>
      <c r="AH34" s="40" t="s">
        <v>48</v>
      </c>
      <c r="AI34" s="40" t="s">
        <v>48</v>
      </c>
      <c r="AJ34" s="40" t="s">
        <v>48</v>
      </c>
      <c r="AK34" s="40" t="s">
        <v>48</v>
      </c>
      <c r="AL34" s="40" t="s">
        <v>48</v>
      </c>
      <c r="AM34" s="40" t="s">
        <v>48</v>
      </c>
      <c r="AN34" s="40" t="s">
        <v>48</v>
      </c>
    </row>
    <row r="35" spans="1:40" x14ac:dyDescent="0.35">
      <c r="A35" s="12">
        <v>28</v>
      </c>
      <c r="B35" s="33"/>
      <c r="C35" s="38" t="str">
        <f>Notes!T36</f>
        <v xml:space="preserve">               Other crops</v>
      </c>
      <c r="D35" s="4" t="s">
        <v>328</v>
      </c>
      <c r="E35" s="44">
        <v>0.10178047938982263</v>
      </c>
      <c r="F35" s="42" t="s">
        <v>48</v>
      </c>
      <c r="G35" s="40" t="s">
        <v>48</v>
      </c>
      <c r="H35" s="40" t="s">
        <v>48</v>
      </c>
      <c r="I35" s="40" t="s">
        <v>48</v>
      </c>
      <c r="J35" s="40" t="s">
        <v>48</v>
      </c>
      <c r="K35" s="40" t="s">
        <v>48</v>
      </c>
      <c r="L35" s="40" t="s">
        <v>48</v>
      </c>
      <c r="M35" s="40" t="s">
        <v>48</v>
      </c>
      <c r="N35" s="40" t="s">
        <v>48</v>
      </c>
      <c r="O35" s="40" t="s">
        <v>48</v>
      </c>
      <c r="P35" s="40" t="s">
        <v>48</v>
      </c>
      <c r="Q35" s="40" t="s">
        <v>48</v>
      </c>
      <c r="R35" s="40" t="s">
        <v>48</v>
      </c>
      <c r="S35" s="40" t="s">
        <v>48</v>
      </c>
      <c r="T35" s="40" t="s">
        <v>48</v>
      </c>
      <c r="V35" s="33"/>
      <c r="W35" s="38" t="str">
        <f>Notes!T36</f>
        <v xml:space="preserve">               Other crops</v>
      </c>
      <c r="X35" s="4" t="s">
        <v>328</v>
      </c>
      <c r="Y35" s="44">
        <v>0.10178047938982263</v>
      </c>
      <c r="Z35" s="42" t="s">
        <v>48</v>
      </c>
      <c r="AA35" s="40" t="s">
        <v>48</v>
      </c>
      <c r="AB35" s="40" t="s">
        <v>48</v>
      </c>
      <c r="AC35" s="40" t="s">
        <v>48</v>
      </c>
      <c r="AD35" s="40" t="s">
        <v>48</v>
      </c>
      <c r="AE35" s="40" t="s">
        <v>48</v>
      </c>
      <c r="AF35" s="40" t="s">
        <v>48</v>
      </c>
      <c r="AG35" s="40" t="s">
        <v>48</v>
      </c>
      <c r="AH35" s="40" t="s">
        <v>48</v>
      </c>
      <c r="AI35" s="40" t="s">
        <v>48</v>
      </c>
      <c r="AJ35" s="40" t="s">
        <v>48</v>
      </c>
      <c r="AK35" s="40" t="s">
        <v>48</v>
      </c>
      <c r="AL35" s="40" t="s">
        <v>48</v>
      </c>
      <c r="AM35" s="40" t="s">
        <v>48</v>
      </c>
      <c r="AN35" s="40" t="s">
        <v>48</v>
      </c>
    </row>
    <row r="36" spans="1:40" x14ac:dyDescent="0.35">
      <c r="A36" s="12">
        <v>29</v>
      </c>
      <c r="B36" s="33"/>
      <c r="C36" s="38" t="str">
        <f>Notes!T37</f>
        <v xml:space="preserve">               Livestock</v>
      </c>
      <c r="D36" s="4" t="s">
        <v>705</v>
      </c>
      <c r="E36" s="44">
        <v>7.3420002673160803E-2</v>
      </c>
      <c r="F36" s="42" t="s">
        <v>48</v>
      </c>
      <c r="G36" s="40" t="s">
        <v>48</v>
      </c>
      <c r="H36" s="40" t="s">
        <v>48</v>
      </c>
      <c r="I36" s="40" t="s">
        <v>48</v>
      </c>
      <c r="J36" s="40" t="s">
        <v>48</v>
      </c>
      <c r="K36" s="40" t="s">
        <v>48</v>
      </c>
      <c r="L36" s="40" t="s">
        <v>48</v>
      </c>
      <c r="M36" s="40" t="s">
        <v>48</v>
      </c>
      <c r="N36" s="40" t="s">
        <v>48</v>
      </c>
      <c r="O36" s="40" t="s">
        <v>48</v>
      </c>
      <c r="P36" s="40" t="s">
        <v>48</v>
      </c>
      <c r="Q36" s="40" t="s">
        <v>48</v>
      </c>
      <c r="R36" s="40" t="s">
        <v>48</v>
      </c>
      <c r="S36" s="40" t="s">
        <v>48</v>
      </c>
      <c r="T36" s="40" t="s">
        <v>48</v>
      </c>
      <c r="V36" s="33"/>
      <c r="W36" s="38" t="str">
        <f>Notes!T37</f>
        <v xml:space="preserve">               Livestock</v>
      </c>
      <c r="X36" s="4" t="s">
        <v>705</v>
      </c>
      <c r="Y36" s="44">
        <v>7.3420002673160803E-2</v>
      </c>
      <c r="Z36" s="42" t="s">
        <v>48</v>
      </c>
      <c r="AA36" s="40" t="s">
        <v>48</v>
      </c>
      <c r="AB36" s="40" t="s">
        <v>48</v>
      </c>
      <c r="AC36" s="40" t="s">
        <v>48</v>
      </c>
      <c r="AD36" s="40" t="s">
        <v>48</v>
      </c>
      <c r="AE36" s="40" t="s">
        <v>48</v>
      </c>
      <c r="AF36" s="40" t="s">
        <v>48</v>
      </c>
      <c r="AG36" s="40" t="s">
        <v>48</v>
      </c>
      <c r="AH36" s="40" t="s">
        <v>48</v>
      </c>
      <c r="AI36" s="40" t="s">
        <v>48</v>
      </c>
      <c r="AJ36" s="40" t="s">
        <v>48</v>
      </c>
      <c r="AK36" s="40" t="s">
        <v>48</v>
      </c>
      <c r="AL36" s="40" t="s">
        <v>48</v>
      </c>
      <c r="AM36" s="40" t="s">
        <v>48</v>
      </c>
      <c r="AN36" s="40" t="s">
        <v>48</v>
      </c>
    </row>
    <row r="37" spans="1:40" x14ac:dyDescent="0.35">
      <c r="A37" s="12">
        <v>30</v>
      </c>
      <c r="B37" s="33"/>
      <c r="C37" s="38" t="str">
        <f>Notes!T38</f>
        <v xml:space="preserve">               Cattle</v>
      </c>
      <c r="D37" s="4" t="s">
        <v>331</v>
      </c>
      <c r="E37" s="44">
        <v>0.39784584580706045</v>
      </c>
      <c r="F37" s="42" t="s">
        <v>48</v>
      </c>
      <c r="G37" s="40" t="s">
        <v>48</v>
      </c>
      <c r="H37" s="40" t="s">
        <v>48</v>
      </c>
      <c r="I37" s="40" t="s">
        <v>48</v>
      </c>
      <c r="J37" s="40" t="s">
        <v>48</v>
      </c>
      <c r="K37" s="40" t="s">
        <v>48</v>
      </c>
      <c r="L37" s="40" t="s">
        <v>48</v>
      </c>
      <c r="M37" s="40" t="s">
        <v>48</v>
      </c>
      <c r="N37" s="40" t="s">
        <v>48</v>
      </c>
      <c r="O37" s="40" t="s">
        <v>48</v>
      </c>
      <c r="P37" s="40" t="s">
        <v>48</v>
      </c>
      <c r="Q37" s="40" t="s">
        <v>48</v>
      </c>
      <c r="R37" s="40" t="s">
        <v>48</v>
      </c>
      <c r="S37" s="40" t="s">
        <v>48</v>
      </c>
      <c r="T37" s="40" t="s">
        <v>48</v>
      </c>
      <c r="V37" s="33"/>
      <c r="W37" s="38" t="str">
        <f>Notes!T38</f>
        <v xml:space="preserve">               Cattle</v>
      </c>
      <c r="X37" s="4" t="s">
        <v>331</v>
      </c>
      <c r="Y37" s="44">
        <v>0.39784584580706045</v>
      </c>
      <c r="Z37" s="42" t="s">
        <v>48</v>
      </c>
      <c r="AA37" s="40" t="s">
        <v>48</v>
      </c>
      <c r="AB37" s="40" t="s">
        <v>48</v>
      </c>
      <c r="AC37" s="40" t="s">
        <v>48</v>
      </c>
      <c r="AD37" s="40" t="s">
        <v>48</v>
      </c>
      <c r="AE37" s="40" t="s">
        <v>48</v>
      </c>
      <c r="AF37" s="40" t="s">
        <v>48</v>
      </c>
      <c r="AG37" s="40" t="s">
        <v>48</v>
      </c>
      <c r="AH37" s="40" t="s">
        <v>48</v>
      </c>
      <c r="AI37" s="40" t="s">
        <v>48</v>
      </c>
      <c r="AJ37" s="40" t="s">
        <v>48</v>
      </c>
      <c r="AK37" s="40" t="s">
        <v>48</v>
      </c>
      <c r="AL37" s="40" t="s">
        <v>48</v>
      </c>
      <c r="AM37" s="40" t="s">
        <v>48</v>
      </c>
      <c r="AN37" s="40" t="s">
        <v>48</v>
      </c>
    </row>
    <row r="38" spans="1:40" x14ac:dyDescent="0.35">
      <c r="A38" s="12">
        <v>31</v>
      </c>
      <c r="B38" s="33"/>
      <c r="C38" s="38" t="str">
        <f>Notes!T39</f>
        <v xml:space="preserve">               Small ruminants</v>
      </c>
      <c r="D38" s="4" t="s">
        <v>493</v>
      </c>
      <c r="E38" s="44">
        <v>2.5802466894661564</v>
      </c>
      <c r="F38" s="42" t="s">
        <v>48</v>
      </c>
      <c r="G38" s="40" t="s">
        <v>48</v>
      </c>
      <c r="H38" s="40" t="s">
        <v>48</v>
      </c>
      <c r="I38" s="40" t="s">
        <v>48</v>
      </c>
      <c r="J38" s="40" t="s">
        <v>48</v>
      </c>
      <c r="K38" s="40" t="s">
        <v>48</v>
      </c>
      <c r="L38" s="40" t="s">
        <v>48</v>
      </c>
      <c r="M38" s="40" t="s">
        <v>48</v>
      </c>
      <c r="N38" s="40" t="s">
        <v>48</v>
      </c>
      <c r="O38" s="40" t="s">
        <v>48</v>
      </c>
      <c r="P38" s="40" t="s">
        <v>48</v>
      </c>
      <c r="Q38" s="40" t="s">
        <v>48</v>
      </c>
      <c r="R38" s="40" t="s">
        <v>48</v>
      </c>
      <c r="S38" s="40" t="s">
        <v>48</v>
      </c>
      <c r="T38" s="40" t="s">
        <v>48</v>
      </c>
      <c r="V38" s="33"/>
      <c r="W38" s="38" t="str">
        <f>Notes!T39</f>
        <v xml:space="preserve">               Small ruminants</v>
      </c>
      <c r="X38" s="4" t="s">
        <v>493</v>
      </c>
      <c r="Y38" s="44">
        <v>2.5802466894661564</v>
      </c>
      <c r="Z38" s="42" t="s">
        <v>48</v>
      </c>
      <c r="AA38" s="40" t="s">
        <v>48</v>
      </c>
      <c r="AB38" s="40" t="s">
        <v>48</v>
      </c>
      <c r="AC38" s="40" t="s">
        <v>48</v>
      </c>
      <c r="AD38" s="40" t="s">
        <v>48</v>
      </c>
      <c r="AE38" s="40" t="s">
        <v>48</v>
      </c>
      <c r="AF38" s="40" t="s">
        <v>48</v>
      </c>
      <c r="AG38" s="40" t="s">
        <v>48</v>
      </c>
      <c r="AH38" s="40" t="s">
        <v>48</v>
      </c>
      <c r="AI38" s="40" t="s">
        <v>48</v>
      </c>
      <c r="AJ38" s="40" t="s">
        <v>48</v>
      </c>
      <c r="AK38" s="40" t="s">
        <v>48</v>
      </c>
      <c r="AL38" s="40" t="s">
        <v>48</v>
      </c>
      <c r="AM38" s="40" t="s">
        <v>48</v>
      </c>
      <c r="AN38" s="40" t="s">
        <v>48</v>
      </c>
    </row>
    <row r="39" spans="1:40" x14ac:dyDescent="0.35">
      <c r="A39" s="12">
        <v>32</v>
      </c>
      <c r="B39" s="33"/>
      <c r="C39" s="38" t="str">
        <f>Notes!T40</f>
        <v xml:space="preserve">               Poultry</v>
      </c>
      <c r="D39" s="4" t="s">
        <v>332</v>
      </c>
      <c r="E39" s="44">
        <v>1.1489274175749702</v>
      </c>
      <c r="F39" s="42" t="s">
        <v>48</v>
      </c>
      <c r="G39" s="40" t="s">
        <v>48</v>
      </c>
      <c r="H39" s="40" t="s">
        <v>48</v>
      </c>
      <c r="I39" s="40" t="s">
        <v>48</v>
      </c>
      <c r="J39" s="40" t="s">
        <v>48</v>
      </c>
      <c r="K39" s="40" t="s">
        <v>48</v>
      </c>
      <c r="L39" s="40" t="s">
        <v>48</v>
      </c>
      <c r="M39" s="40" t="s">
        <v>48</v>
      </c>
      <c r="N39" s="40" t="s">
        <v>48</v>
      </c>
      <c r="O39" s="40" t="s">
        <v>48</v>
      </c>
      <c r="P39" s="40" t="s">
        <v>48</v>
      </c>
      <c r="Q39" s="40" t="s">
        <v>48</v>
      </c>
      <c r="R39" s="40" t="s">
        <v>48</v>
      </c>
      <c r="S39" s="40" t="s">
        <v>48</v>
      </c>
      <c r="T39" s="40" t="s">
        <v>48</v>
      </c>
      <c r="V39" s="33"/>
      <c r="W39" s="38" t="str">
        <f>Notes!T40</f>
        <v xml:space="preserve">               Poultry</v>
      </c>
      <c r="X39" s="4" t="s">
        <v>332</v>
      </c>
      <c r="Y39" s="44">
        <v>1.1489274175749702</v>
      </c>
      <c r="Z39" s="42" t="s">
        <v>48</v>
      </c>
      <c r="AA39" s="40" t="s">
        <v>48</v>
      </c>
      <c r="AB39" s="40" t="s">
        <v>48</v>
      </c>
      <c r="AC39" s="40" t="s">
        <v>48</v>
      </c>
      <c r="AD39" s="40" t="s">
        <v>48</v>
      </c>
      <c r="AE39" s="40" t="s">
        <v>48</v>
      </c>
      <c r="AF39" s="40" t="s">
        <v>48</v>
      </c>
      <c r="AG39" s="40" t="s">
        <v>48</v>
      </c>
      <c r="AH39" s="40" t="s">
        <v>48</v>
      </c>
      <c r="AI39" s="40" t="s">
        <v>48</v>
      </c>
      <c r="AJ39" s="40" t="s">
        <v>48</v>
      </c>
      <c r="AK39" s="40" t="s">
        <v>48</v>
      </c>
      <c r="AL39" s="40" t="s">
        <v>48</v>
      </c>
      <c r="AM39" s="40" t="s">
        <v>48</v>
      </c>
      <c r="AN39" s="40" t="s">
        <v>48</v>
      </c>
    </row>
    <row r="40" spans="1:40" x14ac:dyDescent="0.35">
      <c r="A40" s="12">
        <v>33</v>
      </c>
      <c r="B40" s="33"/>
      <c r="C40" s="38" t="str">
        <f>Notes!T41</f>
        <v xml:space="preserve">               Other livestock</v>
      </c>
      <c r="D40" s="4" t="s">
        <v>333</v>
      </c>
      <c r="E40" s="44">
        <v>0.47819724096668303</v>
      </c>
      <c r="F40" s="42" t="s">
        <v>48</v>
      </c>
      <c r="G40" s="40" t="s">
        <v>48</v>
      </c>
      <c r="H40" s="40" t="s">
        <v>48</v>
      </c>
      <c r="I40" s="40" t="s">
        <v>48</v>
      </c>
      <c r="J40" s="40" t="s">
        <v>48</v>
      </c>
      <c r="K40" s="40" t="s">
        <v>48</v>
      </c>
      <c r="L40" s="40" t="s">
        <v>48</v>
      </c>
      <c r="M40" s="40" t="s">
        <v>48</v>
      </c>
      <c r="N40" s="40" t="s">
        <v>48</v>
      </c>
      <c r="O40" s="40" t="s">
        <v>48</v>
      </c>
      <c r="P40" s="40" t="s">
        <v>48</v>
      </c>
      <c r="Q40" s="40" t="s">
        <v>48</v>
      </c>
      <c r="R40" s="40" t="s">
        <v>48</v>
      </c>
      <c r="S40" s="40" t="s">
        <v>48</v>
      </c>
      <c r="T40" s="40" t="s">
        <v>48</v>
      </c>
      <c r="V40" s="33"/>
      <c r="W40" s="38" t="str">
        <f>Notes!T41</f>
        <v xml:space="preserve">               Other livestock</v>
      </c>
      <c r="X40" s="4" t="s">
        <v>333</v>
      </c>
      <c r="Y40" s="44">
        <v>0.47819724096668303</v>
      </c>
      <c r="Z40" s="42" t="s">
        <v>48</v>
      </c>
      <c r="AA40" s="40" t="s">
        <v>48</v>
      </c>
      <c r="AB40" s="40" t="s">
        <v>48</v>
      </c>
      <c r="AC40" s="40" t="s">
        <v>48</v>
      </c>
      <c r="AD40" s="40" t="s">
        <v>48</v>
      </c>
      <c r="AE40" s="40" t="s">
        <v>48</v>
      </c>
      <c r="AF40" s="40" t="s">
        <v>48</v>
      </c>
      <c r="AG40" s="40" t="s">
        <v>48</v>
      </c>
      <c r="AH40" s="40" t="s">
        <v>48</v>
      </c>
      <c r="AI40" s="40" t="s">
        <v>48</v>
      </c>
      <c r="AJ40" s="40" t="s">
        <v>48</v>
      </c>
      <c r="AK40" s="40" t="s">
        <v>48</v>
      </c>
      <c r="AL40" s="40" t="s">
        <v>48</v>
      </c>
      <c r="AM40" s="40" t="s">
        <v>48</v>
      </c>
      <c r="AN40" s="40" t="s">
        <v>48</v>
      </c>
    </row>
    <row r="41" spans="1:40" x14ac:dyDescent="0.35">
      <c r="A41" s="12">
        <v>34</v>
      </c>
      <c r="B41" s="33"/>
      <c r="C41" s="38" t="str">
        <f>Notes!T42</f>
        <v xml:space="preserve">               Raw milk</v>
      </c>
      <c r="D41" s="4" t="s">
        <v>488</v>
      </c>
      <c r="E41" s="44">
        <v>0.17596925572055602</v>
      </c>
      <c r="F41" s="42" t="s">
        <v>48</v>
      </c>
      <c r="G41" s="40" t="s">
        <v>48</v>
      </c>
      <c r="H41" s="40" t="s">
        <v>48</v>
      </c>
      <c r="I41" s="40" t="s">
        <v>48</v>
      </c>
      <c r="J41" s="40" t="s">
        <v>48</v>
      </c>
      <c r="K41" s="40" t="s">
        <v>48</v>
      </c>
      <c r="L41" s="40" t="s">
        <v>48</v>
      </c>
      <c r="M41" s="40" t="s">
        <v>48</v>
      </c>
      <c r="N41" s="40" t="s">
        <v>48</v>
      </c>
      <c r="O41" s="40" t="s">
        <v>48</v>
      </c>
      <c r="P41" s="40" t="s">
        <v>48</v>
      </c>
      <c r="Q41" s="40" t="s">
        <v>48</v>
      </c>
      <c r="R41" s="40" t="s">
        <v>48</v>
      </c>
      <c r="S41" s="40" t="s">
        <v>48</v>
      </c>
      <c r="T41" s="40" t="s">
        <v>48</v>
      </c>
      <c r="V41" s="33"/>
      <c r="W41" s="38" t="str">
        <f>Notes!T42</f>
        <v xml:space="preserve">               Raw milk</v>
      </c>
      <c r="X41" s="4" t="s">
        <v>488</v>
      </c>
      <c r="Y41" s="44">
        <v>0.17596925572055602</v>
      </c>
      <c r="Z41" s="42" t="s">
        <v>48</v>
      </c>
      <c r="AA41" s="40" t="s">
        <v>48</v>
      </c>
      <c r="AB41" s="40" t="s">
        <v>48</v>
      </c>
      <c r="AC41" s="40" t="s">
        <v>48</v>
      </c>
      <c r="AD41" s="40" t="s">
        <v>48</v>
      </c>
      <c r="AE41" s="40" t="s">
        <v>48</v>
      </c>
      <c r="AF41" s="40" t="s">
        <v>48</v>
      </c>
      <c r="AG41" s="40" t="s">
        <v>48</v>
      </c>
      <c r="AH41" s="40" t="s">
        <v>48</v>
      </c>
      <c r="AI41" s="40" t="s">
        <v>48</v>
      </c>
      <c r="AJ41" s="40" t="s">
        <v>48</v>
      </c>
      <c r="AK41" s="40" t="s">
        <v>48</v>
      </c>
      <c r="AL41" s="40" t="s">
        <v>48</v>
      </c>
      <c r="AM41" s="40" t="s">
        <v>48</v>
      </c>
      <c r="AN41" s="40" t="s">
        <v>48</v>
      </c>
    </row>
    <row r="42" spans="1:40" x14ac:dyDescent="0.35">
      <c r="A42" s="12">
        <v>35</v>
      </c>
      <c r="B42" s="33"/>
      <c r="C42" s="38" t="str">
        <f>Notes!T43</f>
        <v xml:space="preserve">               Eggs</v>
      </c>
      <c r="D42" s="4" t="s">
        <v>491</v>
      </c>
      <c r="E42" s="44">
        <v>9.0189171086445474E-2</v>
      </c>
      <c r="F42" s="42" t="s">
        <v>48</v>
      </c>
      <c r="G42" s="40" t="s">
        <v>48</v>
      </c>
      <c r="H42" s="40" t="s">
        <v>48</v>
      </c>
      <c r="I42" s="40" t="s">
        <v>48</v>
      </c>
      <c r="J42" s="40" t="s">
        <v>48</v>
      </c>
      <c r="K42" s="40" t="s">
        <v>48</v>
      </c>
      <c r="L42" s="40" t="s">
        <v>48</v>
      </c>
      <c r="M42" s="40" t="s">
        <v>48</v>
      </c>
      <c r="N42" s="40" t="s">
        <v>48</v>
      </c>
      <c r="O42" s="40" t="s">
        <v>48</v>
      </c>
      <c r="P42" s="40" t="s">
        <v>48</v>
      </c>
      <c r="Q42" s="40" t="s">
        <v>48</v>
      </c>
      <c r="R42" s="40" t="s">
        <v>48</v>
      </c>
      <c r="S42" s="40" t="s">
        <v>48</v>
      </c>
      <c r="T42" s="40" t="s">
        <v>48</v>
      </c>
      <c r="V42" s="33"/>
      <c r="W42" s="38" t="str">
        <f>Notes!T43</f>
        <v xml:space="preserve">               Eggs</v>
      </c>
      <c r="X42" s="4" t="s">
        <v>491</v>
      </c>
      <c r="Y42" s="44">
        <v>9.0189171086445474E-2</v>
      </c>
      <c r="Z42" s="42" t="s">
        <v>48</v>
      </c>
      <c r="AA42" s="40" t="s">
        <v>48</v>
      </c>
      <c r="AB42" s="40" t="s">
        <v>48</v>
      </c>
      <c r="AC42" s="40" t="s">
        <v>48</v>
      </c>
      <c r="AD42" s="40" t="s">
        <v>48</v>
      </c>
      <c r="AE42" s="40" t="s">
        <v>48</v>
      </c>
      <c r="AF42" s="40" t="s">
        <v>48</v>
      </c>
      <c r="AG42" s="40" t="s">
        <v>48</v>
      </c>
      <c r="AH42" s="40" t="s">
        <v>48</v>
      </c>
      <c r="AI42" s="40" t="s">
        <v>48</v>
      </c>
      <c r="AJ42" s="40" t="s">
        <v>48</v>
      </c>
      <c r="AK42" s="40" t="s">
        <v>48</v>
      </c>
      <c r="AL42" s="40" t="s">
        <v>48</v>
      </c>
      <c r="AM42" s="40" t="s">
        <v>48</v>
      </c>
      <c r="AN42" s="40" t="s">
        <v>48</v>
      </c>
    </row>
    <row r="43" spans="1:40" x14ac:dyDescent="0.35">
      <c r="A43" s="12">
        <v>36</v>
      </c>
      <c r="B43" s="33"/>
      <c r="C43" s="38" t="str">
        <f>Notes!T44</f>
        <v xml:space="preserve">               Other agriculture</v>
      </c>
      <c r="D43" s="4" t="s">
        <v>706</v>
      </c>
      <c r="E43" s="44">
        <v>0.47614135976759553</v>
      </c>
      <c r="F43" s="42" t="s">
        <v>48</v>
      </c>
      <c r="G43" s="40" t="s">
        <v>48</v>
      </c>
      <c r="H43" s="40" t="s">
        <v>48</v>
      </c>
      <c r="I43" s="40" t="s">
        <v>48</v>
      </c>
      <c r="J43" s="40" t="s">
        <v>48</v>
      </c>
      <c r="K43" s="40" t="s">
        <v>48</v>
      </c>
      <c r="L43" s="40" t="s">
        <v>48</v>
      </c>
      <c r="M43" s="40" t="s">
        <v>48</v>
      </c>
      <c r="N43" s="40" t="s">
        <v>48</v>
      </c>
      <c r="O43" s="40" t="s">
        <v>48</v>
      </c>
      <c r="P43" s="40" t="s">
        <v>48</v>
      </c>
      <c r="Q43" s="40" t="s">
        <v>48</v>
      </c>
      <c r="R43" s="40" t="s">
        <v>48</v>
      </c>
      <c r="S43" s="40" t="s">
        <v>48</v>
      </c>
      <c r="T43" s="40" t="s">
        <v>48</v>
      </c>
      <c r="V43" s="33"/>
      <c r="W43" s="38" t="str">
        <f>Notes!T44</f>
        <v xml:space="preserve">               Other agriculture</v>
      </c>
      <c r="X43" s="4" t="s">
        <v>706</v>
      </c>
      <c r="Y43" s="44">
        <v>0.47614135976759553</v>
      </c>
      <c r="Z43" s="42" t="s">
        <v>48</v>
      </c>
      <c r="AA43" s="40" t="s">
        <v>48</v>
      </c>
      <c r="AB43" s="40" t="s">
        <v>48</v>
      </c>
      <c r="AC43" s="40" t="s">
        <v>48</v>
      </c>
      <c r="AD43" s="40" t="s">
        <v>48</v>
      </c>
      <c r="AE43" s="40" t="s">
        <v>48</v>
      </c>
      <c r="AF43" s="40" t="s">
        <v>48</v>
      </c>
      <c r="AG43" s="40" t="s">
        <v>48</v>
      </c>
      <c r="AH43" s="40" t="s">
        <v>48</v>
      </c>
      <c r="AI43" s="40" t="s">
        <v>48</v>
      </c>
      <c r="AJ43" s="40" t="s">
        <v>48</v>
      </c>
      <c r="AK43" s="40" t="s">
        <v>48</v>
      </c>
      <c r="AL43" s="40" t="s">
        <v>48</v>
      </c>
      <c r="AM43" s="40" t="s">
        <v>48</v>
      </c>
      <c r="AN43" s="40" t="s">
        <v>48</v>
      </c>
    </row>
    <row r="44" spans="1:40" x14ac:dyDescent="0.35">
      <c r="A44" s="12">
        <v>37</v>
      </c>
      <c r="B44" s="33"/>
      <c r="C44" s="38" t="str">
        <f>Notes!T45</f>
        <v xml:space="preserve">               Forestry</v>
      </c>
      <c r="D44" s="4" t="s">
        <v>336</v>
      </c>
      <c r="E44" s="44">
        <v>0.2108222443499059</v>
      </c>
      <c r="F44" s="42" t="s">
        <v>48</v>
      </c>
      <c r="G44" s="40" t="s">
        <v>48</v>
      </c>
      <c r="H44" s="40" t="s">
        <v>48</v>
      </c>
      <c r="I44" s="40" t="s">
        <v>48</v>
      </c>
      <c r="J44" s="40" t="s">
        <v>48</v>
      </c>
      <c r="K44" s="40" t="s">
        <v>48</v>
      </c>
      <c r="L44" s="40" t="s">
        <v>48</v>
      </c>
      <c r="M44" s="40" t="s">
        <v>48</v>
      </c>
      <c r="N44" s="40" t="s">
        <v>48</v>
      </c>
      <c r="O44" s="40" t="s">
        <v>48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V44" s="33"/>
      <c r="W44" s="38" t="str">
        <f>Notes!T45</f>
        <v xml:space="preserve">               Forestry</v>
      </c>
      <c r="X44" s="4" t="s">
        <v>336</v>
      </c>
      <c r="Y44" s="44">
        <v>0.2108222443499059</v>
      </c>
      <c r="Z44" s="42" t="s">
        <v>48</v>
      </c>
      <c r="AA44" s="40" t="s">
        <v>48</v>
      </c>
      <c r="AB44" s="40" t="s">
        <v>48</v>
      </c>
      <c r="AC44" s="40" t="s">
        <v>48</v>
      </c>
      <c r="AD44" s="40" t="s">
        <v>48</v>
      </c>
      <c r="AE44" s="40" t="s">
        <v>48</v>
      </c>
      <c r="AF44" s="40" t="s">
        <v>48</v>
      </c>
      <c r="AG44" s="40" t="s">
        <v>48</v>
      </c>
      <c r="AH44" s="40" t="s">
        <v>48</v>
      </c>
      <c r="AI44" s="40" t="s">
        <v>48</v>
      </c>
      <c r="AJ44" s="40" t="s">
        <v>48</v>
      </c>
      <c r="AK44" s="40" t="s">
        <v>48</v>
      </c>
      <c r="AL44" s="40" t="s">
        <v>48</v>
      </c>
      <c r="AM44" s="40" t="s">
        <v>48</v>
      </c>
      <c r="AN44" s="40" t="s">
        <v>48</v>
      </c>
    </row>
    <row r="45" spans="1:40" x14ac:dyDescent="0.35">
      <c r="A45" s="12">
        <v>38</v>
      </c>
      <c r="B45" s="33"/>
      <c r="C45" s="38" t="str">
        <f>Notes!T46</f>
        <v xml:space="preserve">               Fishery and aquaculture</v>
      </c>
      <c r="D45" s="4" t="s">
        <v>707</v>
      </c>
      <c r="E45" s="44">
        <v>5.7798691418834398</v>
      </c>
      <c r="F45" s="42" t="s">
        <v>48</v>
      </c>
      <c r="G45" s="40" t="s">
        <v>48</v>
      </c>
      <c r="H45" s="40" t="s">
        <v>48</v>
      </c>
      <c r="I45" s="40" t="s">
        <v>48</v>
      </c>
      <c r="J45" s="40" t="s">
        <v>48</v>
      </c>
      <c r="K45" s="40" t="s">
        <v>48</v>
      </c>
      <c r="L45" s="40" t="s">
        <v>48</v>
      </c>
      <c r="M45" s="40" t="s">
        <v>48</v>
      </c>
      <c r="N45" s="40" t="s">
        <v>48</v>
      </c>
      <c r="O45" s="40" t="s">
        <v>48</v>
      </c>
      <c r="P45" s="40" t="s">
        <v>48</v>
      </c>
      <c r="Q45" s="40" t="s">
        <v>48</v>
      </c>
      <c r="R45" s="40" t="s">
        <v>48</v>
      </c>
      <c r="S45" s="40" t="s">
        <v>48</v>
      </c>
      <c r="T45" s="40" t="s">
        <v>48</v>
      </c>
      <c r="V45" s="33"/>
      <c r="W45" s="38" t="str">
        <f>Notes!T46</f>
        <v xml:space="preserve">               Fishery and aquaculture</v>
      </c>
      <c r="X45" s="4" t="s">
        <v>707</v>
      </c>
      <c r="Y45" s="44">
        <v>5.7798691418834398</v>
      </c>
      <c r="Z45" s="42" t="s">
        <v>48</v>
      </c>
      <c r="AA45" s="40" t="s">
        <v>48</v>
      </c>
      <c r="AB45" s="40" t="s">
        <v>48</v>
      </c>
      <c r="AC45" s="40" t="s">
        <v>48</v>
      </c>
      <c r="AD45" s="40" t="s">
        <v>48</v>
      </c>
      <c r="AE45" s="40" t="s">
        <v>48</v>
      </c>
      <c r="AF45" s="40" t="s">
        <v>48</v>
      </c>
      <c r="AG45" s="40" t="s">
        <v>48</v>
      </c>
      <c r="AH45" s="40" t="s">
        <v>48</v>
      </c>
      <c r="AI45" s="40" t="s">
        <v>48</v>
      </c>
      <c r="AJ45" s="40" t="s">
        <v>48</v>
      </c>
      <c r="AK45" s="40" t="s">
        <v>48</v>
      </c>
      <c r="AL45" s="40" t="s">
        <v>48</v>
      </c>
      <c r="AM45" s="40" t="s">
        <v>48</v>
      </c>
      <c r="AN45" s="40" t="s">
        <v>48</v>
      </c>
    </row>
    <row r="46" spans="1:40" x14ac:dyDescent="0.35">
      <c r="A46" s="12">
        <v>39</v>
      </c>
      <c r="B46" s="33"/>
      <c r="C46" s="38" t="str">
        <f>Notes!T47</f>
        <v xml:space="preserve">               Capture fisheries</v>
      </c>
      <c r="D46" s="4" t="s">
        <v>338</v>
      </c>
      <c r="E46" s="44">
        <v>5.3701009695504123</v>
      </c>
      <c r="F46" s="42" t="s">
        <v>48</v>
      </c>
      <c r="G46" s="40" t="s">
        <v>48</v>
      </c>
      <c r="H46" s="40" t="s">
        <v>48</v>
      </c>
      <c r="I46" s="40" t="s">
        <v>48</v>
      </c>
      <c r="J46" s="40" t="s">
        <v>48</v>
      </c>
      <c r="K46" s="40" t="s">
        <v>48</v>
      </c>
      <c r="L46" s="40" t="s">
        <v>48</v>
      </c>
      <c r="M46" s="40" t="s">
        <v>48</v>
      </c>
      <c r="N46" s="40" t="s">
        <v>48</v>
      </c>
      <c r="O46" s="40" t="s">
        <v>48</v>
      </c>
      <c r="P46" s="40" t="s">
        <v>48</v>
      </c>
      <c r="Q46" s="40" t="s">
        <v>48</v>
      </c>
      <c r="R46" s="40" t="s">
        <v>48</v>
      </c>
      <c r="S46" s="40" t="s">
        <v>48</v>
      </c>
      <c r="T46" s="40" t="s">
        <v>48</v>
      </c>
      <c r="V46" s="33"/>
      <c r="W46" s="38" t="str">
        <f>Notes!T47</f>
        <v xml:space="preserve">               Capture fisheries</v>
      </c>
      <c r="X46" s="4" t="s">
        <v>338</v>
      </c>
      <c r="Y46" s="44">
        <v>5.3701009695504123</v>
      </c>
      <c r="Z46" s="42" t="s">
        <v>48</v>
      </c>
      <c r="AA46" s="40" t="s">
        <v>48</v>
      </c>
      <c r="AB46" s="40" t="s">
        <v>48</v>
      </c>
      <c r="AC46" s="40" t="s">
        <v>48</v>
      </c>
      <c r="AD46" s="40" t="s">
        <v>48</v>
      </c>
      <c r="AE46" s="40" t="s">
        <v>48</v>
      </c>
      <c r="AF46" s="40" t="s">
        <v>48</v>
      </c>
      <c r="AG46" s="40" t="s">
        <v>48</v>
      </c>
      <c r="AH46" s="40" t="s">
        <v>48</v>
      </c>
      <c r="AI46" s="40" t="s">
        <v>48</v>
      </c>
      <c r="AJ46" s="40" t="s">
        <v>48</v>
      </c>
      <c r="AK46" s="40" t="s">
        <v>48</v>
      </c>
      <c r="AL46" s="40" t="s">
        <v>48</v>
      </c>
      <c r="AM46" s="40" t="s">
        <v>48</v>
      </c>
      <c r="AN46" s="40" t="s">
        <v>48</v>
      </c>
    </row>
    <row r="47" spans="1:40" x14ac:dyDescent="0.35">
      <c r="A47" s="12">
        <v>40</v>
      </c>
      <c r="B47" s="33"/>
      <c r="C47" s="38" t="str">
        <f>Notes!T48</f>
        <v xml:space="preserve">               Non-agriculture</v>
      </c>
      <c r="D47" s="4" t="s">
        <v>708</v>
      </c>
      <c r="E47" s="44">
        <v>0.40976817233302754</v>
      </c>
      <c r="F47" s="42" t="s">
        <v>48</v>
      </c>
      <c r="G47" s="40" t="s">
        <v>48</v>
      </c>
      <c r="H47" s="40" t="s">
        <v>48</v>
      </c>
      <c r="I47" s="40" t="s">
        <v>48</v>
      </c>
      <c r="J47" s="40" t="s">
        <v>48</v>
      </c>
      <c r="K47" s="40" t="s">
        <v>48</v>
      </c>
      <c r="L47" s="40" t="s">
        <v>48</v>
      </c>
      <c r="M47" s="40" t="s">
        <v>48</v>
      </c>
      <c r="N47" s="40" t="s">
        <v>48</v>
      </c>
      <c r="O47" s="40" t="s">
        <v>48</v>
      </c>
      <c r="P47" s="40" t="s">
        <v>48</v>
      </c>
      <c r="Q47" s="40" t="s">
        <v>48</v>
      </c>
      <c r="R47" s="40" t="s">
        <v>48</v>
      </c>
      <c r="S47" s="40" t="s">
        <v>48</v>
      </c>
      <c r="T47" s="40" t="s">
        <v>48</v>
      </c>
      <c r="V47" s="33"/>
      <c r="W47" s="38" t="str">
        <f>Notes!T48</f>
        <v xml:space="preserve">               Non-agriculture</v>
      </c>
      <c r="X47" s="4" t="s">
        <v>708</v>
      </c>
      <c r="Y47" s="44">
        <v>0.40976817233302754</v>
      </c>
      <c r="Z47" s="42" t="s">
        <v>48</v>
      </c>
      <c r="AA47" s="40" t="s">
        <v>48</v>
      </c>
      <c r="AB47" s="40" t="s">
        <v>48</v>
      </c>
      <c r="AC47" s="40" t="s">
        <v>48</v>
      </c>
      <c r="AD47" s="40" t="s">
        <v>48</v>
      </c>
      <c r="AE47" s="40" t="s">
        <v>48</v>
      </c>
      <c r="AF47" s="40" t="s">
        <v>48</v>
      </c>
      <c r="AG47" s="40" t="s">
        <v>48</v>
      </c>
      <c r="AH47" s="40" t="s">
        <v>48</v>
      </c>
      <c r="AI47" s="40" t="s">
        <v>48</v>
      </c>
      <c r="AJ47" s="40" t="s">
        <v>48</v>
      </c>
      <c r="AK47" s="40" t="s">
        <v>48</v>
      </c>
      <c r="AL47" s="40" t="s">
        <v>48</v>
      </c>
      <c r="AM47" s="40" t="s">
        <v>48</v>
      </c>
      <c r="AN47" s="40" t="s">
        <v>48</v>
      </c>
    </row>
    <row r="48" spans="1:40" x14ac:dyDescent="0.35">
      <c r="A48" s="12">
        <v>41</v>
      </c>
      <c r="B48" s="33"/>
      <c r="C48" s="38" t="str">
        <f>Notes!T49</f>
        <v xml:space="preserve">               Industry</v>
      </c>
      <c r="D48" s="4" t="s">
        <v>709</v>
      </c>
      <c r="E48" s="44">
        <v>0.40976817233302754</v>
      </c>
      <c r="F48" s="42" t="s">
        <v>48</v>
      </c>
      <c r="G48" s="40" t="s">
        <v>48</v>
      </c>
      <c r="H48" s="40" t="s">
        <v>48</v>
      </c>
      <c r="I48" s="40" t="s">
        <v>48</v>
      </c>
      <c r="J48" s="40" t="s">
        <v>48</v>
      </c>
      <c r="K48" s="40" t="s">
        <v>48</v>
      </c>
      <c r="L48" s="40" t="s">
        <v>48</v>
      </c>
      <c r="M48" s="40" t="s">
        <v>48</v>
      </c>
      <c r="N48" s="40" t="s">
        <v>48</v>
      </c>
      <c r="O48" s="40" t="s">
        <v>48</v>
      </c>
      <c r="P48" s="40" t="s">
        <v>48</v>
      </c>
      <c r="Q48" s="40" t="s">
        <v>48</v>
      </c>
      <c r="R48" s="40" t="s">
        <v>48</v>
      </c>
      <c r="S48" s="40" t="s">
        <v>48</v>
      </c>
      <c r="T48" s="40" t="s">
        <v>48</v>
      </c>
      <c r="V48" s="33"/>
      <c r="W48" s="38" t="str">
        <f>Notes!T49</f>
        <v xml:space="preserve">               Industry</v>
      </c>
      <c r="X48" s="4" t="s">
        <v>709</v>
      </c>
      <c r="Y48" s="44">
        <v>0.40976817233302754</v>
      </c>
      <c r="Z48" s="42" t="s">
        <v>48</v>
      </c>
      <c r="AA48" s="40" t="s">
        <v>48</v>
      </c>
      <c r="AB48" s="40" t="s">
        <v>48</v>
      </c>
      <c r="AC48" s="40" t="s">
        <v>48</v>
      </c>
      <c r="AD48" s="40" t="s">
        <v>48</v>
      </c>
      <c r="AE48" s="40" t="s">
        <v>48</v>
      </c>
      <c r="AF48" s="40" t="s">
        <v>48</v>
      </c>
      <c r="AG48" s="40" t="s">
        <v>48</v>
      </c>
      <c r="AH48" s="40" t="s">
        <v>48</v>
      </c>
      <c r="AI48" s="40" t="s">
        <v>48</v>
      </c>
      <c r="AJ48" s="40" t="s">
        <v>48</v>
      </c>
      <c r="AK48" s="40" t="s">
        <v>48</v>
      </c>
      <c r="AL48" s="40" t="s">
        <v>48</v>
      </c>
      <c r="AM48" s="40" t="s">
        <v>48</v>
      </c>
      <c r="AN48" s="40" t="s">
        <v>48</v>
      </c>
    </row>
    <row r="49" spans="1:40" x14ac:dyDescent="0.35">
      <c r="A49" s="12">
        <v>42</v>
      </c>
      <c r="B49" s="33"/>
      <c r="C49" s="38" t="str">
        <f>Notes!T50</f>
        <v xml:space="preserve">               Mining</v>
      </c>
      <c r="D49" s="4" t="s">
        <v>710</v>
      </c>
      <c r="E49" s="44">
        <v>71.20359588127981</v>
      </c>
      <c r="F49" s="42" t="s">
        <v>48</v>
      </c>
      <c r="G49" s="40" t="s">
        <v>48</v>
      </c>
      <c r="H49" s="40" t="s">
        <v>48</v>
      </c>
      <c r="I49" s="40" t="s">
        <v>48</v>
      </c>
      <c r="J49" s="40" t="s">
        <v>48</v>
      </c>
      <c r="K49" s="40" t="s">
        <v>48</v>
      </c>
      <c r="L49" s="40" t="s">
        <v>48</v>
      </c>
      <c r="M49" s="40" t="s">
        <v>48</v>
      </c>
      <c r="N49" s="40" t="s">
        <v>48</v>
      </c>
      <c r="O49" s="40" t="s">
        <v>48</v>
      </c>
      <c r="P49" s="40" t="s">
        <v>48</v>
      </c>
      <c r="Q49" s="40" t="s">
        <v>48</v>
      </c>
      <c r="R49" s="40" t="s">
        <v>48</v>
      </c>
      <c r="S49" s="40" t="s">
        <v>48</v>
      </c>
      <c r="T49" s="40" t="s">
        <v>48</v>
      </c>
      <c r="V49" s="33"/>
      <c r="W49" s="38" t="str">
        <f>Notes!T50</f>
        <v xml:space="preserve">               Mining</v>
      </c>
      <c r="X49" s="4" t="s">
        <v>710</v>
      </c>
      <c r="Y49" s="44">
        <v>71.20359588127981</v>
      </c>
      <c r="Z49" s="42" t="s">
        <v>48</v>
      </c>
      <c r="AA49" s="40" t="s">
        <v>48</v>
      </c>
      <c r="AB49" s="40" t="s">
        <v>48</v>
      </c>
      <c r="AC49" s="40" t="s">
        <v>48</v>
      </c>
      <c r="AD49" s="40" t="s">
        <v>48</v>
      </c>
      <c r="AE49" s="40" t="s">
        <v>48</v>
      </c>
      <c r="AF49" s="40" t="s">
        <v>48</v>
      </c>
      <c r="AG49" s="40" t="s">
        <v>48</v>
      </c>
      <c r="AH49" s="40" t="s">
        <v>48</v>
      </c>
      <c r="AI49" s="40" t="s">
        <v>48</v>
      </c>
      <c r="AJ49" s="40" t="s">
        <v>48</v>
      </c>
      <c r="AK49" s="40" t="s">
        <v>48</v>
      </c>
      <c r="AL49" s="40" t="s">
        <v>48</v>
      </c>
      <c r="AM49" s="40" t="s">
        <v>48</v>
      </c>
      <c r="AN49" s="40" t="s">
        <v>48</v>
      </c>
    </row>
    <row r="50" spans="1:40" x14ac:dyDescent="0.35">
      <c r="A50" s="12">
        <v>43</v>
      </c>
      <c r="B50" s="33"/>
      <c r="C50" s="38" t="str">
        <f>Notes!T51</f>
        <v xml:space="preserve">               Natural gas</v>
      </c>
      <c r="D50" s="4" t="s">
        <v>499</v>
      </c>
      <c r="E50" s="44">
        <v>18.873148647598413</v>
      </c>
      <c r="F50" s="42" t="s">
        <v>48</v>
      </c>
      <c r="G50" s="40" t="s">
        <v>48</v>
      </c>
      <c r="H50" s="40" t="s">
        <v>48</v>
      </c>
      <c r="I50" s="40" t="s">
        <v>48</v>
      </c>
      <c r="J50" s="40" t="s">
        <v>48</v>
      </c>
      <c r="K50" s="40" t="s">
        <v>48</v>
      </c>
      <c r="L50" s="40" t="s">
        <v>48</v>
      </c>
      <c r="M50" s="40" t="s">
        <v>48</v>
      </c>
      <c r="N50" s="40" t="s">
        <v>48</v>
      </c>
      <c r="O50" s="40" t="s">
        <v>48</v>
      </c>
      <c r="P50" s="40" t="s">
        <v>48</v>
      </c>
      <c r="Q50" s="40" t="s">
        <v>48</v>
      </c>
      <c r="R50" s="40" t="s">
        <v>48</v>
      </c>
      <c r="S50" s="40" t="s">
        <v>48</v>
      </c>
      <c r="T50" s="40" t="s">
        <v>48</v>
      </c>
      <c r="V50" s="33"/>
      <c r="W50" s="38" t="str">
        <f>Notes!T51</f>
        <v xml:space="preserve">               Natural gas</v>
      </c>
      <c r="X50" s="4" t="s">
        <v>499</v>
      </c>
      <c r="Y50" s="44">
        <v>18.873148647598413</v>
      </c>
      <c r="Z50" s="42" t="s">
        <v>48</v>
      </c>
      <c r="AA50" s="40" t="s">
        <v>48</v>
      </c>
      <c r="AB50" s="40" t="s">
        <v>48</v>
      </c>
      <c r="AC50" s="40" t="s">
        <v>48</v>
      </c>
      <c r="AD50" s="40" t="s">
        <v>48</v>
      </c>
      <c r="AE50" s="40" t="s">
        <v>48</v>
      </c>
      <c r="AF50" s="40" t="s">
        <v>48</v>
      </c>
      <c r="AG50" s="40" t="s">
        <v>48</v>
      </c>
      <c r="AH50" s="40" t="s">
        <v>48</v>
      </c>
      <c r="AI50" s="40" t="s">
        <v>48</v>
      </c>
      <c r="AJ50" s="40" t="s">
        <v>48</v>
      </c>
      <c r="AK50" s="40" t="s">
        <v>48</v>
      </c>
      <c r="AL50" s="40" t="s">
        <v>48</v>
      </c>
      <c r="AM50" s="40" t="s">
        <v>48</v>
      </c>
      <c r="AN50" s="40" t="s">
        <v>48</v>
      </c>
    </row>
    <row r="51" spans="1:40" x14ac:dyDescent="0.35">
      <c r="A51" s="12">
        <v>44</v>
      </c>
      <c r="B51" s="33"/>
      <c r="C51" s="38" t="str">
        <f>Notes!T52</f>
        <v xml:space="preserve">               Other mining</v>
      </c>
      <c r="D51" s="4" t="s">
        <v>501</v>
      </c>
      <c r="E51" s="44">
        <v>2.341200041546827</v>
      </c>
      <c r="F51" s="42" t="s">
        <v>48</v>
      </c>
      <c r="G51" s="40" t="s">
        <v>48</v>
      </c>
      <c r="H51" s="40" t="s">
        <v>48</v>
      </c>
      <c r="I51" s="40" t="s">
        <v>48</v>
      </c>
      <c r="J51" s="40" t="s">
        <v>48</v>
      </c>
      <c r="K51" s="40" t="s">
        <v>48</v>
      </c>
      <c r="L51" s="40" t="s">
        <v>48</v>
      </c>
      <c r="M51" s="40" t="s">
        <v>48</v>
      </c>
      <c r="N51" s="40" t="s">
        <v>48</v>
      </c>
      <c r="O51" s="40" t="s">
        <v>48</v>
      </c>
      <c r="P51" s="40" t="s">
        <v>48</v>
      </c>
      <c r="Q51" s="40" t="s">
        <v>48</v>
      </c>
      <c r="R51" s="40" t="s">
        <v>48</v>
      </c>
      <c r="S51" s="40" t="s">
        <v>48</v>
      </c>
      <c r="T51" s="40" t="s">
        <v>48</v>
      </c>
      <c r="V51" s="33"/>
      <c r="W51" s="38" t="str">
        <f>Notes!T52</f>
        <v xml:space="preserve">               Other mining</v>
      </c>
      <c r="X51" s="4" t="s">
        <v>501</v>
      </c>
      <c r="Y51" s="44">
        <v>2.341200041546827</v>
      </c>
      <c r="Z51" s="42" t="s">
        <v>48</v>
      </c>
      <c r="AA51" s="40" t="s">
        <v>48</v>
      </c>
      <c r="AB51" s="40" t="s">
        <v>48</v>
      </c>
      <c r="AC51" s="40" t="s">
        <v>48</v>
      </c>
      <c r="AD51" s="40" t="s">
        <v>48</v>
      </c>
      <c r="AE51" s="40" t="s">
        <v>48</v>
      </c>
      <c r="AF51" s="40" t="s">
        <v>48</v>
      </c>
      <c r="AG51" s="40" t="s">
        <v>48</v>
      </c>
      <c r="AH51" s="40" t="s">
        <v>48</v>
      </c>
      <c r="AI51" s="40" t="s">
        <v>48</v>
      </c>
      <c r="AJ51" s="40" t="s">
        <v>48</v>
      </c>
      <c r="AK51" s="40" t="s">
        <v>48</v>
      </c>
      <c r="AL51" s="40" t="s">
        <v>48</v>
      </c>
      <c r="AM51" s="40" t="s">
        <v>48</v>
      </c>
      <c r="AN51" s="40" t="s">
        <v>48</v>
      </c>
    </row>
    <row r="52" spans="1:40" x14ac:dyDescent="0.35">
      <c r="A52" s="12">
        <v>45</v>
      </c>
      <c r="B52" s="33"/>
      <c r="C52" s="38" t="str">
        <f>Notes!T53</f>
        <v xml:space="preserve">               Manufacturing</v>
      </c>
      <c r="D52" s="4" t="s">
        <v>711</v>
      </c>
      <c r="E52" s="44">
        <v>9.837357532274933E-4</v>
      </c>
      <c r="F52" s="42" t="s">
        <v>48</v>
      </c>
      <c r="G52" s="40" t="s">
        <v>48</v>
      </c>
      <c r="H52" s="40" t="s">
        <v>48</v>
      </c>
      <c r="I52" s="40" t="s">
        <v>48</v>
      </c>
      <c r="J52" s="40" t="s">
        <v>48</v>
      </c>
      <c r="K52" s="40" t="s">
        <v>48</v>
      </c>
      <c r="L52" s="40" t="s">
        <v>48</v>
      </c>
      <c r="M52" s="40" t="s">
        <v>48</v>
      </c>
      <c r="N52" s="40" t="s">
        <v>48</v>
      </c>
      <c r="O52" s="40" t="s">
        <v>48</v>
      </c>
      <c r="P52" s="40" t="s">
        <v>48</v>
      </c>
      <c r="Q52" s="40" t="s">
        <v>48</v>
      </c>
      <c r="R52" s="40" t="s">
        <v>48</v>
      </c>
      <c r="S52" s="40" t="s">
        <v>48</v>
      </c>
      <c r="T52" s="40" t="s">
        <v>48</v>
      </c>
      <c r="V52" s="33"/>
      <c r="W52" s="38" t="str">
        <f>Notes!T53</f>
        <v xml:space="preserve">               Manufacturing</v>
      </c>
      <c r="X52" s="4" t="s">
        <v>711</v>
      </c>
      <c r="Y52" s="44">
        <v>9.837357532274933E-4</v>
      </c>
      <c r="Z52" s="42" t="s">
        <v>48</v>
      </c>
      <c r="AA52" s="40" t="s">
        <v>48</v>
      </c>
      <c r="AB52" s="40" t="s">
        <v>48</v>
      </c>
      <c r="AC52" s="40" t="s">
        <v>48</v>
      </c>
      <c r="AD52" s="40" t="s">
        <v>48</v>
      </c>
      <c r="AE52" s="40" t="s">
        <v>48</v>
      </c>
      <c r="AF52" s="40" t="s">
        <v>48</v>
      </c>
      <c r="AG52" s="40" t="s">
        <v>48</v>
      </c>
      <c r="AH52" s="40" t="s">
        <v>48</v>
      </c>
      <c r="AI52" s="40" t="s">
        <v>48</v>
      </c>
      <c r="AJ52" s="40" t="s">
        <v>48</v>
      </c>
      <c r="AK52" s="40" t="s">
        <v>48</v>
      </c>
      <c r="AL52" s="40" t="s">
        <v>48</v>
      </c>
      <c r="AM52" s="40" t="s">
        <v>48</v>
      </c>
      <c r="AN52" s="40" t="s">
        <v>48</v>
      </c>
    </row>
    <row r="53" spans="1:40" x14ac:dyDescent="0.35">
      <c r="A53" s="12">
        <v>46</v>
      </c>
      <c r="B53" s="33"/>
      <c r="C53" s="38" t="str">
        <f>Notes!T54</f>
        <v xml:space="preserve">               Agro processing</v>
      </c>
      <c r="D53" s="4" t="s">
        <v>712</v>
      </c>
      <c r="E53" s="44">
        <v>2.3402163057935996</v>
      </c>
      <c r="F53" s="42" t="s">
        <v>48</v>
      </c>
      <c r="G53" s="40" t="s">
        <v>48</v>
      </c>
      <c r="H53" s="40" t="s">
        <v>48</v>
      </c>
      <c r="I53" s="40" t="s">
        <v>48</v>
      </c>
      <c r="J53" s="40" t="s">
        <v>48</v>
      </c>
      <c r="K53" s="40" t="s">
        <v>48</v>
      </c>
      <c r="L53" s="40" t="s">
        <v>48</v>
      </c>
      <c r="M53" s="40" t="s">
        <v>48</v>
      </c>
      <c r="N53" s="40" t="s">
        <v>48</v>
      </c>
      <c r="O53" s="40" t="s">
        <v>48</v>
      </c>
      <c r="P53" s="40" t="s">
        <v>48</v>
      </c>
      <c r="Q53" s="40" t="s">
        <v>48</v>
      </c>
      <c r="R53" s="40" t="s">
        <v>48</v>
      </c>
      <c r="S53" s="40" t="s">
        <v>48</v>
      </c>
      <c r="T53" s="40" t="s">
        <v>48</v>
      </c>
      <c r="V53" s="33"/>
      <c r="W53" s="38" t="str">
        <f>Notes!T54</f>
        <v xml:space="preserve">               Agro processing</v>
      </c>
      <c r="X53" s="4" t="s">
        <v>712</v>
      </c>
      <c r="Y53" s="44">
        <v>2.3402163057935996</v>
      </c>
      <c r="Z53" s="42" t="s">
        <v>48</v>
      </c>
      <c r="AA53" s="40" t="s">
        <v>48</v>
      </c>
      <c r="AB53" s="40" t="s">
        <v>48</v>
      </c>
      <c r="AC53" s="40" t="s">
        <v>48</v>
      </c>
      <c r="AD53" s="40" t="s">
        <v>48</v>
      </c>
      <c r="AE53" s="40" t="s">
        <v>48</v>
      </c>
      <c r="AF53" s="40" t="s">
        <v>48</v>
      </c>
      <c r="AG53" s="40" t="s">
        <v>48</v>
      </c>
      <c r="AH53" s="40" t="s">
        <v>48</v>
      </c>
      <c r="AI53" s="40" t="s">
        <v>48</v>
      </c>
      <c r="AJ53" s="40" t="s">
        <v>48</v>
      </c>
      <c r="AK53" s="40" t="s">
        <v>48</v>
      </c>
      <c r="AL53" s="40" t="s">
        <v>48</v>
      </c>
      <c r="AM53" s="40" t="s">
        <v>48</v>
      </c>
      <c r="AN53" s="40" t="s">
        <v>48</v>
      </c>
    </row>
    <row r="54" spans="1:40" x14ac:dyDescent="0.35">
      <c r="A54" s="12">
        <v>47</v>
      </c>
      <c r="B54" s="33"/>
      <c r="C54" s="38" t="str">
        <f>Notes!T55</f>
        <v xml:space="preserve">               Food processing</v>
      </c>
      <c r="D54" s="4" t="s">
        <v>713</v>
      </c>
      <c r="E54" s="44">
        <v>16.531948606051586</v>
      </c>
      <c r="F54" s="42" t="s">
        <v>48</v>
      </c>
      <c r="G54" s="40" t="s">
        <v>48</v>
      </c>
      <c r="H54" s="40" t="s">
        <v>48</v>
      </c>
      <c r="I54" s="40" t="s">
        <v>48</v>
      </c>
      <c r="J54" s="40" t="s">
        <v>48</v>
      </c>
      <c r="K54" s="40" t="s">
        <v>48</v>
      </c>
      <c r="L54" s="40" t="s">
        <v>48</v>
      </c>
      <c r="M54" s="40" t="s">
        <v>48</v>
      </c>
      <c r="N54" s="40" t="s">
        <v>48</v>
      </c>
      <c r="O54" s="40" t="s">
        <v>48</v>
      </c>
      <c r="P54" s="40" t="s">
        <v>48</v>
      </c>
      <c r="Q54" s="40" t="s">
        <v>48</v>
      </c>
      <c r="R54" s="40" t="s">
        <v>48</v>
      </c>
      <c r="S54" s="40" t="s">
        <v>48</v>
      </c>
      <c r="T54" s="40" t="s">
        <v>48</v>
      </c>
      <c r="V54" s="33"/>
      <c r="W54" s="38" t="str">
        <f>Notes!T55</f>
        <v xml:space="preserve">               Food processing</v>
      </c>
      <c r="X54" s="4" t="s">
        <v>713</v>
      </c>
      <c r="Y54" s="44">
        <v>16.531948606051586</v>
      </c>
      <c r="Z54" s="42" t="s">
        <v>48</v>
      </c>
      <c r="AA54" s="40" t="s">
        <v>48</v>
      </c>
      <c r="AB54" s="40" t="s">
        <v>48</v>
      </c>
      <c r="AC54" s="40" t="s">
        <v>48</v>
      </c>
      <c r="AD54" s="40" t="s">
        <v>48</v>
      </c>
      <c r="AE54" s="40" t="s">
        <v>48</v>
      </c>
      <c r="AF54" s="40" t="s">
        <v>48</v>
      </c>
      <c r="AG54" s="40" t="s">
        <v>48</v>
      </c>
      <c r="AH54" s="40" t="s">
        <v>48</v>
      </c>
      <c r="AI54" s="40" t="s">
        <v>48</v>
      </c>
      <c r="AJ54" s="40" t="s">
        <v>48</v>
      </c>
      <c r="AK54" s="40" t="s">
        <v>48</v>
      </c>
      <c r="AL54" s="40" t="s">
        <v>48</v>
      </c>
      <c r="AM54" s="40" t="s">
        <v>48</v>
      </c>
      <c r="AN54" s="40" t="s">
        <v>48</v>
      </c>
    </row>
    <row r="55" spans="1:40" x14ac:dyDescent="0.35">
      <c r="A55" s="12">
        <v>48</v>
      </c>
      <c r="B55" s="33"/>
      <c r="C55" s="38" t="str">
        <f>Notes!T56</f>
        <v xml:space="preserve">               Meat processing</v>
      </c>
      <c r="D55" s="4" t="s">
        <v>504</v>
      </c>
      <c r="E55" s="44">
        <v>5.4584130000239313</v>
      </c>
      <c r="F55" s="42" t="s">
        <v>48</v>
      </c>
      <c r="G55" s="40" t="s">
        <v>48</v>
      </c>
      <c r="H55" s="40" t="s">
        <v>48</v>
      </c>
      <c r="I55" s="40" t="s">
        <v>48</v>
      </c>
      <c r="J55" s="40" t="s">
        <v>48</v>
      </c>
      <c r="K55" s="40" t="s">
        <v>48</v>
      </c>
      <c r="L55" s="40" t="s">
        <v>48</v>
      </c>
      <c r="M55" s="40" t="s">
        <v>48</v>
      </c>
      <c r="N55" s="40" t="s">
        <v>48</v>
      </c>
      <c r="O55" s="40" t="s">
        <v>48</v>
      </c>
      <c r="P55" s="40" t="s">
        <v>48</v>
      </c>
      <c r="Q55" s="40" t="s">
        <v>48</v>
      </c>
      <c r="R55" s="40" t="s">
        <v>48</v>
      </c>
      <c r="S55" s="40" t="s">
        <v>48</v>
      </c>
      <c r="T55" s="40" t="s">
        <v>48</v>
      </c>
      <c r="V55" s="33"/>
      <c r="W55" s="38" t="str">
        <f>Notes!T56</f>
        <v xml:space="preserve">               Meat processing</v>
      </c>
      <c r="X55" s="4" t="s">
        <v>504</v>
      </c>
      <c r="Y55" s="44">
        <v>5.4584130000239313</v>
      </c>
      <c r="Z55" s="42" t="s">
        <v>48</v>
      </c>
      <c r="AA55" s="40" t="s">
        <v>48</v>
      </c>
      <c r="AB55" s="40" t="s">
        <v>48</v>
      </c>
      <c r="AC55" s="40" t="s">
        <v>48</v>
      </c>
      <c r="AD55" s="40" t="s">
        <v>48</v>
      </c>
      <c r="AE55" s="40" t="s">
        <v>48</v>
      </c>
      <c r="AF55" s="40" t="s">
        <v>48</v>
      </c>
      <c r="AG55" s="40" t="s">
        <v>48</v>
      </c>
      <c r="AH55" s="40" t="s">
        <v>48</v>
      </c>
      <c r="AI55" s="40" t="s">
        <v>48</v>
      </c>
      <c r="AJ55" s="40" t="s">
        <v>48</v>
      </c>
      <c r="AK55" s="40" t="s">
        <v>48</v>
      </c>
      <c r="AL55" s="40" t="s">
        <v>48</v>
      </c>
      <c r="AM55" s="40" t="s">
        <v>48</v>
      </c>
      <c r="AN55" s="40" t="s">
        <v>48</v>
      </c>
    </row>
    <row r="56" spans="1:40" x14ac:dyDescent="0.35">
      <c r="A56" s="12">
        <v>49</v>
      </c>
      <c r="B56" s="33"/>
      <c r="C56" s="38" t="str">
        <f>Notes!T57</f>
        <v xml:space="preserve">               Fish and seafood processing</v>
      </c>
      <c r="D56" s="4" t="s">
        <v>766</v>
      </c>
      <c r="E56" s="44">
        <v>2.9339792247858152</v>
      </c>
      <c r="F56" s="42" t="s">
        <v>48</v>
      </c>
      <c r="G56" s="40" t="s">
        <v>48</v>
      </c>
      <c r="H56" s="40" t="s">
        <v>48</v>
      </c>
      <c r="I56" s="40" t="s">
        <v>48</v>
      </c>
      <c r="J56" s="40" t="s">
        <v>48</v>
      </c>
      <c r="K56" s="40" t="s">
        <v>48</v>
      </c>
      <c r="L56" s="40" t="s">
        <v>48</v>
      </c>
      <c r="M56" s="40" t="s">
        <v>48</v>
      </c>
      <c r="N56" s="40" t="s">
        <v>48</v>
      </c>
      <c r="O56" s="40" t="s">
        <v>48</v>
      </c>
      <c r="P56" s="40" t="s">
        <v>48</v>
      </c>
      <c r="Q56" s="40" t="s">
        <v>48</v>
      </c>
      <c r="R56" s="40" t="s">
        <v>48</v>
      </c>
      <c r="S56" s="40" t="s">
        <v>48</v>
      </c>
      <c r="T56" s="40" t="s">
        <v>48</v>
      </c>
      <c r="V56" s="33"/>
      <c r="W56" s="38" t="str">
        <f>Notes!T57</f>
        <v xml:space="preserve">               Fish and seafood processing</v>
      </c>
      <c r="X56" s="4" t="s">
        <v>766</v>
      </c>
      <c r="Y56" s="44">
        <v>2.9339792247858152</v>
      </c>
      <c r="Z56" s="42" t="s">
        <v>48</v>
      </c>
      <c r="AA56" s="40" t="s">
        <v>48</v>
      </c>
      <c r="AB56" s="40" t="s">
        <v>48</v>
      </c>
      <c r="AC56" s="40" t="s">
        <v>48</v>
      </c>
      <c r="AD56" s="40" t="s">
        <v>48</v>
      </c>
      <c r="AE56" s="40" t="s">
        <v>48</v>
      </c>
      <c r="AF56" s="40" t="s">
        <v>48</v>
      </c>
      <c r="AG56" s="40" t="s">
        <v>48</v>
      </c>
      <c r="AH56" s="40" t="s">
        <v>48</v>
      </c>
      <c r="AI56" s="40" t="s">
        <v>48</v>
      </c>
      <c r="AJ56" s="40" t="s">
        <v>48</v>
      </c>
      <c r="AK56" s="40" t="s">
        <v>48</v>
      </c>
      <c r="AL56" s="40" t="s">
        <v>48</v>
      </c>
      <c r="AM56" s="40" t="s">
        <v>48</v>
      </c>
      <c r="AN56" s="40" t="s">
        <v>48</v>
      </c>
    </row>
    <row r="57" spans="1:40" x14ac:dyDescent="0.35">
      <c r="A57" s="12">
        <v>50</v>
      </c>
      <c r="B57" s="33"/>
      <c r="C57" s="38" t="str">
        <f>Notes!T58</f>
        <v xml:space="preserve">               Fruit and vegetable processing</v>
      </c>
      <c r="D57" s="4" t="s">
        <v>508</v>
      </c>
      <c r="E57" s="44">
        <v>0.31337760806782278</v>
      </c>
      <c r="F57" s="42" t="s">
        <v>48</v>
      </c>
      <c r="G57" s="40" t="s">
        <v>48</v>
      </c>
      <c r="H57" s="40" t="s">
        <v>48</v>
      </c>
      <c r="I57" s="40" t="s">
        <v>48</v>
      </c>
      <c r="J57" s="40" t="s">
        <v>48</v>
      </c>
      <c r="K57" s="40" t="s">
        <v>48</v>
      </c>
      <c r="L57" s="40" t="s">
        <v>48</v>
      </c>
      <c r="M57" s="40" t="s">
        <v>48</v>
      </c>
      <c r="N57" s="40" t="s">
        <v>48</v>
      </c>
      <c r="O57" s="40" t="s">
        <v>48</v>
      </c>
      <c r="P57" s="40" t="s">
        <v>48</v>
      </c>
      <c r="Q57" s="40" t="s">
        <v>48</v>
      </c>
      <c r="R57" s="40" t="s">
        <v>48</v>
      </c>
      <c r="S57" s="40" t="s">
        <v>48</v>
      </c>
      <c r="T57" s="40" t="s">
        <v>48</v>
      </c>
      <c r="V57" s="33"/>
      <c r="W57" s="38" t="str">
        <f>Notes!T58</f>
        <v xml:space="preserve">               Fruit and vegetable processing</v>
      </c>
      <c r="X57" s="4" t="s">
        <v>508</v>
      </c>
      <c r="Y57" s="44">
        <v>0.31337760806782278</v>
      </c>
      <c r="Z57" s="42" t="s">
        <v>48</v>
      </c>
      <c r="AA57" s="40" t="s">
        <v>48</v>
      </c>
      <c r="AB57" s="40" t="s">
        <v>48</v>
      </c>
      <c r="AC57" s="40" t="s">
        <v>48</v>
      </c>
      <c r="AD57" s="40" t="s">
        <v>48</v>
      </c>
      <c r="AE57" s="40" t="s">
        <v>48</v>
      </c>
      <c r="AF57" s="40" t="s">
        <v>48</v>
      </c>
      <c r="AG57" s="40" t="s">
        <v>48</v>
      </c>
      <c r="AH57" s="40" t="s">
        <v>48</v>
      </c>
      <c r="AI57" s="40" t="s">
        <v>48</v>
      </c>
      <c r="AJ57" s="40" t="s">
        <v>48</v>
      </c>
      <c r="AK57" s="40" t="s">
        <v>48</v>
      </c>
      <c r="AL57" s="40" t="s">
        <v>48</v>
      </c>
      <c r="AM57" s="40" t="s">
        <v>48</v>
      </c>
      <c r="AN57" s="40" t="s">
        <v>48</v>
      </c>
    </row>
    <row r="58" spans="1:40" x14ac:dyDescent="0.35">
      <c r="A58" s="12">
        <v>51</v>
      </c>
      <c r="B58" s="33"/>
      <c r="C58" s="38" t="str">
        <f>Notes!T59</f>
        <v xml:space="preserve">               Fats and oils</v>
      </c>
      <c r="D58" s="4" t="s">
        <v>510</v>
      </c>
      <c r="E58" s="44" t="s">
        <v>48</v>
      </c>
      <c r="F58" s="42" t="s">
        <v>48</v>
      </c>
      <c r="G58" s="40" t="s">
        <v>48</v>
      </c>
      <c r="H58" s="40" t="s">
        <v>48</v>
      </c>
      <c r="I58" s="40" t="s">
        <v>48</v>
      </c>
      <c r="J58" s="40" t="s">
        <v>48</v>
      </c>
      <c r="K58" s="40" t="s">
        <v>48</v>
      </c>
      <c r="L58" s="40" t="s">
        <v>48</v>
      </c>
      <c r="M58" s="40" t="s">
        <v>48</v>
      </c>
      <c r="N58" s="40" t="s">
        <v>48</v>
      </c>
      <c r="O58" s="40" t="s">
        <v>48</v>
      </c>
      <c r="P58" s="40" t="s">
        <v>48</v>
      </c>
      <c r="Q58" s="40" t="s">
        <v>48</v>
      </c>
      <c r="R58" s="40" t="s">
        <v>48</v>
      </c>
      <c r="S58" s="40" t="s">
        <v>48</v>
      </c>
      <c r="T58" s="40" t="s">
        <v>48</v>
      </c>
      <c r="V58" s="33"/>
      <c r="W58" s="38" t="str">
        <f>Notes!T59</f>
        <v xml:space="preserve">               Fats and oils</v>
      </c>
      <c r="X58" s="4" t="s">
        <v>510</v>
      </c>
      <c r="Y58" s="44" t="s">
        <v>48</v>
      </c>
      <c r="Z58" s="42" t="s">
        <v>48</v>
      </c>
      <c r="AA58" s="40" t="s">
        <v>48</v>
      </c>
      <c r="AB58" s="40" t="s">
        <v>48</v>
      </c>
      <c r="AC58" s="40" t="s">
        <v>48</v>
      </c>
      <c r="AD58" s="40" t="s">
        <v>48</v>
      </c>
      <c r="AE58" s="40" t="s">
        <v>48</v>
      </c>
      <c r="AF58" s="40" t="s">
        <v>48</v>
      </c>
      <c r="AG58" s="40" t="s">
        <v>48</v>
      </c>
      <c r="AH58" s="40" t="s">
        <v>48</v>
      </c>
      <c r="AI58" s="40" t="s">
        <v>48</v>
      </c>
      <c r="AJ58" s="40" t="s">
        <v>48</v>
      </c>
      <c r="AK58" s="40" t="s">
        <v>48</v>
      </c>
      <c r="AL58" s="40" t="s">
        <v>48</v>
      </c>
      <c r="AM58" s="40" t="s">
        <v>48</v>
      </c>
      <c r="AN58" s="40" t="s">
        <v>48</v>
      </c>
    </row>
    <row r="59" spans="1:40" x14ac:dyDescent="0.35">
      <c r="A59" s="12">
        <v>52</v>
      </c>
      <c r="B59" s="33"/>
      <c r="C59" s="38" t="str">
        <f>Notes!T60</f>
        <v xml:space="preserve">               Dairy</v>
      </c>
      <c r="D59" s="4" t="s">
        <v>506</v>
      </c>
      <c r="E59" s="44">
        <v>8.6472897089543491E-2</v>
      </c>
      <c r="F59" s="42" t="s">
        <v>48</v>
      </c>
      <c r="G59" s="40" t="s">
        <v>48</v>
      </c>
      <c r="H59" s="40" t="s">
        <v>48</v>
      </c>
      <c r="I59" s="40" t="s">
        <v>48</v>
      </c>
      <c r="J59" s="40" t="s">
        <v>48</v>
      </c>
      <c r="K59" s="40" t="s">
        <v>48</v>
      </c>
      <c r="L59" s="40" t="s">
        <v>48</v>
      </c>
      <c r="M59" s="40" t="s">
        <v>48</v>
      </c>
      <c r="N59" s="40" t="s">
        <v>48</v>
      </c>
      <c r="O59" s="40" t="s">
        <v>48</v>
      </c>
      <c r="P59" s="40" t="s">
        <v>48</v>
      </c>
      <c r="Q59" s="40" t="s">
        <v>48</v>
      </c>
      <c r="R59" s="40" t="s">
        <v>48</v>
      </c>
      <c r="S59" s="40" t="s">
        <v>48</v>
      </c>
      <c r="T59" s="40" t="s">
        <v>48</v>
      </c>
      <c r="V59" s="33"/>
      <c r="W59" s="38" t="str">
        <f>Notes!T60</f>
        <v xml:space="preserve">               Dairy</v>
      </c>
      <c r="X59" s="4" t="s">
        <v>506</v>
      </c>
      <c r="Y59" s="44">
        <v>8.6472897089543491E-2</v>
      </c>
      <c r="Z59" s="42" t="s">
        <v>48</v>
      </c>
      <c r="AA59" s="40" t="s">
        <v>48</v>
      </c>
      <c r="AB59" s="40" t="s">
        <v>48</v>
      </c>
      <c r="AC59" s="40" t="s">
        <v>48</v>
      </c>
      <c r="AD59" s="40" t="s">
        <v>48</v>
      </c>
      <c r="AE59" s="40" t="s">
        <v>48</v>
      </c>
      <c r="AF59" s="40" t="s">
        <v>48</v>
      </c>
      <c r="AG59" s="40" t="s">
        <v>48</v>
      </c>
      <c r="AH59" s="40" t="s">
        <v>48</v>
      </c>
      <c r="AI59" s="40" t="s">
        <v>48</v>
      </c>
      <c r="AJ59" s="40" t="s">
        <v>48</v>
      </c>
      <c r="AK59" s="40" t="s">
        <v>48</v>
      </c>
      <c r="AL59" s="40" t="s">
        <v>48</v>
      </c>
      <c r="AM59" s="40" t="s">
        <v>48</v>
      </c>
      <c r="AN59" s="40" t="s">
        <v>48</v>
      </c>
    </row>
    <row r="60" spans="1:40" x14ac:dyDescent="0.35">
      <c r="A60" s="12">
        <v>53</v>
      </c>
      <c r="B60" s="33"/>
      <c r="C60" s="38" t="str">
        <f>Notes!T61</f>
        <v xml:space="preserve">               Grain millet milling</v>
      </c>
      <c r="D60" s="4" t="s">
        <v>342</v>
      </c>
      <c r="E60" s="44">
        <v>0.11472821336602625</v>
      </c>
      <c r="F60" s="42" t="s">
        <v>48</v>
      </c>
      <c r="G60" s="40" t="s">
        <v>48</v>
      </c>
      <c r="H60" s="40" t="s">
        <v>48</v>
      </c>
      <c r="I60" s="40" t="s">
        <v>48</v>
      </c>
      <c r="J60" s="40" t="s">
        <v>48</v>
      </c>
      <c r="K60" s="40" t="s">
        <v>48</v>
      </c>
      <c r="L60" s="40" t="s">
        <v>48</v>
      </c>
      <c r="M60" s="40" t="s">
        <v>48</v>
      </c>
      <c r="N60" s="40" t="s">
        <v>48</v>
      </c>
      <c r="O60" s="40" t="s">
        <v>48</v>
      </c>
      <c r="P60" s="40" t="s">
        <v>48</v>
      </c>
      <c r="Q60" s="40" t="s">
        <v>48</v>
      </c>
      <c r="R60" s="40" t="s">
        <v>48</v>
      </c>
      <c r="S60" s="40" t="s">
        <v>48</v>
      </c>
      <c r="T60" s="40" t="s">
        <v>48</v>
      </c>
      <c r="V60" s="33"/>
      <c r="W60" s="38" t="str">
        <f>Notes!T61</f>
        <v xml:space="preserve">               Grain millet milling</v>
      </c>
      <c r="X60" s="4" t="s">
        <v>342</v>
      </c>
      <c r="Y60" s="44">
        <v>0.11472821336602625</v>
      </c>
      <c r="Z60" s="42" t="s">
        <v>48</v>
      </c>
      <c r="AA60" s="40" t="s">
        <v>48</v>
      </c>
      <c r="AB60" s="40" t="s">
        <v>48</v>
      </c>
      <c r="AC60" s="40" t="s">
        <v>48</v>
      </c>
      <c r="AD60" s="40" t="s">
        <v>48</v>
      </c>
      <c r="AE60" s="40" t="s">
        <v>48</v>
      </c>
      <c r="AF60" s="40" t="s">
        <v>48</v>
      </c>
      <c r="AG60" s="40" t="s">
        <v>48</v>
      </c>
      <c r="AH60" s="40" t="s">
        <v>48</v>
      </c>
      <c r="AI60" s="40" t="s">
        <v>48</v>
      </c>
      <c r="AJ60" s="40" t="s">
        <v>48</v>
      </c>
      <c r="AK60" s="40" t="s">
        <v>48</v>
      </c>
      <c r="AL60" s="40" t="s">
        <v>48</v>
      </c>
      <c r="AM60" s="40" t="s">
        <v>48</v>
      </c>
      <c r="AN60" s="40" t="s">
        <v>48</v>
      </c>
    </row>
    <row r="61" spans="1:40" x14ac:dyDescent="0.35">
      <c r="A61" s="12">
        <v>54</v>
      </c>
      <c r="B61" s="33"/>
      <c r="C61" s="38" t="str">
        <f>Notes!T62</f>
        <v xml:space="preserve">               Bakery</v>
      </c>
      <c r="D61" s="4" t="s">
        <v>714</v>
      </c>
      <c r="E61" s="44">
        <v>6.405273317352396E-2</v>
      </c>
      <c r="F61" s="42" t="s">
        <v>48</v>
      </c>
      <c r="G61" s="40" t="s">
        <v>48</v>
      </c>
      <c r="H61" s="40" t="s">
        <v>48</v>
      </c>
      <c r="I61" s="40" t="s">
        <v>48</v>
      </c>
      <c r="J61" s="40" t="s">
        <v>48</v>
      </c>
      <c r="K61" s="40" t="s">
        <v>48</v>
      </c>
      <c r="L61" s="40" t="s">
        <v>48</v>
      </c>
      <c r="M61" s="40" t="s">
        <v>48</v>
      </c>
      <c r="N61" s="40" t="s">
        <v>48</v>
      </c>
      <c r="O61" s="40" t="s">
        <v>48</v>
      </c>
      <c r="P61" s="40" t="s">
        <v>48</v>
      </c>
      <c r="Q61" s="40" t="s">
        <v>48</v>
      </c>
      <c r="R61" s="40" t="s">
        <v>48</v>
      </c>
      <c r="S61" s="40" t="s">
        <v>48</v>
      </c>
      <c r="T61" s="40" t="s">
        <v>48</v>
      </c>
      <c r="V61" s="33"/>
      <c r="W61" s="38" t="str">
        <f>Notes!T62</f>
        <v xml:space="preserve">               Bakery</v>
      </c>
      <c r="X61" s="4" t="s">
        <v>714</v>
      </c>
      <c r="Y61" s="44">
        <v>6.405273317352396E-2</v>
      </c>
      <c r="Z61" s="42" t="s">
        <v>48</v>
      </c>
      <c r="AA61" s="40" t="s">
        <v>48</v>
      </c>
      <c r="AB61" s="40" t="s">
        <v>48</v>
      </c>
      <c r="AC61" s="40" t="s">
        <v>48</v>
      </c>
      <c r="AD61" s="40" t="s">
        <v>48</v>
      </c>
      <c r="AE61" s="40" t="s">
        <v>48</v>
      </c>
      <c r="AF61" s="40" t="s">
        <v>48</v>
      </c>
      <c r="AG61" s="40" t="s">
        <v>48</v>
      </c>
      <c r="AH61" s="40" t="s">
        <v>48</v>
      </c>
      <c r="AI61" s="40" t="s">
        <v>48</v>
      </c>
      <c r="AJ61" s="40" t="s">
        <v>48</v>
      </c>
      <c r="AK61" s="40" t="s">
        <v>48</v>
      </c>
      <c r="AL61" s="40" t="s">
        <v>48</v>
      </c>
      <c r="AM61" s="40" t="s">
        <v>48</v>
      </c>
      <c r="AN61" s="40" t="s">
        <v>48</v>
      </c>
    </row>
    <row r="62" spans="1:40" x14ac:dyDescent="0.35">
      <c r="A62" s="12">
        <v>55</v>
      </c>
      <c r="B62" s="33"/>
      <c r="C62" s="38" t="str">
        <f>Notes!T63</f>
        <v xml:space="preserve">               Animal feed</v>
      </c>
      <c r="D62" s="4" t="s">
        <v>344</v>
      </c>
      <c r="E62" s="44">
        <v>1.4915296808389944</v>
      </c>
      <c r="F62" s="42" t="s">
        <v>48</v>
      </c>
      <c r="G62" s="40" t="s">
        <v>48</v>
      </c>
      <c r="H62" s="40" t="s">
        <v>48</v>
      </c>
      <c r="I62" s="40" t="s">
        <v>48</v>
      </c>
      <c r="J62" s="40" t="s">
        <v>48</v>
      </c>
      <c r="K62" s="40" t="s">
        <v>48</v>
      </c>
      <c r="L62" s="40" t="s">
        <v>48</v>
      </c>
      <c r="M62" s="40" t="s">
        <v>48</v>
      </c>
      <c r="N62" s="40" t="s">
        <v>48</v>
      </c>
      <c r="O62" s="40" t="s">
        <v>48</v>
      </c>
      <c r="P62" s="40" t="s">
        <v>48</v>
      </c>
      <c r="Q62" s="40" t="s">
        <v>48</v>
      </c>
      <c r="R62" s="40" t="s">
        <v>48</v>
      </c>
      <c r="S62" s="40" t="s">
        <v>48</v>
      </c>
      <c r="T62" s="40" t="s">
        <v>48</v>
      </c>
      <c r="V62" s="33"/>
      <c r="W62" s="38" t="str">
        <f>Notes!T63</f>
        <v xml:space="preserve">               Animal feed</v>
      </c>
      <c r="X62" s="4" t="s">
        <v>344</v>
      </c>
      <c r="Y62" s="44">
        <v>1.4915296808389944</v>
      </c>
      <c r="Z62" s="42" t="s">
        <v>48</v>
      </c>
      <c r="AA62" s="40" t="s">
        <v>48</v>
      </c>
      <c r="AB62" s="40" t="s">
        <v>48</v>
      </c>
      <c r="AC62" s="40" t="s">
        <v>48</v>
      </c>
      <c r="AD62" s="40" t="s">
        <v>48</v>
      </c>
      <c r="AE62" s="40" t="s">
        <v>48</v>
      </c>
      <c r="AF62" s="40" t="s">
        <v>48</v>
      </c>
      <c r="AG62" s="40" t="s">
        <v>48</v>
      </c>
      <c r="AH62" s="40" t="s">
        <v>48</v>
      </c>
      <c r="AI62" s="40" t="s">
        <v>48</v>
      </c>
      <c r="AJ62" s="40" t="s">
        <v>48</v>
      </c>
      <c r="AK62" s="40" t="s">
        <v>48</v>
      </c>
      <c r="AL62" s="40" t="s">
        <v>48</v>
      </c>
      <c r="AM62" s="40" t="s">
        <v>48</v>
      </c>
      <c r="AN62" s="40" t="s">
        <v>48</v>
      </c>
    </row>
    <row r="63" spans="1:40" x14ac:dyDescent="0.35">
      <c r="A63" s="12">
        <v>56</v>
      </c>
      <c r="B63" s="33"/>
      <c r="C63" s="38" t="str">
        <f>Notes!T64</f>
        <v xml:space="preserve">               Other foods</v>
      </c>
      <c r="D63" s="4" t="s">
        <v>343</v>
      </c>
      <c r="E63" s="44">
        <v>0.23326135662075395</v>
      </c>
      <c r="F63" s="42" t="s">
        <v>48</v>
      </c>
      <c r="G63" s="40" t="s">
        <v>48</v>
      </c>
      <c r="H63" s="40" t="s">
        <v>48</v>
      </c>
      <c r="I63" s="40" t="s">
        <v>48</v>
      </c>
      <c r="J63" s="40" t="s">
        <v>48</v>
      </c>
      <c r="K63" s="40" t="s">
        <v>48</v>
      </c>
      <c r="L63" s="40" t="s">
        <v>48</v>
      </c>
      <c r="M63" s="40" t="s">
        <v>48</v>
      </c>
      <c r="N63" s="40" t="s">
        <v>48</v>
      </c>
      <c r="O63" s="40" t="s">
        <v>48</v>
      </c>
      <c r="P63" s="40" t="s">
        <v>48</v>
      </c>
      <c r="Q63" s="40" t="s">
        <v>48</v>
      </c>
      <c r="R63" s="40" t="s">
        <v>48</v>
      </c>
      <c r="S63" s="40" t="s">
        <v>48</v>
      </c>
      <c r="T63" s="40" t="s">
        <v>48</v>
      </c>
      <c r="V63" s="33"/>
      <c r="W63" s="38" t="str">
        <f>Notes!T64</f>
        <v xml:space="preserve">               Other foods</v>
      </c>
      <c r="X63" s="4" t="s">
        <v>343</v>
      </c>
      <c r="Y63" s="44">
        <v>0.23326135662075395</v>
      </c>
      <c r="Z63" s="42" t="s">
        <v>48</v>
      </c>
      <c r="AA63" s="40" t="s">
        <v>48</v>
      </c>
      <c r="AB63" s="40" t="s">
        <v>48</v>
      </c>
      <c r="AC63" s="40" t="s">
        <v>48</v>
      </c>
      <c r="AD63" s="40" t="s">
        <v>48</v>
      </c>
      <c r="AE63" s="40" t="s">
        <v>48</v>
      </c>
      <c r="AF63" s="40" t="s">
        <v>48</v>
      </c>
      <c r="AG63" s="40" t="s">
        <v>48</v>
      </c>
      <c r="AH63" s="40" t="s">
        <v>48</v>
      </c>
      <c r="AI63" s="40" t="s">
        <v>48</v>
      </c>
      <c r="AJ63" s="40" t="s">
        <v>48</v>
      </c>
      <c r="AK63" s="40" t="s">
        <v>48</v>
      </c>
      <c r="AL63" s="40" t="s">
        <v>48</v>
      </c>
      <c r="AM63" s="40" t="s">
        <v>48</v>
      </c>
      <c r="AN63" s="40" t="s">
        <v>48</v>
      </c>
    </row>
    <row r="64" spans="1:40" x14ac:dyDescent="0.35">
      <c r="A64" s="12">
        <v>57</v>
      </c>
      <c r="B64" s="33"/>
      <c r="C64" s="38" t="str">
        <f>Notes!T65</f>
        <v xml:space="preserve">               Beverage and Tobaco</v>
      </c>
      <c r="D64" s="4" t="s">
        <v>715</v>
      </c>
      <c r="E64" s="44">
        <v>5.6091806209763118E-2</v>
      </c>
      <c r="F64" s="42" t="s">
        <v>48</v>
      </c>
      <c r="G64" s="40" t="s">
        <v>48</v>
      </c>
      <c r="H64" s="40" t="s">
        <v>48</v>
      </c>
      <c r="I64" s="40" t="s">
        <v>48</v>
      </c>
      <c r="J64" s="40" t="s">
        <v>48</v>
      </c>
      <c r="K64" s="40" t="s">
        <v>48</v>
      </c>
      <c r="L64" s="40" t="s">
        <v>48</v>
      </c>
      <c r="M64" s="40" t="s">
        <v>48</v>
      </c>
      <c r="N64" s="40" t="s">
        <v>48</v>
      </c>
      <c r="O64" s="40" t="s">
        <v>48</v>
      </c>
      <c r="P64" s="40" t="s">
        <v>48</v>
      </c>
      <c r="Q64" s="40" t="s">
        <v>48</v>
      </c>
      <c r="R64" s="40" t="s">
        <v>48</v>
      </c>
      <c r="S64" s="40" t="s">
        <v>48</v>
      </c>
      <c r="T64" s="40" t="s">
        <v>48</v>
      </c>
      <c r="V64" s="33"/>
      <c r="W64" s="38" t="str">
        <f>Notes!T65</f>
        <v xml:space="preserve">               Beverage and Tobaco</v>
      </c>
      <c r="X64" s="4" t="s">
        <v>715</v>
      </c>
      <c r="Y64" s="44">
        <v>5.6091806209763118E-2</v>
      </c>
      <c r="Z64" s="42" t="s">
        <v>48</v>
      </c>
      <c r="AA64" s="40" t="s">
        <v>48</v>
      </c>
      <c r="AB64" s="40" t="s">
        <v>48</v>
      </c>
      <c r="AC64" s="40" t="s">
        <v>48</v>
      </c>
      <c r="AD64" s="40" t="s">
        <v>48</v>
      </c>
      <c r="AE64" s="40" t="s">
        <v>48</v>
      </c>
      <c r="AF64" s="40" t="s">
        <v>48</v>
      </c>
      <c r="AG64" s="40" t="s">
        <v>48</v>
      </c>
      <c r="AH64" s="40" t="s">
        <v>48</v>
      </c>
      <c r="AI64" s="40" t="s">
        <v>48</v>
      </c>
      <c r="AJ64" s="40" t="s">
        <v>48</v>
      </c>
      <c r="AK64" s="40" t="s">
        <v>48</v>
      </c>
      <c r="AL64" s="40" t="s">
        <v>48</v>
      </c>
      <c r="AM64" s="40" t="s">
        <v>48</v>
      </c>
      <c r="AN64" s="40" t="s">
        <v>48</v>
      </c>
    </row>
    <row r="65" spans="1:40" x14ac:dyDescent="0.35">
      <c r="A65" s="12">
        <v>58</v>
      </c>
      <c r="B65" s="33"/>
      <c r="C65" s="38" t="str">
        <f>Notes!T66</f>
        <v xml:space="preserve">               Beverages</v>
      </c>
      <c r="D65" s="4" t="s">
        <v>345</v>
      </c>
      <c r="E65" s="44">
        <v>0.63055673562915016</v>
      </c>
      <c r="F65" s="42" t="s">
        <v>48</v>
      </c>
      <c r="G65" s="40" t="s">
        <v>48</v>
      </c>
      <c r="H65" s="40" t="s">
        <v>48</v>
      </c>
      <c r="I65" s="40" t="s">
        <v>48</v>
      </c>
      <c r="J65" s="40" t="s">
        <v>48</v>
      </c>
      <c r="K65" s="40" t="s">
        <v>48</v>
      </c>
      <c r="L65" s="40" t="s">
        <v>48</v>
      </c>
      <c r="M65" s="40" t="s">
        <v>48</v>
      </c>
      <c r="N65" s="40" t="s">
        <v>48</v>
      </c>
      <c r="O65" s="40" t="s">
        <v>48</v>
      </c>
      <c r="P65" s="40" t="s">
        <v>48</v>
      </c>
      <c r="Q65" s="40" t="s">
        <v>48</v>
      </c>
      <c r="R65" s="40" t="s">
        <v>48</v>
      </c>
      <c r="S65" s="40" t="s">
        <v>48</v>
      </c>
      <c r="T65" s="40" t="s">
        <v>48</v>
      </c>
      <c r="V65" s="33"/>
      <c r="W65" s="38" t="str">
        <f>Notes!T66</f>
        <v xml:space="preserve">               Beverages</v>
      </c>
      <c r="X65" s="4" t="s">
        <v>345</v>
      </c>
      <c r="Y65" s="44">
        <v>0.63055673562915016</v>
      </c>
      <c r="Z65" s="42" t="s">
        <v>48</v>
      </c>
      <c r="AA65" s="40" t="s">
        <v>48</v>
      </c>
      <c r="AB65" s="40" t="s">
        <v>48</v>
      </c>
      <c r="AC65" s="40" t="s">
        <v>48</v>
      </c>
      <c r="AD65" s="40" t="s">
        <v>48</v>
      </c>
      <c r="AE65" s="40" t="s">
        <v>48</v>
      </c>
      <c r="AF65" s="40" t="s">
        <v>48</v>
      </c>
      <c r="AG65" s="40" t="s">
        <v>48</v>
      </c>
      <c r="AH65" s="40" t="s">
        <v>48</v>
      </c>
      <c r="AI65" s="40" t="s">
        <v>48</v>
      </c>
      <c r="AJ65" s="40" t="s">
        <v>48</v>
      </c>
      <c r="AK65" s="40" t="s">
        <v>48</v>
      </c>
      <c r="AL65" s="40" t="s">
        <v>48</v>
      </c>
      <c r="AM65" s="40" t="s">
        <v>48</v>
      </c>
      <c r="AN65" s="40" t="s">
        <v>48</v>
      </c>
    </row>
    <row r="66" spans="1:40" x14ac:dyDescent="0.35">
      <c r="A66" s="12">
        <v>59</v>
      </c>
      <c r="B66" s="33"/>
      <c r="C66" s="38" t="str">
        <f>Notes!T67</f>
        <v xml:space="preserve">               Tobaco processing</v>
      </c>
      <c r="D66" s="4" t="s">
        <v>346</v>
      </c>
      <c r="E66" s="44">
        <v>2.2509812290430089</v>
      </c>
      <c r="F66" s="42" t="s">
        <v>48</v>
      </c>
      <c r="G66" s="40" t="s">
        <v>48</v>
      </c>
      <c r="H66" s="40" t="s">
        <v>48</v>
      </c>
      <c r="I66" s="40" t="s">
        <v>48</v>
      </c>
      <c r="J66" s="40" t="s">
        <v>48</v>
      </c>
      <c r="K66" s="40" t="s">
        <v>48</v>
      </c>
      <c r="L66" s="40" t="s">
        <v>48</v>
      </c>
      <c r="M66" s="40" t="s">
        <v>48</v>
      </c>
      <c r="N66" s="40" t="s">
        <v>48</v>
      </c>
      <c r="O66" s="40" t="s">
        <v>48</v>
      </c>
      <c r="P66" s="40" t="s">
        <v>48</v>
      </c>
      <c r="Q66" s="40" t="s">
        <v>48</v>
      </c>
      <c r="R66" s="40" t="s">
        <v>48</v>
      </c>
      <c r="S66" s="40" t="s">
        <v>48</v>
      </c>
      <c r="T66" s="40" t="s">
        <v>48</v>
      </c>
      <c r="V66" s="33"/>
      <c r="W66" s="38" t="str">
        <f>Notes!T67</f>
        <v xml:space="preserve">               Tobaco processing</v>
      </c>
      <c r="X66" s="4" t="s">
        <v>346</v>
      </c>
      <c r="Y66" s="44">
        <v>2.2509812290430089</v>
      </c>
      <c r="Z66" s="42" t="s">
        <v>48</v>
      </c>
      <c r="AA66" s="40" t="s">
        <v>48</v>
      </c>
      <c r="AB66" s="40" t="s">
        <v>48</v>
      </c>
      <c r="AC66" s="40" t="s">
        <v>48</v>
      </c>
      <c r="AD66" s="40" t="s">
        <v>48</v>
      </c>
      <c r="AE66" s="40" t="s">
        <v>48</v>
      </c>
      <c r="AF66" s="40" t="s">
        <v>48</v>
      </c>
      <c r="AG66" s="40" t="s">
        <v>48</v>
      </c>
      <c r="AH66" s="40" t="s">
        <v>48</v>
      </c>
      <c r="AI66" s="40" t="s">
        <v>48</v>
      </c>
      <c r="AJ66" s="40" t="s">
        <v>48</v>
      </c>
      <c r="AK66" s="40" t="s">
        <v>48</v>
      </c>
      <c r="AL66" s="40" t="s">
        <v>48</v>
      </c>
      <c r="AM66" s="40" t="s">
        <v>48</v>
      </c>
      <c r="AN66" s="40" t="s">
        <v>48</v>
      </c>
    </row>
    <row r="67" spans="1:40" x14ac:dyDescent="0.35">
      <c r="A67" s="12">
        <v>60</v>
      </c>
      <c r="B67" s="33"/>
      <c r="C67" s="38" t="str">
        <f>Notes!T68</f>
        <v xml:space="preserve">               Other manufacturing</v>
      </c>
      <c r="D67" s="4" t="s">
        <v>716</v>
      </c>
      <c r="E67" s="44">
        <v>2.1652054686925193</v>
      </c>
      <c r="F67" s="42" t="s">
        <v>48</v>
      </c>
      <c r="G67" s="40" t="s">
        <v>48</v>
      </c>
      <c r="H67" s="40" t="s">
        <v>48</v>
      </c>
      <c r="I67" s="40" t="s">
        <v>48</v>
      </c>
      <c r="J67" s="40" t="s">
        <v>48</v>
      </c>
      <c r="K67" s="40" t="s">
        <v>48</v>
      </c>
      <c r="L67" s="40" t="s">
        <v>48</v>
      </c>
      <c r="M67" s="40" t="s">
        <v>48</v>
      </c>
      <c r="N67" s="40" t="s">
        <v>48</v>
      </c>
      <c r="O67" s="40" t="s">
        <v>48</v>
      </c>
      <c r="P67" s="40" t="s">
        <v>48</v>
      </c>
      <c r="Q67" s="40" t="s">
        <v>48</v>
      </c>
      <c r="R67" s="40" t="s">
        <v>48</v>
      </c>
      <c r="S67" s="40" t="s">
        <v>48</v>
      </c>
      <c r="T67" s="40" t="s">
        <v>48</v>
      </c>
      <c r="V67" s="33"/>
      <c r="W67" s="38" t="str">
        <f>Notes!T68</f>
        <v xml:space="preserve">               Other manufacturing</v>
      </c>
      <c r="X67" s="4" t="s">
        <v>716</v>
      </c>
      <c r="Y67" s="44">
        <v>2.1652054686925193</v>
      </c>
      <c r="Z67" s="42" t="s">
        <v>48</v>
      </c>
      <c r="AA67" s="40" t="s">
        <v>48</v>
      </c>
      <c r="AB67" s="40" t="s">
        <v>48</v>
      </c>
      <c r="AC67" s="40" t="s">
        <v>48</v>
      </c>
      <c r="AD67" s="40" t="s">
        <v>48</v>
      </c>
      <c r="AE67" s="40" t="s">
        <v>48</v>
      </c>
      <c r="AF67" s="40" t="s">
        <v>48</v>
      </c>
      <c r="AG67" s="40" t="s">
        <v>48</v>
      </c>
      <c r="AH67" s="40" t="s">
        <v>48</v>
      </c>
      <c r="AI67" s="40" t="s">
        <v>48</v>
      </c>
      <c r="AJ67" s="40" t="s">
        <v>48</v>
      </c>
      <c r="AK67" s="40" t="s">
        <v>48</v>
      </c>
      <c r="AL67" s="40" t="s">
        <v>48</v>
      </c>
      <c r="AM67" s="40" t="s">
        <v>48</v>
      </c>
      <c r="AN67" s="40" t="s">
        <v>48</v>
      </c>
    </row>
    <row r="68" spans="1:40" x14ac:dyDescent="0.35">
      <c r="A68" s="12">
        <v>61</v>
      </c>
      <c r="B68" s="33"/>
      <c r="C68" s="38" t="str">
        <f>Notes!T69</f>
        <v xml:space="preserve">               Textiles, clothing and footwear</v>
      </c>
      <c r="D68" s="4" t="s">
        <v>717</v>
      </c>
      <c r="E68" s="44">
        <v>8.5775760350489214E-2</v>
      </c>
      <c r="F68" s="42" t="s">
        <v>48</v>
      </c>
      <c r="G68" s="40" t="s">
        <v>48</v>
      </c>
      <c r="H68" s="40" t="s">
        <v>48</v>
      </c>
      <c r="I68" s="40" t="s">
        <v>48</v>
      </c>
      <c r="J68" s="40" t="s">
        <v>48</v>
      </c>
      <c r="K68" s="40" t="s">
        <v>48</v>
      </c>
      <c r="L68" s="40" t="s">
        <v>48</v>
      </c>
      <c r="M68" s="40" t="s">
        <v>48</v>
      </c>
      <c r="N68" s="40" t="s">
        <v>48</v>
      </c>
      <c r="O68" s="40" t="s">
        <v>48</v>
      </c>
      <c r="P68" s="40" t="s">
        <v>48</v>
      </c>
      <c r="Q68" s="40" t="s">
        <v>48</v>
      </c>
      <c r="R68" s="40" t="s">
        <v>48</v>
      </c>
      <c r="S68" s="40" t="s">
        <v>48</v>
      </c>
      <c r="T68" s="40" t="s">
        <v>48</v>
      </c>
      <c r="V68" s="33"/>
      <c r="W68" s="38" t="str">
        <f>Notes!T69</f>
        <v xml:space="preserve">               Textiles, clothing and footwear</v>
      </c>
      <c r="X68" s="4" t="s">
        <v>717</v>
      </c>
      <c r="Y68" s="44">
        <v>8.5775760350489214E-2</v>
      </c>
      <c r="Z68" s="42" t="s">
        <v>48</v>
      </c>
      <c r="AA68" s="40" t="s">
        <v>48</v>
      </c>
      <c r="AB68" s="40" t="s">
        <v>48</v>
      </c>
      <c r="AC68" s="40" t="s">
        <v>48</v>
      </c>
      <c r="AD68" s="40" t="s">
        <v>48</v>
      </c>
      <c r="AE68" s="40" t="s">
        <v>48</v>
      </c>
      <c r="AF68" s="40" t="s">
        <v>48</v>
      </c>
      <c r="AG68" s="40" t="s">
        <v>48</v>
      </c>
      <c r="AH68" s="40" t="s">
        <v>48</v>
      </c>
      <c r="AI68" s="40" t="s">
        <v>48</v>
      </c>
      <c r="AJ68" s="40" t="s">
        <v>48</v>
      </c>
      <c r="AK68" s="40" t="s">
        <v>48</v>
      </c>
      <c r="AL68" s="40" t="s">
        <v>48</v>
      </c>
      <c r="AM68" s="40" t="s">
        <v>48</v>
      </c>
      <c r="AN68" s="40" t="s">
        <v>48</v>
      </c>
    </row>
    <row r="69" spans="1:40" x14ac:dyDescent="0.35">
      <c r="A69" s="12">
        <v>62</v>
      </c>
      <c r="B69" s="33"/>
      <c r="C69" s="38" t="str">
        <f>Notes!T70</f>
        <v xml:space="preserve">               Textiles</v>
      </c>
      <c r="D69" s="4" t="s">
        <v>347</v>
      </c>
      <c r="E69" s="44">
        <v>11.290896346013</v>
      </c>
      <c r="F69" s="42" t="s">
        <v>48</v>
      </c>
      <c r="G69" s="40" t="s">
        <v>48</v>
      </c>
      <c r="H69" s="40" t="s">
        <v>48</v>
      </c>
      <c r="I69" s="40" t="s">
        <v>48</v>
      </c>
      <c r="J69" s="40" t="s">
        <v>48</v>
      </c>
      <c r="K69" s="40" t="s">
        <v>48</v>
      </c>
      <c r="L69" s="40" t="s">
        <v>48</v>
      </c>
      <c r="M69" s="40" t="s">
        <v>48</v>
      </c>
      <c r="N69" s="40" t="s">
        <v>48</v>
      </c>
      <c r="O69" s="40" t="s">
        <v>48</v>
      </c>
      <c r="P69" s="40" t="s">
        <v>48</v>
      </c>
      <c r="Q69" s="40" t="s">
        <v>48</v>
      </c>
      <c r="R69" s="40" t="s">
        <v>48</v>
      </c>
      <c r="S69" s="40" t="s">
        <v>48</v>
      </c>
      <c r="T69" s="40" t="s">
        <v>48</v>
      </c>
      <c r="V69" s="33"/>
      <c r="W69" s="38" t="str">
        <f>Notes!T70</f>
        <v xml:space="preserve">               Textiles</v>
      </c>
      <c r="X69" s="4" t="s">
        <v>347</v>
      </c>
      <c r="Y69" s="44">
        <v>11.290896346013</v>
      </c>
      <c r="Z69" s="42" t="s">
        <v>48</v>
      </c>
      <c r="AA69" s="40" t="s">
        <v>48</v>
      </c>
      <c r="AB69" s="40" t="s">
        <v>48</v>
      </c>
      <c r="AC69" s="40" t="s">
        <v>48</v>
      </c>
      <c r="AD69" s="40" t="s">
        <v>48</v>
      </c>
      <c r="AE69" s="40" t="s">
        <v>48</v>
      </c>
      <c r="AF69" s="40" t="s">
        <v>48</v>
      </c>
      <c r="AG69" s="40" t="s">
        <v>48</v>
      </c>
      <c r="AH69" s="40" t="s">
        <v>48</v>
      </c>
      <c r="AI69" s="40" t="s">
        <v>48</v>
      </c>
      <c r="AJ69" s="40" t="s">
        <v>48</v>
      </c>
      <c r="AK69" s="40" t="s">
        <v>48</v>
      </c>
      <c r="AL69" s="40" t="s">
        <v>48</v>
      </c>
      <c r="AM69" s="40" t="s">
        <v>48</v>
      </c>
      <c r="AN69" s="40" t="s">
        <v>48</v>
      </c>
    </row>
    <row r="70" spans="1:40" x14ac:dyDescent="0.35">
      <c r="A70" s="12">
        <v>63</v>
      </c>
      <c r="B70" s="33"/>
      <c r="C70" s="38" t="str">
        <f>Notes!T71</f>
        <v xml:space="preserve">               Wood and paper products</v>
      </c>
      <c r="D70" s="4" t="s">
        <v>718</v>
      </c>
      <c r="E70" s="44">
        <v>0.48280298581559039</v>
      </c>
      <c r="F70" s="42" t="s">
        <v>48</v>
      </c>
      <c r="G70" s="40" t="s">
        <v>48</v>
      </c>
      <c r="H70" s="40" t="s">
        <v>48</v>
      </c>
      <c r="I70" s="40" t="s">
        <v>48</v>
      </c>
      <c r="J70" s="40" t="s">
        <v>48</v>
      </c>
      <c r="K70" s="40" t="s">
        <v>48</v>
      </c>
      <c r="L70" s="40" t="s">
        <v>48</v>
      </c>
      <c r="M70" s="40" t="s">
        <v>48</v>
      </c>
      <c r="N70" s="40" t="s">
        <v>48</v>
      </c>
      <c r="O70" s="40" t="s">
        <v>48</v>
      </c>
      <c r="P70" s="40" t="s">
        <v>48</v>
      </c>
      <c r="Q70" s="40" t="s">
        <v>48</v>
      </c>
      <c r="R70" s="40" t="s">
        <v>48</v>
      </c>
      <c r="S70" s="40" t="s">
        <v>48</v>
      </c>
      <c r="T70" s="40" t="s">
        <v>48</v>
      </c>
      <c r="V70" s="33"/>
      <c r="W70" s="38" t="str">
        <f>Notes!T71</f>
        <v xml:space="preserve">               Wood and paper products</v>
      </c>
      <c r="X70" s="4" t="s">
        <v>718</v>
      </c>
      <c r="Y70" s="44">
        <v>0.48280298581559039</v>
      </c>
      <c r="Z70" s="42" t="s">
        <v>48</v>
      </c>
      <c r="AA70" s="40" t="s">
        <v>48</v>
      </c>
      <c r="AB70" s="40" t="s">
        <v>48</v>
      </c>
      <c r="AC70" s="40" t="s">
        <v>48</v>
      </c>
      <c r="AD70" s="40" t="s">
        <v>48</v>
      </c>
      <c r="AE70" s="40" t="s">
        <v>48</v>
      </c>
      <c r="AF70" s="40" t="s">
        <v>48</v>
      </c>
      <c r="AG70" s="40" t="s">
        <v>48</v>
      </c>
      <c r="AH70" s="40" t="s">
        <v>48</v>
      </c>
      <c r="AI70" s="40" t="s">
        <v>48</v>
      </c>
      <c r="AJ70" s="40" t="s">
        <v>48</v>
      </c>
      <c r="AK70" s="40" t="s">
        <v>48</v>
      </c>
      <c r="AL70" s="40" t="s">
        <v>48</v>
      </c>
      <c r="AM70" s="40" t="s">
        <v>48</v>
      </c>
      <c r="AN70" s="40" t="s">
        <v>48</v>
      </c>
    </row>
    <row r="71" spans="1:40" x14ac:dyDescent="0.35">
      <c r="A71" s="12">
        <v>64</v>
      </c>
      <c r="B71" s="33"/>
      <c r="C71" s="38" t="str">
        <f>Notes!T72</f>
        <v xml:space="preserve">               Wood and paper</v>
      </c>
      <c r="D71" s="4" t="s">
        <v>349</v>
      </c>
      <c r="E71" s="44">
        <v>0.48280298581559039</v>
      </c>
      <c r="F71" s="42" t="s">
        <v>48</v>
      </c>
      <c r="G71" s="40" t="s">
        <v>48</v>
      </c>
      <c r="H71" s="40" t="s">
        <v>48</v>
      </c>
      <c r="I71" s="40" t="s">
        <v>48</v>
      </c>
      <c r="J71" s="40" t="s">
        <v>48</v>
      </c>
      <c r="K71" s="40" t="s">
        <v>48</v>
      </c>
      <c r="L71" s="40" t="s">
        <v>48</v>
      </c>
      <c r="M71" s="40" t="s">
        <v>48</v>
      </c>
      <c r="N71" s="40" t="s">
        <v>48</v>
      </c>
      <c r="O71" s="40" t="s">
        <v>48</v>
      </c>
      <c r="P71" s="40" t="s">
        <v>48</v>
      </c>
      <c r="Q71" s="40" t="s">
        <v>48</v>
      </c>
      <c r="R71" s="40" t="s">
        <v>48</v>
      </c>
      <c r="S71" s="40" t="s">
        <v>48</v>
      </c>
      <c r="T71" s="40" t="s">
        <v>48</v>
      </c>
      <c r="V71" s="33"/>
      <c r="W71" s="38" t="str">
        <f>Notes!T72</f>
        <v xml:space="preserve">               Wood and paper</v>
      </c>
      <c r="X71" s="4" t="s">
        <v>349</v>
      </c>
      <c r="Y71" s="44">
        <v>0.48280298581559039</v>
      </c>
      <c r="Z71" s="42" t="s">
        <v>48</v>
      </c>
      <c r="AA71" s="40" t="s">
        <v>48</v>
      </c>
      <c r="AB71" s="40" t="s">
        <v>48</v>
      </c>
      <c r="AC71" s="40" t="s">
        <v>48</v>
      </c>
      <c r="AD71" s="40" t="s">
        <v>48</v>
      </c>
      <c r="AE71" s="40" t="s">
        <v>48</v>
      </c>
      <c r="AF71" s="40" t="s">
        <v>48</v>
      </c>
      <c r="AG71" s="40" t="s">
        <v>48</v>
      </c>
      <c r="AH71" s="40" t="s">
        <v>48</v>
      </c>
      <c r="AI71" s="40" t="s">
        <v>48</v>
      </c>
      <c r="AJ71" s="40" t="s">
        <v>48</v>
      </c>
      <c r="AK71" s="40" t="s">
        <v>48</v>
      </c>
      <c r="AL71" s="40" t="s">
        <v>48</v>
      </c>
      <c r="AM71" s="40" t="s">
        <v>48</v>
      </c>
      <c r="AN71" s="40" t="s">
        <v>48</v>
      </c>
    </row>
    <row r="72" spans="1:40" x14ac:dyDescent="0.35">
      <c r="A72" s="12">
        <v>65</v>
      </c>
      <c r="B72" s="33"/>
      <c r="C72" s="38" t="str">
        <f>Notes!T73</f>
        <v xml:space="preserve">               Printing</v>
      </c>
      <c r="D72" s="4" t="s">
        <v>719</v>
      </c>
      <c r="E72" s="44">
        <v>0.36918910761155177</v>
      </c>
      <c r="F72" s="42" t="s">
        <v>48</v>
      </c>
      <c r="G72" s="40" t="s">
        <v>48</v>
      </c>
      <c r="H72" s="40" t="s">
        <v>48</v>
      </c>
      <c r="I72" s="40" t="s">
        <v>48</v>
      </c>
      <c r="J72" s="40" t="s">
        <v>48</v>
      </c>
      <c r="K72" s="40" t="s">
        <v>48</v>
      </c>
      <c r="L72" s="40" t="s">
        <v>48</v>
      </c>
      <c r="M72" s="40" t="s">
        <v>48</v>
      </c>
      <c r="N72" s="40" t="s">
        <v>48</v>
      </c>
      <c r="O72" s="40" t="s">
        <v>48</v>
      </c>
      <c r="P72" s="40" t="s">
        <v>48</v>
      </c>
      <c r="Q72" s="40" t="s">
        <v>48</v>
      </c>
      <c r="R72" s="40" t="s">
        <v>48</v>
      </c>
      <c r="S72" s="40" t="s">
        <v>48</v>
      </c>
      <c r="T72" s="40" t="s">
        <v>48</v>
      </c>
      <c r="V72" s="33"/>
      <c r="W72" s="38" t="str">
        <f>Notes!T73</f>
        <v xml:space="preserve">               Printing</v>
      </c>
      <c r="X72" s="4" t="s">
        <v>719</v>
      </c>
      <c r="Y72" s="44">
        <v>0.36918910761155177</v>
      </c>
      <c r="Z72" s="42" t="s">
        <v>48</v>
      </c>
      <c r="AA72" s="40" t="s">
        <v>48</v>
      </c>
      <c r="AB72" s="40" t="s">
        <v>48</v>
      </c>
      <c r="AC72" s="40" t="s">
        <v>48</v>
      </c>
      <c r="AD72" s="40" t="s">
        <v>48</v>
      </c>
      <c r="AE72" s="40" t="s">
        <v>48</v>
      </c>
      <c r="AF72" s="40" t="s">
        <v>48</v>
      </c>
      <c r="AG72" s="40" t="s">
        <v>48</v>
      </c>
      <c r="AH72" s="40" t="s">
        <v>48</v>
      </c>
      <c r="AI72" s="40" t="s">
        <v>48</v>
      </c>
      <c r="AJ72" s="40" t="s">
        <v>48</v>
      </c>
      <c r="AK72" s="40" t="s">
        <v>48</v>
      </c>
      <c r="AL72" s="40" t="s">
        <v>48</v>
      </c>
      <c r="AM72" s="40" t="s">
        <v>48</v>
      </c>
      <c r="AN72" s="40" t="s">
        <v>48</v>
      </c>
    </row>
    <row r="73" spans="1:40" x14ac:dyDescent="0.35">
      <c r="A73" s="12">
        <v>66</v>
      </c>
      <c r="B73" s="33"/>
      <c r="C73" s="38" t="str">
        <f>Notes!T74</f>
        <v xml:space="preserve">               Chemicals</v>
      </c>
      <c r="D73" s="4" t="s">
        <v>720</v>
      </c>
      <c r="E73" s="44">
        <v>0.21736073998534486</v>
      </c>
      <c r="F73" s="42" t="s">
        <v>48</v>
      </c>
      <c r="G73" s="40" t="s">
        <v>48</v>
      </c>
      <c r="H73" s="40" t="s">
        <v>48</v>
      </c>
      <c r="I73" s="40" t="s">
        <v>48</v>
      </c>
      <c r="J73" s="40" t="s">
        <v>48</v>
      </c>
      <c r="K73" s="40" t="s">
        <v>48</v>
      </c>
      <c r="L73" s="40" t="s">
        <v>48</v>
      </c>
      <c r="M73" s="40" t="s">
        <v>48</v>
      </c>
      <c r="N73" s="40" t="s">
        <v>48</v>
      </c>
      <c r="O73" s="40" t="s">
        <v>48</v>
      </c>
      <c r="P73" s="40" t="s">
        <v>48</v>
      </c>
      <c r="Q73" s="40" t="s">
        <v>48</v>
      </c>
      <c r="R73" s="40" t="s">
        <v>48</v>
      </c>
      <c r="S73" s="40" t="s">
        <v>48</v>
      </c>
      <c r="T73" s="40" t="s">
        <v>48</v>
      </c>
      <c r="V73" s="33"/>
      <c r="W73" s="38" t="str">
        <f>Notes!T74</f>
        <v xml:space="preserve">               Chemicals</v>
      </c>
      <c r="X73" s="4" t="s">
        <v>720</v>
      </c>
      <c r="Y73" s="44">
        <v>0.21736073998534486</v>
      </c>
      <c r="Z73" s="42" t="s">
        <v>48</v>
      </c>
      <c r="AA73" s="40" t="s">
        <v>48</v>
      </c>
      <c r="AB73" s="40" t="s">
        <v>48</v>
      </c>
      <c r="AC73" s="40" t="s">
        <v>48</v>
      </c>
      <c r="AD73" s="40" t="s">
        <v>48</v>
      </c>
      <c r="AE73" s="40" t="s">
        <v>48</v>
      </c>
      <c r="AF73" s="40" t="s">
        <v>48</v>
      </c>
      <c r="AG73" s="40" t="s">
        <v>48</v>
      </c>
      <c r="AH73" s="40" t="s">
        <v>48</v>
      </c>
      <c r="AI73" s="40" t="s">
        <v>48</v>
      </c>
      <c r="AJ73" s="40" t="s">
        <v>48</v>
      </c>
      <c r="AK73" s="40" t="s">
        <v>48</v>
      </c>
      <c r="AL73" s="40" t="s">
        <v>48</v>
      </c>
      <c r="AM73" s="40" t="s">
        <v>48</v>
      </c>
      <c r="AN73" s="40" t="s">
        <v>48</v>
      </c>
    </row>
    <row r="74" spans="1:40" x14ac:dyDescent="0.35">
      <c r="A74" s="12">
        <v>67</v>
      </c>
      <c r="B74" s="33"/>
      <c r="C74" s="38" t="str">
        <f>Notes!T75</f>
        <v xml:space="preserve">               Petroleum</v>
      </c>
      <c r="D74" s="4" t="s">
        <v>350</v>
      </c>
      <c r="E74" s="44">
        <v>0.15182836762620688</v>
      </c>
      <c r="F74" s="42" t="s">
        <v>48</v>
      </c>
      <c r="G74" s="40" t="s">
        <v>48</v>
      </c>
      <c r="H74" s="40" t="s">
        <v>48</v>
      </c>
      <c r="I74" s="40" t="s">
        <v>48</v>
      </c>
      <c r="J74" s="40" t="s">
        <v>48</v>
      </c>
      <c r="K74" s="40" t="s">
        <v>48</v>
      </c>
      <c r="L74" s="40" t="s">
        <v>48</v>
      </c>
      <c r="M74" s="40" t="s">
        <v>48</v>
      </c>
      <c r="N74" s="40" t="s">
        <v>48</v>
      </c>
      <c r="O74" s="40" t="s">
        <v>48</v>
      </c>
      <c r="P74" s="40" t="s">
        <v>48</v>
      </c>
      <c r="Q74" s="40" t="s">
        <v>48</v>
      </c>
      <c r="R74" s="40" t="s">
        <v>48</v>
      </c>
      <c r="S74" s="40" t="s">
        <v>48</v>
      </c>
      <c r="T74" s="40" t="s">
        <v>48</v>
      </c>
      <c r="V74" s="33"/>
      <c r="W74" s="38" t="str">
        <f>Notes!T75</f>
        <v xml:space="preserve">               Petroleum</v>
      </c>
      <c r="X74" s="4" t="s">
        <v>350</v>
      </c>
      <c r="Y74" s="44">
        <v>0.15182836762620688</v>
      </c>
      <c r="Z74" s="42" t="s">
        <v>48</v>
      </c>
      <c r="AA74" s="40" t="s">
        <v>48</v>
      </c>
      <c r="AB74" s="40" t="s">
        <v>48</v>
      </c>
      <c r="AC74" s="40" t="s">
        <v>48</v>
      </c>
      <c r="AD74" s="40" t="s">
        <v>48</v>
      </c>
      <c r="AE74" s="40" t="s">
        <v>48</v>
      </c>
      <c r="AF74" s="40" t="s">
        <v>48</v>
      </c>
      <c r="AG74" s="40" t="s">
        <v>48</v>
      </c>
      <c r="AH74" s="40" t="s">
        <v>48</v>
      </c>
      <c r="AI74" s="40" t="s">
        <v>48</v>
      </c>
      <c r="AJ74" s="40" t="s">
        <v>48</v>
      </c>
      <c r="AK74" s="40" t="s">
        <v>48</v>
      </c>
      <c r="AL74" s="40" t="s">
        <v>48</v>
      </c>
      <c r="AM74" s="40" t="s">
        <v>48</v>
      </c>
      <c r="AN74" s="40" t="s">
        <v>48</v>
      </c>
    </row>
    <row r="75" spans="1:40" x14ac:dyDescent="0.35">
      <c r="A75" s="12">
        <v>68</v>
      </c>
      <c r="B75" s="33"/>
      <c r="C75" s="38" t="str">
        <f>Notes!T76</f>
        <v xml:space="preserve">               Other chemicals</v>
      </c>
      <c r="D75" s="4" t="s">
        <v>351</v>
      </c>
      <c r="E75" s="44">
        <v>0.43224812456013351</v>
      </c>
      <c r="F75" s="42" t="s">
        <v>48</v>
      </c>
      <c r="G75" s="40" t="s">
        <v>48</v>
      </c>
      <c r="H75" s="40" t="s">
        <v>48</v>
      </c>
      <c r="I75" s="40" t="s">
        <v>48</v>
      </c>
      <c r="J75" s="40" t="s">
        <v>48</v>
      </c>
      <c r="K75" s="40" t="s">
        <v>48</v>
      </c>
      <c r="L75" s="40" t="s">
        <v>48</v>
      </c>
      <c r="M75" s="40" t="s">
        <v>48</v>
      </c>
      <c r="N75" s="40" t="s">
        <v>48</v>
      </c>
      <c r="O75" s="40" t="s">
        <v>48</v>
      </c>
      <c r="P75" s="40" t="s">
        <v>48</v>
      </c>
      <c r="Q75" s="40" t="s">
        <v>48</v>
      </c>
      <c r="R75" s="40" t="s">
        <v>48</v>
      </c>
      <c r="S75" s="40" t="s">
        <v>48</v>
      </c>
      <c r="T75" s="40" t="s">
        <v>48</v>
      </c>
      <c r="V75" s="33"/>
      <c r="W75" s="38" t="str">
        <f>Notes!T76</f>
        <v xml:space="preserve">               Other chemicals</v>
      </c>
      <c r="X75" s="4" t="s">
        <v>351</v>
      </c>
      <c r="Y75" s="44">
        <v>0.43224812456013351</v>
      </c>
      <c r="Z75" s="42" t="s">
        <v>48</v>
      </c>
      <c r="AA75" s="40" t="s">
        <v>48</v>
      </c>
      <c r="AB75" s="40" t="s">
        <v>48</v>
      </c>
      <c r="AC75" s="40" t="s">
        <v>48</v>
      </c>
      <c r="AD75" s="40" t="s">
        <v>48</v>
      </c>
      <c r="AE75" s="40" t="s">
        <v>48</v>
      </c>
      <c r="AF75" s="40" t="s">
        <v>48</v>
      </c>
      <c r="AG75" s="40" t="s">
        <v>48</v>
      </c>
      <c r="AH75" s="40" t="s">
        <v>48</v>
      </c>
      <c r="AI75" s="40" t="s">
        <v>48</v>
      </c>
      <c r="AJ75" s="40" t="s">
        <v>48</v>
      </c>
      <c r="AK75" s="40" t="s">
        <v>48</v>
      </c>
      <c r="AL75" s="40" t="s">
        <v>48</v>
      </c>
      <c r="AM75" s="40" t="s">
        <v>48</v>
      </c>
      <c r="AN75" s="40" t="s">
        <v>48</v>
      </c>
    </row>
    <row r="76" spans="1:40" x14ac:dyDescent="0.35">
      <c r="A76" s="12">
        <v>69</v>
      </c>
      <c r="B76" s="33"/>
      <c r="C76" s="38" t="str">
        <f>Notes!T77</f>
        <v xml:space="preserve">               Pharmaceutical products (C53)</v>
      </c>
      <c r="D76" s="4" t="s">
        <v>721</v>
      </c>
      <c r="E76" s="44">
        <v>3.1015620947452828E-3</v>
      </c>
      <c r="F76" s="42" t="s">
        <v>48</v>
      </c>
      <c r="G76" s="40" t="s">
        <v>48</v>
      </c>
      <c r="H76" s="40" t="s">
        <v>48</v>
      </c>
      <c r="I76" s="40" t="s">
        <v>48</v>
      </c>
      <c r="J76" s="40" t="s">
        <v>48</v>
      </c>
      <c r="K76" s="40" t="s">
        <v>48</v>
      </c>
      <c r="L76" s="40" t="s">
        <v>48</v>
      </c>
      <c r="M76" s="40" t="s">
        <v>48</v>
      </c>
      <c r="N76" s="40" t="s">
        <v>48</v>
      </c>
      <c r="O76" s="40" t="s">
        <v>48</v>
      </c>
      <c r="P76" s="40" t="s">
        <v>48</v>
      </c>
      <c r="Q76" s="40" t="s">
        <v>48</v>
      </c>
      <c r="R76" s="40" t="s">
        <v>48</v>
      </c>
      <c r="S76" s="40" t="s">
        <v>48</v>
      </c>
      <c r="T76" s="40" t="s">
        <v>48</v>
      </c>
      <c r="V76" s="33"/>
      <c r="W76" s="38" t="str">
        <f>Notes!T77</f>
        <v xml:space="preserve">               Pharmaceutical products (C53)</v>
      </c>
      <c r="X76" s="4" t="s">
        <v>721</v>
      </c>
      <c r="Y76" s="44">
        <v>3.1015620947452828E-3</v>
      </c>
      <c r="Z76" s="42" t="s">
        <v>48</v>
      </c>
      <c r="AA76" s="40" t="s">
        <v>48</v>
      </c>
      <c r="AB76" s="40" t="s">
        <v>48</v>
      </c>
      <c r="AC76" s="40" t="s">
        <v>48</v>
      </c>
      <c r="AD76" s="40" t="s">
        <v>48</v>
      </c>
      <c r="AE76" s="40" t="s">
        <v>48</v>
      </c>
      <c r="AF76" s="40" t="s">
        <v>48</v>
      </c>
      <c r="AG76" s="40" t="s">
        <v>48</v>
      </c>
      <c r="AH76" s="40" t="s">
        <v>48</v>
      </c>
      <c r="AI76" s="40" t="s">
        <v>48</v>
      </c>
      <c r="AJ76" s="40" t="s">
        <v>48</v>
      </c>
      <c r="AK76" s="40" t="s">
        <v>48</v>
      </c>
      <c r="AL76" s="40" t="s">
        <v>48</v>
      </c>
      <c r="AM76" s="40" t="s">
        <v>48</v>
      </c>
      <c r="AN76" s="40" t="s">
        <v>48</v>
      </c>
    </row>
    <row r="77" spans="1:40" x14ac:dyDescent="0.35">
      <c r="A77" s="12">
        <v>70</v>
      </c>
      <c r="B77" s="33"/>
      <c r="C77" s="38" t="str">
        <f>Notes!T78</f>
        <v xml:space="preserve">               Machinery and equipment</v>
      </c>
      <c r="D77" s="4" t="s">
        <v>722</v>
      </c>
      <c r="E77" s="44">
        <v>0.35059409361309235</v>
      </c>
      <c r="F77" s="42" t="s">
        <v>48</v>
      </c>
      <c r="G77" s="40" t="s">
        <v>48</v>
      </c>
      <c r="H77" s="40" t="s">
        <v>48</v>
      </c>
      <c r="I77" s="40" t="s">
        <v>48</v>
      </c>
      <c r="J77" s="40" t="s">
        <v>48</v>
      </c>
      <c r="K77" s="40" t="s">
        <v>48</v>
      </c>
      <c r="L77" s="40" t="s">
        <v>48</v>
      </c>
      <c r="M77" s="40" t="s">
        <v>48</v>
      </c>
      <c r="N77" s="40" t="s">
        <v>48</v>
      </c>
      <c r="O77" s="40" t="s">
        <v>48</v>
      </c>
      <c r="P77" s="40" t="s">
        <v>48</v>
      </c>
      <c r="Q77" s="40" t="s">
        <v>48</v>
      </c>
      <c r="R77" s="40" t="s">
        <v>48</v>
      </c>
      <c r="S77" s="40" t="s">
        <v>48</v>
      </c>
      <c r="T77" s="40" t="s">
        <v>48</v>
      </c>
      <c r="V77" s="33"/>
      <c r="W77" s="38" t="str">
        <f>Notes!T78</f>
        <v xml:space="preserve">               Machinery and equipment</v>
      </c>
      <c r="X77" s="4" t="s">
        <v>722</v>
      </c>
      <c r="Y77" s="44">
        <v>0.35059409361309235</v>
      </c>
      <c r="Z77" s="42" t="s">
        <v>48</v>
      </c>
      <c r="AA77" s="40" t="s">
        <v>48</v>
      </c>
      <c r="AB77" s="40" t="s">
        <v>48</v>
      </c>
      <c r="AC77" s="40" t="s">
        <v>48</v>
      </c>
      <c r="AD77" s="40" t="s">
        <v>48</v>
      </c>
      <c r="AE77" s="40" t="s">
        <v>48</v>
      </c>
      <c r="AF77" s="40" t="s">
        <v>48</v>
      </c>
      <c r="AG77" s="40" t="s">
        <v>48</v>
      </c>
      <c r="AH77" s="40" t="s">
        <v>48</v>
      </c>
      <c r="AI77" s="40" t="s">
        <v>48</v>
      </c>
      <c r="AJ77" s="40" t="s">
        <v>48</v>
      </c>
      <c r="AK77" s="40" t="s">
        <v>48</v>
      </c>
      <c r="AL77" s="40" t="s">
        <v>48</v>
      </c>
      <c r="AM77" s="40" t="s">
        <v>48</v>
      </c>
      <c r="AN77" s="40" t="s">
        <v>48</v>
      </c>
    </row>
    <row r="78" spans="1:40" x14ac:dyDescent="0.35">
      <c r="A78" s="12">
        <v>71</v>
      </c>
      <c r="B78" s="33"/>
      <c r="C78" s="38" t="str">
        <f>Notes!T79</f>
        <v xml:space="preserve">               Rubber and plastics products (C54)</v>
      </c>
      <c r="D78" s="4" t="s">
        <v>723</v>
      </c>
      <c r="E78" s="44">
        <v>7.8552468852295887E-2</v>
      </c>
      <c r="F78" s="42" t="s">
        <v>48</v>
      </c>
      <c r="G78" s="40" t="s">
        <v>48</v>
      </c>
      <c r="H78" s="40" t="s">
        <v>48</v>
      </c>
      <c r="I78" s="40" t="s">
        <v>48</v>
      </c>
      <c r="J78" s="40" t="s">
        <v>48</v>
      </c>
      <c r="K78" s="40" t="s">
        <v>48</v>
      </c>
      <c r="L78" s="40" t="s">
        <v>48</v>
      </c>
      <c r="M78" s="40" t="s">
        <v>48</v>
      </c>
      <c r="N78" s="40" t="s">
        <v>48</v>
      </c>
      <c r="O78" s="40" t="s">
        <v>48</v>
      </c>
      <c r="P78" s="40" t="s">
        <v>48</v>
      </c>
      <c r="Q78" s="40" t="s">
        <v>48</v>
      </c>
      <c r="R78" s="40" t="s">
        <v>48</v>
      </c>
      <c r="S78" s="40" t="s">
        <v>48</v>
      </c>
      <c r="T78" s="40" t="s">
        <v>48</v>
      </c>
      <c r="V78" s="33"/>
      <c r="W78" s="38" t="str">
        <f>Notes!T79</f>
        <v xml:space="preserve">               Rubber and plastics products (C54)</v>
      </c>
      <c r="X78" s="4" t="s">
        <v>723</v>
      </c>
      <c r="Y78" s="44">
        <v>7.8552468852295887E-2</v>
      </c>
      <c r="Z78" s="42" t="s">
        <v>48</v>
      </c>
      <c r="AA78" s="40" t="s">
        <v>48</v>
      </c>
      <c r="AB78" s="40" t="s">
        <v>48</v>
      </c>
      <c r="AC78" s="40" t="s">
        <v>48</v>
      </c>
      <c r="AD78" s="40" t="s">
        <v>48</v>
      </c>
      <c r="AE78" s="40" t="s">
        <v>48</v>
      </c>
      <c r="AF78" s="40" t="s">
        <v>48</v>
      </c>
      <c r="AG78" s="40" t="s">
        <v>48</v>
      </c>
      <c r="AH78" s="40" t="s">
        <v>48</v>
      </c>
      <c r="AI78" s="40" t="s">
        <v>48</v>
      </c>
      <c r="AJ78" s="40" t="s">
        <v>48</v>
      </c>
      <c r="AK78" s="40" t="s">
        <v>48</v>
      </c>
      <c r="AL78" s="40" t="s">
        <v>48</v>
      </c>
      <c r="AM78" s="40" t="s">
        <v>48</v>
      </c>
      <c r="AN78" s="40" t="s">
        <v>48</v>
      </c>
    </row>
    <row r="79" spans="1:40" x14ac:dyDescent="0.35">
      <c r="A79" s="12">
        <v>72</v>
      </c>
      <c r="B79" s="33"/>
      <c r="C79" s="38" t="str">
        <f>Notes!T80</f>
        <v xml:space="preserve">               Non-metallic mineral products n.e.c. (C61)</v>
      </c>
      <c r="D79" s="4" t="s">
        <v>352</v>
      </c>
      <c r="E79" s="44">
        <v>1.855216655439653</v>
      </c>
      <c r="F79" s="42" t="s">
        <v>48</v>
      </c>
      <c r="G79" s="40" t="s">
        <v>48</v>
      </c>
      <c r="H79" s="40" t="s">
        <v>48</v>
      </c>
      <c r="I79" s="40" t="s">
        <v>48</v>
      </c>
      <c r="J79" s="40" t="s">
        <v>48</v>
      </c>
      <c r="K79" s="40" t="s">
        <v>48</v>
      </c>
      <c r="L79" s="40" t="s">
        <v>48</v>
      </c>
      <c r="M79" s="40" t="s">
        <v>48</v>
      </c>
      <c r="N79" s="40" t="s">
        <v>48</v>
      </c>
      <c r="O79" s="40" t="s">
        <v>48</v>
      </c>
      <c r="P79" s="40" t="s">
        <v>48</v>
      </c>
      <c r="Q79" s="40" t="s">
        <v>48</v>
      </c>
      <c r="R79" s="40" t="s">
        <v>48</v>
      </c>
      <c r="S79" s="40" t="s">
        <v>48</v>
      </c>
      <c r="T79" s="40" t="s">
        <v>48</v>
      </c>
      <c r="V79" s="33"/>
      <c r="W79" s="38" t="str">
        <f>Notes!T80</f>
        <v xml:space="preserve">               Non-metallic mineral products n.e.c. (C61)</v>
      </c>
      <c r="X79" s="4" t="s">
        <v>352</v>
      </c>
      <c r="Y79" s="44">
        <v>1.855216655439653</v>
      </c>
      <c r="Z79" s="42" t="s">
        <v>48</v>
      </c>
      <c r="AA79" s="40" t="s">
        <v>48</v>
      </c>
      <c r="AB79" s="40" t="s">
        <v>48</v>
      </c>
      <c r="AC79" s="40" t="s">
        <v>48</v>
      </c>
      <c r="AD79" s="40" t="s">
        <v>48</v>
      </c>
      <c r="AE79" s="40" t="s">
        <v>48</v>
      </c>
      <c r="AF79" s="40" t="s">
        <v>48</v>
      </c>
      <c r="AG79" s="40" t="s">
        <v>48</v>
      </c>
      <c r="AH79" s="40" t="s">
        <v>48</v>
      </c>
      <c r="AI79" s="40" t="s">
        <v>48</v>
      </c>
      <c r="AJ79" s="40" t="s">
        <v>48</v>
      </c>
      <c r="AK79" s="40" t="s">
        <v>48</v>
      </c>
      <c r="AL79" s="40" t="s">
        <v>48</v>
      </c>
      <c r="AM79" s="40" t="s">
        <v>48</v>
      </c>
      <c r="AN79" s="40" t="s">
        <v>48</v>
      </c>
    </row>
    <row r="80" spans="1:40" x14ac:dyDescent="0.35">
      <c r="A80" s="12">
        <v>73</v>
      </c>
      <c r="B80" s="33"/>
      <c r="C80" s="38" t="str">
        <f>Notes!T81</f>
        <v xml:space="preserve">               Manufacture of cement, lime and plaster (C62)</v>
      </c>
      <c r="D80" s="4" t="s">
        <v>724</v>
      </c>
      <c r="E80" s="44">
        <v>5.099236634159058E-2</v>
      </c>
      <c r="F80" s="42" t="s">
        <v>48</v>
      </c>
      <c r="G80" s="40" t="s">
        <v>48</v>
      </c>
      <c r="H80" s="40" t="s">
        <v>48</v>
      </c>
      <c r="I80" s="40" t="s">
        <v>48</v>
      </c>
      <c r="J80" s="40" t="s">
        <v>48</v>
      </c>
      <c r="K80" s="40" t="s">
        <v>48</v>
      </c>
      <c r="L80" s="40" t="s">
        <v>48</v>
      </c>
      <c r="M80" s="40" t="s">
        <v>48</v>
      </c>
      <c r="N80" s="40" t="s">
        <v>48</v>
      </c>
      <c r="O80" s="40" t="s">
        <v>48</v>
      </c>
      <c r="P80" s="40" t="s">
        <v>48</v>
      </c>
      <c r="Q80" s="40" t="s">
        <v>48</v>
      </c>
      <c r="R80" s="40" t="s">
        <v>48</v>
      </c>
      <c r="S80" s="40" t="s">
        <v>48</v>
      </c>
      <c r="T80" s="40" t="s">
        <v>48</v>
      </c>
      <c r="V80" s="33"/>
      <c r="W80" s="38" t="str">
        <f>Notes!T81</f>
        <v xml:space="preserve">               Manufacture of cement, lime and plaster (C62)</v>
      </c>
      <c r="X80" s="4" t="s">
        <v>724</v>
      </c>
      <c r="Y80" s="44">
        <v>5.099236634159058E-2</v>
      </c>
      <c r="Z80" s="42" t="s">
        <v>48</v>
      </c>
      <c r="AA80" s="40" t="s">
        <v>48</v>
      </c>
      <c r="AB80" s="40" t="s">
        <v>48</v>
      </c>
      <c r="AC80" s="40" t="s">
        <v>48</v>
      </c>
      <c r="AD80" s="40" t="s">
        <v>48</v>
      </c>
      <c r="AE80" s="40" t="s">
        <v>48</v>
      </c>
      <c r="AF80" s="40" t="s">
        <v>48</v>
      </c>
      <c r="AG80" s="40" t="s">
        <v>48</v>
      </c>
      <c r="AH80" s="40" t="s">
        <v>48</v>
      </c>
      <c r="AI80" s="40" t="s">
        <v>48</v>
      </c>
      <c r="AJ80" s="40" t="s">
        <v>48</v>
      </c>
      <c r="AK80" s="40" t="s">
        <v>48</v>
      </c>
      <c r="AL80" s="40" t="s">
        <v>48</v>
      </c>
      <c r="AM80" s="40" t="s">
        <v>48</v>
      </c>
      <c r="AN80" s="40" t="s">
        <v>48</v>
      </c>
    </row>
    <row r="81" spans="1:40" x14ac:dyDescent="0.35">
      <c r="A81" s="12">
        <v>74</v>
      </c>
      <c r="B81" s="33"/>
      <c r="C81" s="38" t="str">
        <f>Notes!T82</f>
        <v xml:space="preserve">               Metals &amp; metal products, except machinery and equipment (C72)</v>
      </c>
      <c r="D81" s="4" t="s">
        <v>354</v>
      </c>
      <c r="E81" s="44">
        <v>3.1719376023935909E-2</v>
      </c>
      <c r="F81" s="42" t="s">
        <v>48</v>
      </c>
      <c r="G81" s="40" t="s">
        <v>48</v>
      </c>
      <c r="H81" s="40" t="s">
        <v>48</v>
      </c>
      <c r="I81" s="40" t="s">
        <v>48</v>
      </c>
      <c r="J81" s="40" t="s">
        <v>48</v>
      </c>
      <c r="K81" s="40" t="s">
        <v>48</v>
      </c>
      <c r="L81" s="40" t="s">
        <v>48</v>
      </c>
      <c r="M81" s="40" t="s">
        <v>48</v>
      </c>
      <c r="N81" s="40" t="s">
        <v>48</v>
      </c>
      <c r="O81" s="40" t="s">
        <v>48</v>
      </c>
      <c r="P81" s="40" t="s">
        <v>48</v>
      </c>
      <c r="Q81" s="40" t="s">
        <v>48</v>
      </c>
      <c r="R81" s="40" t="s">
        <v>48</v>
      </c>
      <c r="S81" s="40" t="s">
        <v>48</v>
      </c>
      <c r="T81" s="40" t="s">
        <v>48</v>
      </c>
      <c r="V81" s="33"/>
      <c r="W81" s="38" t="str">
        <f>Notes!T82</f>
        <v xml:space="preserve">               Metals &amp; metal products, except machinery and equipment (C72)</v>
      </c>
      <c r="X81" s="4" t="s">
        <v>354</v>
      </c>
      <c r="Y81" s="44">
        <v>3.1719376023935909E-2</v>
      </c>
      <c r="Z81" s="42" t="s">
        <v>48</v>
      </c>
      <c r="AA81" s="40" t="s">
        <v>48</v>
      </c>
      <c r="AB81" s="40" t="s">
        <v>48</v>
      </c>
      <c r="AC81" s="40" t="s">
        <v>48</v>
      </c>
      <c r="AD81" s="40" t="s">
        <v>48</v>
      </c>
      <c r="AE81" s="40" t="s">
        <v>48</v>
      </c>
      <c r="AF81" s="40" t="s">
        <v>48</v>
      </c>
      <c r="AG81" s="40" t="s">
        <v>48</v>
      </c>
      <c r="AH81" s="40" t="s">
        <v>48</v>
      </c>
      <c r="AI81" s="40" t="s">
        <v>48</v>
      </c>
      <c r="AJ81" s="40" t="s">
        <v>48</v>
      </c>
      <c r="AK81" s="40" t="s">
        <v>48</v>
      </c>
      <c r="AL81" s="40" t="s">
        <v>48</v>
      </c>
      <c r="AM81" s="40" t="s">
        <v>48</v>
      </c>
      <c r="AN81" s="40" t="s">
        <v>48</v>
      </c>
    </row>
    <row r="82" spans="1:40" x14ac:dyDescent="0.35">
      <c r="A82" s="12">
        <v>75</v>
      </c>
      <c r="B82" s="33"/>
      <c r="C82" s="38" t="str">
        <f>Notes!T83</f>
        <v xml:space="preserve">               Machinery and equipment (except transport) (C74)</v>
      </c>
      <c r="D82" s="4" t="s">
        <v>355</v>
      </c>
      <c r="E82" s="44">
        <v>0.45064569081919442</v>
      </c>
      <c r="F82" s="42" t="s">
        <v>48</v>
      </c>
      <c r="G82" s="40" t="s">
        <v>48</v>
      </c>
      <c r="H82" s="40" t="s">
        <v>48</v>
      </c>
      <c r="I82" s="40" t="s">
        <v>48</v>
      </c>
      <c r="J82" s="40" t="s">
        <v>48</v>
      </c>
      <c r="K82" s="40" t="s">
        <v>48</v>
      </c>
      <c r="L82" s="40" t="s">
        <v>48</v>
      </c>
      <c r="M82" s="40" t="s">
        <v>48</v>
      </c>
      <c r="N82" s="40" t="s">
        <v>48</v>
      </c>
      <c r="O82" s="40" t="s">
        <v>48</v>
      </c>
      <c r="P82" s="40" t="s">
        <v>48</v>
      </c>
      <c r="Q82" s="40" t="s">
        <v>48</v>
      </c>
      <c r="R82" s="40" t="s">
        <v>48</v>
      </c>
      <c r="S82" s="40" t="s">
        <v>48</v>
      </c>
      <c r="T82" s="40" t="s">
        <v>48</v>
      </c>
      <c r="V82" s="33"/>
      <c r="W82" s="38" t="str">
        <f>Notes!T83</f>
        <v xml:space="preserve">               Machinery and equipment (except transport) (C74)</v>
      </c>
      <c r="X82" s="4" t="s">
        <v>355</v>
      </c>
      <c r="Y82" s="44">
        <v>0.45064569081919442</v>
      </c>
      <c r="Z82" s="42" t="s">
        <v>48</v>
      </c>
      <c r="AA82" s="40" t="s">
        <v>48</v>
      </c>
      <c r="AB82" s="40" t="s">
        <v>48</v>
      </c>
      <c r="AC82" s="40" t="s">
        <v>48</v>
      </c>
      <c r="AD82" s="40" t="s">
        <v>48</v>
      </c>
      <c r="AE82" s="40" t="s">
        <v>48</v>
      </c>
      <c r="AF82" s="40" t="s">
        <v>48</v>
      </c>
      <c r="AG82" s="40" t="s">
        <v>48</v>
      </c>
      <c r="AH82" s="40" t="s">
        <v>48</v>
      </c>
      <c r="AI82" s="40" t="s">
        <v>48</v>
      </c>
      <c r="AJ82" s="40" t="s">
        <v>48</v>
      </c>
      <c r="AK82" s="40" t="s">
        <v>48</v>
      </c>
      <c r="AL82" s="40" t="s">
        <v>48</v>
      </c>
      <c r="AM82" s="40" t="s">
        <v>48</v>
      </c>
      <c r="AN82" s="40" t="s">
        <v>48</v>
      </c>
    </row>
    <row r="83" spans="1:40" x14ac:dyDescent="0.35">
      <c r="A83" s="12">
        <v>76</v>
      </c>
      <c r="B83" s="33"/>
      <c r="C83" s="38" t="str">
        <f>Notes!T84</f>
        <v xml:space="preserve">               Transport equipment (C76)</v>
      </c>
      <c r="D83" s="4" t="s">
        <v>356</v>
      </c>
      <c r="E83" s="44">
        <v>0.27268539414068088</v>
      </c>
      <c r="F83" s="42" t="s">
        <v>48</v>
      </c>
      <c r="G83" s="40" t="s">
        <v>48</v>
      </c>
      <c r="H83" s="40" t="s">
        <v>48</v>
      </c>
      <c r="I83" s="40" t="s">
        <v>48</v>
      </c>
      <c r="J83" s="40" t="s">
        <v>48</v>
      </c>
      <c r="K83" s="40" t="s">
        <v>48</v>
      </c>
      <c r="L83" s="40" t="s">
        <v>48</v>
      </c>
      <c r="M83" s="40" t="s">
        <v>48</v>
      </c>
      <c r="N83" s="40" t="s">
        <v>48</v>
      </c>
      <c r="O83" s="40" t="s">
        <v>48</v>
      </c>
      <c r="P83" s="40" t="s">
        <v>48</v>
      </c>
      <c r="Q83" s="40" t="s">
        <v>48</v>
      </c>
      <c r="R83" s="40" t="s">
        <v>48</v>
      </c>
      <c r="S83" s="40" t="s">
        <v>48</v>
      </c>
      <c r="T83" s="40" t="s">
        <v>48</v>
      </c>
      <c r="V83" s="33"/>
      <c r="W83" s="38" t="str">
        <f>Notes!T84</f>
        <v xml:space="preserve">               Transport equipment (C76)</v>
      </c>
      <c r="X83" s="4" t="s">
        <v>356</v>
      </c>
      <c r="Y83" s="44">
        <v>0.27268539414068088</v>
      </c>
      <c r="Z83" s="42" t="s">
        <v>48</v>
      </c>
      <c r="AA83" s="40" t="s">
        <v>48</v>
      </c>
      <c r="AB83" s="40" t="s">
        <v>48</v>
      </c>
      <c r="AC83" s="40" t="s">
        <v>48</v>
      </c>
      <c r="AD83" s="40" t="s">
        <v>48</v>
      </c>
      <c r="AE83" s="40" t="s">
        <v>48</v>
      </c>
      <c r="AF83" s="40" t="s">
        <v>48</v>
      </c>
      <c r="AG83" s="40" t="s">
        <v>48</v>
      </c>
      <c r="AH83" s="40" t="s">
        <v>48</v>
      </c>
      <c r="AI83" s="40" t="s">
        <v>48</v>
      </c>
      <c r="AJ83" s="40" t="s">
        <v>48</v>
      </c>
      <c r="AK83" s="40" t="s">
        <v>48</v>
      </c>
      <c r="AL83" s="40" t="s">
        <v>48</v>
      </c>
      <c r="AM83" s="40" t="s">
        <v>48</v>
      </c>
      <c r="AN83" s="40" t="s">
        <v>48</v>
      </c>
    </row>
    <row r="84" spans="1:40" x14ac:dyDescent="0.35">
      <c r="A84" s="12">
        <v>77</v>
      </c>
      <c r="B84" s="33"/>
      <c r="C84" s="38" t="str">
        <f>Notes!T85</f>
        <v xml:space="preserve">               Furniture (C81)</v>
      </c>
      <c r="D84" s="4" t="s">
        <v>725</v>
      </c>
      <c r="E84" s="44">
        <v>0.11943703908505254</v>
      </c>
      <c r="F84" s="42" t="s">
        <v>48</v>
      </c>
      <c r="G84" s="40" t="s">
        <v>48</v>
      </c>
      <c r="H84" s="40" t="s">
        <v>48</v>
      </c>
      <c r="I84" s="40" t="s">
        <v>48</v>
      </c>
      <c r="J84" s="40" t="s">
        <v>48</v>
      </c>
      <c r="K84" s="40" t="s">
        <v>48</v>
      </c>
      <c r="L84" s="40" t="s">
        <v>48</v>
      </c>
      <c r="M84" s="40" t="s">
        <v>48</v>
      </c>
      <c r="N84" s="40" t="s">
        <v>48</v>
      </c>
      <c r="O84" s="40" t="s">
        <v>48</v>
      </c>
      <c r="P84" s="40" t="s">
        <v>48</v>
      </c>
      <c r="Q84" s="40" t="s">
        <v>48</v>
      </c>
      <c r="R84" s="40" t="s">
        <v>48</v>
      </c>
      <c r="S84" s="40" t="s">
        <v>48</v>
      </c>
      <c r="T84" s="40" t="s">
        <v>48</v>
      </c>
      <c r="V84" s="33"/>
      <c r="W84" s="38" t="str">
        <f>Notes!T85</f>
        <v xml:space="preserve">               Furniture (C81)</v>
      </c>
      <c r="X84" s="4" t="s">
        <v>725</v>
      </c>
      <c r="Y84" s="44">
        <v>0.11943703908505254</v>
      </c>
      <c r="Z84" s="42" t="s">
        <v>48</v>
      </c>
      <c r="AA84" s="40" t="s">
        <v>48</v>
      </c>
      <c r="AB84" s="40" t="s">
        <v>48</v>
      </c>
      <c r="AC84" s="40" t="s">
        <v>48</v>
      </c>
      <c r="AD84" s="40" t="s">
        <v>48</v>
      </c>
      <c r="AE84" s="40" t="s">
        <v>48</v>
      </c>
      <c r="AF84" s="40" t="s">
        <v>48</v>
      </c>
      <c r="AG84" s="40" t="s">
        <v>48</v>
      </c>
      <c r="AH84" s="40" t="s">
        <v>48</v>
      </c>
      <c r="AI84" s="40" t="s">
        <v>48</v>
      </c>
      <c r="AJ84" s="40" t="s">
        <v>48</v>
      </c>
      <c r="AK84" s="40" t="s">
        <v>48</v>
      </c>
      <c r="AL84" s="40" t="s">
        <v>48</v>
      </c>
      <c r="AM84" s="40" t="s">
        <v>48</v>
      </c>
      <c r="AN84" s="40" t="s">
        <v>48</v>
      </c>
    </row>
    <row r="85" spans="1:40" x14ac:dyDescent="0.35">
      <c r="A85" s="12">
        <v>78</v>
      </c>
      <c r="B85" s="33"/>
      <c r="C85" s="38" t="str">
        <f>Notes!T86</f>
        <v xml:space="preserve">               Other manufacturing (C82)</v>
      </c>
      <c r="D85" s="4" t="s">
        <v>357</v>
      </c>
      <c r="E85" s="44">
        <v>6.2612681228441228E-2</v>
      </c>
      <c r="F85" s="42" t="s">
        <v>48</v>
      </c>
      <c r="G85" s="40" t="s">
        <v>48</v>
      </c>
      <c r="H85" s="40" t="s">
        <v>48</v>
      </c>
      <c r="I85" s="40" t="s">
        <v>48</v>
      </c>
      <c r="J85" s="40" t="s">
        <v>48</v>
      </c>
      <c r="K85" s="40" t="s">
        <v>48</v>
      </c>
      <c r="L85" s="40" t="s">
        <v>48</v>
      </c>
      <c r="M85" s="40" t="s">
        <v>48</v>
      </c>
      <c r="N85" s="40" t="s">
        <v>48</v>
      </c>
      <c r="O85" s="40" t="s">
        <v>48</v>
      </c>
      <c r="P85" s="40" t="s">
        <v>48</v>
      </c>
      <c r="Q85" s="40" t="s">
        <v>48</v>
      </c>
      <c r="R85" s="40" t="s">
        <v>48</v>
      </c>
      <c r="S85" s="40" t="s">
        <v>48</v>
      </c>
      <c r="T85" s="40" t="s">
        <v>48</v>
      </c>
      <c r="V85" s="33"/>
      <c r="W85" s="38" t="str">
        <f>Notes!T86</f>
        <v xml:space="preserve">               Other manufacturing (C82)</v>
      </c>
      <c r="X85" s="4" t="s">
        <v>357</v>
      </c>
      <c r="Y85" s="44">
        <v>6.2612681228441228E-2</v>
      </c>
      <c r="Z85" s="42" t="s">
        <v>48</v>
      </c>
      <c r="AA85" s="40" t="s">
        <v>48</v>
      </c>
      <c r="AB85" s="40" t="s">
        <v>48</v>
      </c>
      <c r="AC85" s="40" t="s">
        <v>48</v>
      </c>
      <c r="AD85" s="40" t="s">
        <v>48</v>
      </c>
      <c r="AE85" s="40" t="s">
        <v>48</v>
      </c>
      <c r="AF85" s="40" t="s">
        <v>48</v>
      </c>
      <c r="AG85" s="40" t="s">
        <v>48</v>
      </c>
      <c r="AH85" s="40" t="s">
        <v>48</v>
      </c>
      <c r="AI85" s="40" t="s">
        <v>48</v>
      </c>
      <c r="AJ85" s="40" t="s">
        <v>48</v>
      </c>
      <c r="AK85" s="40" t="s">
        <v>48</v>
      </c>
      <c r="AL85" s="40" t="s">
        <v>48</v>
      </c>
      <c r="AM85" s="40" t="s">
        <v>48</v>
      </c>
      <c r="AN85" s="40" t="s">
        <v>48</v>
      </c>
    </row>
    <row r="86" spans="1:40" x14ac:dyDescent="0.35">
      <c r="A86" s="12">
        <v>79</v>
      </c>
      <c r="B86" s="33"/>
      <c r="C86" s="38" t="str">
        <f>Notes!T87</f>
        <v xml:space="preserve">               Other industry</v>
      </c>
      <c r="D86" s="4" t="s">
        <v>726</v>
      </c>
      <c r="E86" s="44">
        <v>0.33807467548415765</v>
      </c>
      <c r="F86" s="42" t="s">
        <v>48</v>
      </c>
      <c r="G86" s="40" t="s">
        <v>48</v>
      </c>
      <c r="H86" s="40" t="s">
        <v>48</v>
      </c>
      <c r="I86" s="40" t="s">
        <v>48</v>
      </c>
      <c r="J86" s="40" t="s">
        <v>48</v>
      </c>
      <c r="K86" s="40" t="s">
        <v>48</v>
      </c>
      <c r="L86" s="40" t="s">
        <v>48</v>
      </c>
      <c r="M86" s="40" t="s">
        <v>48</v>
      </c>
      <c r="N86" s="40" t="s">
        <v>48</v>
      </c>
      <c r="O86" s="40" t="s">
        <v>48</v>
      </c>
      <c r="P86" s="40" t="s">
        <v>48</v>
      </c>
      <c r="Q86" s="40" t="s">
        <v>48</v>
      </c>
      <c r="R86" s="40" t="s">
        <v>48</v>
      </c>
      <c r="S86" s="40" t="s">
        <v>48</v>
      </c>
      <c r="T86" s="40" t="s">
        <v>48</v>
      </c>
      <c r="V86" s="33"/>
      <c r="W86" s="38" t="str">
        <f>Notes!T87</f>
        <v xml:space="preserve">               Other industry</v>
      </c>
      <c r="X86" s="4" t="s">
        <v>726</v>
      </c>
      <c r="Y86" s="44">
        <v>0.33807467548415765</v>
      </c>
      <c r="Z86" s="42" t="s">
        <v>48</v>
      </c>
      <c r="AA86" s="40" t="s">
        <v>48</v>
      </c>
      <c r="AB86" s="40" t="s">
        <v>48</v>
      </c>
      <c r="AC86" s="40" t="s">
        <v>48</v>
      </c>
      <c r="AD86" s="40" t="s">
        <v>48</v>
      </c>
      <c r="AE86" s="40" t="s">
        <v>48</v>
      </c>
      <c r="AF86" s="40" t="s">
        <v>48</v>
      </c>
      <c r="AG86" s="40" t="s">
        <v>48</v>
      </c>
      <c r="AH86" s="40" t="s">
        <v>48</v>
      </c>
      <c r="AI86" s="40" t="s">
        <v>48</v>
      </c>
      <c r="AJ86" s="40" t="s">
        <v>48</v>
      </c>
      <c r="AK86" s="40" t="s">
        <v>48</v>
      </c>
      <c r="AL86" s="40" t="s">
        <v>48</v>
      </c>
      <c r="AM86" s="40" t="s">
        <v>48</v>
      </c>
      <c r="AN86" s="40" t="s">
        <v>48</v>
      </c>
    </row>
    <row r="87" spans="1:40" x14ac:dyDescent="0.35">
      <c r="A87" s="12">
        <v>80</v>
      </c>
      <c r="B87" s="33"/>
      <c r="C87" s="38" t="str">
        <f>Notes!T88</f>
        <v xml:space="preserve">               Utility and Construction</v>
      </c>
      <c r="D87" s="4" t="s">
        <v>727</v>
      </c>
      <c r="E87" s="44">
        <v>0.52904943231660007</v>
      </c>
      <c r="F87" s="42" t="s">
        <v>48</v>
      </c>
      <c r="G87" s="40" t="s">
        <v>48</v>
      </c>
      <c r="H87" s="40" t="s">
        <v>48</v>
      </c>
      <c r="I87" s="40" t="s">
        <v>48</v>
      </c>
      <c r="J87" s="40" t="s">
        <v>48</v>
      </c>
      <c r="K87" s="40" t="s">
        <v>48</v>
      </c>
      <c r="L87" s="40" t="s">
        <v>48</v>
      </c>
      <c r="M87" s="40" t="s">
        <v>48</v>
      </c>
      <c r="N87" s="40" t="s">
        <v>48</v>
      </c>
      <c r="O87" s="40" t="s">
        <v>48</v>
      </c>
      <c r="P87" s="40" t="s">
        <v>48</v>
      </c>
      <c r="Q87" s="40" t="s">
        <v>48</v>
      </c>
      <c r="R87" s="40" t="s">
        <v>48</v>
      </c>
      <c r="S87" s="40" t="s">
        <v>48</v>
      </c>
      <c r="T87" s="40" t="s">
        <v>48</v>
      </c>
      <c r="V87" s="33"/>
      <c r="W87" s="38" t="str">
        <f>Notes!T88</f>
        <v xml:space="preserve">               Utility and Construction</v>
      </c>
      <c r="X87" s="4" t="s">
        <v>727</v>
      </c>
      <c r="Y87" s="44">
        <v>0.52904943231660007</v>
      </c>
      <c r="Z87" s="42" t="s">
        <v>48</v>
      </c>
      <c r="AA87" s="40" t="s">
        <v>48</v>
      </c>
      <c r="AB87" s="40" t="s">
        <v>48</v>
      </c>
      <c r="AC87" s="40" t="s">
        <v>48</v>
      </c>
      <c r="AD87" s="40" t="s">
        <v>48</v>
      </c>
      <c r="AE87" s="40" t="s">
        <v>48</v>
      </c>
      <c r="AF87" s="40" t="s">
        <v>48</v>
      </c>
      <c r="AG87" s="40" t="s">
        <v>48</v>
      </c>
      <c r="AH87" s="40" t="s">
        <v>48</v>
      </c>
      <c r="AI87" s="40" t="s">
        <v>48</v>
      </c>
      <c r="AJ87" s="40" t="s">
        <v>48</v>
      </c>
      <c r="AK87" s="40" t="s">
        <v>48</v>
      </c>
      <c r="AL87" s="40" t="s">
        <v>48</v>
      </c>
      <c r="AM87" s="40" t="s">
        <v>48</v>
      </c>
      <c r="AN87" s="40" t="s">
        <v>48</v>
      </c>
    </row>
    <row r="88" spans="1:40" x14ac:dyDescent="0.35">
      <c r="A88" s="12">
        <v>81</v>
      </c>
      <c r="B88" s="33"/>
      <c r="C88" s="38" t="str">
        <f>Notes!T89</f>
        <v xml:space="preserve">               Electricity, gas, steam and air conditioning supply (D00)</v>
      </c>
      <c r="D88" s="4" t="s">
        <v>360</v>
      </c>
      <c r="E88" s="44">
        <v>8.1514394725860697</v>
      </c>
      <c r="F88" s="42" t="s">
        <v>48</v>
      </c>
      <c r="G88" s="40" t="s">
        <v>48</v>
      </c>
      <c r="H88" s="40" t="s">
        <v>48</v>
      </c>
      <c r="I88" s="40" t="s">
        <v>48</v>
      </c>
      <c r="J88" s="40" t="s">
        <v>48</v>
      </c>
      <c r="K88" s="40" t="s">
        <v>48</v>
      </c>
      <c r="L88" s="40" t="s">
        <v>48</v>
      </c>
      <c r="M88" s="40" t="s">
        <v>48</v>
      </c>
      <c r="N88" s="40" t="s">
        <v>48</v>
      </c>
      <c r="O88" s="40" t="s">
        <v>48</v>
      </c>
      <c r="P88" s="40" t="s">
        <v>48</v>
      </c>
      <c r="Q88" s="40" t="s">
        <v>48</v>
      </c>
      <c r="R88" s="40" t="s">
        <v>48</v>
      </c>
      <c r="S88" s="40" t="s">
        <v>48</v>
      </c>
      <c r="T88" s="40" t="s">
        <v>48</v>
      </c>
      <c r="V88" s="33"/>
      <c r="W88" s="38" t="str">
        <f>Notes!T89</f>
        <v xml:space="preserve">               Electricity, gas, steam and air conditioning supply (D00)</v>
      </c>
      <c r="X88" s="4" t="s">
        <v>360</v>
      </c>
      <c r="Y88" s="44">
        <v>8.1514394725860697</v>
      </c>
      <c r="Z88" s="42" t="s">
        <v>48</v>
      </c>
      <c r="AA88" s="40" t="s">
        <v>48</v>
      </c>
      <c r="AB88" s="40" t="s">
        <v>48</v>
      </c>
      <c r="AC88" s="40" t="s">
        <v>48</v>
      </c>
      <c r="AD88" s="40" t="s">
        <v>48</v>
      </c>
      <c r="AE88" s="40" t="s">
        <v>48</v>
      </c>
      <c r="AF88" s="40" t="s">
        <v>48</v>
      </c>
      <c r="AG88" s="40" t="s">
        <v>48</v>
      </c>
      <c r="AH88" s="40" t="s">
        <v>48</v>
      </c>
      <c r="AI88" s="40" t="s">
        <v>48</v>
      </c>
      <c r="AJ88" s="40" t="s">
        <v>48</v>
      </c>
      <c r="AK88" s="40" t="s">
        <v>48</v>
      </c>
      <c r="AL88" s="40" t="s">
        <v>48</v>
      </c>
      <c r="AM88" s="40" t="s">
        <v>48</v>
      </c>
      <c r="AN88" s="40" t="s">
        <v>48</v>
      </c>
    </row>
    <row r="89" spans="1:40" x14ac:dyDescent="0.35">
      <c r="A89" s="12">
        <v>82</v>
      </c>
      <c r="B89" s="33"/>
      <c r="C89" s="38" t="str">
        <f>Notes!T90</f>
        <v xml:space="preserve">               Water collection, treatment and supply: sewrage (E01)</v>
      </c>
      <c r="D89" s="4" t="s">
        <v>362</v>
      </c>
      <c r="E89" s="44">
        <v>1.6472966934225741</v>
      </c>
      <c r="F89" s="42" t="s">
        <v>48</v>
      </c>
      <c r="G89" s="40" t="s">
        <v>48</v>
      </c>
      <c r="H89" s="40" t="s">
        <v>48</v>
      </c>
      <c r="I89" s="40" t="s">
        <v>48</v>
      </c>
      <c r="J89" s="40" t="s">
        <v>48</v>
      </c>
      <c r="K89" s="40" t="s">
        <v>48</v>
      </c>
      <c r="L89" s="40" t="s">
        <v>48</v>
      </c>
      <c r="M89" s="40" t="s">
        <v>48</v>
      </c>
      <c r="N89" s="40" t="s">
        <v>48</v>
      </c>
      <c r="O89" s="40" t="s">
        <v>48</v>
      </c>
      <c r="P89" s="40" t="s">
        <v>48</v>
      </c>
      <c r="Q89" s="40" t="s">
        <v>48</v>
      </c>
      <c r="R89" s="40" t="s">
        <v>48</v>
      </c>
      <c r="S89" s="40" t="s">
        <v>48</v>
      </c>
      <c r="T89" s="40" t="s">
        <v>48</v>
      </c>
      <c r="V89" s="33"/>
      <c r="W89" s="38" t="str">
        <f>Notes!T90</f>
        <v xml:space="preserve">               Water collection, treatment and supply: sewrage (E01)</v>
      </c>
      <c r="X89" s="4" t="s">
        <v>362</v>
      </c>
      <c r="Y89" s="44">
        <v>1.6472966934225741</v>
      </c>
      <c r="Z89" s="42" t="s">
        <v>48</v>
      </c>
      <c r="AA89" s="40" t="s">
        <v>48</v>
      </c>
      <c r="AB89" s="40" t="s">
        <v>48</v>
      </c>
      <c r="AC89" s="40" t="s">
        <v>48</v>
      </c>
      <c r="AD89" s="40" t="s">
        <v>48</v>
      </c>
      <c r="AE89" s="40" t="s">
        <v>48</v>
      </c>
      <c r="AF89" s="40" t="s">
        <v>48</v>
      </c>
      <c r="AG89" s="40" t="s">
        <v>48</v>
      </c>
      <c r="AH89" s="40" t="s">
        <v>48</v>
      </c>
      <c r="AI89" s="40" t="s">
        <v>48</v>
      </c>
      <c r="AJ89" s="40" t="s">
        <v>48</v>
      </c>
      <c r="AK89" s="40" t="s">
        <v>48</v>
      </c>
      <c r="AL89" s="40" t="s">
        <v>48</v>
      </c>
      <c r="AM89" s="40" t="s">
        <v>48</v>
      </c>
      <c r="AN89" s="40" t="s">
        <v>48</v>
      </c>
    </row>
    <row r="90" spans="1:40" x14ac:dyDescent="0.35">
      <c r="A90" s="12">
        <v>83</v>
      </c>
      <c r="B90" s="33"/>
      <c r="C90" s="38" t="str">
        <f>Notes!T91</f>
        <v xml:space="preserve">               Construction (modern) (F01)</v>
      </c>
      <c r="D90" s="4" t="s">
        <v>364</v>
      </c>
      <c r="E90" s="44">
        <v>1.1924568837413783</v>
      </c>
      <c r="F90" s="42" t="s">
        <v>48</v>
      </c>
      <c r="G90" s="40" t="s">
        <v>48</v>
      </c>
      <c r="H90" s="40" t="s">
        <v>48</v>
      </c>
      <c r="I90" s="40" t="s">
        <v>48</v>
      </c>
      <c r="J90" s="40" t="s">
        <v>48</v>
      </c>
      <c r="K90" s="40" t="s">
        <v>48</v>
      </c>
      <c r="L90" s="40" t="s">
        <v>48</v>
      </c>
      <c r="M90" s="40" t="s">
        <v>48</v>
      </c>
      <c r="N90" s="40" t="s">
        <v>48</v>
      </c>
      <c r="O90" s="40" t="s">
        <v>48</v>
      </c>
      <c r="P90" s="40" t="s">
        <v>48</v>
      </c>
      <c r="Q90" s="40" t="s">
        <v>48</v>
      </c>
      <c r="R90" s="40" t="s">
        <v>48</v>
      </c>
      <c r="S90" s="40" t="s">
        <v>48</v>
      </c>
      <c r="T90" s="40" t="s">
        <v>48</v>
      </c>
      <c r="V90" s="33"/>
      <c r="W90" s="38" t="str">
        <f>Notes!T91</f>
        <v xml:space="preserve">               Construction (modern) (F01)</v>
      </c>
      <c r="X90" s="4" t="s">
        <v>364</v>
      </c>
      <c r="Y90" s="44">
        <v>1.1924568837413783</v>
      </c>
      <c r="Z90" s="42" t="s">
        <v>48</v>
      </c>
      <c r="AA90" s="40" t="s">
        <v>48</v>
      </c>
      <c r="AB90" s="40" t="s">
        <v>48</v>
      </c>
      <c r="AC90" s="40" t="s">
        <v>48</v>
      </c>
      <c r="AD90" s="40" t="s">
        <v>48</v>
      </c>
      <c r="AE90" s="40" t="s">
        <v>48</v>
      </c>
      <c r="AF90" s="40" t="s">
        <v>48</v>
      </c>
      <c r="AG90" s="40" t="s">
        <v>48</v>
      </c>
      <c r="AH90" s="40" t="s">
        <v>48</v>
      </c>
      <c r="AI90" s="40" t="s">
        <v>48</v>
      </c>
      <c r="AJ90" s="40" t="s">
        <v>48</v>
      </c>
      <c r="AK90" s="40" t="s">
        <v>48</v>
      </c>
      <c r="AL90" s="40" t="s">
        <v>48</v>
      </c>
      <c r="AM90" s="40" t="s">
        <v>48</v>
      </c>
      <c r="AN90" s="40" t="s">
        <v>48</v>
      </c>
    </row>
    <row r="91" spans="1:40" x14ac:dyDescent="0.35">
      <c r="A91" s="12">
        <v>84</v>
      </c>
      <c r="B91" s="33"/>
      <c r="C91" s="38" t="str">
        <f>Notes!T92</f>
        <v xml:space="preserve">               Services</v>
      </c>
      <c r="D91" s="4" t="s">
        <v>728</v>
      </c>
      <c r="E91" s="44">
        <v>0.45483980968119564</v>
      </c>
      <c r="F91" s="42" t="s">
        <v>48</v>
      </c>
      <c r="G91" s="40" t="s">
        <v>48</v>
      </c>
      <c r="H91" s="40" t="s">
        <v>48</v>
      </c>
      <c r="I91" s="40" t="s">
        <v>48</v>
      </c>
      <c r="J91" s="40" t="s">
        <v>48</v>
      </c>
      <c r="K91" s="40" t="s">
        <v>48</v>
      </c>
      <c r="L91" s="40" t="s">
        <v>48</v>
      </c>
      <c r="M91" s="40" t="s">
        <v>48</v>
      </c>
      <c r="N91" s="40" t="s">
        <v>48</v>
      </c>
      <c r="O91" s="40" t="s">
        <v>48</v>
      </c>
      <c r="P91" s="40" t="s">
        <v>48</v>
      </c>
      <c r="Q91" s="40" t="s">
        <v>48</v>
      </c>
      <c r="R91" s="40" t="s">
        <v>48</v>
      </c>
      <c r="S91" s="40" t="s">
        <v>48</v>
      </c>
      <c r="T91" s="40" t="s">
        <v>48</v>
      </c>
      <c r="V91" s="33"/>
      <c r="W91" s="38" t="str">
        <f>Notes!T92</f>
        <v xml:space="preserve">               Services</v>
      </c>
      <c r="X91" s="4" t="s">
        <v>728</v>
      </c>
      <c r="Y91" s="44">
        <v>0.45483980968119564</v>
      </c>
      <c r="Z91" s="42" t="s">
        <v>48</v>
      </c>
      <c r="AA91" s="40" t="s">
        <v>48</v>
      </c>
      <c r="AB91" s="40" t="s">
        <v>48</v>
      </c>
      <c r="AC91" s="40" t="s">
        <v>48</v>
      </c>
      <c r="AD91" s="40" t="s">
        <v>48</v>
      </c>
      <c r="AE91" s="40" t="s">
        <v>48</v>
      </c>
      <c r="AF91" s="40" t="s">
        <v>48</v>
      </c>
      <c r="AG91" s="40" t="s">
        <v>48</v>
      </c>
      <c r="AH91" s="40" t="s">
        <v>48</v>
      </c>
      <c r="AI91" s="40" t="s">
        <v>48</v>
      </c>
      <c r="AJ91" s="40" t="s">
        <v>48</v>
      </c>
      <c r="AK91" s="40" t="s">
        <v>48</v>
      </c>
      <c r="AL91" s="40" t="s">
        <v>48</v>
      </c>
      <c r="AM91" s="40" t="s">
        <v>48</v>
      </c>
      <c r="AN91" s="40" t="s">
        <v>48</v>
      </c>
    </row>
    <row r="92" spans="1:40" x14ac:dyDescent="0.35">
      <c r="A92" s="12">
        <v>85</v>
      </c>
      <c r="B92" s="33"/>
      <c r="C92" s="38" t="str">
        <f>Notes!T93</f>
        <v xml:space="preserve">               Trade</v>
      </c>
      <c r="D92" s="4" t="s">
        <v>729</v>
      </c>
      <c r="E92" s="44">
        <v>6.5041427791634954</v>
      </c>
      <c r="F92" s="42" t="s">
        <v>48</v>
      </c>
      <c r="G92" s="40" t="s">
        <v>48</v>
      </c>
      <c r="H92" s="40" t="s">
        <v>48</v>
      </c>
      <c r="I92" s="40" t="s">
        <v>48</v>
      </c>
      <c r="J92" s="40" t="s">
        <v>48</v>
      </c>
      <c r="K92" s="40" t="s">
        <v>48</v>
      </c>
      <c r="L92" s="40" t="s">
        <v>48</v>
      </c>
      <c r="M92" s="40" t="s">
        <v>48</v>
      </c>
      <c r="N92" s="40" t="s">
        <v>48</v>
      </c>
      <c r="O92" s="40" t="s">
        <v>48</v>
      </c>
      <c r="P92" s="40" t="s">
        <v>48</v>
      </c>
      <c r="Q92" s="40" t="s">
        <v>48</v>
      </c>
      <c r="R92" s="40" t="s">
        <v>48</v>
      </c>
      <c r="S92" s="40" t="s">
        <v>48</v>
      </c>
      <c r="T92" s="40" t="s">
        <v>48</v>
      </c>
      <c r="V92" s="33"/>
      <c r="W92" s="38" t="str">
        <f>Notes!T93</f>
        <v xml:space="preserve">               Trade</v>
      </c>
      <c r="X92" s="4" t="s">
        <v>729</v>
      </c>
      <c r="Y92" s="44">
        <v>6.5041427791634954</v>
      </c>
      <c r="Z92" s="42" t="s">
        <v>48</v>
      </c>
      <c r="AA92" s="40" t="s">
        <v>48</v>
      </c>
      <c r="AB92" s="40" t="s">
        <v>48</v>
      </c>
      <c r="AC92" s="40" t="s">
        <v>48</v>
      </c>
      <c r="AD92" s="40" t="s">
        <v>48</v>
      </c>
      <c r="AE92" s="40" t="s">
        <v>48</v>
      </c>
      <c r="AF92" s="40" t="s">
        <v>48</v>
      </c>
      <c r="AG92" s="40" t="s">
        <v>48</v>
      </c>
      <c r="AH92" s="40" t="s">
        <v>48</v>
      </c>
      <c r="AI92" s="40" t="s">
        <v>48</v>
      </c>
      <c r="AJ92" s="40" t="s">
        <v>48</v>
      </c>
      <c r="AK92" s="40" t="s">
        <v>48</v>
      </c>
      <c r="AL92" s="40" t="s">
        <v>48</v>
      </c>
      <c r="AM92" s="40" t="s">
        <v>48</v>
      </c>
      <c r="AN92" s="40" t="s">
        <v>48</v>
      </c>
    </row>
    <row r="93" spans="1:40" x14ac:dyDescent="0.35">
      <c r="A93" s="12">
        <v>86</v>
      </c>
      <c r="B93" s="33"/>
      <c r="C93" s="38" t="str">
        <f>Notes!T94</f>
        <v xml:space="preserve">               Wholesale and retail trade of motor vehicles and motorcycles (G21)</v>
      </c>
      <c r="D93" s="4" t="s">
        <v>368</v>
      </c>
      <c r="E93" s="44">
        <v>52.33044723368139</v>
      </c>
      <c r="F93" s="42" t="s">
        <v>48</v>
      </c>
      <c r="G93" s="40" t="s">
        <v>48</v>
      </c>
      <c r="H93" s="40" t="s">
        <v>48</v>
      </c>
      <c r="I93" s="40" t="s">
        <v>48</v>
      </c>
      <c r="J93" s="40" t="s">
        <v>48</v>
      </c>
      <c r="K93" s="40" t="s">
        <v>48</v>
      </c>
      <c r="L93" s="40" t="s">
        <v>48</v>
      </c>
      <c r="M93" s="40" t="s">
        <v>48</v>
      </c>
      <c r="N93" s="40" t="s">
        <v>48</v>
      </c>
      <c r="O93" s="40" t="s">
        <v>48</v>
      </c>
      <c r="P93" s="40" t="s">
        <v>48</v>
      </c>
      <c r="Q93" s="40" t="s">
        <v>48</v>
      </c>
      <c r="R93" s="40" t="s">
        <v>48</v>
      </c>
      <c r="S93" s="40" t="s">
        <v>48</v>
      </c>
      <c r="T93" s="40" t="s">
        <v>48</v>
      </c>
      <c r="V93" s="33"/>
      <c r="W93" s="38" t="str">
        <f>Notes!T94</f>
        <v xml:space="preserve">               Wholesale and retail trade of motor vehicles and motorcycles (G21)</v>
      </c>
      <c r="X93" s="4" t="s">
        <v>368</v>
      </c>
      <c r="Y93" s="44">
        <v>52.33044723368139</v>
      </c>
      <c r="Z93" s="42" t="s">
        <v>48</v>
      </c>
      <c r="AA93" s="40" t="s">
        <v>48</v>
      </c>
      <c r="AB93" s="40" t="s">
        <v>48</v>
      </c>
      <c r="AC93" s="40" t="s">
        <v>48</v>
      </c>
      <c r="AD93" s="40" t="s">
        <v>48</v>
      </c>
      <c r="AE93" s="40" t="s">
        <v>48</v>
      </c>
      <c r="AF93" s="40" t="s">
        <v>48</v>
      </c>
      <c r="AG93" s="40" t="s">
        <v>48</v>
      </c>
      <c r="AH93" s="40" t="s">
        <v>48</v>
      </c>
      <c r="AI93" s="40" t="s">
        <v>48</v>
      </c>
      <c r="AJ93" s="40" t="s">
        <v>48</v>
      </c>
      <c r="AK93" s="40" t="s">
        <v>48</v>
      </c>
      <c r="AL93" s="40" t="s">
        <v>48</v>
      </c>
      <c r="AM93" s="40" t="s">
        <v>48</v>
      </c>
      <c r="AN93" s="40" t="s">
        <v>48</v>
      </c>
    </row>
    <row r="94" spans="1:40" x14ac:dyDescent="0.35">
      <c r="A94" s="12">
        <v>87</v>
      </c>
      <c r="B94" s="33"/>
      <c r="C94" s="38" t="str">
        <f>Notes!T95</f>
        <v xml:space="preserve">               Transport</v>
      </c>
      <c r="D94" s="4" t="s">
        <v>730</v>
      </c>
      <c r="E94" s="44">
        <v>9.0458405193778741</v>
      </c>
      <c r="F94" s="42" t="s">
        <v>48</v>
      </c>
      <c r="G94" s="40" t="s">
        <v>48</v>
      </c>
      <c r="H94" s="40" t="s">
        <v>48</v>
      </c>
      <c r="I94" s="40" t="s">
        <v>48</v>
      </c>
      <c r="J94" s="40" t="s">
        <v>48</v>
      </c>
      <c r="K94" s="40" t="s">
        <v>48</v>
      </c>
      <c r="L94" s="40" t="s">
        <v>48</v>
      </c>
      <c r="M94" s="40" t="s">
        <v>48</v>
      </c>
      <c r="N94" s="40" t="s">
        <v>48</v>
      </c>
      <c r="O94" s="40" t="s">
        <v>48</v>
      </c>
      <c r="P94" s="40" t="s">
        <v>48</v>
      </c>
      <c r="Q94" s="40" t="s">
        <v>48</v>
      </c>
      <c r="R94" s="40" t="s">
        <v>48</v>
      </c>
      <c r="S94" s="40" t="s">
        <v>48</v>
      </c>
      <c r="T94" s="40" t="s">
        <v>48</v>
      </c>
      <c r="V94" s="33"/>
      <c r="W94" s="38" t="str">
        <f>Notes!T95</f>
        <v xml:space="preserve">               Transport</v>
      </c>
      <c r="X94" s="4" t="s">
        <v>730</v>
      </c>
      <c r="Y94" s="44">
        <v>9.0458405193778741</v>
      </c>
      <c r="Z94" s="42" t="s">
        <v>48</v>
      </c>
      <c r="AA94" s="40" t="s">
        <v>48</v>
      </c>
      <c r="AB94" s="40" t="s">
        <v>48</v>
      </c>
      <c r="AC94" s="40" t="s">
        <v>48</v>
      </c>
      <c r="AD94" s="40" t="s">
        <v>48</v>
      </c>
      <c r="AE94" s="40" t="s">
        <v>48</v>
      </c>
      <c r="AF94" s="40" t="s">
        <v>48</v>
      </c>
      <c r="AG94" s="40" t="s">
        <v>48</v>
      </c>
      <c r="AH94" s="40" t="s">
        <v>48</v>
      </c>
      <c r="AI94" s="40" t="s">
        <v>48</v>
      </c>
      <c r="AJ94" s="40" t="s">
        <v>48</v>
      </c>
      <c r="AK94" s="40" t="s">
        <v>48</v>
      </c>
      <c r="AL94" s="40" t="s">
        <v>48</v>
      </c>
      <c r="AM94" s="40" t="s">
        <v>48</v>
      </c>
      <c r="AN94" s="40" t="s">
        <v>48</v>
      </c>
    </row>
    <row r="95" spans="1:40" x14ac:dyDescent="0.35">
      <c r="A95" s="12">
        <v>88</v>
      </c>
      <c r="B95" s="33"/>
      <c r="C95" s="38" t="str">
        <f>Notes!T96</f>
        <v xml:space="preserve">               Transport</v>
      </c>
      <c r="D95" s="4" t="s">
        <v>371</v>
      </c>
      <c r="E95" s="44">
        <v>9.0458405193778741</v>
      </c>
      <c r="F95" s="42" t="s">
        <v>48</v>
      </c>
      <c r="G95" s="40" t="s">
        <v>48</v>
      </c>
      <c r="H95" s="40" t="s">
        <v>48</v>
      </c>
      <c r="I95" s="40" t="s">
        <v>48</v>
      </c>
      <c r="J95" s="40" t="s">
        <v>48</v>
      </c>
      <c r="K95" s="40" t="s">
        <v>48</v>
      </c>
      <c r="L95" s="40" t="s">
        <v>48</v>
      </c>
      <c r="M95" s="40" t="s">
        <v>48</v>
      </c>
      <c r="N95" s="40" t="s">
        <v>48</v>
      </c>
      <c r="O95" s="40" t="s">
        <v>48</v>
      </c>
      <c r="P95" s="40" t="s">
        <v>48</v>
      </c>
      <c r="Q95" s="40" t="s">
        <v>48</v>
      </c>
      <c r="R95" s="40" t="s">
        <v>48</v>
      </c>
      <c r="S95" s="40" t="s">
        <v>48</v>
      </c>
      <c r="T95" s="40" t="s">
        <v>48</v>
      </c>
      <c r="V95" s="33"/>
      <c r="W95" s="38" t="str">
        <f>Notes!T96</f>
        <v xml:space="preserve">               Transport</v>
      </c>
      <c r="X95" s="4" t="s">
        <v>371</v>
      </c>
      <c r="Y95" s="44">
        <v>9.0458405193778741</v>
      </c>
      <c r="Z95" s="42" t="s">
        <v>48</v>
      </c>
      <c r="AA95" s="40" t="s">
        <v>48</v>
      </c>
      <c r="AB95" s="40" t="s">
        <v>48</v>
      </c>
      <c r="AC95" s="40" t="s">
        <v>48</v>
      </c>
      <c r="AD95" s="40" t="s">
        <v>48</v>
      </c>
      <c r="AE95" s="40" t="s">
        <v>48</v>
      </c>
      <c r="AF95" s="40" t="s">
        <v>48</v>
      </c>
      <c r="AG95" s="40" t="s">
        <v>48</v>
      </c>
      <c r="AH95" s="40" t="s">
        <v>48</v>
      </c>
      <c r="AI95" s="40" t="s">
        <v>48</v>
      </c>
      <c r="AJ95" s="40" t="s">
        <v>48</v>
      </c>
      <c r="AK95" s="40" t="s">
        <v>48</v>
      </c>
      <c r="AL95" s="40" t="s">
        <v>48</v>
      </c>
      <c r="AM95" s="40" t="s">
        <v>48</v>
      </c>
      <c r="AN95" s="40" t="s">
        <v>48</v>
      </c>
    </row>
    <row r="96" spans="1:40" x14ac:dyDescent="0.35">
      <c r="A96" s="12">
        <v>89</v>
      </c>
      <c r="B96" s="33"/>
      <c r="C96" s="38" t="str">
        <f>Notes!T97</f>
        <v xml:space="preserve">               Postal and courier activities (H32)</v>
      </c>
      <c r="D96" s="4" t="s">
        <v>731</v>
      </c>
      <c r="E96" s="44">
        <v>5.0412273497742248</v>
      </c>
      <c r="F96" s="42" t="s">
        <v>48</v>
      </c>
      <c r="G96" s="40" t="s">
        <v>48</v>
      </c>
      <c r="H96" s="40" t="s">
        <v>48</v>
      </c>
      <c r="I96" s="40" t="s">
        <v>48</v>
      </c>
      <c r="J96" s="40" t="s">
        <v>48</v>
      </c>
      <c r="K96" s="40" t="s">
        <v>48</v>
      </c>
      <c r="L96" s="40" t="s">
        <v>48</v>
      </c>
      <c r="M96" s="40" t="s">
        <v>48</v>
      </c>
      <c r="N96" s="40" t="s">
        <v>48</v>
      </c>
      <c r="O96" s="40" t="s">
        <v>48</v>
      </c>
      <c r="P96" s="40" t="s">
        <v>48</v>
      </c>
      <c r="Q96" s="40" t="s">
        <v>48</v>
      </c>
      <c r="R96" s="40" t="s">
        <v>48</v>
      </c>
      <c r="S96" s="40" t="s">
        <v>48</v>
      </c>
      <c r="T96" s="40" t="s">
        <v>48</v>
      </c>
      <c r="V96" s="33"/>
      <c r="W96" s="38" t="str">
        <f>Notes!T97</f>
        <v xml:space="preserve">               Postal and courier activities (H32)</v>
      </c>
      <c r="X96" s="4" t="s">
        <v>731</v>
      </c>
      <c r="Y96" s="44">
        <v>5.0412273497742248</v>
      </c>
      <c r="Z96" s="42" t="s">
        <v>48</v>
      </c>
      <c r="AA96" s="40" t="s">
        <v>48</v>
      </c>
      <c r="AB96" s="40" t="s">
        <v>48</v>
      </c>
      <c r="AC96" s="40" t="s">
        <v>48</v>
      </c>
      <c r="AD96" s="40" t="s">
        <v>48</v>
      </c>
      <c r="AE96" s="40" t="s">
        <v>48</v>
      </c>
      <c r="AF96" s="40" t="s">
        <v>48</v>
      </c>
      <c r="AG96" s="40" t="s">
        <v>48</v>
      </c>
      <c r="AH96" s="40" t="s">
        <v>48</v>
      </c>
      <c r="AI96" s="40" t="s">
        <v>48</v>
      </c>
      <c r="AJ96" s="40" t="s">
        <v>48</v>
      </c>
      <c r="AK96" s="40" t="s">
        <v>48</v>
      </c>
      <c r="AL96" s="40" t="s">
        <v>48</v>
      </c>
      <c r="AM96" s="40" t="s">
        <v>48</v>
      </c>
      <c r="AN96" s="40" t="s">
        <v>48</v>
      </c>
    </row>
    <row r="97" spans="1:40" x14ac:dyDescent="0.35">
      <c r="A97" s="12">
        <v>90</v>
      </c>
      <c r="B97" s="33"/>
      <c r="C97" s="38" t="str">
        <f>Notes!T98</f>
        <v xml:space="preserve">               Hotel and related services</v>
      </c>
      <c r="D97" s="4" t="s">
        <v>732</v>
      </c>
      <c r="E97" s="44">
        <v>4.8991045428336388</v>
      </c>
      <c r="F97" s="42" t="s">
        <v>48</v>
      </c>
      <c r="G97" s="40" t="s">
        <v>48</v>
      </c>
      <c r="H97" s="40" t="s">
        <v>48</v>
      </c>
      <c r="I97" s="40" t="s">
        <v>48</v>
      </c>
      <c r="J97" s="40" t="s">
        <v>48</v>
      </c>
      <c r="K97" s="40" t="s">
        <v>48</v>
      </c>
      <c r="L97" s="40" t="s">
        <v>48</v>
      </c>
      <c r="M97" s="40" t="s">
        <v>48</v>
      </c>
      <c r="N97" s="40" t="s">
        <v>48</v>
      </c>
      <c r="O97" s="40" t="s">
        <v>48</v>
      </c>
      <c r="P97" s="40" t="s">
        <v>48</v>
      </c>
      <c r="Q97" s="40" t="s">
        <v>48</v>
      </c>
      <c r="R97" s="40" t="s">
        <v>48</v>
      </c>
      <c r="S97" s="40" t="s">
        <v>48</v>
      </c>
      <c r="T97" s="40" t="s">
        <v>48</v>
      </c>
      <c r="V97" s="33"/>
      <c r="W97" s="38" t="str">
        <f>Notes!T98</f>
        <v xml:space="preserve">               Hotel and related services</v>
      </c>
      <c r="X97" s="4" t="s">
        <v>732</v>
      </c>
      <c r="Y97" s="44">
        <v>4.8991045428336388</v>
      </c>
      <c r="Z97" s="42" t="s">
        <v>48</v>
      </c>
      <c r="AA97" s="40" t="s">
        <v>48</v>
      </c>
      <c r="AB97" s="40" t="s">
        <v>48</v>
      </c>
      <c r="AC97" s="40" t="s">
        <v>48</v>
      </c>
      <c r="AD97" s="40" t="s">
        <v>48</v>
      </c>
      <c r="AE97" s="40" t="s">
        <v>48</v>
      </c>
      <c r="AF97" s="40" t="s">
        <v>48</v>
      </c>
      <c r="AG97" s="40" t="s">
        <v>48</v>
      </c>
      <c r="AH97" s="40" t="s">
        <v>48</v>
      </c>
      <c r="AI97" s="40" t="s">
        <v>48</v>
      </c>
      <c r="AJ97" s="40" t="s">
        <v>48</v>
      </c>
      <c r="AK97" s="40" t="s">
        <v>48</v>
      </c>
      <c r="AL97" s="40" t="s">
        <v>48</v>
      </c>
      <c r="AM97" s="40" t="s">
        <v>48</v>
      </c>
      <c r="AN97" s="40" t="s">
        <v>48</v>
      </c>
    </row>
    <row r="98" spans="1:40" x14ac:dyDescent="0.35">
      <c r="A98" s="12">
        <v>91</v>
      </c>
      <c r="B98" s="33"/>
      <c r="C98" s="38" t="str">
        <f>Notes!T99</f>
        <v xml:space="preserve">               Hotels &amp; restaurants (I00)</v>
      </c>
      <c r="D98" s="4" t="s">
        <v>373</v>
      </c>
      <c r="E98" s="44">
        <v>0.14212280694058665</v>
      </c>
      <c r="F98" s="42" t="s">
        <v>48</v>
      </c>
      <c r="G98" s="40" t="s">
        <v>48</v>
      </c>
      <c r="H98" s="40" t="s">
        <v>48</v>
      </c>
      <c r="I98" s="40" t="s">
        <v>48</v>
      </c>
      <c r="J98" s="40" t="s">
        <v>48</v>
      </c>
      <c r="K98" s="40" t="s">
        <v>48</v>
      </c>
      <c r="L98" s="40" t="s">
        <v>48</v>
      </c>
      <c r="M98" s="40" t="s">
        <v>48</v>
      </c>
      <c r="N98" s="40" t="s">
        <v>48</v>
      </c>
      <c r="O98" s="40" t="s">
        <v>48</v>
      </c>
      <c r="P98" s="40" t="s">
        <v>48</v>
      </c>
      <c r="Q98" s="40" t="s">
        <v>48</v>
      </c>
      <c r="R98" s="40" t="s">
        <v>48</v>
      </c>
      <c r="S98" s="40" t="s">
        <v>48</v>
      </c>
      <c r="T98" s="40" t="s">
        <v>48</v>
      </c>
      <c r="V98" s="33"/>
      <c r="W98" s="38" t="str">
        <f>Notes!T99</f>
        <v xml:space="preserve">               Hotels &amp; restaurants (I00)</v>
      </c>
      <c r="X98" s="4" t="s">
        <v>373</v>
      </c>
      <c r="Y98" s="44">
        <v>0.14212280694058665</v>
      </c>
      <c r="Z98" s="42" t="s">
        <v>48</v>
      </c>
      <c r="AA98" s="40" t="s">
        <v>48</v>
      </c>
      <c r="AB98" s="40" t="s">
        <v>48</v>
      </c>
      <c r="AC98" s="40" t="s">
        <v>48</v>
      </c>
      <c r="AD98" s="40" t="s">
        <v>48</v>
      </c>
      <c r="AE98" s="40" t="s">
        <v>48</v>
      </c>
      <c r="AF98" s="40" t="s">
        <v>48</v>
      </c>
      <c r="AG98" s="40" t="s">
        <v>48</v>
      </c>
      <c r="AH98" s="40" t="s">
        <v>48</v>
      </c>
      <c r="AI98" s="40" t="s">
        <v>48</v>
      </c>
      <c r="AJ98" s="40" t="s">
        <v>48</v>
      </c>
      <c r="AK98" s="40" t="s">
        <v>48</v>
      </c>
      <c r="AL98" s="40" t="s">
        <v>48</v>
      </c>
      <c r="AM98" s="40" t="s">
        <v>48</v>
      </c>
      <c r="AN98" s="40" t="s">
        <v>48</v>
      </c>
    </row>
    <row r="99" spans="1:40" x14ac:dyDescent="0.35">
      <c r="A99" s="12">
        <v>92</v>
      </c>
      <c r="B99" s="33"/>
      <c r="C99" s="38" t="str">
        <f>Notes!T100</f>
        <v xml:space="preserve">               Publishing, video making, programming &amp; broadcasting activities (J10)</v>
      </c>
      <c r="D99" s="4" t="s">
        <v>733</v>
      </c>
      <c r="E99" s="44">
        <v>3.8910561430600059</v>
      </c>
      <c r="F99" s="42" t="s">
        <v>48</v>
      </c>
      <c r="G99" s="40" t="s">
        <v>48</v>
      </c>
      <c r="H99" s="40" t="s">
        <v>48</v>
      </c>
      <c r="I99" s="40" t="s">
        <v>48</v>
      </c>
      <c r="J99" s="40" t="s">
        <v>48</v>
      </c>
      <c r="K99" s="40" t="s">
        <v>48</v>
      </c>
      <c r="L99" s="40" t="s">
        <v>48</v>
      </c>
      <c r="M99" s="40" t="s">
        <v>48</v>
      </c>
      <c r="N99" s="40" t="s">
        <v>48</v>
      </c>
      <c r="O99" s="40" t="s">
        <v>48</v>
      </c>
      <c r="P99" s="40" t="s">
        <v>48</v>
      </c>
      <c r="Q99" s="40" t="s">
        <v>48</v>
      </c>
      <c r="R99" s="40" t="s">
        <v>48</v>
      </c>
      <c r="S99" s="40" t="s">
        <v>48</v>
      </c>
      <c r="T99" s="40" t="s">
        <v>48</v>
      </c>
      <c r="V99" s="33"/>
      <c r="W99" s="38" t="str">
        <f>Notes!T100</f>
        <v xml:space="preserve">               Publishing, video making, programming &amp; broadcasting activities (J10)</v>
      </c>
      <c r="X99" s="4" t="s">
        <v>733</v>
      </c>
      <c r="Y99" s="44">
        <v>3.8910561430600059</v>
      </c>
      <c r="Z99" s="42" t="s">
        <v>48</v>
      </c>
      <c r="AA99" s="40" t="s">
        <v>48</v>
      </c>
      <c r="AB99" s="40" t="s">
        <v>48</v>
      </c>
      <c r="AC99" s="40" t="s">
        <v>48</v>
      </c>
      <c r="AD99" s="40" t="s">
        <v>48</v>
      </c>
      <c r="AE99" s="40" t="s">
        <v>48</v>
      </c>
      <c r="AF99" s="40" t="s">
        <v>48</v>
      </c>
      <c r="AG99" s="40" t="s">
        <v>48</v>
      </c>
      <c r="AH99" s="40" t="s">
        <v>48</v>
      </c>
      <c r="AI99" s="40" t="s">
        <v>48</v>
      </c>
      <c r="AJ99" s="40" t="s">
        <v>48</v>
      </c>
      <c r="AK99" s="40" t="s">
        <v>48</v>
      </c>
      <c r="AL99" s="40" t="s">
        <v>48</v>
      </c>
      <c r="AM99" s="40" t="s">
        <v>48</v>
      </c>
      <c r="AN99" s="40" t="s">
        <v>48</v>
      </c>
    </row>
    <row r="100" spans="1:40" x14ac:dyDescent="0.35">
      <c r="A100" s="12">
        <v>93</v>
      </c>
      <c r="B100" s="33"/>
      <c r="C100" s="38" t="str">
        <f>Notes!T101</f>
        <v xml:space="preserve">               Telecommunication (J20)</v>
      </c>
      <c r="D100" s="4" t="s">
        <v>374</v>
      </c>
      <c r="E100" s="44">
        <v>1.9881267406928032</v>
      </c>
      <c r="F100" s="42" t="s">
        <v>48</v>
      </c>
      <c r="G100" s="40" t="s">
        <v>48</v>
      </c>
      <c r="H100" s="40" t="s">
        <v>48</v>
      </c>
      <c r="I100" s="40" t="s">
        <v>48</v>
      </c>
      <c r="J100" s="40" t="s">
        <v>48</v>
      </c>
      <c r="K100" s="40" t="s">
        <v>48</v>
      </c>
      <c r="L100" s="40" t="s">
        <v>48</v>
      </c>
      <c r="M100" s="40" t="s">
        <v>48</v>
      </c>
      <c r="N100" s="40" t="s">
        <v>48</v>
      </c>
      <c r="O100" s="40" t="s">
        <v>48</v>
      </c>
      <c r="P100" s="40" t="s">
        <v>48</v>
      </c>
      <c r="Q100" s="40" t="s">
        <v>48</v>
      </c>
      <c r="R100" s="40" t="s">
        <v>48</v>
      </c>
      <c r="S100" s="40" t="s">
        <v>48</v>
      </c>
      <c r="T100" s="40" t="s">
        <v>48</v>
      </c>
      <c r="V100" s="33"/>
      <c r="W100" s="38" t="str">
        <f>Notes!T101</f>
        <v xml:space="preserve">               Telecommunication (J20)</v>
      </c>
      <c r="X100" s="4" t="s">
        <v>374</v>
      </c>
      <c r="Y100" s="44">
        <v>1.9881267406928032</v>
      </c>
      <c r="Z100" s="42" t="s">
        <v>48</v>
      </c>
      <c r="AA100" s="40" t="s">
        <v>48</v>
      </c>
      <c r="AB100" s="40" t="s">
        <v>48</v>
      </c>
      <c r="AC100" s="40" t="s">
        <v>48</v>
      </c>
      <c r="AD100" s="40" t="s">
        <v>48</v>
      </c>
      <c r="AE100" s="40" t="s">
        <v>48</v>
      </c>
      <c r="AF100" s="40" t="s">
        <v>48</v>
      </c>
      <c r="AG100" s="40" t="s">
        <v>48</v>
      </c>
      <c r="AH100" s="40" t="s">
        <v>48</v>
      </c>
      <c r="AI100" s="40" t="s">
        <v>48</v>
      </c>
      <c r="AJ100" s="40" t="s">
        <v>48</v>
      </c>
      <c r="AK100" s="40" t="s">
        <v>48</v>
      </c>
      <c r="AL100" s="40" t="s">
        <v>48</v>
      </c>
      <c r="AM100" s="40" t="s">
        <v>48</v>
      </c>
      <c r="AN100" s="40" t="s">
        <v>48</v>
      </c>
    </row>
    <row r="101" spans="1:40" x14ac:dyDescent="0.35">
      <c r="A101" s="12">
        <v>94</v>
      </c>
      <c r="B101" s="33"/>
      <c r="C101" s="38" t="str">
        <f>Notes!T102</f>
        <v xml:space="preserve">               Information technology services (J30)</v>
      </c>
      <c r="D101" s="4" t="s">
        <v>734</v>
      </c>
      <c r="E101" s="44" t="s">
        <v>48</v>
      </c>
      <c r="F101" s="42" t="s">
        <v>48</v>
      </c>
      <c r="G101" s="40" t="s">
        <v>48</v>
      </c>
      <c r="H101" s="40" t="s">
        <v>48</v>
      </c>
      <c r="I101" s="40" t="s">
        <v>48</v>
      </c>
      <c r="J101" s="40" t="s">
        <v>48</v>
      </c>
      <c r="K101" s="40" t="s">
        <v>48</v>
      </c>
      <c r="L101" s="40" t="s">
        <v>48</v>
      </c>
      <c r="M101" s="40" t="s">
        <v>48</v>
      </c>
      <c r="N101" s="40" t="s">
        <v>48</v>
      </c>
      <c r="O101" s="40" t="s">
        <v>48</v>
      </c>
      <c r="P101" s="40" t="s">
        <v>48</v>
      </c>
      <c r="Q101" s="40" t="s">
        <v>48</v>
      </c>
      <c r="R101" s="40" t="s">
        <v>48</v>
      </c>
      <c r="S101" s="40" t="s">
        <v>48</v>
      </c>
      <c r="T101" s="40" t="s">
        <v>48</v>
      </c>
      <c r="V101" s="33"/>
      <c r="W101" s="38" t="str">
        <f>Notes!T102</f>
        <v xml:space="preserve">               Information technology services (J30)</v>
      </c>
      <c r="X101" s="4" t="s">
        <v>734</v>
      </c>
      <c r="Y101" s="44" t="s">
        <v>48</v>
      </c>
      <c r="Z101" s="42" t="s">
        <v>48</v>
      </c>
      <c r="AA101" s="40" t="s">
        <v>48</v>
      </c>
      <c r="AB101" s="40" t="s">
        <v>48</v>
      </c>
      <c r="AC101" s="40" t="s">
        <v>48</v>
      </c>
      <c r="AD101" s="40" t="s">
        <v>48</v>
      </c>
      <c r="AE101" s="40" t="s">
        <v>48</v>
      </c>
      <c r="AF101" s="40" t="s">
        <v>48</v>
      </c>
      <c r="AG101" s="40" t="s">
        <v>48</v>
      </c>
      <c r="AH101" s="40" t="s">
        <v>48</v>
      </c>
      <c r="AI101" s="40" t="s">
        <v>48</v>
      </c>
      <c r="AJ101" s="40" t="s">
        <v>48</v>
      </c>
      <c r="AK101" s="40" t="s">
        <v>48</v>
      </c>
      <c r="AL101" s="40" t="s">
        <v>48</v>
      </c>
      <c r="AM101" s="40" t="s">
        <v>48</v>
      </c>
      <c r="AN101" s="40" t="s">
        <v>48</v>
      </c>
    </row>
    <row r="102" spans="1:40" x14ac:dyDescent="0.35">
      <c r="A102" s="12">
        <v>95</v>
      </c>
      <c r="B102" s="33"/>
      <c r="C102" s="38" t="str">
        <f>Notes!T103</f>
        <v xml:space="preserve">               Financial and business services</v>
      </c>
      <c r="D102" s="4" t="s">
        <v>735</v>
      </c>
      <c r="E102" s="44">
        <v>1.5893926337183939</v>
      </c>
      <c r="F102" s="42" t="s">
        <v>48</v>
      </c>
      <c r="G102" s="40" t="s">
        <v>48</v>
      </c>
      <c r="H102" s="40" t="s">
        <v>48</v>
      </c>
      <c r="I102" s="40" t="s">
        <v>48</v>
      </c>
      <c r="J102" s="40" t="s">
        <v>48</v>
      </c>
      <c r="K102" s="40" t="s">
        <v>48</v>
      </c>
      <c r="L102" s="40" t="s">
        <v>48</v>
      </c>
      <c r="M102" s="40" t="s">
        <v>48</v>
      </c>
      <c r="N102" s="40" t="s">
        <v>48</v>
      </c>
      <c r="O102" s="40" t="s">
        <v>48</v>
      </c>
      <c r="P102" s="40" t="s">
        <v>48</v>
      </c>
      <c r="Q102" s="40" t="s">
        <v>48</v>
      </c>
      <c r="R102" s="40" t="s">
        <v>48</v>
      </c>
      <c r="S102" s="40" t="s">
        <v>48</v>
      </c>
      <c r="T102" s="40" t="s">
        <v>48</v>
      </c>
      <c r="V102" s="33"/>
      <c r="W102" s="38" t="str">
        <f>Notes!T103</f>
        <v xml:space="preserve">               Financial and business services</v>
      </c>
      <c r="X102" s="4" t="s">
        <v>735</v>
      </c>
      <c r="Y102" s="44">
        <v>1.5893926337183939</v>
      </c>
      <c r="Z102" s="42" t="s">
        <v>48</v>
      </c>
      <c r="AA102" s="40" t="s">
        <v>48</v>
      </c>
      <c r="AB102" s="40" t="s">
        <v>48</v>
      </c>
      <c r="AC102" s="40" t="s">
        <v>48</v>
      </c>
      <c r="AD102" s="40" t="s">
        <v>48</v>
      </c>
      <c r="AE102" s="40" t="s">
        <v>48</v>
      </c>
      <c r="AF102" s="40" t="s">
        <v>48</v>
      </c>
      <c r="AG102" s="40" t="s">
        <v>48</v>
      </c>
      <c r="AH102" s="40" t="s">
        <v>48</v>
      </c>
      <c r="AI102" s="40" t="s">
        <v>48</v>
      </c>
      <c r="AJ102" s="40" t="s">
        <v>48</v>
      </c>
      <c r="AK102" s="40" t="s">
        <v>48</v>
      </c>
      <c r="AL102" s="40" t="s">
        <v>48</v>
      </c>
      <c r="AM102" s="40" t="s">
        <v>48</v>
      </c>
      <c r="AN102" s="40" t="s">
        <v>48</v>
      </c>
    </row>
    <row r="103" spans="1:40" x14ac:dyDescent="0.35">
      <c r="A103" s="12">
        <v>96</v>
      </c>
      <c r="B103" s="33"/>
      <c r="C103" s="38" t="str">
        <f>Notes!T104</f>
        <v xml:space="preserve">               Monetary institutions (K01)</v>
      </c>
      <c r="D103" s="4" t="s">
        <v>736</v>
      </c>
      <c r="E103" s="44">
        <v>0.31353676864880875</v>
      </c>
      <c r="F103" s="42" t="s">
        <v>48</v>
      </c>
      <c r="G103" s="40" t="s">
        <v>48</v>
      </c>
      <c r="H103" s="40" t="s">
        <v>48</v>
      </c>
      <c r="I103" s="40" t="s">
        <v>48</v>
      </c>
      <c r="J103" s="40" t="s">
        <v>48</v>
      </c>
      <c r="K103" s="40" t="s">
        <v>48</v>
      </c>
      <c r="L103" s="40" t="s">
        <v>48</v>
      </c>
      <c r="M103" s="40" t="s">
        <v>48</v>
      </c>
      <c r="N103" s="40" t="s">
        <v>48</v>
      </c>
      <c r="O103" s="40" t="s">
        <v>48</v>
      </c>
      <c r="P103" s="40" t="s">
        <v>48</v>
      </c>
      <c r="Q103" s="40" t="s">
        <v>48</v>
      </c>
      <c r="R103" s="40" t="s">
        <v>48</v>
      </c>
      <c r="S103" s="40" t="s">
        <v>48</v>
      </c>
      <c r="T103" s="40" t="s">
        <v>48</v>
      </c>
      <c r="V103" s="33"/>
      <c r="W103" s="38" t="str">
        <f>Notes!T104</f>
        <v xml:space="preserve">               Monetary institutions (K01)</v>
      </c>
      <c r="X103" s="4" t="s">
        <v>736</v>
      </c>
      <c r="Y103" s="44">
        <v>0.31353676864880875</v>
      </c>
      <c r="Z103" s="42" t="s">
        <v>48</v>
      </c>
      <c r="AA103" s="40" t="s">
        <v>48</v>
      </c>
      <c r="AB103" s="40" t="s">
        <v>48</v>
      </c>
      <c r="AC103" s="40" t="s">
        <v>48</v>
      </c>
      <c r="AD103" s="40" t="s">
        <v>48</v>
      </c>
      <c r="AE103" s="40" t="s">
        <v>48</v>
      </c>
      <c r="AF103" s="40" t="s">
        <v>48</v>
      </c>
      <c r="AG103" s="40" t="s">
        <v>48</v>
      </c>
      <c r="AH103" s="40" t="s">
        <v>48</v>
      </c>
      <c r="AI103" s="40" t="s">
        <v>48</v>
      </c>
      <c r="AJ103" s="40" t="s">
        <v>48</v>
      </c>
      <c r="AK103" s="40" t="s">
        <v>48</v>
      </c>
      <c r="AL103" s="40" t="s">
        <v>48</v>
      </c>
      <c r="AM103" s="40" t="s">
        <v>48</v>
      </c>
      <c r="AN103" s="40" t="s">
        <v>48</v>
      </c>
    </row>
    <row r="104" spans="1:40" x14ac:dyDescent="0.35">
      <c r="A104" s="12">
        <v>97</v>
      </c>
      <c r="B104" s="33"/>
      <c r="C104" s="38" t="str">
        <f>Notes!T105</f>
        <v xml:space="preserve">               Insurance, reinsurance and pension funding, except compulsory social security (K02)</v>
      </c>
      <c r="D104" s="4" t="s">
        <v>737</v>
      </c>
      <c r="E104" s="44">
        <v>16.913314004125965</v>
      </c>
      <c r="F104" s="42" t="s">
        <v>48</v>
      </c>
      <c r="G104" s="40" t="s">
        <v>48</v>
      </c>
      <c r="H104" s="40" t="s">
        <v>48</v>
      </c>
      <c r="I104" s="40" t="s">
        <v>48</v>
      </c>
      <c r="J104" s="40" t="s">
        <v>48</v>
      </c>
      <c r="K104" s="40" t="s">
        <v>48</v>
      </c>
      <c r="L104" s="40" t="s">
        <v>48</v>
      </c>
      <c r="M104" s="40" t="s">
        <v>48</v>
      </c>
      <c r="N104" s="40" t="s">
        <v>48</v>
      </c>
      <c r="O104" s="40" t="s">
        <v>48</v>
      </c>
      <c r="P104" s="40" t="s">
        <v>48</v>
      </c>
      <c r="Q104" s="40" t="s">
        <v>48</v>
      </c>
      <c r="R104" s="40" t="s">
        <v>48</v>
      </c>
      <c r="S104" s="40" t="s">
        <v>48</v>
      </c>
      <c r="T104" s="40" t="s">
        <v>48</v>
      </c>
      <c r="V104" s="33"/>
      <c r="W104" s="38" t="str">
        <f>Notes!T105</f>
        <v xml:space="preserve">               Insurance, reinsurance and pension funding, except compulsory social security (K02)</v>
      </c>
      <c r="X104" s="4" t="s">
        <v>737</v>
      </c>
      <c r="Y104" s="44">
        <v>16.913314004125965</v>
      </c>
      <c r="Z104" s="42" t="s">
        <v>48</v>
      </c>
      <c r="AA104" s="40" t="s">
        <v>48</v>
      </c>
      <c r="AB104" s="40" t="s">
        <v>48</v>
      </c>
      <c r="AC104" s="40" t="s">
        <v>48</v>
      </c>
      <c r="AD104" s="40" t="s">
        <v>48</v>
      </c>
      <c r="AE104" s="40" t="s">
        <v>48</v>
      </c>
      <c r="AF104" s="40" t="s">
        <v>48</v>
      </c>
      <c r="AG104" s="40" t="s">
        <v>48</v>
      </c>
      <c r="AH104" s="40" t="s">
        <v>48</v>
      </c>
      <c r="AI104" s="40" t="s">
        <v>48</v>
      </c>
      <c r="AJ104" s="40" t="s">
        <v>48</v>
      </c>
      <c r="AK104" s="40" t="s">
        <v>48</v>
      </c>
      <c r="AL104" s="40" t="s">
        <v>48</v>
      </c>
      <c r="AM104" s="40" t="s">
        <v>48</v>
      </c>
      <c r="AN104" s="40" t="s">
        <v>48</v>
      </c>
    </row>
    <row r="105" spans="1:40" x14ac:dyDescent="0.35">
      <c r="A105" s="12">
        <v>98</v>
      </c>
      <c r="B105" s="33"/>
      <c r="C105" s="38" t="str">
        <f>Notes!T106</f>
        <v xml:space="preserve">               Other financial services (K03)</v>
      </c>
      <c r="D105" s="4" t="s">
        <v>738</v>
      </c>
      <c r="E105" s="44">
        <v>0.76669466490953542</v>
      </c>
      <c r="F105" s="42" t="s">
        <v>48</v>
      </c>
      <c r="G105" s="40" t="s">
        <v>48</v>
      </c>
      <c r="H105" s="40" t="s">
        <v>48</v>
      </c>
      <c r="I105" s="40" t="s">
        <v>48</v>
      </c>
      <c r="J105" s="40" t="s">
        <v>48</v>
      </c>
      <c r="K105" s="40" t="s">
        <v>48</v>
      </c>
      <c r="L105" s="40" t="s">
        <v>48</v>
      </c>
      <c r="M105" s="40" t="s">
        <v>48</v>
      </c>
      <c r="N105" s="40" t="s">
        <v>48</v>
      </c>
      <c r="O105" s="40" t="s">
        <v>48</v>
      </c>
      <c r="P105" s="40" t="s">
        <v>48</v>
      </c>
      <c r="Q105" s="40" t="s">
        <v>48</v>
      </c>
      <c r="R105" s="40" t="s">
        <v>48</v>
      </c>
      <c r="S105" s="40" t="s">
        <v>48</v>
      </c>
      <c r="T105" s="40" t="s">
        <v>48</v>
      </c>
      <c r="V105" s="33"/>
      <c r="W105" s="38" t="str">
        <f>Notes!T106</f>
        <v xml:space="preserve">               Other financial services (K03)</v>
      </c>
      <c r="X105" s="4" t="s">
        <v>738</v>
      </c>
      <c r="Y105" s="44">
        <v>0.76669466490953542</v>
      </c>
      <c r="Z105" s="42" t="s">
        <v>48</v>
      </c>
      <c r="AA105" s="40" t="s">
        <v>48</v>
      </c>
      <c r="AB105" s="40" t="s">
        <v>48</v>
      </c>
      <c r="AC105" s="40" t="s">
        <v>48</v>
      </c>
      <c r="AD105" s="40" t="s">
        <v>48</v>
      </c>
      <c r="AE105" s="40" t="s">
        <v>48</v>
      </c>
      <c r="AF105" s="40" t="s">
        <v>48</v>
      </c>
      <c r="AG105" s="40" t="s">
        <v>48</v>
      </c>
      <c r="AH105" s="40" t="s">
        <v>48</v>
      </c>
      <c r="AI105" s="40" t="s">
        <v>48</v>
      </c>
      <c r="AJ105" s="40" t="s">
        <v>48</v>
      </c>
      <c r="AK105" s="40" t="s">
        <v>48</v>
      </c>
      <c r="AL105" s="40" t="s">
        <v>48</v>
      </c>
      <c r="AM105" s="40" t="s">
        <v>48</v>
      </c>
      <c r="AN105" s="40" t="s">
        <v>48</v>
      </c>
    </row>
    <row r="106" spans="1:40" x14ac:dyDescent="0.35">
      <c r="A106" s="12">
        <v>99</v>
      </c>
      <c r="B106" s="33"/>
      <c r="C106" s="38" t="str">
        <f>Notes!T107</f>
        <v xml:space="preserve">               Rental value of dwellings (L01)</v>
      </c>
      <c r="D106" s="4" t="s">
        <v>739</v>
      </c>
      <c r="E106" s="44">
        <v>0.56535089470511857</v>
      </c>
      <c r="F106" s="42" t="s">
        <v>48</v>
      </c>
      <c r="G106" s="40" t="s">
        <v>48</v>
      </c>
      <c r="H106" s="40" t="s">
        <v>48</v>
      </c>
      <c r="I106" s="40" t="s">
        <v>48</v>
      </c>
      <c r="J106" s="40" t="s">
        <v>48</v>
      </c>
      <c r="K106" s="40" t="s">
        <v>48</v>
      </c>
      <c r="L106" s="40" t="s">
        <v>48</v>
      </c>
      <c r="M106" s="40" t="s">
        <v>48</v>
      </c>
      <c r="N106" s="40" t="s">
        <v>48</v>
      </c>
      <c r="O106" s="40" t="s">
        <v>48</v>
      </c>
      <c r="P106" s="40" t="s">
        <v>48</v>
      </c>
      <c r="Q106" s="40" t="s">
        <v>48</v>
      </c>
      <c r="R106" s="40" t="s">
        <v>48</v>
      </c>
      <c r="S106" s="40" t="s">
        <v>48</v>
      </c>
      <c r="T106" s="40" t="s">
        <v>48</v>
      </c>
      <c r="V106" s="33"/>
      <c r="W106" s="38" t="str">
        <f>Notes!T107</f>
        <v xml:space="preserve">               Rental value of dwellings (L01)</v>
      </c>
      <c r="X106" s="4" t="s">
        <v>739</v>
      </c>
      <c r="Y106" s="44">
        <v>0.56535089470511857</v>
      </c>
      <c r="Z106" s="42" t="s">
        <v>48</v>
      </c>
      <c r="AA106" s="40" t="s">
        <v>48</v>
      </c>
      <c r="AB106" s="40" t="s">
        <v>48</v>
      </c>
      <c r="AC106" s="40" t="s">
        <v>48</v>
      </c>
      <c r="AD106" s="40" t="s">
        <v>48</v>
      </c>
      <c r="AE106" s="40" t="s">
        <v>48</v>
      </c>
      <c r="AF106" s="40" t="s">
        <v>48</v>
      </c>
      <c r="AG106" s="40" t="s">
        <v>48</v>
      </c>
      <c r="AH106" s="40" t="s">
        <v>48</v>
      </c>
      <c r="AI106" s="40" t="s">
        <v>48</v>
      </c>
      <c r="AJ106" s="40" t="s">
        <v>48</v>
      </c>
      <c r="AK106" s="40" t="s">
        <v>48</v>
      </c>
      <c r="AL106" s="40" t="s">
        <v>48</v>
      </c>
      <c r="AM106" s="40" t="s">
        <v>48</v>
      </c>
      <c r="AN106" s="40" t="s">
        <v>48</v>
      </c>
    </row>
    <row r="107" spans="1:40" x14ac:dyDescent="0.35">
      <c r="A107" s="12">
        <v>100</v>
      </c>
      <c r="B107" s="33"/>
      <c r="C107" s="38" t="str">
        <f>Notes!T108</f>
        <v xml:space="preserve">               Other real estate activities (L09)</v>
      </c>
      <c r="D107" s="4" t="s">
        <v>378</v>
      </c>
      <c r="E107" s="44">
        <v>1.3753190837288689</v>
      </c>
      <c r="F107" s="42" t="s">
        <v>48</v>
      </c>
      <c r="G107" s="40" t="s">
        <v>48</v>
      </c>
      <c r="H107" s="40" t="s">
        <v>48</v>
      </c>
      <c r="I107" s="40" t="s">
        <v>48</v>
      </c>
      <c r="J107" s="40" t="s">
        <v>48</v>
      </c>
      <c r="K107" s="40" t="s">
        <v>48</v>
      </c>
      <c r="L107" s="40" t="s">
        <v>48</v>
      </c>
      <c r="M107" s="40" t="s">
        <v>48</v>
      </c>
      <c r="N107" s="40" t="s">
        <v>48</v>
      </c>
      <c r="O107" s="40" t="s">
        <v>48</v>
      </c>
      <c r="P107" s="40" t="s">
        <v>48</v>
      </c>
      <c r="Q107" s="40" t="s">
        <v>48</v>
      </c>
      <c r="R107" s="40" t="s">
        <v>48</v>
      </c>
      <c r="S107" s="40" t="s">
        <v>48</v>
      </c>
      <c r="T107" s="40" t="s">
        <v>48</v>
      </c>
      <c r="V107" s="33"/>
      <c r="W107" s="38" t="str">
        <f>Notes!T108</f>
        <v xml:space="preserve">               Other real estate activities (L09)</v>
      </c>
      <c r="X107" s="4" t="s">
        <v>378</v>
      </c>
      <c r="Y107" s="44">
        <v>1.3753190837288689</v>
      </c>
      <c r="Z107" s="42" t="s">
        <v>48</v>
      </c>
      <c r="AA107" s="40" t="s">
        <v>48</v>
      </c>
      <c r="AB107" s="40" t="s">
        <v>48</v>
      </c>
      <c r="AC107" s="40" t="s">
        <v>48</v>
      </c>
      <c r="AD107" s="40" t="s">
        <v>48</v>
      </c>
      <c r="AE107" s="40" t="s">
        <v>48</v>
      </c>
      <c r="AF107" s="40" t="s">
        <v>48</v>
      </c>
      <c r="AG107" s="40" t="s">
        <v>48</v>
      </c>
      <c r="AH107" s="40" t="s">
        <v>48</v>
      </c>
      <c r="AI107" s="40" t="s">
        <v>48</v>
      </c>
      <c r="AJ107" s="40" t="s">
        <v>48</v>
      </c>
      <c r="AK107" s="40" t="s">
        <v>48</v>
      </c>
      <c r="AL107" s="40" t="s">
        <v>48</v>
      </c>
      <c r="AM107" s="40" t="s">
        <v>48</v>
      </c>
      <c r="AN107" s="40" t="s">
        <v>48</v>
      </c>
    </row>
    <row r="108" spans="1:40" x14ac:dyDescent="0.35">
      <c r="A108" s="12">
        <v>101</v>
      </c>
      <c r="B108" s="33"/>
      <c r="C108" s="38" t="str">
        <f>Notes!T109</f>
        <v xml:space="preserve">               Other professional, scientific and technical activities (M03)</v>
      </c>
      <c r="D108" s="4" t="s">
        <v>740</v>
      </c>
      <c r="E108" s="44">
        <v>5.8744726401176202</v>
      </c>
      <c r="F108" s="42" t="s">
        <v>48</v>
      </c>
      <c r="G108" s="40" t="s">
        <v>48</v>
      </c>
      <c r="H108" s="40" t="s">
        <v>48</v>
      </c>
      <c r="I108" s="40" t="s">
        <v>48</v>
      </c>
      <c r="J108" s="40" t="s">
        <v>48</v>
      </c>
      <c r="K108" s="40" t="s">
        <v>48</v>
      </c>
      <c r="L108" s="40" t="s">
        <v>48</v>
      </c>
      <c r="M108" s="40" t="s">
        <v>48</v>
      </c>
      <c r="N108" s="40" t="s">
        <v>48</v>
      </c>
      <c r="O108" s="40" t="s">
        <v>48</v>
      </c>
      <c r="P108" s="40" t="s">
        <v>48</v>
      </c>
      <c r="Q108" s="40" t="s">
        <v>48</v>
      </c>
      <c r="R108" s="40" t="s">
        <v>48</v>
      </c>
      <c r="S108" s="40" t="s">
        <v>48</v>
      </c>
      <c r="T108" s="40" t="s">
        <v>48</v>
      </c>
      <c r="V108" s="33"/>
      <c r="W108" s="38" t="str">
        <f>Notes!T109</f>
        <v xml:space="preserve">               Other professional, scientific and technical activities (M03)</v>
      </c>
      <c r="X108" s="4" t="s">
        <v>740</v>
      </c>
      <c r="Y108" s="44">
        <v>5.8744726401176202</v>
      </c>
      <c r="Z108" s="42" t="s">
        <v>48</v>
      </c>
      <c r="AA108" s="40" t="s">
        <v>48</v>
      </c>
      <c r="AB108" s="40" t="s">
        <v>48</v>
      </c>
      <c r="AC108" s="40" t="s">
        <v>48</v>
      </c>
      <c r="AD108" s="40" t="s">
        <v>48</v>
      </c>
      <c r="AE108" s="40" t="s">
        <v>48</v>
      </c>
      <c r="AF108" s="40" t="s">
        <v>48</v>
      </c>
      <c r="AG108" s="40" t="s">
        <v>48</v>
      </c>
      <c r="AH108" s="40" t="s">
        <v>48</v>
      </c>
      <c r="AI108" s="40" t="s">
        <v>48</v>
      </c>
      <c r="AJ108" s="40" t="s">
        <v>48</v>
      </c>
      <c r="AK108" s="40" t="s">
        <v>48</v>
      </c>
      <c r="AL108" s="40" t="s">
        <v>48</v>
      </c>
      <c r="AM108" s="40" t="s">
        <v>48</v>
      </c>
      <c r="AN108" s="40" t="s">
        <v>48</v>
      </c>
    </row>
    <row r="109" spans="1:40" x14ac:dyDescent="0.35">
      <c r="A109" s="12">
        <v>102</v>
      </c>
      <c r="B109" s="33"/>
      <c r="C109" s="38" t="str">
        <f>Notes!T110</f>
        <v xml:space="preserve">               Government services</v>
      </c>
      <c r="D109" s="4" t="s">
        <v>741</v>
      </c>
      <c r="E109" s="44">
        <v>2.068103964951769</v>
      </c>
      <c r="F109" s="42" t="s">
        <v>48</v>
      </c>
      <c r="G109" s="40" t="s">
        <v>48</v>
      </c>
      <c r="H109" s="40" t="s">
        <v>48</v>
      </c>
      <c r="I109" s="40" t="s">
        <v>48</v>
      </c>
      <c r="J109" s="40" t="s">
        <v>48</v>
      </c>
      <c r="K109" s="40" t="s">
        <v>48</v>
      </c>
      <c r="L109" s="40" t="s">
        <v>48</v>
      </c>
      <c r="M109" s="40" t="s">
        <v>48</v>
      </c>
      <c r="N109" s="40" t="s">
        <v>48</v>
      </c>
      <c r="O109" s="40" t="s">
        <v>48</v>
      </c>
      <c r="P109" s="40" t="s">
        <v>48</v>
      </c>
      <c r="Q109" s="40" t="s">
        <v>48</v>
      </c>
      <c r="R109" s="40" t="s">
        <v>48</v>
      </c>
      <c r="S109" s="40" t="s">
        <v>48</v>
      </c>
      <c r="T109" s="40" t="s">
        <v>48</v>
      </c>
      <c r="V109" s="33"/>
      <c r="W109" s="38" t="str">
        <f>Notes!T110</f>
        <v xml:space="preserve">               Government services</v>
      </c>
      <c r="X109" s="4" t="s">
        <v>741</v>
      </c>
      <c r="Y109" s="44">
        <v>2.068103964951769</v>
      </c>
      <c r="Z109" s="42" t="s">
        <v>48</v>
      </c>
      <c r="AA109" s="40" t="s">
        <v>48</v>
      </c>
      <c r="AB109" s="40" t="s">
        <v>48</v>
      </c>
      <c r="AC109" s="40" t="s">
        <v>48</v>
      </c>
      <c r="AD109" s="40" t="s">
        <v>48</v>
      </c>
      <c r="AE109" s="40" t="s">
        <v>48</v>
      </c>
      <c r="AF109" s="40" t="s">
        <v>48</v>
      </c>
      <c r="AG109" s="40" t="s">
        <v>48</v>
      </c>
      <c r="AH109" s="40" t="s">
        <v>48</v>
      </c>
      <c r="AI109" s="40" t="s">
        <v>48</v>
      </c>
      <c r="AJ109" s="40" t="s">
        <v>48</v>
      </c>
      <c r="AK109" s="40" t="s">
        <v>48</v>
      </c>
      <c r="AL109" s="40" t="s">
        <v>48</v>
      </c>
      <c r="AM109" s="40" t="s">
        <v>48</v>
      </c>
      <c r="AN109" s="40" t="s">
        <v>48</v>
      </c>
    </row>
    <row r="110" spans="1:40" x14ac:dyDescent="0.35">
      <c r="A110" s="12">
        <v>103</v>
      </c>
      <c r="B110" s="33"/>
      <c r="C110" s="38" t="str">
        <f>Notes!T111</f>
        <v xml:space="preserve">               Public administration and defence; compulsory social security (O00)</v>
      </c>
      <c r="D110" s="4" t="s">
        <v>382</v>
      </c>
      <c r="E110" s="44">
        <v>6.2633727557130534</v>
      </c>
      <c r="F110" s="42" t="s">
        <v>48</v>
      </c>
      <c r="G110" s="40" t="s">
        <v>48</v>
      </c>
      <c r="H110" s="40" t="s">
        <v>48</v>
      </c>
      <c r="I110" s="40" t="s">
        <v>48</v>
      </c>
      <c r="J110" s="40" t="s">
        <v>48</v>
      </c>
      <c r="K110" s="40" t="s">
        <v>48</v>
      </c>
      <c r="L110" s="40" t="s">
        <v>48</v>
      </c>
      <c r="M110" s="40" t="s">
        <v>48</v>
      </c>
      <c r="N110" s="40" t="s">
        <v>48</v>
      </c>
      <c r="O110" s="40" t="s">
        <v>48</v>
      </c>
      <c r="P110" s="40" t="s">
        <v>48</v>
      </c>
      <c r="Q110" s="40" t="s">
        <v>48</v>
      </c>
      <c r="R110" s="40" t="s">
        <v>48</v>
      </c>
      <c r="S110" s="40" t="s">
        <v>48</v>
      </c>
      <c r="T110" s="40" t="s">
        <v>48</v>
      </c>
      <c r="V110" s="33"/>
      <c r="W110" s="38" t="str">
        <f>Notes!T111</f>
        <v xml:space="preserve">               Public administration and defence; compulsory social security (O00)</v>
      </c>
      <c r="X110" s="4" t="s">
        <v>382</v>
      </c>
      <c r="Y110" s="44">
        <v>6.2633727557130534</v>
      </c>
      <c r="Z110" s="42" t="s">
        <v>48</v>
      </c>
      <c r="AA110" s="40" t="s">
        <v>48</v>
      </c>
      <c r="AB110" s="40" t="s">
        <v>48</v>
      </c>
      <c r="AC110" s="40" t="s">
        <v>48</v>
      </c>
      <c r="AD110" s="40" t="s">
        <v>48</v>
      </c>
      <c r="AE110" s="40" t="s">
        <v>48</v>
      </c>
      <c r="AF110" s="40" t="s">
        <v>48</v>
      </c>
      <c r="AG110" s="40" t="s">
        <v>48</v>
      </c>
      <c r="AH110" s="40" t="s">
        <v>48</v>
      </c>
      <c r="AI110" s="40" t="s">
        <v>48</v>
      </c>
      <c r="AJ110" s="40" t="s">
        <v>48</v>
      </c>
      <c r="AK110" s="40" t="s">
        <v>48</v>
      </c>
      <c r="AL110" s="40" t="s">
        <v>48</v>
      </c>
      <c r="AM110" s="40" t="s">
        <v>48</v>
      </c>
      <c r="AN110" s="40" t="s">
        <v>48</v>
      </c>
    </row>
    <row r="111" spans="1:40" x14ac:dyDescent="0.35">
      <c r="A111" s="12">
        <v>104</v>
      </c>
      <c r="B111" s="33"/>
      <c r="C111" s="38" t="str">
        <f>Notes!T112</f>
        <v xml:space="preserve">               Education (P00)</v>
      </c>
      <c r="D111" s="4" t="s">
        <v>384</v>
      </c>
      <c r="E111" s="44">
        <v>11.053211740556332</v>
      </c>
      <c r="F111" s="42" t="s">
        <v>48</v>
      </c>
      <c r="G111" s="40" t="s">
        <v>48</v>
      </c>
      <c r="H111" s="40" t="s">
        <v>48</v>
      </c>
      <c r="I111" s="40" t="s">
        <v>48</v>
      </c>
      <c r="J111" s="40" t="s">
        <v>48</v>
      </c>
      <c r="K111" s="40" t="s">
        <v>48</v>
      </c>
      <c r="L111" s="40" t="s">
        <v>48</v>
      </c>
      <c r="M111" s="40" t="s">
        <v>48</v>
      </c>
      <c r="N111" s="40" t="s">
        <v>48</v>
      </c>
      <c r="O111" s="40" t="s">
        <v>48</v>
      </c>
      <c r="P111" s="40" t="s">
        <v>48</v>
      </c>
      <c r="Q111" s="40" t="s">
        <v>48</v>
      </c>
      <c r="R111" s="40" t="s">
        <v>48</v>
      </c>
      <c r="S111" s="40" t="s">
        <v>48</v>
      </c>
      <c r="T111" s="40" t="s">
        <v>48</v>
      </c>
      <c r="V111" s="33"/>
      <c r="W111" s="38" t="str">
        <f>Notes!T112</f>
        <v xml:space="preserve">               Education (P00)</v>
      </c>
      <c r="X111" s="4" t="s">
        <v>384</v>
      </c>
      <c r="Y111" s="44">
        <v>11.053211740556332</v>
      </c>
      <c r="Z111" s="42" t="s">
        <v>48</v>
      </c>
      <c r="AA111" s="40" t="s">
        <v>48</v>
      </c>
      <c r="AB111" s="40" t="s">
        <v>48</v>
      </c>
      <c r="AC111" s="40" t="s">
        <v>48</v>
      </c>
      <c r="AD111" s="40" t="s">
        <v>48</v>
      </c>
      <c r="AE111" s="40" t="s">
        <v>48</v>
      </c>
      <c r="AF111" s="40" t="s">
        <v>48</v>
      </c>
      <c r="AG111" s="40" t="s">
        <v>48</v>
      </c>
      <c r="AH111" s="40" t="s">
        <v>48</v>
      </c>
      <c r="AI111" s="40" t="s">
        <v>48</v>
      </c>
      <c r="AJ111" s="40" t="s">
        <v>48</v>
      </c>
      <c r="AK111" s="40" t="s">
        <v>48</v>
      </c>
      <c r="AL111" s="40" t="s">
        <v>48</v>
      </c>
      <c r="AM111" s="40" t="s">
        <v>48</v>
      </c>
      <c r="AN111" s="40" t="s">
        <v>48</v>
      </c>
    </row>
    <row r="112" spans="1:40" x14ac:dyDescent="0.35">
      <c r="A112" s="12">
        <v>105</v>
      </c>
      <c r="B112" s="33"/>
      <c r="C112" s="38" t="str">
        <f>Notes!T113</f>
        <v xml:space="preserve">               Human health activities (Q01)</v>
      </c>
      <c r="D112" s="4" t="s">
        <v>386</v>
      </c>
      <c r="E112" s="44">
        <v>6.3509802485088178</v>
      </c>
      <c r="F112" s="42" t="s">
        <v>48</v>
      </c>
      <c r="G112" s="40" t="s">
        <v>48</v>
      </c>
      <c r="H112" s="40" t="s">
        <v>48</v>
      </c>
      <c r="I112" s="40" t="s">
        <v>48</v>
      </c>
      <c r="J112" s="40" t="s">
        <v>48</v>
      </c>
      <c r="K112" s="40" t="s">
        <v>48</v>
      </c>
      <c r="L112" s="40" t="s">
        <v>48</v>
      </c>
      <c r="M112" s="40" t="s">
        <v>48</v>
      </c>
      <c r="N112" s="40" t="s">
        <v>48</v>
      </c>
      <c r="O112" s="40" t="s">
        <v>48</v>
      </c>
      <c r="P112" s="40" t="s">
        <v>48</v>
      </c>
      <c r="Q112" s="40" t="s">
        <v>48</v>
      </c>
      <c r="R112" s="40" t="s">
        <v>48</v>
      </c>
      <c r="S112" s="40" t="s">
        <v>48</v>
      </c>
      <c r="T112" s="40" t="s">
        <v>48</v>
      </c>
      <c r="V112" s="33"/>
      <c r="W112" s="38" t="str">
        <f>Notes!T113</f>
        <v xml:space="preserve">               Human health activities (Q01)</v>
      </c>
      <c r="X112" s="4" t="s">
        <v>386</v>
      </c>
      <c r="Y112" s="44">
        <v>6.3509802485088178</v>
      </c>
      <c r="Z112" s="42" t="s">
        <v>48</v>
      </c>
      <c r="AA112" s="40" t="s">
        <v>48</v>
      </c>
      <c r="AB112" s="40" t="s">
        <v>48</v>
      </c>
      <c r="AC112" s="40" t="s">
        <v>48</v>
      </c>
      <c r="AD112" s="40" t="s">
        <v>48</v>
      </c>
      <c r="AE112" s="40" t="s">
        <v>48</v>
      </c>
      <c r="AF112" s="40" t="s">
        <v>48</v>
      </c>
      <c r="AG112" s="40" t="s">
        <v>48</v>
      </c>
      <c r="AH112" s="40" t="s">
        <v>48</v>
      </c>
      <c r="AI112" s="40" t="s">
        <v>48</v>
      </c>
      <c r="AJ112" s="40" t="s">
        <v>48</v>
      </c>
      <c r="AK112" s="40" t="s">
        <v>48</v>
      </c>
      <c r="AL112" s="40" t="s">
        <v>48</v>
      </c>
      <c r="AM112" s="40" t="s">
        <v>48</v>
      </c>
      <c r="AN112" s="40" t="s">
        <v>48</v>
      </c>
    </row>
    <row r="113" spans="1:40" x14ac:dyDescent="0.35">
      <c r="A113" s="12">
        <v>106</v>
      </c>
      <c r="B113" s="33"/>
      <c r="C113" s="38" t="str">
        <f>Notes!T114</f>
        <v xml:space="preserve">               Other services</v>
      </c>
      <c r="D113" s="4" t="s">
        <v>742</v>
      </c>
      <c r="E113" s="44">
        <v>3.2672542791831267</v>
      </c>
      <c r="F113" s="42" t="s">
        <v>48</v>
      </c>
      <c r="G113" s="40" t="s">
        <v>48</v>
      </c>
      <c r="H113" s="40" t="s">
        <v>48</v>
      </c>
      <c r="I113" s="40" t="s">
        <v>48</v>
      </c>
      <c r="J113" s="40" t="s">
        <v>48</v>
      </c>
      <c r="K113" s="40" t="s">
        <v>48</v>
      </c>
      <c r="L113" s="40" t="s">
        <v>48</v>
      </c>
      <c r="M113" s="40" t="s">
        <v>48</v>
      </c>
      <c r="N113" s="40" t="s">
        <v>48</v>
      </c>
      <c r="O113" s="40" t="s">
        <v>48</v>
      </c>
      <c r="P113" s="40" t="s">
        <v>48</v>
      </c>
      <c r="Q113" s="40" t="s">
        <v>48</v>
      </c>
      <c r="R113" s="40" t="s">
        <v>48</v>
      </c>
      <c r="S113" s="40" t="s">
        <v>48</v>
      </c>
      <c r="T113" s="40" t="s">
        <v>48</v>
      </c>
      <c r="V113" s="33"/>
      <c r="W113" s="38" t="str">
        <f>Notes!T114</f>
        <v xml:space="preserve">               Other services</v>
      </c>
      <c r="X113" s="4" t="s">
        <v>742</v>
      </c>
      <c r="Y113" s="44">
        <v>3.2672542791831267</v>
      </c>
      <c r="Z113" s="42" t="s">
        <v>48</v>
      </c>
      <c r="AA113" s="40" t="s">
        <v>48</v>
      </c>
      <c r="AB113" s="40" t="s">
        <v>48</v>
      </c>
      <c r="AC113" s="40" t="s">
        <v>48</v>
      </c>
      <c r="AD113" s="40" t="s">
        <v>48</v>
      </c>
      <c r="AE113" s="40" t="s">
        <v>48</v>
      </c>
      <c r="AF113" s="40" t="s">
        <v>48</v>
      </c>
      <c r="AG113" s="40" t="s">
        <v>48</v>
      </c>
      <c r="AH113" s="40" t="s">
        <v>48</v>
      </c>
      <c r="AI113" s="40" t="s">
        <v>48</v>
      </c>
      <c r="AJ113" s="40" t="s">
        <v>48</v>
      </c>
      <c r="AK113" s="40" t="s">
        <v>48</v>
      </c>
      <c r="AL113" s="40" t="s">
        <v>48</v>
      </c>
      <c r="AM113" s="40" t="s">
        <v>48</v>
      </c>
      <c r="AN113" s="40" t="s">
        <v>48</v>
      </c>
    </row>
    <row r="114" spans="1:40" x14ac:dyDescent="0.35">
      <c r="A114" s="12">
        <v>107</v>
      </c>
      <c r="B114" s="33"/>
      <c r="C114" s="38" t="str">
        <f>Notes!T115</f>
        <v xml:space="preserve">               Social work activities (Q02)</v>
      </c>
      <c r="D114" s="4" t="s">
        <v>743</v>
      </c>
      <c r="E114" s="44">
        <v>1.4349772128643883</v>
      </c>
      <c r="F114" s="42" t="s">
        <v>48</v>
      </c>
      <c r="G114" s="40" t="s">
        <v>48</v>
      </c>
      <c r="H114" s="40" t="s">
        <v>48</v>
      </c>
      <c r="I114" s="40" t="s">
        <v>48</v>
      </c>
      <c r="J114" s="40" t="s">
        <v>48</v>
      </c>
      <c r="K114" s="40" t="s">
        <v>48</v>
      </c>
      <c r="L114" s="40" t="s">
        <v>48</v>
      </c>
      <c r="M114" s="40" t="s">
        <v>48</v>
      </c>
      <c r="N114" s="40" t="s">
        <v>48</v>
      </c>
      <c r="O114" s="40" t="s">
        <v>48</v>
      </c>
      <c r="P114" s="40" t="s">
        <v>48</v>
      </c>
      <c r="Q114" s="40" t="s">
        <v>48</v>
      </c>
      <c r="R114" s="40" t="s">
        <v>48</v>
      </c>
      <c r="S114" s="40" t="s">
        <v>48</v>
      </c>
      <c r="T114" s="40" t="s">
        <v>48</v>
      </c>
      <c r="V114" s="33"/>
      <c r="W114" s="38" t="str">
        <f>Notes!T115</f>
        <v xml:space="preserve">               Social work activities (Q02)</v>
      </c>
      <c r="X114" s="4" t="s">
        <v>743</v>
      </c>
      <c r="Y114" s="44">
        <v>1.4349772128643883</v>
      </c>
      <c r="Z114" s="42" t="s">
        <v>48</v>
      </c>
      <c r="AA114" s="40" t="s">
        <v>48</v>
      </c>
      <c r="AB114" s="40" t="s">
        <v>48</v>
      </c>
      <c r="AC114" s="40" t="s">
        <v>48</v>
      </c>
      <c r="AD114" s="40" t="s">
        <v>48</v>
      </c>
      <c r="AE114" s="40" t="s">
        <v>48</v>
      </c>
      <c r="AF114" s="40" t="s">
        <v>48</v>
      </c>
      <c r="AG114" s="40" t="s">
        <v>48</v>
      </c>
      <c r="AH114" s="40" t="s">
        <v>48</v>
      </c>
      <c r="AI114" s="40" t="s">
        <v>48</v>
      </c>
      <c r="AJ114" s="40" t="s">
        <v>48</v>
      </c>
      <c r="AK114" s="40" t="s">
        <v>48</v>
      </c>
      <c r="AL114" s="40" t="s">
        <v>48</v>
      </c>
      <c r="AM114" s="40" t="s">
        <v>48</v>
      </c>
      <c r="AN114" s="40" t="s">
        <v>48</v>
      </c>
    </row>
    <row r="115" spans="1:40" x14ac:dyDescent="0.35">
      <c r="A115" s="12">
        <v>108</v>
      </c>
      <c r="B115" s="33"/>
      <c r="C115" s="38" t="str">
        <f>Notes!T116</f>
        <v xml:space="preserve">               Libraries, archives, museums and other cultural activities (R01)</v>
      </c>
      <c r="D115" s="4" t="s">
        <v>744</v>
      </c>
      <c r="E115" s="44">
        <v>6.3857974767869834</v>
      </c>
      <c r="F115" s="42" t="s">
        <v>48</v>
      </c>
      <c r="G115" s="40" t="s">
        <v>48</v>
      </c>
      <c r="H115" s="40" t="s">
        <v>48</v>
      </c>
      <c r="I115" s="40" t="s">
        <v>48</v>
      </c>
      <c r="J115" s="40" t="s">
        <v>48</v>
      </c>
      <c r="K115" s="40" t="s">
        <v>48</v>
      </c>
      <c r="L115" s="40" t="s">
        <v>48</v>
      </c>
      <c r="M115" s="40" t="s">
        <v>48</v>
      </c>
      <c r="N115" s="40" t="s">
        <v>48</v>
      </c>
      <c r="O115" s="40" t="s">
        <v>48</v>
      </c>
      <c r="P115" s="40" t="s">
        <v>48</v>
      </c>
      <c r="Q115" s="40" t="s">
        <v>48</v>
      </c>
      <c r="R115" s="40" t="s">
        <v>48</v>
      </c>
      <c r="S115" s="40" t="s">
        <v>48</v>
      </c>
      <c r="T115" s="40" t="s">
        <v>48</v>
      </c>
      <c r="V115" s="33"/>
      <c r="W115" s="38" t="str">
        <f>Notes!T116</f>
        <v xml:space="preserve">               Libraries, archives, museums and other cultural activities (R01)</v>
      </c>
      <c r="X115" s="4" t="s">
        <v>744</v>
      </c>
      <c r="Y115" s="44">
        <v>6.3857974767869834</v>
      </c>
      <c r="Z115" s="42" t="s">
        <v>48</v>
      </c>
      <c r="AA115" s="40" t="s">
        <v>48</v>
      </c>
      <c r="AB115" s="40" t="s">
        <v>48</v>
      </c>
      <c r="AC115" s="40" t="s">
        <v>48</v>
      </c>
      <c r="AD115" s="40" t="s">
        <v>48</v>
      </c>
      <c r="AE115" s="40" t="s">
        <v>48</v>
      </c>
      <c r="AF115" s="40" t="s">
        <v>48</v>
      </c>
      <c r="AG115" s="40" t="s">
        <v>48</v>
      </c>
      <c r="AH115" s="40" t="s">
        <v>48</v>
      </c>
      <c r="AI115" s="40" t="s">
        <v>48</v>
      </c>
      <c r="AJ115" s="40" t="s">
        <v>48</v>
      </c>
      <c r="AK115" s="40" t="s">
        <v>48</v>
      </c>
      <c r="AL115" s="40" t="s">
        <v>48</v>
      </c>
      <c r="AM115" s="40" t="s">
        <v>48</v>
      </c>
      <c r="AN115" s="40" t="s">
        <v>48</v>
      </c>
    </row>
    <row r="116" spans="1:40" x14ac:dyDescent="0.35">
      <c r="A116" s="12">
        <v>109</v>
      </c>
      <c r="B116" s="33"/>
      <c r="C116" s="38" t="str">
        <f>Notes!T117</f>
        <v xml:space="preserve">               Other arts, entertainment and recreation (R09)</v>
      </c>
      <c r="D116" s="4" t="s">
        <v>745</v>
      </c>
      <c r="E116" s="44">
        <v>0.83326446057437109</v>
      </c>
      <c r="F116" s="42" t="s">
        <v>48</v>
      </c>
      <c r="G116" s="40" t="s">
        <v>48</v>
      </c>
      <c r="H116" s="40" t="s">
        <v>48</v>
      </c>
      <c r="I116" s="40" t="s">
        <v>48</v>
      </c>
      <c r="J116" s="40" t="s">
        <v>48</v>
      </c>
      <c r="K116" s="40" t="s">
        <v>48</v>
      </c>
      <c r="L116" s="40" t="s">
        <v>48</v>
      </c>
      <c r="M116" s="40" t="s">
        <v>48</v>
      </c>
      <c r="N116" s="40" t="s">
        <v>48</v>
      </c>
      <c r="O116" s="40" t="s">
        <v>48</v>
      </c>
      <c r="P116" s="40" t="s">
        <v>48</v>
      </c>
      <c r="Q116" s="40" t="s">
        <v>48</v>
      </c>
      <c r="R116" s="40" t="s">
        <v>48</v>
      </c>
      <c r="S116" s="40" t="s">
        <v>48</v>
      </c>
      <c r="T116" s="40" t="s">
        <v>48</v>
      </c>
      <c r="V116" s="33"/>
      <c r="W116" s="38" t="str">
        <f>Notes!T117</f>
        <v xml:space="preserve">               Other arts, entertainment and recreation (R09)</v>
      </c>
      <c r="X116" s="4" t="s">
        <v>745</v>
      </c>
      <c r="Y116" s="44">
        <v>0.83326446057437109</v>
      </c>
      <c r="Z116" s="42" t="s">
        <v>48</v>
      </c>
      <c r="AA116" s="40" t="s">
        <v>48</v>
      </c>
      <c r="AB116" s="40" t="s">
        <v>48</v>
      </c>
      <c r="AC116" s="40" t="s">
        <v>48</v>
      </c>
      <c r="AD116" s="40" t="s">
        <v>48</v>
      </c>
      <c r="AE116" s="40" t="s">
        <v>48</v>
      </c>
      <c r="AF116" s="40" t="s">
        <v>48</v>
      </c>
      <c r="AG116" s="40" t="s">
        <v>48</v>
      </c>
      <c r="AH116" s="40" t="s">
        <v>48</v>
      </c>
      <c r="AI116" s="40" t="s">
        <v>48</v>
      </c>
      <c r="AJ116" s="40" t="s">
        <v>48</v>
      </c>
      <c r="AK116" s="40" t="s">
        <v>48</v>
      </c>
      <c r="AL116" s="40" t="s">
        <v>48</v>
      </c>
      <c r="AM116" s="40" t="s">
        <v>48</v>
      </c>
      <c r="AN116" s="40" t="s">
        <v>48</v>
      </c>
    </row>
    <row r="117" spans="1:40" x14ac:dyDescent="0.35">
      <c r="A117" s="12">
        <v>110</v>
      </c>
      <c r="B117" s="33"/>
      <c r="C117" s="38" t="str">
        <f>Notes!T118</f>
        <v xml:space="preserve">               Other service activities (S00)</v>
      </c>
      <c r="D117" s="4" t="s">
        <v>388</v>
      </c>
      <c r="E117" s="44">
        <v>0.17414345983432503</v>
      </c>
      <c r="F117" s="42" t="s">
        <v>48</v>
      </c>
      <c r="G117" s="40" t="s">
        <v>48</v>
      </c>
      <c r="H117" s="40" t="s">
        <v>48</v>
      </c>
      <c r="I117" s="40" t="s">
        <v>48</v>
      </c>
      <c r="J117" s="40" t="s">
        <v>48</v>
      </c>
      <c r="K117" s="40" t="s">
        <v>48</v>
      </c>
      <c r="L117" s="40" t="s">
        <v>48</v>
      </c>
      <c r="M117" s="40" t="s">
        <v>48</v>
      </c>
      <c r="N117" s="40" t="s">
        <v>48</v>
      </c>
      <c r="O117" s="40" t="s">
        <v>48</v>
      </c>
      <c r="P117" s="40" t="s">
        <v>48</v>
      </c>
      <c r="Q117" s="40" t="s">
        <v>48</v>
      </c>
      <c r="R117" s="40" t="s">
        <v>48</v>
      </c>
      <c r="S117" s="40" t="s">
        <v>48</v>
      </c>
      <c r="T117" s="40" t="s">
        <v>48</v>
      </c>
      <c r="V117" s="33"/>
      <c r="W117" s="38" t="str">
        <f>Notes!T118</f>
        <v xml:space="preserve">               Other service activities (S00)</v>
      </c>
      <c r="X117" s="4" t="s">
        <v>388</v>
      </c>
      <c r="Y117" s="44">
        <v>0.17414345983432503</v>
      </c>
      <c r="Z117" s="42" t="s">
        <v>48</v>
      </c>
      <c r="AA117" s="40" t="s">
        <v>48</v>
      </c>
      <c r="AB117" s="40" t="s">
        <v>48</v>
      </c>
      <c r="AC117" s="40" t="s">
        <v>48</v>
      </c>
      <c r="AD117" s="40" t="s">
        <v>48</v>
      </c>
      <c r="AE117" s="40" t="s">
        <v>48</v>
      </c>
      <c r="AF117" s="40" t="s">
        <v>48</v>
      </c>
      <c r="AG117" s="40" t="s">
        <v>48</v>
      </c>
      <c r="AH117" s="40" t="s">
        <v>48</v>
      </c>
      <c r="AI117" s="40" t="s">
        <v>48</v>
      </c>
      <c r="AJ117" s="40" t="s">
        <v>48</v>
      </c>
      <c r="AK117" s="40" t="s">
        <v>48</v>
      </c>
      <c r="AL117" s="40" t="s">
        <v>48</v>
      </c>
      <c r="AM117" s="40" t="s">
        <v>48</v>
      </c>
      <c r="AN117" s="40" t="s">
        <v>48</v>
      </c>
    </row>
    <row r="118" spans="1:40" x14ac:dyDescent="0.35">
      <c r="A118" s="12">
        <v>111</v>
      </c>
      <c r="B118" s="33"/>
      <c r="C118" s="38" t="str">
        <f>Notes!T119</f>
        <v xml:space="preserve">               Domestic services (T00)</v>
      </c>
      <c r="D118" s="4" t="s">
        <v>746</v>
      </c>
      <c r="E118" s="44">
        <v>1.0958903631831651</v>
      </c>
      <c r="F118" s="42" t="s">
        <v>48</v>
      </c>
      <c r="G118" s="40" t="s">
        <v>48</v>
      </c>
      <c r="H118" s="40" t="s">
        <v>48</v>
      </c>
      <c r="I118" s="40" t="s">
        <v>48</v>
      </c>
      <c r="J118" s="40" t="s">
        <v>48</v>
      </c>
      <c r="K118" s="40" t="s">
        <v>48</v>
      </c>
      <c r="L118" s="40" t="s">
        <v>48</v>
      </c>
      <c r="M118" s="40" t="s">
        <v>48</v>
      </c>
      <c r="N118" s="40" t="s">
        <v>48</v>
      </c>
      <c r="O118" s="40" t="s">
        <v>48</v>
      </c>
      <c r="P118" s="40" t="s">
        <v>48</v>
      </c>
      <c r="Q118" s="40" t="s">
        <v>48</v>
      </c>
      <c r="R118" s="40" t="s">
        <v>48</v>
      </c>
      <c r="S118" s="40" t="s">
        <v>48</v>
      </c>
      <c r="T118" s="40" t="s">
        <v>48</v>
      </c>
      <c r="V118" s="33"/>
      <c r="W118" s="38" t="str">
        <f>Notes!T119</f>
        <v xml:space="preserve">               Domestic services (T00)</v>
      </c>
      <c r="X118" s="4" t="s">
        <v>746</v>
      </c>
      <c r="Y118" s="44">
        <v>1.0958903631831651</v>
      </c>
      <c r="Z118" s="42" t="s">
        <v>48</v>
      </c>
      <c r="AA118" s="40" t="s">
        <v>48</v>
      </c>
      <c r="AB118" s="40" t="s">
        <v>48</v>
      </c>
      <c r="AC118" s="40" t="s">
        <v>48</v>
      </c>
      <c r="AD118" s="40" t="s">
        <v>48</v>
      </c>
      <c r="AE118" s="40" t="s">
        <v>48</v>
      </c>
      <c r="AF118" s="40" t="s">
        <v>48</v>
      </c>
      <c r="AG118" s="40" t="s">
        <v>48</v>
      </c>
      <c r="AH118" s="40" t="s">
        <v>48</v>
      </c>
      <c r="AI118" s="40" t="s">
        <v>48</v>
      </c>
      <c r="AJ118" s="40" t="s">
        <v>48</v>
      </c>
      <c r="AK118" s="40" t="s">
        <v>48</v>
      </c>
      <c r="AL118" s="40" t="s">
        <v>48</v>
      </c>
      <c r="AM118" s="40" t="s">
        <v>48</v>
      </c>
      <c r="AN118" s="40" t="s">
        <v>48</v>
      </c>
    </row>
    <row r="119" spans="1:40" x14ac:dyDescent="0.35">
      <c r="A119" s="12">
        <v>112</v>
      </c>
      <c r="B119" s="33"/>
      <c r="C119" s="38" t="str">
        <f>Notes!T120</f>
        <v xml:space="preserve">               Travel debits &amp; credits (V00)</v>
      </c>
      <c r="D119" s="4" t="s">
        <v>747</v>
      </c>
      <c r="E119" s="44">
        <v>4.2824991931951217</v>
      </c>
      <c r="F119" s="42" t="s">
        <v>48</v>
      </c>
      <c r="G119" s="40" t="s">
        <v>48</v>
      </c>
      <c r="H119" s="40" t="s">
        <v>48</v>
      </c>
      <c r="I119" s="40" t="s">
        <v>48</v>
      </c>
      <c r="J119" s="40" t="s">
        <v>48</v>
      </c>
      <c r="K119" s="40" t="s">
        <v>48</v>
      </c>
      <c r="L119" s="40" t="s">
        <v>48</v>
      </c>
      <c r="M119" s="40" t="s">
        <v>48</v>
      </c>
      <c r="N119" s="40" t="s">
        <v>48</v>
      </c>
      <c r="O119" s="40" t="s">
        <v>48</v>
      </c>
      <c r="P119" s="40" t="s">
        <v>48</v>
      </c>
      <c r="Q119" s="40" t="s">
        <v>48</v>
      </c>
      <c r="R119" s="40" t="s">
        <v>48</v>
      </c>
      <c r="S119" s="40" t="s">
        <v>48</v>
      </c>
      <c r="T119" s="40" t="s">
        <v>48</v>
      </c>
      <c r="V119" s="33"/>
      <c r="W119" s="38" t="str">
        <f>Notes!T120</f>
        <v xml:space="preserve">               Travel debits &amp; credits (V00)</v>
      </c>
      <c r="X119" s="4" t="s">
        <v>747</v>
      </c>
      <c r="Y119" s="44">
        <v>4.2824991931951217</v>
      </c>
      <c r="Z119" s="42" t="s">
        <v>48</v>
      </c>
      <c r="AA119" s="40" t="s">
        <v>48</v>
      </c>
      <c r="AB119" s="40" t="s">
        <v>48</v>
      </c>
      <c r="AC119" s="40" t="s">
        <v>48</v>
      </c>
      <c r="AD119" s="40" t="s">
        <v>48</v>
      </c>
      <c r="AE119" s="40" t="s">
        <v>48</v>
      </c>
      <c r="AF119" s="40" t="s">
        <v>48</v>
      </c>
      <c r="AG119" s="40" t="s">
        <v>48</v>
      </c>
      <c r="AH119" s="40" t="s">
        <v>48</v>
      </c>
      <c r="AI119" s="40" t="s">
        <v>48</v>
      </c>
      <c r="AJ119" s="40" t="s">
        <v>48</v>
      </c>
      <c r="AK119" s="40" t="s">
        <v>48</v>
      </c>
      <c r="AL119" s="40" t="s">
        <v>48</v>
      </c>
      <c r="AM119" s="40" t="s">
        <v>48</v>
      </c>
      <c r="AN119" s="40" t="s">
        <v>48</v>
      </c>
    </row>
    <row r="120" spans="1:40" x14ac:dyDescent="0.35">
      <c r="A120" s="12">
        <v>113</v>
      </c>
      <c r="B120" s="33"/>
      <c r="C120" s="38" t="str">
        <f>Notes!T121</f>
        <v xml:space="preserve">               Domestic services (T00)</v>
      </c>
      <c r="D120" s="4" t="s">
        <v>746</v>
      </c>
      <c r="E120" s="44">
        <v>0.35242448625929729</v>
      </c>
      <c r="F120" s="42">
        <v>2.9789588960871249E-2</v>
      </c>
      <c r="G120" s="40" t="s">
        <v>48</v>
      </c>
      <c r="H120" s="40" t="s">
        <v>48</v>
      </c>
      <c r="I120" s="40" t="s">
        <v>48</v>
      </c>
      <c r="J120" s="40" t="s">
        <v>48</v>
      </c>
      <c r="K120" s="40" t="s">
        <v>48</v>
      </c>
      <c r="L120" s="40" t="s">
        <v>48</v>
      </c>
      <c r="M120" s="40" t="s">
        <v>48</v>
      </c>
      <c r="N120" s="40" t="s">
        <v>48</v>
      </c>
      <c r="O120" s="40" t="s">
        <v>48</v>
      </c>
      <c r="P120" s="40" t="s">
        <v>48</v>
      </c>
      <c r="Q120" s="40" t="s">
        <v>48</v>
      </c>
      <c r="R120" s="40" t="s">
        <v>48</v>
      </c>
      <c r="S120" s="40" t="s">
        <v>48</v>
      </c>
      <c r="T120" s="40" t="s">
        <v>48</v>
      </c>
      <c r="V120" s="33"/>
      <c r="W120" s="38" t="str">
        <f>Notes!T121</f>
        <v xml:space="preserve">               Domestic services (T00)</v>
      </c>
      <c r="X120" s="4" t="s">
        <v>746</v>
      </c>
      <c r="Y120" s="44">
        <v>0.35242448625929729</v>
      </c>
      <c r="Z120" s="42">
        <v>1.0509673621100779E-4</v>
      </c>
      <c r="AA120" s="40" t="s">
        <v>48</v>
      </c>
      <c r="AB120" s="40" t="s">
        <v>48</v>
      </c>
      <c r="AC120" s="40" t="s">
        <v>48</v>
      </c>
      <c r="AD120" s="40" t="s">
        <v>48</v>
      </c>
      <c r="AE120" s="40" t="s">
        <v>48</v>
      </c>
      <c r="AF120" s="40" t="s">
        <v>48</v>
      </c>
      <c r="AG120" s="40" t="s">
        <v>48</v>
      </c>
      <c r="AH120" s="40" t="s">
        <v>48</v>
      </c>
      <c r="AI120" s="40" t="s">
        <v>48</v>
      </c>
      <c r="AJ120" s="40" t="s">
        <v>48</v>
      </c>
      <c r="AK120" s="40" t="s">
        <v>48</v>
      </c>
      <c r="AL120" s="40" t="s">
        <v>48</v>
      </c>
      <c r="AM120" s="40" t="s">
        <v>48</v>
      </c>
      <c r="AN120" s="40" t="s">
        <v>48</v>
      </c>
    </row>
    <row r="121" spans="1:40" x14ac:dyDescent="0.35">
      <c r="A121" s="12">
        <v>114</v>
      </c>
      <c r="B121" s="33"/>
      <c r="C121" s="38" t="str">
        <f>Notes!T122</f>
        <v xml:space="preserve">               Travel debits &amp; credits (V00)</v>
      </c>
      <c r="D121" s="4" t="s">
        <v>747</v>
      </c>
      <c r="E121" s="44" t="s">
        <v>48</v>
      </c>
      <c r="F121" s="42" t="s">
        <v>48</v>
      </c>
      <c r="G121" s="40" t="s">
        <v>48</v>
      </c>
      <c r="H121" s="40" t="s">
        <v>48</v>
      </c>
      <c r="I121" s="40" t="s">
        <v>48</v>
      </c>
      <c r="J121" s="40" t="s">
        <v>48</v>
      </c>
      <c r="K121" s="40" t="s">
        <v>48</v>
      </c>
      <c r="L121" s="40" t="s">
        <v>48</v>
      </c>
      <c r="M121" s="40" t="s">
        <v>48</v>
      </c>
      <c r="N121" s="40" t="s">
        <v>48</v>
      </c>
      <c r="O121" s="40" t="s">
        <v>48</v>
      </c>
      <c r="P121" s="40" t="s">
        <v>48</v>
      </c>
      <c r="Q121" s="40" t="s">
        <v>48</v>
      </c>
      <c r="R121" s="40" t="s">
        <v>48</v>
      </c>
      <c r="S121" s="40" t="s">
        <v>48</v>
      </c>
      <c r="T121" s="40" t="s">
        <v>48</v>
      </c>
      <c r="V121" s="33"/>
      <c r="W121" s="38" t="str">
        <f>Notes!T122</f>
        <v xml:space="preserve">               Travel debits &amp; credits (V00)</v>
      </c>
      <c r="X121" s="4" t="s">
        <v>747</v>
      </c>
      <c r="Y121" s="44" t="s">
        <v>48</v>
      </c>
      <c r="Z121" s="42" t="s">
        <v>48</v>
      </c>
      <c r="AA121" s="40" t="s">
        <v>48</v>
      </c>
      <c r="AB121" s="40" t="s">
        <v>48</v>
      </c>
      <c r="AC121" s="40" t="s">
        <v>48</v>
      </c>
      <c r="AD121" s="40" t="s">
        <v>48</v>
      </c>
      <c r="AE121" s="40" t="s">
        <v>48</v>
      </c>
      <c r="AF121" s="40" t="s">
        <v>48</v>
      </c>
      <c r="AG121" s="40" t="s">
        <v>48</v>
      </c>
      <c r="AH121" s="40" t="s">
        <v>48</v>
      </c>
      <c r="AI121" s="40" t="s">
        <v>48</v>
      </c>
      <c r="AJ121" s="40" t="s">
        <v>48</v>
      </c>
      <c r="AK121" s="40" t="s">
        <v>48</v>
      </c>
      <c r="AL121" s="40" t="s">
        <v>48</v>
      </c>
      <c r="AM121" s="40" t="s">
        <v>48</v>
      </c>
      <c r="AN121" s="40" t="s">
        <v>48</v>
      </c>
    </row>
    <row r="122" spans="1:40" x14ac:dyDescent="0.35">
      <c r="A122" s="12">
        <v>115</v>
      </c>
      <c r="B122" s="33"/>
      <c r="C122" s="38" t="str">
        <f>Notes!T123</f>
        <v xml:space="preserve">               </v>
      </c>
      <c r="D122" s="4" t="s">
        <v>386</v>
      </c>
      <c r="E122" s="44"/>
      <c r="F122" s="42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V122" s="33"/>
      <c r="W122" s="38" t="str">
        <f>Notes!T123</f>
        <v xml:space="preserve">               </v>
      </c>
      <c r="X122" s="4" t="s">
        <v>386</v>
      </c>
      <c r="Y122" s="44"/>
      <c r="Z122" s="42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</row>
    <row r="123" spans="1:40" x14ac:dyDescent="0.35">
      <c r="A123" s="12">
        <v>116</v>
      </c>
      <c r="B123" s="33"/>
      <c r="C123" s="38" t="str">
        <f>Notes!T124</f>
        <v xml:space="preserve">               </v>
      </c>
      <c r="D123" s="4" t="s">
        <v>388</v>
      </c>
      <c r="E123" s="44"/>
      <c r="F123" s="42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V123" s="33"/>
      <c r="W123" s="38" t="str">
        <f>Notes!T124</f>
        <v xml:space="preserve">               </v>
      </c>
      <c r="X123" s="4" t="s">
        <v>388</v>
      </c>
      <c r="Y123" s="44"/>
      <c r="Z123" s="42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</row>
    <row r="124" spans="1:40" x14ac:dyDescent="0.35">
      <c r="A124" s="12">
        <v>117</v>
      </c>
      <c r="B124" s="33"/>
      <c r="C124" s="38" t="str">
        <f>Notes!T125</f>
        <v xml:space="preserve">               </v>
      </c>
      <c r="D124" s="4"/>
      <c r="E124" s="44"/>
      <c r="F124" s="42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V124" s="33"/>
      <c r="W124" s="38" t="str">
        <f>Notes!T125</f>
        <v xml:space="preserve">               </v>
      </c>
      <c r="X124" s="4"/>
      <c r="Y124" s="44"/>
      <c r="Z124" s="42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</row>
    <row r="125" spans="1:40" x14ac:dyDescent="0.35">
      <c r="A125" s="12">
        <v>118</v>
      </c>
      <c r="B125" s="33"/>
      <c r="C125" s="38" t="str">
        <f>Notes!T126</f>
        <v xml:space="preserve">               </v>
      </c>
      <c r="D125" s="4"/>
      <c r="E125" s="44"/>
      <c r="F125" s="42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V125" s="33"/>
      <c r="W125" s="38" t="str">
        <f>Notes!T126</f>
        <v xml:space="preserve">               </v>
      </c>
      <c r="X125" s="4"/>
      <c r="Y125" s="44"/>
      <c r="Z125" s="42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</row>
    <row r="126" spans="1:40" x14ac:dyDescent="0.35">
      <c r="A126" s="12">
        <v>119</v>
      </c>
      <c r="B126" s="33"/>
      <c r="C126" s="38" t="str">
        <f>Notes!T127</f>
        <v xml:space="preserve">               </v>
      </c>
      <c r="D126" s="4"/>
      <c r="E126" s="44"/>
      <c r="F126" s="42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V126" s="33"/>
      <c r="W126" s="38" t="str">
        <f>Notes!T127</f>
        <v xml:space="preserve">               </v>
      </c>
      <c r="X126" s="4"/>
      <c r="Y126" s="44"/>
      <c r="Z126" s="42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</row>
    <row r="127" spans="1:40" x14ac:dyDescent="0.35">
      <c r="A127" s="12">
        <v>120</v>
      </c>
      <c r="B127" s="33"/>
      <c r="C127" s="38" t="str">
        <f>Notes!T128</f>
        <v xml:space="preserve">               </v>
      </c>
      <c r="D127" s="4"/>
      <c r="E127" s="44"/>
      <c r="F127" s="42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V127" s="33"/>
      <c r="W127" s="38" t="str">
        <f>Notes!T128</f>
        <v xml:space="preserve">               </v>
      </c>
      <c r="X127" s="4"/>
      <c r="Y127" s="44"/>
      <c r="Z127" s="42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</row>
    <row r="128" spans="1:40" x14ac:dyDescent="0.35">
      <c r="A128" s="12">
        <v>121</v>
      </c>
      <c r="B128" s="33"/>
      <c r="C128" s="38" t="str">
        <f>Notes!T129</f>
        <v xml:space="preserve">               </v>
      </c>
      <c r="D128" s="4"/>
      <c r="E128" s="44"/>
      <c r="F128" s="42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V128" s="33"/>
      <c r="W128" s="38" t="str">
        <f>Notes!T129</f>
        <v xml:space="preserve">               </v>
      </c>
      <c r="X128" s="4"/>
      <c r="Y128" s="44"/>
      <c r="Z128" s="42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</row>
    <row r="129" spans="1:40" x14ac:dyDescent="0.35">
      <c r="A129" s="12">
        <v>122</v>
      </c>
      <c r="B129" s="33"/>
      <c r="C129" s="38" t="str">
        <f>Notes!T130</f>
        <v xml:space="preserve">               </v>
      </c>
      <c r="D129" s="4"/>
      <c r="E129" s="44"/>
      <c r="F129" s="42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V129" s="33"/>
      <c r="W129" s="38" t="str">
        <f>Notes!T130</f>
        <v xml:space="preserve">               </v>
      </c>
      <c r="X129" s="4"/>
      <c r="Y129" s="44"/>
      <c r="Z129" s="42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</row>
    <row r="130" spans="1:40" x14ac:dyDescent="0.35">
      <c r="A130" s="12">
        <v>123</v>
      </c>
      <c r="B130" s="33"/>
      <c r="C130" s="38" t="str">
        <f>Notes!T131</f>
        <v xml:space="preserve">               </v>
      </c>
      <c r="D130" s="4"/>
      <c r="E130" s="44"/>
      <c r="F130" s="42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V130" s="33"/>
      <c r="W130" s="38" t="str">
        <f>Notes!T131</f>
        <v xml:space="preserve">               </v>
      </c>
      <c r="X130" s="4"/>
      <c r="Y130" s="44"/>
      <c r="Z130" s="42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</row>
    <row r="131" spans="1:40" x14ac:dyDescent="0.35">
      <c r="A131" s="12">
        <v>124</v>
      </c>
      <c r="B131" s="33"/>
      <c r="C131" s="38" t="str">
        <f>Notes!T132</f>
        <v xml:space="preserve">               </v>
      </c>
      <c r="D131" s="4"/>
      <c r="E131" s="44"/>
      <c r="F131" s="42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V131" s="33"/>
      <c r="W131" s="38" t="str">
        <f>Notes!T132</f>
        <v xml:space="preserve">               </v>
      </c>
      <c r="X131" s="4"/>
      <c r="Y131" s="44"/>
      <c r="Z131" s="42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</row>
    <row r="132" spans="1:40" x14ac:dyDescent="0.35">
      <c r="A132" s="12">
        <v>125</v>
      </c>
      <c r="B132" s="33"/>
      <c r="C132" s="38" t="str">
        <f>Notes!T133</f>
        <v xml:space="preserve">               </v>
      </c>
      <c r="D132" s="4"/>
      <c r="E132" s="44"/>
      <c r="F132" s="42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V132" s="33"/>
      <c r="W132" s="38" t="str">
        <f>Notes!T133</f>
        <v xml:space="preserve">               </v>
      </c>
      <c r="X132" s="4"/>
      <c r="Y132" s="44"/>
      <c r="Z132" s="42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</row>
    <row r="133" spans="1:40" x14ac:dyDescent="0.35">
      <c r="A133" s="12">
        <v>126</v>
      </c>
      <c r="B133" s="33"/>
      <c r="C133" s="38" t="str">
        <f>Notes!T134</f>
        <v xml:space="preserve">               </v>
      </c>
      <c r="D133" s="4"/>
      <c r="E133" s="44"/>
      <c r="F133" s="42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V133" s="33"/>
      <c r="W133" s="38" t="str">
        <f>Notes!T134</f>
        <v xml:space="preserve">               </v>
      </c>
      <c r="X133" s="4"/>
      <c r="Y133" s="44"/>
      <c r="Z133" s="42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</row>
    <row r="134" spans="1:40" x14ac:dyDescent="0.35">
      <c r="A134" s="12">
        <v>127</v>
      </c>
      <c r="B134" s="33"/>
      <c r="C134" s="38" t="str">
        <f>Notes!T135</f>
        <v xml:space="preserve">               </v>
      </c>
      <c r="D134" s="4"/>
      <c r="E134" s="44"/>
      <c r="F134" s="42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V134" s="33"/>
      <c r="W134" s="38" t="str">
        <f>Notes!T135</f>
        <v xml:space="preserve">               </v>
      </c>
      <c r="X134" s="4"/>
      <c r="Y134" s="44"/>
      <c r="Z134" s="42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</row>
    <row r="135" spans="1:40" x14ac:dyDescent="0.35">
      <c r="A135" s="12">
        <v>128</v>
      </c>
      <c r="B135" s="33"/>
      <c r="C135" s="38" t="str">
        <f>Notes!T136</f>
        <v xml:space="preserve">               </v>
      </c>
      <c r="D135" s="4"/>
      <c r="E135" s="44"/>
      <c r="F135" s="42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V135" s="33"/>
      <c r="W135" s="38" t="str">
        <f>Notes!T136</f>
        <v xml:space="preserve">               </v>
      </c>
      <c r="X135" s="4"/>
      <c r="Y135" s="44"/>
      <c r="Z135" s="42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</row>
    <row r="136" spans="1:40" x14ac:dyDescent="0.35">
      <c r="A136" s="12">
        <v>129</v>
      </c>
      <c r="B136" s="33"/>
      <c r="C136" s="38" t="str">
        <f>Notes!T137</f>
        <v xml:space="preserve">               </v>
      </c>
      <c r="D136" s="4"/>
      <c r="E136" s="44"/>
      <c r="F136" s="42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V136" s="33"/>
      <c r="W136" s="38" t="str">
        <f>Notes!T137</f>
        <v xml:space="preserve">               </v>
      </c>
      <c r="X136" s="4"/>
      <c r="Y136" s="44"/>
      <c r="Z136" s="42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</row>
    <row r="137" spans="1:40" x14ac:dyDescent="0.35">
      <c r="A137" s="12">
        <v>130</v>
      </c>
      <c r="B137" s="33"/>
      <c r="C137" s="38" t="str">
        <f>Notes!T138</f>
        <v xml:space="preserve">               </v>
      </c>
      <c r="D137" s="4"/>
      <c r="E137" s="44"/>
      <c r="F137" s="42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V137" s="33"/>
      <c r="W137" s="38" t="str">
        <f>Notes!T138</f>
        <v xml:space="preserve">               </v>
      </c>
      <c r="X137" s="4"/>
      <c r="Y137" s="44"/>
      <c r="Z137" s="42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</row>
    <row r="138" spans="1:40" x14ac:dyDescent="0.35">
      <c r="A138" s="12">
        <v>131</v>
      </c>
      <c r="B138" s="33"/>
      <c r="C138" s="38" t="str">
        <f>Notes!T139</f>
        <v xml:space="preserve">               </v>
      </c>
      <c r="D138" s="4"/>
      <c r="E138" s="44"/>
      <c r="F138" s="42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V138" s="33"/>
      <c r="W138" s="38" t="str">
        <f>Notes!T139</f>
        <v xml:space="preserve">               </v>
      </c>
      <c r="X138" s="4"/>
      <c r="Y138" s="44"/>
      <c r="Z138" s="42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</row>
    <row r="139" spans="1:40" x14ac:dyDescent="0.35">
      <c r="A139" s="12">
        <v>132</v>
      </c>
      <c r="B139" s="33"/>
      <c r="C139" s="38" t="str">
        <f>Notes!T140</f>
        <v xml:space="preserve">               </v>
      </c>
      <c r="D139" s="4"/>
      <c r="E139" s="44"/>
      <c r="F139" s="42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V139" s="33"/>
      <c r="W139" s="38" t="str">
        <f>Notes!T140</f>
        <v xml:space="preserve">               </v>
      </c>
      <c r="X139" s="4"/>
      <c r="Y139" s="44"/>
      <c r="Z139" s="42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</row>
    <row r="140" spans="1:40" x14ac:dyDescent="0.35">
      <c r="A140" s="12">
        <v>133</v>
      </c>
      <c r="B140" s="33"/>
      <c r="C140" s="38" t="str">
        <f>Notes!T141</f>
        <v xml:space="preserve">               </v>
      </c>
      <c r="D140" s="4"/>
      <c r="E140" s="44"/>
      <c r="F140" s="42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V140" s="33"/>
      <c r="W140" s="38" t="str">
        <f>Notes!T141</f>
        <v xml:space="preserve">               </v>
      </c>
      <c r="X140" s="4"/>
      <c r="Y140" s="44"/>
      <c r="Z140" s="42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</row>
    <row r="141" spans="1:40" x14ac:dyDescent="0.35">
      <c r="A141" s="12">
        <v>134</v>
      </c>
      <c r="B141" s="33"/>
      <c r="C141" s="38" t="str">
        <f>Notes!T142</f>
        <v xml:space="preserve">               </v>
      </c>
      <c r="D141" s="4"/>
      <c r="E141" s="44"/>
      <c r="F141" s="42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V141" s="33"/>
      <c r="W141" s="38" t="str">
        <f>Notes!T142</f>
        <v xml:space="preserve">               </v>
      </c>
      <c r="X141" s="4"/>
      <c r="Y141" s="44"/>
      <c r="Z141" s="42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</row>
    <row r="142" spans="1:40" x14ac:dyDescent="0.35">
      <c r="A142" s="12">
        <v>135</v>
      </c>
      <c r="B142" s="33"/>
      <c r="C142" s="38" t="str">
        <f>Notes!T143</f>
        <v xml:space="preserve">               </v>
      </c>
      <c r="D142" s="4"/>
      <c r="E142" s="44"/>
      <c r="F142" s="42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V142" s="33"/>
      <c r="W142" s="38" t="str">
        <f>Notes!T143</f>
        <v xml:space="preserve">               </v>
      </c>
      <c r="X142" s="4"/>
      <c r="Y142" s="44"/>
      <c r="Z142" s="42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</row>
    <row r="143" spans="1:40" x14ac:dyDescent="0.35">
      <c r="A143" s="12">
        <v>136</v>
      </c>
      <c r="B143" s="33"/>
      <c r="C143" s="38" t="str">
        <f>Notes!T144</f>
        <v xml:space="preserve">               </v>
      </c>
      <c r="D143" s="4"/>
      <c r="E143" s="44"/>
      <c r="F143" s="42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V143" s="33"/>
      <c r="W143" s="38" t="str">
        <f>Notes!T144</f>
        <v xml:space="preserve">               </v>
      </c>
      <c r="X143" s="4"/>
      <c r="Y143" s="44"/>
      <c r="Z143" s="42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</row>
    <row r="144" spans="1:40" x14ac:dyDescent="0.35">
      <c r="A144" s="12">
        <v>137</v>
      </c>
      <c r="B144" s="33"/>
      <c r="C144" s="38" t="str">
        <f>Notes!T145</f>
        <v xml:space="preserve">               </v>
      </c>
      <c r="D144" s="4"/>
      <c r="E144" s="44"/>
      <c r="F144" s="42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V144" s="33"/>
      <c r="W144" s="38" t="str">
        <f>Notes!T145</f>
        <v xml:space="preserve">               </v>
      </c>
      <c r="X144" s="4"/>
      <c r="Y144" s="44"/>
      <c r="Z144" s="42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</row>
    <row r="145" spans="1:40" x14ac:dyDescent="0.35">
      <c r="A145" s="12">
        <v>138</v>
      </c>
      <c r="B145" s="33"/>
      <c r="C145" s="38" t="str">
        <f>Notes!T146</f>
        <v xml:space="preserve">               </v>
      </c>
      <c r="D145" s="4"/>
      <c r="E145" s="44"/>
      <c r="F145" s="42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V145" s="33"/>
      <c r="W145" s="38" t="str">
        <f>Notes!T146</f>
        <v xml:space="preserve">               </v>
      </c>
      <c r="X145" s="4"/>
      <c r="Y145" s="44"/>
      <c r="Z145" s="42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</row>
    <row r="146" spans="1:40" x14ac:dyDescent="0.35">
      <c r="A146" s="12">
        <v>139</v>
      </c>
      <c r="B146" s="33"/>
      <c r="C146" s="38" t="str">
        <f>Notes!T147</f>
        <v xml:space="preserve">               </v>
      </c>
      <c r="D146" s="4"/>
      <c r="E146" s="44"/>
      <c r="F146" s="42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V146" s="33"/>
      <c r="W146" s="38" t="str">
        <f>Notes!T147</f>
        <v xml:space="preserve">               </v>
      </c>
      <c r="X146" s="4"/>
      <c r="Y146" s="44"/>
      <c r="Z146" s="42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</row>
    <row r="147" spans="1:40" x14ac:dyDescent="0.35">
      <c r="A147" s="12">
        <v>140</v>
      </c>
      <c r="B147" s="33"/>
      <c r="C147" s="38" t="str">
        <f>Notes!T148</f>
        <v xml:space="preserve">               </v>
      </c>
      <c r="D147" s="4"/>
      <c r="E147" s="44"/>
      <c r="F147" s="42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V147" s="33"/>
      <c r="W147" s="38" t="str">
        <f>Notes!T148</f>
        <v xml:space="preserve">               </v>
      </c>
      <c r="X147" s="4"/>
      <c r="Y147" s="44"/>
      <c r="Z147" s="42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</row>
    <row r="148" spans="1:40" x14ac:dyDescent="0.35">
      <c r="A148" s="12">
        <v>141</v>
      </c>
      <c r="B148" s="33"/>
      <c r="C148" s="38" t="str">
        <f>Notes!T149</f>
        <v xml:space="preserve">               </v>
      </c>
      <c r="D148" s="4"/>
      <c r="E148" s="44"/>
      <c r="F148" s="42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V148" s="33"/>
      <c r="W148" s="38" t="str">
        <f>Notes!T149</f>
        <v xml:space="preserve">               </v>
      </c>
      <c r="X148" s="4"/>
      <c r="Y148" s="44"/>
      <c r="Z148" s="42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</row>
    <row r="149" spans="1:40" x14ac:dyDescent="0.35">
      <c r="A149" s="12">
        <v>142</v>
      </c>
      <c r="B149" s="33"/>
      <c r="C149" s="38" t="str">
        <f>Notes!T150</f>
        <v xml:space="preserve">               </v>
      </c>
      <c r="D149" s="4"/>
      <c r="E149" s="44"/>
      <c r="F149" s="42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V149" s="33"/>
      <c r="W149" s="38" t="str">
        <f>Notes!T150</f>
        <v xml:space="preserve">               </v>
      </c>
      <c r="X149" s="4"/>
      <c r="Y149" s="44"/>
      <c r="Z149" s="42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</row>
    <row r="150" spans="1:40" x14ac:dyDescent="0.35">
      <c r="A150" s="12">
        <v>143</v>
      </c>
      <c r="B150" s="33"/>
      <c r="C150" s="38" t="str">
        <f>Notes!T151</f>
        <v xml:space="preserve">               </v>
      </c>
      <c r="D150" s="4"/>
      <c r="E150" s="44"/>
      <c r="F150" s="42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V150" s="33"/>
      <c r="W150" s="38" t="str">
        <f>Notes!T151</f>
        <v xml:space="preserve">               </v>
      </c>
      <c r="X150" s="4"/>
      <c r="Y150" s="44"/>
      <c r="Z150" s="42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</row>
    <row r="151" spans="1:40" x14ac:dyDescent="0.35">
      <c r="A151" s="12">
        <v>144</v>
      </c>
      <c r="B151" s="33"/>
      <c r="C151" s="38" t="str">
        <f>Notes!T152</f>
        <v xml:space="preserve">               </v>
      </c>
      <c r="D151" s="4"/>
      <c r="E151" s="44"/>
      <c r="F151" s="42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V151" s="33"/>
      <c r="W151" s="38" t="str">
        <f>Notes!T152</f>
        <v xml:space="preserve">               </v>
      </c>
      <c r="X151" s="4"/>
      <c r="Y151" s="44"/>
      <c r="Z151" s="42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</row>
    <row r="152" spans="1:40" x14ac:dyDescent="0.35">
      <c r="A152" s="12">
        <v>145</v>
      </c>
      <c r="B152" s="33"/>
      <c r="C152" s="38" t="str">
        <f>Notes!T153</f>
        <v xml:space="preserve">               </v>
      </c>
      <c r="D152" s="4"/>
      <c r="E152" s="44"/>
      <c r="F152" s="42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V152" s="33"/>
      <c r="W152" s="38" t="str">
        <f>Notes!T153</f>
        <v xml:space="preserve">               </v>
      </c>
      <c r="X152" s="4"/>
      <c r="Y152" s="44"/>
      <c r="Z152" s="42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</row>
    <row r="153" spans="1:40" x14ac:dyDescent="0.35">
      <c r="A153" s="12">
        <v>146</v>
      </c>
      <c r="B153" s="33"/>
      <c r="C153" s="38" t="str">
        <f>Notes!T154</f>
        <v xml:space="preserve">               </v>
      </c>
      <c r="D153" s="4"/>
      <c r="E153" s="44"/>
      <c r="F153" s="42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V153" s="33"/>
      <c r="W153" s="38" t="str">
        <f>Notes!T154</f>
        <v xml:space="preserve">               </v>
      </c>
      <c r="X153" s="4"/>
      <c r="Y153" s="44"/>
      <c r="Z153" s="42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</row>
    <row r="154" spans="1:40" x14ac:dyDescent="0.35">
      <c r="A154" s="12">
        <v>147</v>
      </c>
      <c r="B154" s="33"/>
      <c r="C154" s="38" t="str">
        <f>Notes!T155</f>
        <v xml:space="preserve">               </v>
      </c>
      <c r="D154" s="4"/>
      <c r="E154" s="44"/>
      <c r="F154" s="42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V154" s="33"/>
      <c r="W154" s="38" t="str">
        <f>Notes!T155</f>
        <v xml:space="preserve">               </v>
      </c>
      <c r="X154" s="4"/>
      <c r="Y154" s="44"/>
      <c r="Z154" s="42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</row>
    <row r="155" spans="1:40" x14ac:dyDescent="0.35">
      <c r="A155" s="12">
        <v>148</v>
      </c>
      <c r="B155" s="33"/>
      <c r="C155" s="38" t="str">
        <f>Notes!T156</f>
        <v xml:space="preserve">               </v>
      </c>
      <c r="D155" s="4"/>
      <c r="E155" s="44"/>
      <c r="F155" s="42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V155" s="33"/>
      <c r="W155" s="38" t="str">
        <f>Notes!T156</f>
        <v xml:space="preserve">               </v>
      </c>
      <c r="X155" s="4"/>
      <c r="Y155" s="44"/>
      <c r="Z155" s="42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</row>
    <row r="156" spans="1:40" x14ac:dyDescent="0.35">
      <c r="A156" s="12">
        <v>149</v>
      </c>
      <c r="B156" s="33"/>
      <c r="C156" s="38" t="str">
        <f>Notes!T157</f>
        <v xml:space="preserve">               </v>
      </c>
      <c r="D156" s="4"/>
      <c r="E156" s="44"/>
      <c r="F156" s="42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V156" s="33"/>
      <c r="W156" s="38" t="str">
        <f>Notes!T157</f>
        <v xml:space="preserve">               </v>
      </c>
      <c r="X156" s="4"/>
      <c r="Y156" s="44"/>
      <c r="Z156" s="42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</row>
    <row r="157" spans="1:40" x14ac:dyDescent="0.35">
      <c r="A157" s="12">
        <v>150</v>
      </c>
      <c r="B157" s="33"/>
      <c r="C157" s="38" t="str">
        <f>Notes!T158</f>
        <v xml:space="preserve">               </v>
      </c>
      <c r="D157" s="4"/>
      <c r="E157" s="45"/>
      <c r="F157" s="42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V157" s="33"/>
      <c r="W157" s="38" t="str">
        <f>Notes!T158</f>
        <v xml:space="preserve">               </v>
      </c>
      <c r="X157" s="4"/>
      <c r="Y157" s="44"/>
      <c r="Z157" s="42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</row>
    <row r="158" spans="1:40" x14ac:dyDescent="0.35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</sheetData>
  <sheetProtection sheet="1" objects="1" scenarios="1"/>
  <conditionalFormatting sqref="E8:T157">
    <cfRule type="cellIs" dxfId="17" priority="2" operator="equal">
      <formula>"Eps"</formula>
    </cfRule>
  </conditionalFormatting>
  <conditionalFormatting sqref="Y8:AN157">
    <cfRule type="cellIs" dxfId="16" priority="1" operator="equal">
      <formula>"Eps"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B16D-93BA-4663-8568-A203A1BEF345}">
  <sheetPr>
    <tabColor theme="8" tint="-0.499984740745262"/>
  </sheetPr>
  <dimension ref="A1:BH158"/>
  <sheetViews>
    <sheetView zoomScale="85" zoomScaleNormal="85" workbookViewId="0">
      <pane ySplit="7" topLeftCell="A104" activePane="bottomLeft" state="frozen"/>
      <selection activeCell="K75" sqref="K75"/>
      <selection pane="bottomLeft" activeCell="C121" sqref="C121"/>
    </sheetView>
  </sheetViews>
  <sheetFormatPr defaultColWidth="0" defaultRowHeight="14.5" zeroHeight="1" x14ac:dyDescent="0.35"/>
  <cols>
    <col min="1" max="2" width="2.453125" customWidth="1"/>
    <col min="3" max="3" width="28.90625" customWidth="1"/>
    <col min="4" max="4" width="9.08984375" hidden="1" customWidth="1"/>
    <col min="5" max="20" width="9.08984375" customWidth="1"/>
    <col min="21" max="22" width="2.453125" customWidth="1"/>
    <col min="23" max="23" width="28.90625" customWidth="1"/>
    <col min="24" max="24" width="9.08984375" hidden="1" customWidth="1"/>
    <col min="25" max="40" width="9.08984375" customWidth="1"/>
    <col min="41" max="41" width="2.453125" customWidth="1"/>
    <col min="42" max="43" width="9.08984375" hidden="1" customWidth="1"/>
    <col min="44" max="60" width="0" hidden="1" customWidth="1"/>
    <col min="61" max="16384" width="9.08984375" hidden="1"/>
  </cols>
  <sheetData>
    <row r="1" spans="1:43" ht="18.5" x14ac:dyDescent="0.45">
      <c r="A1" s="9" t="s">
        <v>99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7" t="s">
        <v>70</v>
      </c>
      <c r="M1" s="8" t="str">
        <f>C5</f>
        <v>Export value (PE×QE)</v>
      </c>
    </row>
    <row r="2" spans="1:43" x14ac:dyDescent="0.35">
      <c r="L2" s="8"/>
      <c r="M2" s="8" t="str">
        <f>W5</f>
        <v>Import value (PM×QM)</v>
      </c>
    </row>
    <row r="3" spans="1:43" x14ac:dyDescent="0.35">
      <c r="L3" s="8"/>
      <c r="M3" s="8"/>
    </row>
    <row r="4" spans="1:43" x14ac:dyDescent="0.35"/>
    <row r="5" spans="1:43" ht="16" x14ac:dyDescent="0.4">
      <c r="B5" s="13"/>
      <c r="C5" s="11" t="s">
        <v>95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V5" s="13"/>
      <c r="W5" s="11" t="s">
        <v>96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3" x14ac:dyDescent="0.35">
      <c r="B6" s="29"/>
      <c r="C6" s="35" t="s">
        <v>97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V6" s="29"/>
      <c r="W6" s="35" t="s">
        <v>98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3" x14ac:dyDescent="0.35">
      <c r="B7" s="29"/>
      <c r="C7" s="34"/>
      <c r="D7" s="34"/>
      <c r="E7" s="43" t="s">
        <v>42</v>
      </c>
      <c r="F7" s="41" t="s">
        <v>588</v>
      </c>
      <c r="G7" s="39" t="s">
        <v>589</v>
      </c>
      <c r="H7" s="39" t="s">
        <v>590</v>
      </c>
      <c r="I7" s="39" t="s">
        <v>465</v>
      </c>
      <c r="J7" s="39" t="s">
        <v>455</v>
      </c>
      <c r="K7" s="39" t="s">
        <v>456</v>
      </c>
      <c r="L7" s="39" t="s">
        <v>457</v>
      </c>
      <c r="M7" s="39" t="s">
        <v>458</v>
      </c>
      <c r="N7" s="39" t="s">
        <v>459</v>
      </c>
      <c r="O7" s="39" t="s">
        <v>460</v>
      </c>
      <c r="P7" s="39" t="s">
        <v>43</v>
      </c>
      <c r="Q7" s="39" t="s">
        <v>44</v>
      </c>
      <c r="R7" s="39" t="s">
        <v>45</v>
      </c>
      <c r="S7" s="39" t="s">
        <v>46</v>
      </c>
      <c r="T7" s="39" t="s">
        <v>47</v>
      </c>
      <c r="V7" s="29"/>
      <c r="W7" s="34"/>
      <c r="X7" s="34"/>
      <c r="Y7" s="43" t="s">
        <v>42</v>
      </c>
      <c r="Z7" s="41" t="s">
        <v>588</v>
      </c>
      <c r="AA7" s="39" t="s">
        <v>589</v>
      </c>
      <c r="AB7" s="39" t="s">
        <v>590</v>
      </c>
      <c r="AC7" s="39" t="s">
        <v>465</v>
      </c>
      <c r="AD7" s="39" t="s">
        <v>455</v>
      </c>
      <c r="AE7" s="39" t="s">
        <v>456</v>
      </c>
      <c r="AF7" s="39" t="s">
        <v>457</v>
      </c>
      <c r="AG7" s="39" t="s">
        <v>458</v>
      </c>
      <c r="AH7" s="39" t="s">
        <v>459</v>
      </c>
      <c r="AI7" s="39" t="s">
        <v>460</v>
      </c>
      <c r="AJ7" s="39" t="s">
        <v>43</v>
      </c>
      <c r="AK7" s="39" t="s">
        <v>44</v>
      </c>
      <c r="AL7" s="39" t="s">
        <v>45</v>
      </c>
      <c r="AM7" s="39" t="s">
        <v>46</v>
      </c>
      <c r="AN7" s="39" t="s">
        <v>47</v>
      </c>
    </row>
    <row r="8" spans="1:43" x14ac:dyDescent="0.35">
      <c r="A8" s="12">
        <v>1</v>
      </c>
      <c r="B8" s="33"/>
      <c r="C8" s="38" t="str">
        <f>Notes!U9</f>
        <v xml:space="preserve">               All products</v>
      </c>
      <c r="D8" s="4" t="s">
        <v>309</v>
      </c>
      <c r="E8" s="44">
        <v>100</v>
      </c>
      <c r="F8" s="42" t="s">
        <v>48</v>
      </c>
      <c r="G8" s="40" t="s">
        <v>48</v>
      </c>
      <c r="H8" s="40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V8" s="33"/>
      <c r="W8" s="38" t="str">
        <f>Notes!U9</f>
        <v xml:space="preserve">               All products</v>
      </c>
      <c r="X8" s="4" t="s">
        <v>309</v>
      </c>
      <c r="Y8" s="44">
        <v>100</v>
      </c>
      <c r="Z8" s="42" t="s">
        <v>48</v>
      </c>
      <c r="AA8" s="40" t="s">
        <v>48</v>
      </c>
      <c r="AB8" s="40" t="s">
        <v>48</v>
      </c>
      <c r="AC8" s="40" t="s">
        <v>48</v>
      </c>
      <c r="AD8" s="40" t="s">
        <v>48</v>
      </c>
      <c r="AE8" s="40" t="s">
        <v>48</v>
      </c>
      <c r="AF8" s="40" t="s">
        <v>48</v>
      </c>
      <c r="AG8" s="40" t="s">
        <v>48</v>
      </c>
      <c r="AH8" s="40" t="s">
        <v>48</v>
      </c>
      <c r="AI8" s="40" t="s">
        <v>48</v>
      </c>
      <c r="AJ8" s="40" t="s">
        <v>48</v>
      </c>
      <c r="AK8" s="40" t="s">
        <v>48</v>
      </c>
      <c r="AL8" s="40" t="s">
        <v>48</v>
      </c>
      <c r="AM8" s="40" t="s">
        <v>48</v>
      </c>
      <c r="AN8" s="40" t="s">
        <v>48</v>
      </c>
    </row>
    <row r="9" spans="1:43" x14ac:dyDescent="0.35">
      <c r="A9" s="12">
        <v>2</v>
      </c>
      <c r="B9" s="33"/>
      <c r="C9" s="38" t="str">
        <f>Notes!U10</f>
        <v xml:space="preserve">               Agriculture</v>
      </c>
      <c r="D9" s="4" t="s">
        <v>695</v>
      </c>
      <c r="E9" s="44">
        <v>11.696603081738663</v>
      </c>
      <c r="F9" s="47" t="s">
        <v>48</v>
      </c>
      <c r="G9" s="48" t="s">
        <v>48</v>
      </c>
      <c r="H9" s="48" t="s">
        <v>48</v>
      </c>
      <c r="I9" s="48" t="s">
        <v>48</v>
      </c>
      <c r="J9" s="48" t="s">
        <v>48</v>
      </c>
      <c r="K9" s="48" t="s">
        <v>48</v>
      </c>
      <c r="L9" s="48" t="s">
        <v>48</v>
      </c>
      <c r="M9" s="48" t="s">
        <v>48</v>
      </c>
      <c r="N9" s="48" t="s">
        <v>48</v>
      </c>
      <c r="O9" s="48" t="s">
        <v>48</v>
      </c>
      <c r="P9" s="48" t="s">
        <v>48</v>
      </c>
      <c r="Q9" s="48" t="s">
        <v>48</v>
      </c>
      <c r="R9" s="48" t="s">
        <v>48</v>
      </c>
      <c r="S9" s="48" t="s">
        <v>48</v>
      </c>
      <c r="T9" s="48" t="s">
        <v>48</v>
      </c>
      <c r="U9" s="49"/>
      <c r="V9" s="33"/>
      <c r="W9" s="38" t="str">
        <f>Notes!U10</f>
        <v xml:space="preserve">               Agriculture</v>
      </c>
      <c r="X9" s="4" t="s">
        <v>695</v>
      </c>
      <c r="Y9" s="44">
        <v>6.4039046672815392</v>
      </c>
      <c r="Z9" s="42" t="s">
        <v>48</v>
      </c>
      <c r="AA9" s="48" t="s">
        <v>48</v>
      </c>
      <c r="AB9" s="48" t="s">
        <v>48</v>
      </c>
      <c r="AC9" s="48" t="s">
        <v>48</v>
      </c>
      <c r="AD9" s="48" t="s">
        <v>48</v>
      </c>
      <c r="AE9" s="48" t="s">
        <v>48</v>
      </c>
      <c r="AF9" s="48" t="s">
        <v>48</v>
      </c>
      <c r="AG9" s="48" t="s">
        <v>48</v>
      </c>
      <c r="AH9" s="48" t="s">
        <v>48</v>
      </c>
      <c r="AI9" s="48" t="s">
        <v>48</v>
      </c>
      <c r="AJ9" s="48" t="s">
        <v>48</v>
      </c>
      <c r="AK9" s="48" t="s">
        <v>48</v>
      </c>
      <c r="AL9" s="48" t="s">
        <v>48</v>
      </c>
      <c r="AM9" s="48" t="s">
        <v>48</v>
      </c>
      <c r="AN9" s="48" t="s">
        <v>48</v>
      </c>
      <c r="AO9" s="49"/>
      <c r="AP9" s="49"/>
      <c r="AQ9" s="49"/>
    </row>
    <row r="10" spans="1:43" x14ac:dyDescent="0.35">
      <c r="A10" s="12">
        <v>3</v>
      </c>
      <c r="B10" s="33"/>
      <c r="C10" s="38" t="str">
        <f>Notes!U11</f>
        <v xml:space="preserve">               Crops</v>
      </c>
      <c r="D10" s="4" t="s">
        <v>696</v>
      </c>
      <c r="E10" s="46">
        <v>11.429266130145422</v>
      </c>
      <c r="F10" s="42" t="s">
        <v>48</v>
      </c>
      <c r="G10" s="40" t="s">
        <v>48</v>
      </c>
      <c r="H10" s="40" t="s">
        <v>48</v>
      </c>
      <c r="I10" s="40" t="s">
        <v>48</v>
      </c>
      <c r="J10" s="40" t="s">
        <v>48</v>
      </c>
      <c r="K10" s="40" t="s">
        <v>48</v>
      </c>
      <c r="L10" s="40" t="s">
        <v>48</v>
      </c>
      <c r="M10" s="40" t="s">
        <v>48</v>
      </c>
      <c r="N10" s="40" t="s">
        <v>48</v>
      </c>
      <c r="O10" s="40" t="s">
        <v>48</v>
      </c>
      <c r="P10" s="40" t="s">
        <v>48</v>
      </c>
      <c r="Q10" s="40" t="s">
        <v>48</v>
      </c>
      <c r="R10" s="40" t="s">
        <v>48</v>
      </c>
      <c r="S10" s="40" t="s">
        <v>48</v>
      </c>
      <c r="T10" s="40" t="s">
        <v>48</v>
      </c>
      <c r="V10" s="33"/>
      <c r="W10" s="38" t="str">
        <f>Notes!U11</f>
        <v xml:space="preserve">               Crops</v>
      </c>
      <c r="X10" s="4" t="s">
        <v>696</v>
      </c>
      <c r="Y10" s="44">
        <v>6.3426825483608908</v>
      </c>
      <c r="Z10" s="47" t="s">
        <v>48</v>
      </c>
      <c r="AA10" s="40" t="s">
        <v>48</v>
      </c>
      <c r="AB10" s="40" t="s">
        <v>48</v>
      </c>
      <c r="AC10" s="40" t="s">
        <v>48</v>
      </c>
      <c r="AD10" s="40" t="s">
        <v>48</v>
      </c>
      <c r="AE10" s="40" t="s">
        <v>48</v>
      </c>
      <c r="AF10" s="40" t="s">
        <v>48</v>
      </c>
      <c r="AG10" s="40" t="s">
        <v>48</v>
      </c>
      <c r="AH10" s="40" t="s">
        <v>48</v>
      </c>
      <c r="AI10" s="40" t="s">
        <v>48</v>
      </c>
      <c r="AJ10" s="40" t="s">
        <v>48</v>
      </c>
      <c r="AK10" s="40" t="s">
        <v>48</v>
      </c>
      <c r="AL10" s="40" t="s">
        <v>48</v>
      </c>
      <c r="AM10" s="40" t="s">
        <v>48</v>
      </c>
      <c r="AN10" s="40" t="s">
        <v>48</v>
      </c>
    </row>
    <row r="11" spans="1:43" x14ac:dyDescent="0.35">
      <c r="A11" s="12">
        <v>4</v>
      </c>
      <c r="B11" s="33"/>
      <c r="C11" s="38" t="str">
        <f>Notes!U12</f>
        <v xml:space="preserve">               Maize</v>
      </c>
      <c r="D11" s="4" t="s">
        <v>466</v>
      </c>
      <c r="E11" s="46">
        <v>3.8150325490222841</v>
      </c>
      <c r="F11" s="42" t="s">
        <v>48</v>
      </c>
      <c r="G11" s="40" t="s">
        <v>48</v>
      </c>
      <c r="H11" s="40" t="s">
        <v>48</v>
      </c>
      <c r="I11" s="40" t="s">
        <v>48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48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V11" s="33"/>
      <c r="W11" s="38" t="str">
        <f>Notes!U12</f>
        <v xml:space="preserve">               Maize</v>
      </c>
      <c r="X11" s="4" t="s">
        <v>466</v>
      </c>
      <c r="Y11" s="44">
        <v>6.257557222164353</v>
      </c>
      <c r="Z11" s="47" t="s">
        <v>48</v>
      </c>
      <c r="AA11" s="40" t="s">
        <v>48</v>
      </c>
      <c r="AB11" s="40" t="s">
        <v>48</v>
      </c>
      <c r="AC11" s="40" t="s">
        <v>48</v>
      </c>
      <c r="AD11" s="40" t="s">
        <v>48</v>
      </c>
      <c r="AE11" s="40" t="s">
        <v>48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40" t="s">
        <v>48</v>
      </c>
      <c r="AK11" s="40" t="s">
        <v>48</v>
      </c>
      <c r="AL11" s="40" t="s">
        <v>48</v>
      </c>
      <c r="AM11" s="40" t="s">
        <v>48</v>
      </c>
      <c r="AN11" s="40" t="s">
        <v>48</v>
      </c>
    </row>
    <row r="12" spans="1:43" x14ac:dyDescent="0.35">
      <c r="A12" s="12">
        <v>5</v>
      </c>
      <c r="B12" s="33"/>
      <c r="C12" s="38" t="str">
        <f>Notes!U13</f>
        <v xml:space="preserve">               Sorghum and millet</v>
      </c>
      <c r="D12" s="4" t="s">
        <v>314</v>
      </c>
      <c r="E12" s="46">
        <v>7.6142335811231394</v>
      </c>
      <c r="F12" s="42" t="s">
        <v>48</v>
      </c>
      <c r="G12" s="40" t="s">
        <v>48</v>
      </c>
      <c r="H12" s="40" t="s">
        <v>48</v>
      </c>
      <c r="I12" s="40" t="s">
        <v>48</v>
      </c>
      <c r="J12" s="40" t="s">
        <v>48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V12" s="33"/>
      <c r="W12" s="38" t="str">
        <f>Notes!U13</f>
        <v xml:space="preserve">               Sorghum and millet</v>
      </c>
      <c r="X12" s="4" t="s">
        <v>314</v>
      </c>
      <c r="Y12" s="44">
        <v>8.5125326196536025E-2</v>
      </c>
      <c r="Z12" s="47" t="s">
        <v>48</v>
      </c>
      <c r="AA12" s="40" t="s">
        <v>48</v>
      </c>
      <c r="AB12" s="40" t="s">
        <v>48</v>
      </c>
      <c r="AC12" s="40" t="s">
        <v>48</v>
      </c>
      <c r="AD12" s="40" t="s">
        <v>48</v>
      </c>
      <c r="AE12" s="40" t="s">
        <v>48</v>
      </c>
      <c r="AF12" s="40" t="s">
        <v>48</v>
      </c>
      <c r="AG12" s="40" t="s">
        <v>48</v>
      </c>
      <c r="AH12" s="40" t="s">
        <v>48</v>
      </c>
      <c r="AI12" s="40" t="s">
        <v>48</v>
      </c>
      <c r="AJ12" s="40" t="s">
        <v>48</v>
      </c>
      <c r="AK12" s="40" t="s">
        <v>48</v>
      </c>
      <c r="AL12" s="40" t="s">
        <v>48</v>
      </c>
      <c r="AM12" s="40" t="s">
        <v>48</v>
      </c>
      <c r="AN12" s="40" t="s">
        <v>48</v>
      </c>
    </row>
    <row r="13" spans="1:43" x14ac:dyDescent="0.35">
      <c r="A13" s="12">
        <v>6</v>
      </c>
      <c r="B13" s="33"/>
      <c r="C13" s="38" t="str">
        <f>Notes!U14</f>
        <v xml:space="preserve">               Rice paddy (Aman)</v>
      </c>
      <c r="D13" s="4" t="s">
        <v>468</v>
      </c>
      <c r="E13" s="46">
        <v>0.15421335525016147</v>
      </c>
      <c r="F13" s="42" t="s">
        <v>48</v>
      </c>
      <c r="G13" s="40" t="s">
        <v>48</v>
      </c>
      <c r="H13" s="40" t="s">
        <v>48</v>
      </c>
      <c r="I13" s="40" t="s">
        <v>48</v>
      </c>
      <c r="J13" s="40" t="s">
        <v>48</v>
      </c>
      <c r="K13" s="40" t="s">
        <v>48</v>
      </c>
      <c r="L13" s="40" t="s">
        <v>48</v>
      </c>
      <c r="M13" s="40" t="s">
        <v>48</v>
      </c>
      <c r="N13" s="40" t="s">
        <v>48</v>
      </c>
      <c r="O13" s="40" t="s">
        <v>48</v>
      </c>
      <c r="P13" s="40" t="s">
        <v>48</v>
      </c>
      <c r="Q13" s="40" t="s">
        <v>48</v>
      </c>
      <c r="R13" s="40" t="s">
        <v>48</v>
      </c>
      <c r="S13" s="40" t="s">
        <v>48</v>
      </c>
      <c r="T13" s="40" t="s">
        <v>48</v>
      </c>
      <c r="V13" s="33"/>
      <c r="W13" s="38" t="str">
        <f>Notes!U14</f>
        <v xml:space="preserve">               Rice paddy (Aman)</v>
      </c>
      <c r="X13" s="4" t="s">
        <v>468</v>
      </c>
      <c r="Y13" s="44">
        <v>4.8500045887116719E-2</v>
      </c>
      <c r="Z13" s="47" t="s">
        <v>48</v>
      </c>
      <c r="AA13" s="40" t="s">
        <v>48</v>
      </c>
      <c r="AB13" s="40" t="s">
        <v>48</v>
      </c>
      <c r="AC13" s="40" t="s">
        <v>48</v>
      </c>
      <c r="AD13" s="40" t="s">
        <v>48</v>
      </c>
      <c r="AE13" s="40" t="s">
        <v>48</v>
      </c>
      <c r="AF13" s="40" t="s">
        <v>48</v>
      </c>
      <c r="AG13" s="40" t="s">
        <v>48</v>
      </c>
      <c r="AH13" s="40" t="s">
        <v>48</v>
      </c>
      <c r="AI13" s="40" t="s">
        <v>48</v>
      </c>
      <c r="AJ13" s="40" t="s">
        <v>48</v>
      </c>
      <c r="AK13" s="40" t="s">
        <v>48</v>
      </c>
      <c r="AL13" s="40" t="s">
        <v>48</v>
      </c>
      <c r="AM13" s="40" t="s">
        <v>48</v>
      </c>
      <c r="AN13" s="40" t="s">
        <v>48</v>
      </c>
    </row>
    <row r="14" spans="1:43" x14ac:dyDescent="0.35">
      <c r="A14" s="12">
        <v>7</v>
      </c>
      <c r="B14" s="33"/>
      <c r="C14" s="38" t="str">
        <f>Notes!U15</f>
        <v xml:space="preserve">               Rice paddy (Boro)</v>
      </c>
      <c r="D14" s="4" t="s">
        <v>697</v>
      </c>
      <c r="E14" s="46">
        <v>0.92053372958724522</v>
      </c>
      <c r="F14" s="42" t="s">
        <v>48</v>
      </c>
      <c r="G14" s="40" t="s">
        <v>48</v>
      </c>
      <c r="H14" s="40" t="s">
        <v>48</v>
      </c>
      <c r="I14" s="40" t="s">
        <v>48</v>
      </c>
      <c r="J14" s="40" t="s">
        <v>48</v>
      </c>
      <c r="K14" s="40" t="s">
        <v>48</v>
      </c>
      <c r="L14" s="40" t="s">
        <v>48</v>
      </c>
      <c r="M14" s="40" t="s">
        <v>48</v>
      </c>
      <c r="N14" s="40" t="s">
        <v>48</v>
      </c>
      <c r="O14" s="40" t="s">
        <v>48</v>
      </c>
      <c r="P14" s="40" t="s">
        <v>48</v>
      </c>
      <c r="Q14" s="40" t="s">
        <v>48</v>
      </c>
      <c r="R14" s="40" t="s">
        <v>48</v>
      </c>
      <c r="S14" s="40" t="s">
        <v>48</v>
      </c>
      <c r="T14" s="40" t="s">
        <v>48</v>
      </c>
      <c r="V14" s="33"/>
      <c r="W14" s="38" t="str">
        <f>Notes!U15</f>
        <v xml:space="preserve">               Rice paddy (Boro)</v>
      </c>
      <c r="X14" s="4" t="s">
        <v>697</v>
      </c>
      <c r="Y14" s="44">
        <v>1.1784539290246006</v>
      </c>
      <c r="Z14" s="47" t="s">
        <v>48</v>
      </c>
      <c r="AA14" s="40" t="s">
        <v>48</v>
      </c>
      <c r="AB14" s="40" t="s">
        <v>48</v>
      </c>
      <c r="AC14" s="40" t="s">
        <v>48</v>
      </c>
      <c r="AD14" s="40" t="s">
        <v>48</v>
      </c>
      <c r="AE14" s="40" t="s">
        <v>48</v>
      </c>
      <c r="AF14" s="40" t="s">
        <v>48</v>
      </c>
      <c r="AG14" s="40" t="s">
        <v>48</v>
      </c>
      <c r="AH14" s="40" t="s">
        <v>48</v>
      </c>
      <c r="AI14" s="40" t="s">
        <v>48</v>
      </c>
      <c r="AJ14" s="40" t="s">
        <v>48</v>
      </c>
      <c r="AK14" s="40" t="s">
        <v>48</v>
      </c>
      <c r="AL14" s="40" t="s">
        <v>48</v>
      </c>
      <c r="AM14" s="40" t="s">
        <v>48</v>
      </c>
      <c r="AN14" s="40" t="s">
        <v>48</v>
      </c>
    </row>
    <row r="15" spans="1:43" x14ac:dyDescent="0.35">
      <c r="A15" s="12">
        <v>8</v>
      </c>
      <c r="B15" s="33"/>
      <c r="C15" s="38" t="str">
        <f>Notes!U16</f>
        <v xml:space="preserve">               Wheat and barley</v>
      </c>
      <c r="D15" s="4" t="s">
        <v>316</v>
      </c>
      <c r="E15" s="46">
        <v>2.7349862799360646E-2</v>
      </c>
      <c r="F15" s="42" t="s">
        <v>48</v>
      </c>
      <c r="G15" s="40" t="s">
        <v>48</v>
      </c>
      <c r="H15" s="40" t="s">
        <v>48</v>
      </c>
      <c r="I15" s="40" t="s">
        <v>48</v>
      </c>
      <c r="J15" s="40" t="s">
        <v>48</v>
      </c>
      <c r="K15" s="4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      <c r="V15" s="33"/>
      <c r="W15" s="38" t="str">
        <f>Notes!U16</f>
        <v xml:space="preserve">               Wheat and barley</v>
      </c>
      <c r="X15" s="4" t="s">
        <v>316</v>
      </c>
      <c r="Y15" s="44">
        <v>2.5854980603054312</v>
      </c>
      <c r="Z15" s="47" t="s">
        <v>48</v>
      </c>
      <c r="AA15" s="40" t="s">
        <v>48</v>
      </c>
      <c r="AB15" s="40" t="s">
        <v>48</v>
      </c>
      <c r="AC15" s="40" t="s">
        <v>48</v>
      </c>
      <c r="AD15" s="40" t="s">
        <v>48</v>
      </c>
      <c r="AE15" s="40" t="s">
        <v>48</v>
      </c>
      <c r="AF15" s="40" t="s">
        <v>48</v>
      </c>
      <c r="AG15" s="40" t="s">
        <v>48</v>
      </c>
      <c r="AH15" s="40" t="s">
        <v>48</v>
      </c>
      <c r="AI15" s="40" t="s">
        <v>48</v>
      </c>
      <c r="AJ15" s="40" t="s">
        <v>48</v>
      </c>
      <c r="AK15" s="40" t="s">
        <v>48</v>
      </c>
      <c r="AL15" s="40" t="s">
        <v>48</v>
      </c>
      <c r="AM15" s="40" t="s">
        <v>48</v>
      </c>
      <c r="AN15" s="40" t="s">
        <v>48</v>
      </c>
    </row>
    <row r="16" spans="1:43" x14ac:dyDescent="0.35">
      <c r="A16" s="12">
        <v>9</v>
      </c>
      <c r="B16" s="33"/>
      <c r="C16" s="38" t="str">
        <f>Notes!U17</f>
        <v xml:space="preserve">               Other cereals</v>
      </c>
      <c r="D16" s="4" t="s">
        <v>475</v>
      </c>
      <c r="E16" s="46">
        <v>0.46496594396582913</v>
      </c>
      <c r="F16" s="42" t="s">
        <v>48</v>
      </c>
      <c r="G16" s="40" t="s">
        <v>48</v>
      </c>
      <c r="H16" s="40" t="s">
        <v>48</v>
      </c>
      <c r="I16" s="40" t="s">
        <v>48</v>
      </c>
      <c r="J16" s="40" t="s">
        <v>48</v>
      </c>
      <c r="K16" s="4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0" t="s">
        <v>48</v>
      </c>
      <c r="Q16" s="40" t="s">
        <v>48</v>
      </c>
      <c r="R16" s="40" t="s">
        <v>48</v>
      </c>
      <c r="S16" s="40" t="s">
        <v>48</v>
      </c>
      <c r="T16" s="40" t="s">
        <v>48</v>
      </c>
      <c r="V16" s="33"/>
      <c r="W16" s="38" t="str">
        <f>Notes!U17</f>
        <v xml:space="preserve">               Other cereals</v>
      </c>
      <c r="X16" s="4" t="s">
        <v>475</v>
      </c>
      <c r="Y16" s="44">
        <v>0.80274938532641404</v>
      </c>
      <c r="Z16" s="47" t="s">
        <v>48</v>
      </c>
      <c r="AA16" s="40" t="s">
        <v>48</v>
      </c>
      <c r="AB16" s="40" t="s">
        <v>48</v>
      </c>
      <c r="AC16" s="40" t="s">
        <v>48</v>
      </c>
      <c r="AD16" s="40" t="s">
        <v>48</v>
      </c>
      <c r="AE16" s="40" t="s">
        <v>48</v>
      </c>
      <c r="AF16" s="40" t="s">
        <v>48</v>
      </c>
      <c r="AG16" s="40" t="s">
        <v>48</v>
      </c>
      <c r="AH16" s="40" t="s">
        <v>48</v>
      </c>
      <c r="AI16" s="40" t="s">
        <v>48</v>
      </c>
      <c r="AJ16" s="40" t="s">
        <v>48</v>
      </c>
      <c r="AK16" s="40" t="s">
        <v>48</v>
      </c>
      <c r="AL16" s="40" t="s">
        <v>48</v>
      </c>
      <c r="AM16" s="40" t="s">
        <v>48</v>
      </c>
      <c r="AN16" s="40" t="s">
        <v>48</v>
      </c>
    </row>
    <row r="17" spans="1:40" x14ac:dyDescent="0.35">
      <c r="A17" s="12">
        <v>10</v>
      </c>
      <c r="B17" s="33"/>
      <c r="C17" s="38" t="str">
        <f>Notes!U18</f>
        <v xml:space="preserve">               Pulses</v>
      </c>
      <c r="D17" s="4" t="s">
        <v>477</v>
      </c>
      <c r="E17" s="44">
        <v>2.104120382238947E-2</v>
      </c>
      <c r="F17" s="42" t="s">
        <v>48</v>
      </c>
      <c r="G17" s="40" t="s">
        <v>48</v>
      </c>
      <c r="H17" s="40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V17" s="33"/>
      <c r="W17" s="38" t="str">
        <f>Notes!U18</f>
        <v xml:space="preserve">               Pulses</v>
      </c>
      <c r="X17" s="4" t="s">
        <v>477</v>
      </c>
      <c r="Y17" s="44">
        <v>0.18667851011984052</v>
      </c>
      <c r="Z17" s="42" t="s">
        <v>48</v>
      </c>
      <c r="AA17" s="40" t="s">
        <v>48</v>
      </c>
      <c r="AB17" s="40" t="s">
        <v>48</v>
      </c>
      <c r="AC17" s="40" t="s">
        <v>48</v>
      </c>
      <c r="AD17" s="40" t="s">
        <v>48</v>
      </c>
      <c r="AE17" s="40" t="s">
        <v>48</v>
      </c>
      <c r="AF17" s="40" t="s">
        <v>48</v>
      </c>
      <c r="AG17" s="40" t="s">
        <v>48</v>
      </c>
      <c r="AH17" s="40" t="s">
        <v>48</v>
      </c>
      <c r="AI17" s="40" t="s">
        <v>48</v>
      </c>
      <c r="AJ17" s="40" t="s">
        <v>48</v>
      </c>
      <c r="AK17" s="40" t="s">
        <v>48</v>
      </c>
      <c r="AL17" s="40" t="s">
        <v>48</v>
      </c>
      <c r="AM17" s="40" t="s">
        <v>48</v>
      </c>
      <c r="AN17" s="40" t="s">
        <v>48</v>
      </c>
    </row>
    <row r="18" spans="1:40" x14ac:dyDescent="0.35">
      <c r="A18" s="12">
        <v>11</v>
      </c>
      <c r="B18" s="33"/>
      <c r="C18" s="38" t="str">
        <f>Notes!U19</f>
        <v xml:space="preserve">               Groundnuts</v>
      </c>
      <c r="D18" s="4" t="s">
        <v>473</v>
      </c>
      <c r="E18" s="44">
        <v>0.50796721078502105</v>
      </c>
      <c r="F18" s="42" t="s">
        <v>48</v>
      </c>
      <c r="G18" s="40" t="s">
        <v>48</v>
      </c>
      <c r="H18" s="40" t="s">
        <v>48</v>
      </c>
      <c r="I18" s="40" t="s">
        <v>48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0" t="s">
        <v>48</v>
      </c>
      <c r="Q18" s="40" t="s">
        <v>48</v>
      </c>
      <c r="R18" s="40" t="s">
        <v>48</v>
      </c>
      <c r="S18" s="40" t="s">
        <v>48</v>
      </c>
      <c r="T18" s="40" t="s">
        <v>48</v>
      </c>
      <c r="V18" s="33"/>
      <c r="W18" s="38" t="str">
        <f>Notes!U19</f>
        <v xml:space="preserve">               Groundnuts</v>
      </c>
      <c r="X18" s="4" t="s">
        <v>473</v>
      </c>
      <c r="Y18" s="44">
        <v>0.21876468264673937</v>
      </c>
      <c r="Z18" s="42" t="s">
        <v>48</v>
      </c>
      <c r="AA18" s="40" t="s">
        <v>48</v>
      </c>
      <c r="AB18" s="40" t="s">
        <v>48</v>
      </c>
      <c r="AC18" s="40" t="s">
        <v>48</v>
      </c>
      <c r="AD18" s="40" t="s">
        <v>48</v>
      </c>
      <c r="AE18" s="40" t="s">
        <v>48</v>
      </c>
      <c r="AF18" s="40" t="s">
        <v>48</v>
      </c>
      <c r="AG18" s="40" t="s">
        <v>48</v>
      </c>
      <c r="AH18" s="40" t="s">
        <v>48</v>
      </c>
      <c r="AI18" s="40" t="s">
        <v>48</v>
      </c>
      <c r="AJ18" s="40" t="s">
        <v>48</v>
      </c>
      <c r="AK18" s="40" t="s">
        <v>48</v>
      </c>
      <c r="AL18" s="40" t="s">
        <v>48</v>
      </c>
      <c r="AM18" s="40" t="s">
        <v>48</v>
      </c>
      <c r="AN18" s="40" t="s">
        <v>48</v>
      </c>
    </row>
    <row r="19" spans="1:40" x14ac:dyDescent="0.35">
      <c r="A19" s="12">
        <v>12</v>
      </c>
      <c r="B19" s="33"/>
      <c r="C19" s="38" t="str">
        <f>Notes!U20</f>
        <v xml:space="preserve">               Other oilseeds</v>
      </c>
      <c r="D19" s="4" t="s">
        <v>319</v>
      </c>
      <c r="E19" s="44" t="s">
        <v>48</v>
      </c>
      <c r="F19" s="42" t="s">
        <v>48</v>
      </c>
      <c r="G19" s="40" t="s">
        <v>48</v>
      </c>
      <c r="H19" s="40" t="s">
        <v>48</v>
      </c>
      <c r="I19" s="40" t="s">
        <v>48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0" t="s">
        <v>48</v>
      </c>
      <c r="P19" s="40" t="s">
        <v>48</v>
      </c>
      <c r="Q19" s="40" t="s">
        <v>48</v>
      </c>
      <c r="R19" s="40" t="s">
        <v>48</v>
      </c>
      <c r="S19" s="40" t="s">
        <v>48</v>
      </c>
      <c r="T19" s="40" t="s">
        <v>48</v>
      </c>
      <c r="V19" s="33"/>
      <c r="W19" s="38" t="str">
        <f>Notes!U20</f>
        <v xml:space="preserve">               Other oilseeds</v>
      </c>
      <c r="X19" s="4" t="s">
        <v>319</v>
      </c>
      <c r="Y19" s="44" t="s">
        <v>48</v>
      </c>
      <c r="Z19" s="42" t="s">
        <v>48</v>
      </c>
      <c r="AA19" s="40" t="s">
        <v>48</v>
      </c>
      <c r="AB19" s="40" t="s">
        <v>48</v>
      </c>
      <c r="AC19" s="40" t="s">
        <v>48</v>
      </c>
      <c r="AD19" s="40" t="s">
        <v>48</v>
      </c>
      <c r="AE19" s="40" t="s">
        <v>48</v>
      </c>
      <c r="AF19" s="40" t="s">
        <v>48</v>
      </c>
      <c r="AG19" s="40" t="s">
        <v>48</v>
      </c>
      <c r="AH19" s="40" t="s">
        <v>48</v>
      </c>
      <c r="AI19" s="40" t="s">
        <v>48</v>
      </c>
      <c r="AJ19" s="40" t="s">
        <v>48</v>
      </c>
      <c r="AK19" s="40" t="s">
        <v>48</v>
      </c>
      <c r="AL19" s="40" t="s">
        <v>48</v>
      </c>
      <c r="AM19" s="40" t="s">
        <v>48</v>
      </c>
      <c r="AN19" s="40" t="s">
        <v>48</v>
      </c>
    </row>
    <row r="20" spans="1:40" x14ac:dyDescent="0.35">
      <c r="A20" s="12">
        <v>13</v>
      </c>
      <c r="B20" s="33"/>
      <c r="C20" s="38" t="str">
        <f>Notes!U21</f>
        <v xml:space="preserve">               Cassava</v>
      </c>
      <c r="D20" s="4" t="s">
        <v>698</v>
      </c>
      <c r="E20" s="44" t="s">
        <v>48</v>
      </c>
      <c r="F20" s="42" t="s">
        <v>48</v>
      </c>
      <c r="G20" s="40" t="s">
        <v>48</v>
      </c>
      <c r="H20" s="40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V20" s="33"/>
      <c r="W20" s="38" t="str">
        <f>Notes!U21</f>
        <v xml:space="preserve">               Cassava</v>
      </c>
      <c r="X20" s="4" t="s">
        <v>698</v>
      </c>
      <c r="Y20" s="44">
        <v>0.48239055724621177</v>
      </c>
      <c r="Z20" s="42" t="s">
        <v>48</v>
      </c>
      <c r="AA20" s="40" t="s">
        <v>48</v>
      </c>
      <c r="AB20" s="40" t="s">
        <v>48</v>
      </c>
      <c r="AC20" s="40" t="s">
        <v>48</v>
      </c>
      <c r="AD20" s="40" t="s">
        <v>48</v>
      </c>
      <c r="AE20" s="40" t="s">
        <v>48</v>
      </c>
      <c r="AF20" s="40" t="s">
        <v>48</v>
      </c>
      <c r="AG20" s="40" t="s">
        <v>48</v>
      </c>
      <c r="AH20" s="40" t="s">
        <v>48</v>
      </c>
      <c r="AI20" s="40" t="s">
        <v>48</v>
      </c>
      <c r="AJ20" s="40" t="s">
        <v>48</v>
      </c>
      <c r="AK20" s="40" t="s">
        <v>48</v>
      </c>
      <c r="AL20" s="40" t="s">
        <v>48</v>
      </c>
      <c r="AM20" s="40" t="s">
        <v>48</v>
      </c>
      <c r="AN20" s="40" t="s">
        <v>48</v>
      </c>
    </row>
    <row r="21" spans="1:40" x14ac:dyDescent="0.35">
      <c r="A21" s="12">
        <v>14</v>
      </c>
      <c r="B21" s="33"/>
      <c r="C21" s="38" t="str">
        <f>Notes!U22</f>
        <v xml:space="preserve">               Irish potatoes</v>
      </c>
      <c r="D21" s="4" t="s">
        <v>699</v>
      </c>
      <c r="E21" s="44" t="s">
        <v>48</v>
      </c>
      <c r="F21" s="42" t="s">
        <v>48</v>
      </c>
      <c r="G21" s="40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V21" s="33"/>
      <c r="W21" s="38" t="str">
        <f>Notes!U22</f>
        <v xml:space="preserve">               Irish potatoes</v>
      </c>
      <c r="X21" s="4" t="s">
        <v>699</v>
      </c>
      <c r="Y21" s="44" t="s">
        <v>48</v>
      </c>
      <c r="Z21" s="42" t="s">
        <v>48</v>
      </c>
      <c r="AA21" s="40" t="s">
        <v>48</v>
      </c>
      <c r="AB21" s="40" t="s">
        <v>48</v>
      </c>
      <c r="AC21" s="40" t="s">
        <v>48</v>
      </c>
      <c r="AD21" s="40" t="s">
        <v>48</v>
      </c>
      <c r="AE21" s="40" t="s">
        <v>48</v>
      </c>
      <c r="AF21" s="40" t="s">
        <v>48</v>
      </c>
      <c r="AG21" s="40" t="s">
        <v>48</v>
      </c>
      <c r="AH21" s="40" t="s">
        <v>48</v>
      </c>
      <c r="AI21" s="40" t="s">
        <v>48</v>
      </c>
      <c r="AJ21" s="40" t="s">
        <v>48</v>
      </c>
      <c r="AK21" s="40" t="s">
        <v>48</v>
      </c>
      <c r="AL21" s="40" t="s">
        <v>48</v>
      </c>
      <c r="AM21" s="40" t="s">
        <v>48</v>
      </c>
      <c r="AN21" s="40" t="s">
        <v>48</v>
      </c>
    </row>
    <row r="22" spans="1:40" x14ac:dyDescent="0.35">
      <c r="A22" s="12">
        <v>15</v>
      </c>
      <c r="B22" s="33"/>
      <c r="C22" s="38" t="str">
        <f>Notes!U23</f>
        <v xml:space="preserve">               Sweet potatoes</v>
      </c>
      <c r="D22" s="4" t="s">
        <v>320</v>
      </c>
      <c r="E22" s="44">
        <v>1.2303419385822583</v>
      </c>
      <c r="F22" s="42" t="s">
        <v>48</v>
      </c>
      <c r="G22" s="40" t="s">
        <v>48</v>
      </c>
      <c r="H22" s="40" t="s">
        <v>48</v>
      </c>
      <c r="I22" s="40" t="s">
        <v>48</v>
      </c>
      <c r="J22" s="40" t="s">
        <v>48</v>
      </c>
      <c r="K22" s="4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0" t="s">
        <v>48</v>
      </c>
      <c r="Q22" s="40" t="s">
        <v>48</v>
      </c>
      <c r="R22" s="40" t="s">
        <v>48</v>
      </c>
      <c r="S22" s="40" t="s">
        <v>48</v>
      </c>
      <c r="T22" s="40" t="s">
        <v>48</v>
      </c>
      <c r="V22" s="33"/>
      <c r="W22" s="38" t="str">
        <f>Notes!U23</f>
        <v xml:space="preserve">               Sweet potatoes</v>
      </c>
      <c r="X22" s="4" t="s">
        <v>320</v>
      </c>
      <c r="Y22" s="44" t="s">
        <v>48</v>
      </c>
      <c r="Z22" s="42" t="s">
        <v>48</v>
      </c>
      <c r="AA22" s="40" t="s">
        <v>48</v>
      </c>
      <c r="AB22" s="40" t="s">
        <v>48</v>
      </c>
      <c r="AC22" s="40" t="s">
        <v>48</v>
      </c>
      <c r="AD22" s="40" t="s">
        <v>48</v>
      </c>
      <c r="AE22" s="40" t="s">
        <v>48</v>
      </c>
      <c r="AF22" s="40" t="s">
        <v>48</v>
      </c>
      <c r="AG22" s="40" t="s">
        <v>48</v>
      </c>
      <c r="AH22" s="40" t="s">
        <v>48</v>
      </c>
      <c r="AI22" s="40" t="s">
        <v>48</v>
      </c>
      <c r="AJ22" s="40" t="s">
        <v>48</v>
      </c>
      <c r="AK22" s="40" t="s">
        <v>48</v>
      </c>
      <c r="AL22" s="40" t="s">
        <v>48</v>
      </c>
      <c r="AM22" s="40" t="s">
        <v>48</v>
      </c>
      <c r="AN22" s="40" t="s">
        <v>48</v>
      </c>
    </row>
    <row r="23" spans="1:40" x14ac:dyDescent="0.35">
      <c r="A23" s="12">
        <v>16</v>
      </c>
      <c r="B23" s="33"/>
      <c r="C23" s="38" t="str">
        <f>Notes!U24</f>
        <v xml:space="preserve">               Other roots</v>
      </c>
      <c r="D23" s="4" t="s">
        <v>700</v>
      </c>
      <c r="E23" s="44" t="s">
        <v>48</v>
      </c>
      <c r="F23" s="42" t="s">
        <v>48</v>
      </c>
      <c r="G23" s="40" t="s">
        <v>48</v>
      </c>
      <c r="H23" s="40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V23" s="33"/>
      <c r="W23" s="38" t="str">
        <f>Notes!U24</f>
        <v xml:space="preserve">               Other roots</v>
      </c>
      <c r="X23" s="4" t="s">
        <v>700</v>
      </c>
      <c r="Y23" s="44" t="s">
        <v>48</v>
      </c>
      <c r="Z23" s="42" t="s">
        <v>48</v>
      </c>
      <c r="AA23" s="40" t="s">
        <v>48</v>
      </c>
      <c r="AB23" s="40" t="s">
        <v>48</v>
      </c>
      <c r="AC23" s="40" t="s">
        <v>48</v>
      </c>
      <c r="AD23" s="40" t="s">
        <v>48</v>
      </c>
      <c r="AE23" s="40" t="s">
        <v>48</v>
      </c>
      <c r="AF23" s="40" t="s">
        <v>48</v>
      </c>
      <c r="AG23" s="40" t="s">
        <v>48</v>
      </c>
      <c r="AH23" s="40" t="s">
        <v>48</v>
      </c>
      <c r="AI23" s="40" t="s">
        <v>48</v>
      </c>
      <c r="AJ23" s="40" t="s">
        <v>48</v>
      </c>
      <c r="AK23" s="40" t="s">
        <v>48</v>
      </c>
      <c r="AL23" s="40" t="s">
        <v>48</v>
      </c>
      <c r="AM23" s="40" t="s">
        <v>48</v>
      </c>
      <c r="AN23" s="40" t="s">
        <v>48</v>
      </c>
    </row>
    <row r="24" spans="1:40" x14ac:dyDescent="0.35">
      <c r="A24" s="12">
        <v>17</v>
      </c>
      <c r="B24" s="33"/>
      <c r="C24" s="38" t="str">
        <f>Notes!U25</f>
        <v xml:space="preserve">               Leafy vegetables</v>
      </c>
      <c r="D24" s="4" t="s">
        <v>701</v>
      </c>
      <c r="E24" s="44">
        <v>0.30573635601842652</v>
      </c>
      <c r="F24" s="42" t="s">
        <v>48</v>
      </c>
      <c r="G24" s="40" t="s">
        <v>48</v>
      </c>
      <c r="H24" s="40" t="s">
        <v>48</v>
      </c>
      <c r="I24" s="40" t="s">
        <v>48</v>
      </c>
      <c r="J24" s="40" t="s">
        <v>48</v>
      </c>
      <c r="K24" s="40" t="s">
        <v>48</v>
      </c>
      <c r="L24" s="40" t="s">
        <v>48</v>
      </c>
      <c r="M24" s="40" t="s">
        <v>48</v>
      </c>
      <c r="N24" s="40" t="s">
        <v>48</v>
      </c>
      <c r="O24" s="40" t="s">
        <v>48</v>
      </c>
      <c r="P24" s="40" t="s">
        <v>48</v>
      </c>
      <c r="Q24" s="40" t="s">
        <v>48</v>
      </c>
      <c r="R24" s="40" t="s">
        <v>48</v>
      </c>
      <c r="S24" s="40" t="s">
        <v>48</v>
      </c>
      <c r="T24" s="40" t="s">
        <v>48</v>
      </c>
      <c r="V24" s="33"/>
      <c r="W24" s="38" t="str">
        <f>Notes!U25</f>
        <v xml:space="preserve">               Leafy vegetables</v>
      </c>
      <c r="X24" s="4" t="s">
        <v>701</v>
      </c>
      <c r="Y24" s="44">
        <v>9.551982139259213E-2</v>
      </c>
      <c r="Z24" s="42" t="s">
        <v>48</v>
      </c>
      <c r="AA24" s="40" t="s">
        <v>48</v>
      </c>
      <c r="AB24" s="40" t="s">
        <v>48</v>
      </c>
      <c r="AC24" s="40" t="s">
        <v>48</v>
      </c>
      <c r="AD24" s="40" t="s">
        <v>48</v>
      </c>
      <c r="AE24" s="40" t="s">
        <v>48</v>
      </c>
      <c r="AF24" s="40" t="s">
        <v>48</v>
      </c>
      <c r="AG24" s="40" t="s">
        <v>48</v>
      </c>
      <c r="AH24" s="40" t="s">
        <v>48</v>
      </c>
      <c r="AI24" s="40" t="s">
        <v>48</v>
      </c>
      <c r="AJ24" s="40" t="s">
        <v>48</v>
      </c>
      <c r="AK24" s="40" t="s">
        <v>48</v>
      </c>
      <c r="AL24" s="40" t="s">
        <v>48</v>
      </c>
      <c r="AM24" s="40" t="s">
        <v>48</v>
      </c>
      <c r="AN24" s="40" t="s">
        <v>48</v>
      </c>
    </row>
    <row r="25" spans="1:40" x14ac:dyDescent="0.35">
      <c r="A25" s="12">
        <v>18</v>
      </c>
      <c r="B25" s="33"/>
      <c r="C25" s="38" t="str">
        <f>Notes!U26</f>
        <v xml:space="preserve">               Other vegetables</v>
      </c>
      <c r="D25" s="4" t="s">
        <v>702</v>
      </c>
      <c r="E25" s="44" t="s">
        <v>48</v>
      </c>
      <c r="F25" s="42" t="s">
        <v>48</v>
      </c>
      <c r="G25" s="40" t="s">
        <v>48</v>
      </c>
      <c r="H25" s="40" t="s">
        <v>48</v>
      </c>
      <c r="I25" s="40" t="s">
        <v>48</v>
      </c>
      <c r="J25" s="40" t="s">
        <v>48</v>
      </c>
      <c r="K25" s="40" t="s">
        <v>48</v>
      </c>
      <c r="L25" s="40" t="s">
        <v>48</v>
      </c>
      <c r="M25" s="40" t="s">
        <v>48</v>
      </c>
      <c r="N25" s="40" t="s">
        <v>48</v>
      </c>
      <c r="O25" s="40" t="s">
        <v>48</v>
      </c>
      <c r="P25" s="40" t="s">
        <v>48</v>
      </c>
      <c r="Q25" s="40" t="s">
        <v>48</v>
      </c>
      <c r="R25" s="40" t="s">
        <v>48</v>
      </c>
      <c r="S25" s="40" t="s">
        <v>48</v>
      </c>
      <c r="T25" s="40" t="s">
        <v>48</v>
      </c>
      <c r="V25" s="33"/>
      <c r="W25" s="38" t="str">
        <f>Notes!U26</f>
        <v xml:space="preserve">               Other vegetables</v>
      </c>
      <c r="X25" s="4" t="s">
        <v>702</v>
      </c>
      <c r="Y25" s="44" t="s">
        <v>48</v>
      </c>
      <c r="Z25" s="42" t="s">
        <v>48</v>
      </c>
      <c r="AA25" s="40" t="s">
        <v>48</v>
      </c>
      <c r="AB25" s="40" t="s">
        <v>48</v>
      </c>
      <c r="AC25" s="40" t="s">
        <v>48</v>
      </c>
      <c r="AD25" s="40" t="s">
        <v>48</v>
      </c>
      <c r="AE25" s="40" t="s">
        <v>48</v>
      </c>
      <c r="AF25" s="40" t="s">
        <v>48</v>
      </c>
      <c r="AG25" s="40" t="s">
        <v>48</v>
      </c>
      <c r="AH25" s="40" t="s">
        <v>48</v>
      </c>
      <c r="AI25" s="40" t="s">
        <v>48</v>
      </c>
      <c r="AJ25" s="40" t="s">
        <v>48</v>
      </c>
      <c r="AK25" s="40" t="s">
        <v>48</v>
      </c>
      <c r="AL25" s="40" t="s">
        <v>48</v>
      </c>
      <c r="AM25" s="40" t="s">
        <v>48</v>
      </c>
      <c r="AN25" s="40" t="s">
        <v>48</v>
      </c>
    </row>
    <row r="26" spans="1:40" x14ac:dyDescent="0.35">
      <c r="A26" s="12">
        <v>19</v>
      </c>
      <c r="B26" s="33"/>
      <c r="C26" s="38" t="str">
        <f>Notes!U27</f>
        <v xml:space="preserve">               Sugarcane</v>
      </c>
      <c r="D26" s="4" t="s">
        <v>326</v>
      </c>
      <c r="E26" s="44" t="s">
        <v>48</v>
      </c>
      <c r="F26" s="42" t="s">
        <v>48</v>
      </c>
      <c r="G26" s="40" t="s">
        <v>48</v>
      </c>
      <c r="H26" s="40" t="s">
        <v>48</v>
      </c>
      <c r="I26" s="40" t="s">
        <v>48</v>
      </c>
      <c r="J26" s="40" t="s">
        <v>48</v>
      </c>
      <c r="K26" s="40" t="s">
        <v>48</v>
      </c>
      <c r="L26" s="40" t="s">
        <v>48</v>
      </c>
      <c r="M26" s="40" t="s">
        <v>48</v>
      </c>
      <c r="N26" s="40" t="s">
        <v>48</v>
      </c>
      <c r="O26" s="40" t="s">
        <v>48</v>
      </c>
      <c r="P26" s="40" t="s">
        <v>48</v>
      </c>
      <c r="Q26" s="40" t="s">
        <v>48</v>
      </c>
      <c r="R26" s="40" t="s">
        <v>48</v>
      </c>
      <c r="S26" s="40" t="s">
        <v>48</v>
      </c>
      <c r="T26" s="40" t="s">
        <v>48</v>
      </c>
      <c r="V26" s="33"/>
      <c r="W26" s="38" t="str">
        <f>Notes!U27</f>
        <v xml:space="preserve">               Sugarcane</v>
      </c>
      <c r="X26" s="4" t="s">
        <v>326</v>
      </c>
      <c r="Y26" s="44" t="s">
        <v>48</v>
      </c>
      <c r="Z26" s="42" t="s">
        <v>48</v>
      </c>
      <c r="AA26" s="40" t="s">
        <v>48</v>
      </c>
      <c r="AB26" s="40" t="s">
        <v>48</v>
      </c>
      <c r="AC26" s="40" t="s">
        <v>48</v>
      </c>
      <c r="AD26" s="40" t="s">
        <v>48</v>
      </c>
      <c r="AE26" s="40" t="s">
        <v>48</v>
      </c>
      <c r="AF26" s="40" t="s">
        <v>48</v>
      </c>
      <c r="AG26" s="40" t="s">
        <v>48</v>
      </c>
      <c r="AH26" s="40" t="s">
        <v>48</v>
      </c>
      <c r="AI26" s="40" t="s">
        <v>48</v>
      </c>
      <c r="AJ26" s="40" t="s">
        <v>48</v>
      </c>
      <c r="AK26" s="40" t="s">
        <v>48</v>
      </c>
      <c r="AL26" s="40" t="s">
        <v>48</v>
      </c>
      <c r="AM26" s="40" t="s">
        <v>48</v>
      </c>
      <c r="AN26" s="40" t="s">
        <v>48</v>
      </c>
    </row>
    <row r="27" spans="1:40" x14ac:dyDescent="0.35">
      <c r="A27" s="12">
        <v>20</v>
      </c>
      <c r="B27" s="33"/>
      <c r="C27" s="38" t="str">
        <f>Notes!U28</f>
        <v xml:space="preserve">               Tobacco</v>
      </c>
      <c r="D27" s="4" t="s">
        <v>470</v>
      </c>
      <c r="E27" s="44" t="s">
        <v>48</v>
      </c>
      <c r="F27" s="42" t="s">
        <v>48</v>
      </c>
      <c r="G27" s="40" t="s">
        <v>48</v>
      </c>
      <c r="H27" s="40" t="s">
        <v>48</v>
      </c>
      <c r="I27" s="40" t="s">
        <v>48</v>
      </c>
      <c r="J27" s="40" t="s">
        <v>48</v>
      </c>
      <c r="K27" s="40" t="s">
        <v>48</v>
      </c>
      <c r="L27" s="40" t="s">
        <v>48</v>
      </c>
      <c r="M27" s="40" t="s">
        <v>48</v>
      </c>
      <c r="N27" s="40" t="s">
        <v>48</v>
      </c>
      <c r="O27" s="40" t="s">
        <v>48</v>
      </c>
      <c r="P27" s="40" t="s">
        <v>48</v>
      </c>
      <c r="Q27" s="40" t="s">
        <v>48</v>
      </c>
      <c r="R27" s="40" t="s">
        <v>48</v>
      </c>
      <c r="S27" s="40" t="s">
        <v>48</v>
      </c>
      <c r="T27" s="40" t="s">
        <v>48</v>
      </c>
      <c r="V27" s="33"/>
      <c r="W27" s="38" t="str">
        <f>Notes!U28</f>
        <v xml:space="preserve">               Tobacco</v>
      </c>
      <c r="X27" s="4" t="s">
        <v>470</v>
      </c>
      <c r="Y27" s="44" t="s">
        <v>48</v>
      </c>
      <c r="Z27" s="42" t="s">
        <v>48</v>
      </c>
      <c r="AA27" s="40" t="s">
        <v>48</v>
      </c>
      <c r="AB27" s="40" t="s">
        <v>48</v>
      </c>
      <c r="AC27" s="40" t="s">
        <v>48</v>
      </c>
      <c r="AD27" s="40" t="s">
        <v>48</v>
      </c>
      <c r="AE27" s="40" t="s">
        <v>48</v>
      </c>
      <c r="AF27" s="40" t="s">
        <v>48</v>
      </c>
      <c r="AG27" s="40" t="s">
        <v>48</v>
      </c>
      <c r="AH27" s="40" t="s">
        <v>48</v>
      </c>
      <c r="AI27" s="40" t="s">
        <v>48</v>
      </c>
      <c r="AJ27" s="40" t="s">
        <v>48</v>
      </c>
      <c r="AK27" s="40" t="s">
        <v>48</v>
      </c>
      <c r="AL27" s="40" t="s">
        <v>48</v>
      </c>
      <c r="AM27" s="40" t="s">
        <v>48</v>
      </c>
      <c r="AN27" s="40" t="s">
        <v>48</v>
      </c>
    </row>
    <row r="28" spans="1:40" x14ac:dyDescent="0.35">
      <c r="A28" s="12">
        <v>21</v>
      </c>
      <c r="B28" s="33"/>
      <c r="C28" s="38" t="str">
        <f>Notes!U29</f>
        <v xml:space="preserve">               Cotton and fibres</v>
      </c>
      <c r="D28" s="4" t="s">
        <v>703</v>
      </c>
      <c r="E28" s="44">
        <v>0.13591056988698977</v>
      </c>
      <c r="F28" s="42" t="s">
        <v>48</v>
      </c>
      <c r="G28" s="40" t="s">
        <v>48</v>
      </c>
      <c r="H28" s="40" t="s">
        <v>48</v>
      </c>
      <c r="I28" s="40" t="s">
        <v>48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0" t="s">
        <v>48</v>
      </c>
      <c r="Q28" s="40" t="s">
        <v>48</v>
      </c>
      <c r="R28" s="40" t="s">
        <v>48</v>
      </c>
      <c r="S28" s="40" t="s">
        <v>48</v>
      </c>
      <c r="T28" s="40" t="s">
        <v>48</v>
      </c>
      <c r="V28" s="33"/>
      <c r="W28" s="38" t="str">
        <f>Notes!U29</f>
        <v xml:space="preserve">               Cotton and fibres</v>
      </c>
      <c r="X28" s="4" t="s">
        <v>703</v>
      </c>
      <c r="Y28" s="44">
        <v>0.27560228590219077</v>
      </c>
      <c r="Z28" s="42" t="s">
        <v>48</v>
      </c>
      <c r="AA28" s="40" t="s">
        <v>48</v>
      </c>
      <c r="AB28" s="40" t="s">
        <v>48</v>
      </c>
      <c r="AC28" s="40" t="s">
        <v>48</v>
      </c>
      <c r="AD28" s="40" t="s">
        <v>48</v>
      </c>
      <c r="AE28" s="40" t="s">
        <v>48</v>
      </c>
      <c r="AF28" s="40" t="s">
        <v>48</v>
      </c>
      <c r="AG28" s="40" t="s">
        <v>48</v>
      </c>
      <c r="AH28" s="40" t="s">
        <v>48</v>
      </c>
      <c r="AI28" s="40" t="s">
        <v>48</v>
      </c>
      <c r="AJ28" s="40" t="s">
        <v>48</v>
      </c>
      <c r="AK28" s="40" t="s">
        <v>48</v>
      </c>
      <c r="AL28" s="40" t="s">
        <v>48</v>
      </c>
      <c r="AM28" s="40" t="s">
        <v>48</v>
      </c>
      <c r="AN28" s="40" t="s">
        <v>48</v>
      </c>
    </row>
    <row r="29" spans="1:40" x14ac:dyDescent="0.35">
      <c r="A29" s="12">
        <v>22</v>
      </c>
      <c r="B29" s="33"/>
      <c r="C29" s="38" t="str">
        <f>Notes!U30</f>
        <v xml:space="preserve">               Jute</v>
      </c>
      <c r="D29" s="4" t="s">
        <v>765</v>
      </c>
      <c r="E29" s="44">
        <v>4.6972378324602007E-2</v>
      </c>
      <c r="F29" s="42" t="s">
        <v>48</v>
      </c>
      <c r="G29" s="40" t="s">
        <v>48</v>
      </c>
      <c r="H29" s="40" t="s">
        <v>48</v>
      </c>
      <c r="I29" s="40" t="s">
        <v>48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V29" s="33"/>
      <c r="W29" s="38" t="str">
        <f>Notes!U30</f>
        <v xml:space="preserve">               Jute</v>
      </c>
      <c r="X29" s="4" t="s">
        <v>765</v>
      </c>
      <c r="Y29" s="44">
        <v>0.12278978503167035</v>
      </c>
      <c r="Z29" s="42" t="s">
        <v>48</v>
      </c>
      <c r="AA29" s="40" t="s">
        <v>48</v>
      </c>
      <c r="AB29" s="40" t="s">
        <v>48</v>
      </c>
      <c r="AC29" s="40" t="s">
        <v>48</v>
      </c>
      <c r="AD29" s="40" t="s">
        <v>48</v>
      </c>
      <c r="AE29" s="40" t="s">
        <v>48</v>
      </c>
      <c r="AF29" s="40" t="s">
        <v>48</v>
      </c>
      <c r="AG29" s="40" t="s">
        <v>48</v>
      </c>
      <c r="AH29" s="40" t="s">
        <v>48</v>
      </c>
      <c r="AI29" s="40" t="s">
        <v>48</v>
      </c>
      <c r="AJ29" s="40" t="s">
        <v>48</v>
      </c>
      <c r="AK29" s="40" t="s">
        <v>48</v>
      </c>
      <c r="AL29" s="40" t="s">
        <v>48</v>
      </c>
      <c r="AM29" s="40" t="s">
        <v>48</v>
      </c>
      <c r="AN29" s="40" t="s">
        <v>48</v>
      </c>
    </row>
    <row r="30" spans="1:40" x14ac:dyDescent="0.35">
      <c r="A30" s="12">
        <v>23</v>
      </c>
      <c r="B30" s="33"/>
      <c r="C30" s="38" t="str">
        <f>Notes!U31</f>
        <v xml:space="preserve">               Nuts</v>
      </c>
      <c r="D30" s="4" t="s">
        <v>327</v>
      </c>
      <c r="E30" s="44" t="s">
        <v>48</v>
      </c>
      <c r="F30" s="42" t="s">
        <v>48</v>
      </c>
      <c r="G30" s="40" t="s">
        <v>48</v>
      </c>
      <c r="H30" s="40" t="s">
        <v>48</v>
      </c>
      <c r="I30" s="40" t="s">
        <v>48</v>
      </c>
      <c r="J30" s="40" t="s">
        <v>48</v>
      </c>
      <c r="K30" s="40" t="s">
        <v>48</v>
      </c>
      <c r="L30" s="40" t="s">
        <v>48</v>
      </c>
      <c r="M30" s="40" t="s">
        <v>48</v>
      </c>
      <c r="N30" s="40" t="s">
        <v>48</v>
      </c>
      <c r="O30" s="40" t="s">
        <v>48</v>
      </c>
      <c r="P30" s="40" t="s">
        <v>48</v>
      </c>
      <c r="Q30" s="40" t="s">
        <v>48</v>
      </c>
      <c r="R30" s="40" t="s">
        <v>48</v>
      </c>
      <c r="S30" s="40" t="s">
        <v>48</v>
      </c>
      <c r="T30" s="40" t="s">
        <v>48</v>
      </c>
      <c r="V30" s="33"/>
      <c r="W30" s="38" t="str">
        <f>Notes!U31</f>
        <v xml:space="preserve">               Nuts</v>
      </c>
      <c r="X30" s="4" t="s">
        <v>327</v>
      </c>
      <c r="Y30" s="44" t="s">
        <v>48</v>
      </c>
      <c r="Z30" s="42" t="s">
        <v>48</v>
      </c>
      <c r="AA30" s="40" t="s">
        <v>48</v>
      </c>
      <c r="AB30" s="40" t="s">
        <v>48</v>
      </c>
      <c r="AC30" s="40" t="s">
        <v>48</v>
      </c>
      <c r="AD30" s="40" t="s">
        <v>48</v>
      </c>
      <c r="AE30" s="40" t="s">
        <v>48</v>
      </c>
      <c r="AF30" s="40" t="s">
        <v>48</v>
      </c>
      <c r="AG30" s="40" t="s">
        <v>48</v>
      </c>
      <c r="AH30" s="40" t="s">
        <v>48</v>
      </c>
      <c r="AI30" s="40" t="s">
        <v>48</v>
      </c>
      <c r="AJ30" s="40" t="s">
        <v>48</v>
      </c>
      <c r="AK30" s="40" t="s">
        <v>48</v>
      </c>
      <c r="AL30" s="40" t="s">
        <v>48</v>
      </c>
      <c r="AM30" s="40" t="s">
        <v>48</v>
      </c>
      <c r="AN30" s="40" t="s">
        <v>48</v>
      </c>
    </row>
    <row r="31" spans="1:40" x14ac:dyDescent="0.35">
      <c r="A31" s="12">
        <v>24</v>
      </c>
      <c r="B31" s="33"/>
      <c r="C31" s="38" t="str">
        <f>Notes!U32</f>
        <v xml:space="preserve">               Bananas and plantains</v>
      </c>
      <c r="D31" s="4" t="s">
        <v>481</v>
      </c>
      <c r="E31" s="44" t="s">
        <v>48</v>
      </c>
      <c r="F31" s="42" t="s">
        <v>48</v>
      </c>
      <c r="G31" s="40" t="s">
        <v>48</v>
      </c>
      <c r="H31" s="40" t="s">
        <v>48</v>
      </c>
      <c r="I31" s="40" t="s">
        <v>48</v>
      </c>
      <c r="J31" s="40" t="s">
        <v>48</v>
      </c>
      <c r="K31" s="40" t="s">
        <v>48</v>
      </c>
      <c r="L31" s="40" t="s">
        <v>48</v>
      </c>
      <c r="M31" s="40" t="s">
        <v>48</v>
      </c>
      <c r="N31" s="40" t="s">
        <v>48</v>
      </c>
      <c r="O31" s="40" t="s">
        <v>48</v>
      </c>
      <c r="P31" s="40" t="s">
        <v>48</v>
      </c>
      <c r="Q31" s="40" t="s">
        <v>48</v>
      </c>
      <c r="R31" s="40" t="s">
        <v>48</v>
      </c>
      <c r="S31" s="40" t="s">
        <v>48</v>
      </c>
      <c r="T31" s="40" t="s">
        <v>48</v>
      </c>
      <c r="V31" s="33"/>
      <c r="W31" s="38" t="str">
        <f>Notes!U32</f>
        <v xml:space="preserve">               Bananas and plantains</v>
      </c>
      <c r="X31" s="4" t="s">
        <v>481</v>
      </c>
      <c r="Y31" s="44">
        <v>0.26061015928154718</v>
      </c>
      <c r="Z31" s="42" t="s">
        <v>48</v>
      </c>
      <c r="AA31" s="40" t="s">
        <v>48</v>
      </c>
      <c r="AB31" s="40" t="s">
        <v>48</v>
      </c>
      <c r="AC31" s="40" t="s">
        <v>48</v>
      </c>
      <c r="AD31" s="40" t="s">
        <v>48</v>
      </c>
      <c r="AE31" s="40" t="s">
        <v>48</v>
      </c>
      <c r="AF31" s="40" t="s">
        <v>48</v>
      </c>
      <c r="AG31" s="40" t="s">
        <v>48</v>
      </c>
      <c r="AH31" s="40" t="s">
        <v>48</v>
      </c>
      <c r="AI31" s="40" t="s">
        <v>48</v>
      </c>
      <c r="AJ31" s="40" t="s">
        <v>48</v>
      </c>
      <c r="AK31" s="40" t="s">
        <v>48</v>
      </c>
      <c r="AL31" s="40" t="s">
        <v>48</v>
      </c>
      <c r="AM31" s="40" t="s">
        <v>48</v>
      </c>
      <c r="AN31" s="40" t="s">
        <v>48</v>
      </c>
    </row>
    <row r="32" spans="1:40" x14ac:dyDescent="0.35">
      <c r="A32" s="12">
        <v>25</v>
      </c>
      <c r="B32" s="33"/>
      <c r="C32" s="38" t="str">
        <f>Notes!U33</f>
        <v xml:space="preserve">               Bananas and plantains</v>
      </c>
      <c r="D32" s="4" t="s">
        <v>323</v>
      </c>
      <c r="E32" s="44">
        <v>4.7376882069299011</v>
      </c>
      <c r="F32" s="42" t="s">
        <v>48</v>
      </c>
      <c r="G32" s="40" t="s">
        <v>48</v>
      </c>
      <c r="H32" s="40" t="s">
        <v>48</v>
      </c>
      <c r="I32" s="40" t="s">
        <v>48</v>
      </c>
      <c r="J32" s="40" t="s">
        <v>48</v>
      </c>
      <c r="K32" s="40" t="s">
        <v>48</v>
      </c>
      <c r="L32" s="40" t="s">
        <v>48</v>
      </c>
      <c r="M32" s="40" t="s">
        <v>48</v>
      </c>
      <c r="N32" s="40" t="s">
        <v>48</v>
      </c>
      <c r="O32" s="40" t="s">
        <v>48</v>
      </c>
      <c r="P32" s="40" t="s">
        <v>48</v>
      </c>
      <c r="Q32" s="40" t="s">
        <v>48</v>
      </c>
      <c r="R32" s="40" t="s">
        <v>48</v>
      </c>
      <c r="S32" s="40" t="s">
        <v>48</v>
      </c>
      <c r="T32" s="40" t="s">
        <v>48</v>
      </c>
      <c r="V32" s="33"/>
      <c r="W32" s="38" t="str">
        <f>Notes!U33</f>
        <v xml:space="preserve">               Bananas and plantains</v>
      </c>
      <c r="X32" s="4" t="s">
        <v>323</v>
      </c>
      <c r="Y32" s="44" t="s">
        <v>48</v>
      </c>
      <c r="Z32" s="42" t="s">
        <v>48</v>
      </c>
      <c r="AA32" s="40" t="s">
        <v>48</v>
      </c>
      <c r="AB32" s="40" t="s">
        <v>48</v>
      </c>
      <c r="AC32" s="40" t="s">
        <v>48</v>
      </c>
      <c r="AD32" s="40" t="s">
        <v>48</v>
      </c>
      <c r="AE32" s="40" t="s">
        <v>48</v>
      </c>
      <c r="AF32" s="40" t="s">
        <v>48</v>
      </c>
      <c r="AG32" s="40" t="s">
        <v>48</v>
      </c>
      <c r="AH32" s="40" t="s">
        <v>48</v>
      </c>
      <c r="AI32" s="40" t="s">
        <v>48</v>
      </c>
      <c r="AJ32" s="40" t="s">
        <v>48</v>
      </c>
      <c r="AK32" s="40" t="s">
        <v>48</v>
      </c>
      <c r="AL32" s="40" t="s">
        <v>48</v>
      </c>
      <c r="AM32" s="40" t="s">
        <v>48</v>
      </c>
      <c r="AN32" s="40" t="s">
        <v>48</v>
      </c>
    </row>
    <row r="33" spans="1:40" x14ac:dyDescent="0.35">
      <c r="A33" s="12">
        <v>26</v>
      </c>
      <c r="B33" s="33"/>
      <c r="C33" s="38" t="str">
        <f>Notes!U34</f>
        <v xml:space="preserve">               Other fruits</v>
      </c>
      <c r="D33" s="4" t="s">
        <v>321</v>
      </c>
      <c r="E33" s="44">
        <v>2.0145637546668054</v>
      </c>
      <c r="F33" s="42" t="s">
        <v>48</v>
      </c>
      <c r="G33" s="40" t="s">
        <v>48</v>
      </c>
      <c r="H33" s="40" t="s">
        <v>48</v>
      </c>
      <c r="I33" s="40" t="s">
        <v>48</v>
      </c>
      <c r="J33" s="40" t="s">
        <v>48</v>
      </c>
      <c r="K33" s="40" t="s">
        <v>48</v>
      </c>
      <c r="L33" s="40" t="s">
        <v>48</v>
      </c>
      <c r="M33" s="40" t="s">
        <v>48</v>
      </c>
      <c r="N33" s="40" t="s">
        <v>48</v>
      </c>
      <c r="O33" s="40" t="s">
        <v>48</v>
      </c>
      <c r="P33" s="40" t="s">
        <v>48</v>
      </c>
      <c r="Q33" s="40" t="s">
        <v>48</v>
      </c>
      <c r="R33" s="40" t="s">
        <v>48</v>
      </c>
      <c r="S33" s="40" t="s">
        <v>48</v>
      </c>
      <c r="T33" s="40" t="s">
        <v>48</v>
      </c>
      <c r="V33" s="33"/>
      <c r="W33" s="38" t="str">
        <f>Notes!U34</f>
        <v xml:space="preserve">               Other fruits</v>
      </c>
      <c r="X33" s="4" t="s">
        <v>321</v>
      </c>
      <c r="Y33" s="44" t="s">
        <v>48</v>
      </c>
      <c r="Z33" s="42" t="s">
        <v>48</v>
      </c>
      <c r="AA33" s="40" t="s">
        <v>48</v>
      </c>
      <c r="AB33" s="40" t="s">
        <v>48</v>
      </c>
      <c r="AC33" s="40" t="s">
        <v>48</v>
      </c>
      <c r="AD33" s="40" t="s">
        <v>48</v>
      </c>
      <c r="AE33" s="40" t="s">
        <v>48</v>
      </c>
      <c r="AF33" s="40" t="s">
        <v>48</v>
      </c>
      <c r="AG33" s="40" t="s">
        <v>48</v>
      </c>
      <c r="AH33" s="40" t="s">
        <v>48</v>
      </c>
      <c r="AI33" s="40" t="s">
        <v>48</v>
      </c>
      <c r="AJ33" s="40" t="s">
        <v>48</v>
      </c>
      <c r="AK33" s="40" t="s">
        <v>48</v>
      </c>
      <c r="AL33" s="40" t="s">
        <v>48</v>
      </c>
      <c r="AM33" s="40" t="s">
        <v>48</v>
      </c>
      <c r="AN33" s="40" t="s">
        <v>48</v>
      </c>
    </row>
    <row r="34" spans="1:40" x14ac:dyDescent="0.35">
      <c r="A34" s="12">
        <v>27</v>
      </c>
      <c r="B34" s="33"/>
      <c r="C34" s="38" t="str">
        <f>Notes!U35</f>
        <v xml:space="preserve">               Leaf tea</v>
      </c>
      <c r="D34" s="4" t="s">
        <v>704</v>
      </c>
      <c r="E34" s="44" t="s">
        <v>48</v>
      </c>
      <c r="F34" s="42" t="s">
        <v>48</v>
      </c>
      <c r="G34" s="40" t="s">
        <v>48</v>
      </c>
      <c r="H34" s="40" t="s">
        <v>48</v>
      </c>
      <c r="I34" s="40" t="s">
        <v>48</v>
      </c>
      <c r="J34" s="40" t="s">
        <v>48</v>
      </c>
      <c r="K34" s="40" t="s">
        <v>48</v>
      </c>
      <c r="L34" s="40" t="s">
        <v>48</v>
      </c>
      <c r="M34" s="40" t="s">
        <v>48</v>
      </c>
      <c r="N34" s="40" t="s">
        <v>48</v>
      </c>
      <c r="O34" s="40" t="s">
        <v>48</v>
      </c>
      <c r="P34" s="40" t="s">
        <v>48</v>
      </c>
      <c r="Q34" s="40" t="s">
        <v>48</v>
      </c>
      <c r="R34" s="40" t="s">
        <v>48</v>
      </c>
      <c r="S34" s="40" t="s">
        <v>48</v>
      </c>
      <c r="T34" s="40" t="s">
        <v>48</v>
      </c>
      <c r="V34" s="33"/>
      <c r="W34" s="38" t="str">
        <f>Notes!U35</f>
        <v xml:space="preserve">               Leaf tea</v>
      </c>
      <c r="X34" s="4" t="s">
        <v>704</v>
      </c>
      <c r="Y34" s="44" t="s">
        <v>48</v>
      </c>
      <c r="Z34" s="42" t="s">
        <v>48</v>
      </c>
      <c r="AA34" s="40" t="s">
        <v>48</v>
      </c>
      <c r="AB34" s="40" t="s">
        <v>48</v>
      </c>
      <c r="AC34" s="40" t="s">
        <v>48</v>
      </c>
      <c r="AD34" s="40" t="s">
        <v>48</v>
      </c>
      <c r="AE34" s="40" t="s">
        <v>48</v>
      </c>
      <c r="AF34" s="40" t="s">
        <v>48</v>
      </c>
      <c r="AG34" s="40" t="s">
        <v>48</v>
      </c>
      <c r="AH34" s="40" t="s">
        <v>48</v>
      </c>
      <c r="AI34" s="40" t="s">
        <v>48</v>
      </c>
      <c r="AJ34" s="40" t="s">
        <v>48</v>
      </c>
      <c r="AK34" s="40" t="s">
        <v>48</v>
      </c>
      <c r="AL34" s="40" t="s">
        <v>48</v>
      </c>
      <c r="AM34" s="40" t="s">
        <v>48</v>
      </c>
      <c r="AN34" s="40" t="s">
        <v>48</v>
      </c>
    </row>
    <row r="35" spans="1:40" x14ac:dyDescent="0.35">
      <c r="A35" s="12">
        <v>28</v>
      </c>
      <c r="B35" s="33"/>
      <c r="C35" s="38" t="str">
        <f>Notes!U36</f>
        <v xml:space="preserve">               Coffee</v>
      </c>
      <c r="D35" s="4" t="s">
        <v>328</v>
      </c>
      <c r="E35" s="44">
        <v>0.11905941314970493</v>
      </c>
      <c r="F35" s="42" t="s">
        <v>48</v>
      </c>
      <c r="G35" s="40" t="s">
        <v>48</v>
      </c>
      <c r="H35" s="40" t="s">
        <v>48</v>
      </c>
      <c r="I35" s="40" t="s">
        <v>48</v>
      </c>
      <c r="J35" s="40" t="s">
        <v>48</v>
      </c>
      <c r="K35" s="40" t="s">
        <v>48</v>
      </c>
      <c r="L35" s="40" t="s">
        <v>48</v>
      </c>
      <c r="M35" s="40" t="s">
        <v>48</v>
      </c>
      <c r="N35" s="40" t="s">
        <v>48</v>
      </c>
      <c r="O35" s="40" t="s">
        <v>48</v>
      </c>
      <c r="P35" s="40" t="s">
        <v>48</v>
      </c>
      <c r="Q35" s="40" t="s">
        <v>48</v>
      </c>
      <c r="R35" s="40" t="s">
        <v>48</v>
      </c>
      <c r="S35" s="40" t="s">
        <v>48</v>
      </c>
      <c r="T35" s="40" t="s">
        <v>48</v>
      </c>
      <c r="V35" s="33"/>
      <c r="W35" s="38" t="str">
        <f>Notes!U36</f>
        <v xml:space="preserve">               Coffee</v>
      </c>
      <c r="X35" s="4" t="s">
        <v>328</v>
      </c>
      <c r="Y35" s="44" t="s">
        <v>48</v>
      </c>
      <c r="Z35" s="42" t="s">
        <v>48</v>
      </c>
      <c r="AA35" s="40" t="s">
        <v>48</v>
      </c>
      <c r="AB35" s="40" t="s">
        <v>48</v>
      </c>
      <c r="AC35" s="40" t="s">
        <v>48</v>
      </c>
      <c r="AD35" s="40" t="s">
        <v>48</v>
      </c>
      <c r="AE35" s="40" t="s">
        <v>48</v>
      </c>
      <c r="AF35" s="40" t="s">
        <v>48</v>
      </c>
      <c r="AG35" s="40" t="s">
        <v>48</v>
      </c>
      <c r="AH35" s="40" t="s">
        <v>48</v>
      </c>
      <c r="AI35" s="40" t="s">
        <v>48</v>
      </c>
      <c r="AJ35" s="40" t="s">
        <v>48</v>
      </c>
      <c r="AK35" s="40" t="s">
        <v>48</v>
      </c>
      <c r="AL35" s="40" t="s">
        <v>48</v>
      </c>
      <c r="AM35" s="40" t="s">
        <v>48</v>
      </c>
      <c r="AN35" s="40" t="s">
        <v>48</v>
      </c>
    </row>
    <row r="36" spans="1:40" x14ac:dyDescent="0.35">
      <c r="A36" s="12">
        <v>29</v>
      </c>
      <c r="B36" s="33"/>
      <c r="C36" s="38" t="str">
        <f>Notes!U37</f>
        <v xml:space="preserve">               Cocoa</v>
      </c>
      <c r="D36" s="4" t="s">
        <v>705</v>
      </c>
      <c r="E36" s="44">
        <v>0.54775782482656343</v>
      </c>
      <c r="F36" s="42" t="s">
        <v>48</v>
      </c>
      <c r="G36" s="40" t="s">
        <v>48</v>
      </c>
      <c r="H36" s="40" t="s">
        <v>48</v>
      </c>
      <c r="I36" s="40" t="s">
        <v>48</v>
      </c>
      <c r="J36" s="40" t="s">
        <v>48</v>
      </c>
      <c r="K36" s="40" t="s">
        <v>48</v>
      </c>
      <c r="L36" s="40" t="s">
        <v>48</v>
      </c>
      <c r="M36" s="40" t="s">
        <v>48</v>
      </c>
      <c r="N36" s="40" t="s">
        <v>48</v>
      </c>
      <c r="O36" s="40" t="s">
        <v>48</v>
      </c>
      <c r="P36" s="40" t="s">
        <v>48</v>
      </c>
      <c r="Q36" s="40" t="s">
        <v>48</v>
      </c>
      <c r="R36" s="40" t="s">
        <v>48</v>
      </c>
      <c r="S36" s="40" t="s">
        <v>48</v>
      </c>
      <c r="T36" s="40" t="s">
        <v>48</v>
      </c>
      <c r="V36" s="33"/>
      <c r="W36" s="38" t="str">
        <f>Notes!U37</f>
        <v xml:space="preserve">               Cocoa</v>
      </c>
      <c r="X36" s="4" t="s">
        <v>705</v>
      </c>
      <c r="Y36" s="44" t="s">
        <v>48</v>
      </c>
      <c r="Z36" s="42" t="s">
        <v>48</v>
      </c>
      <c r="AA36" s="40" t="s">
        <v>48</v>
      </c>
      <c r="AB36" s="40" t="s">
        <v>48</v>
      </c>
      <c r="AC36" s="40" t="s">
        <v>48</v>
      </c>
      <c r="AD36" s="40" t="s">
        <v>48</v>
      </c>
      <c r="AE36" s="40" t="s">
        <v>48</v>
      </c>
      <c r="AF36" s="40" t="s">
        <v>48</v>
      </c>
      <c r="AG36" s="40" t="s">
        <v>48</v>
      </c>
      <c r="AH36" s="40" t="s">
        <v>48</v>
      </c>
      <c r="AI36" s="40" t="s">
        <v>48</v>
      </c>
      <c r="AJ36" s="40" t="s">
        <v>48</v>
      </c>
      <c r="AK36" s="40" t="s">
        <v>48</v>
      </c>
      <c r="AL36" s="40" t="s">
        <v>48</v>
      </c>
      <c r="AM36" s="40" t="s">
        <v>48</v>
      </c>
      <c r="AN36" s="40" t="s">
        <v>48</v>
      </c>
    </row>
    <row r="37" spans="1:40" x14ac:dyDescent="0.35">
      <c r="A37" s="12">
        <v>30</v>
      </c>
      <c r="B37" s="33"/>
      <c r="C37" s="38" t="str">
        <f>Notes!U38</f>
        <v xml:space="preserve">               Cut flowers</v>
      </c>
      <c r="D37" s="4" t="s">
        <v>331</v>
      </c>
      <c r="E37" s="44">
        <v>0.19516438155016447</v>
      </c>
      <c r="F37" s="42" t="s">
        <v>48</v>
      </c>
      <c r="G37" s="40" t="s">
        <v>48</v>
      </c>
      <c r="H37" s="40" t="s">
        <v>48</v>
      </c>
      <c r="I37" s="40" t="s">
        <v>48</v>
      </c>
      <c r="J37" s="40" t="s">
        <v>48</v>
      </c>
      <c r="K37" s="40" t="s">
        <v>48</v>
      </c>
      <c r="L37" s="40" t="s">
        <v>48</v>
      </c>
      <c r="M37" s="40" t="s">
        <v>48</v>
      </c>
      <c r="N37" s="40" t="s">
        <v>48</v>
      </c>
      <c r="O37" s="40" t="s">
        <v>48</v>
      </c>
      <c r="P37" s="40" t="s">
        <v>48</v>
      </c>
      <c r="Q37" s="40" t="s">
        <v>48</v>
      </c>
      <c r="R37" s="40" t="s">
        <v>48</v>
      </c>
      <c r="S37" s="40" t="s">
        <v>48</v>
      </c>
      <c r="T37" s="40" t="s">
        <v>48</v>
      </c>
      <c r="V37" s="33"/>
      <c r="W37" s="38" t="str">
        <f>Notes!U38</f>
        <v xml:space="preserve">               Cut flowers</v>
      </c>
      <c r="X37" s="4" t="s">
        <v>331</v>
      </c>
      <c r="Y37" s="44">
        <v>8.5125326196536025E-2</v>
      </c>
      <c r="Z37" s="42" t="s">
        <v>48</v>
      </c>
      <c r="AA37" s="40" t="s">
        <v>48</v>
      </c>
      <c r="AB37" s="40" t="s">
        <v>48</v>
      </c>
      <c r="AC37" s="40" t="s">
        <v>48</v>
      </c>
      <c r="AD37" s="40" t="s">
        <v>48</v>
      </c>
      <c r="AE37" s="40" t="s">
        <v>48</v>
      </c>
      <c r="AF37" s="40" t="s">
        <v>48</v>
      </c>
      <c r="AG37" s="40" t="s">
        <v>48</v>
      </c>
      <c r="AH37" s="40" t="s">
        <v>48</v>
      </c>
      <c r="AI37" s="40" t="s">
        <v>48</v>
      </c>
      <c r="AJ37" s="40" t="s">
        <v>48</v>
      </c>
      <c r="AK37" s="40" t="s">
        <v>48</v>
      </c>
      <c r="AL37" s="40" t="s">
        <v>48</v>
      </c>
      <c r="AM37" s="40" t="s">
        <v>48</v>
      </c>
      <c r="AN37" s="40" t="s">
        <v>48</v>
      </c>
    </row>
    <row r="38" spans="1:40" x14ac:dyDescent="0.35">
      <c r="A38" s="12">
        <v>31</v>
      </c>
      <c r="B38" s="33"/>
      <c r="C38" s="38" t="str">
        <f>Notes!U39</f>
        <v xml:space="preserve">               Rubber</v>
      </c>
      <c r="D38" s="4" t="s">
        <v>493</v>
      </c>
      <c r="E38" s="44">
        <v>0.267336951593242</v>
      </c>
      <c r="F38" s="42" t="s">
        <v>48</v>
      </c>
      <c r="G38" s="40" t="s">
        <v>48</v>
      </c>
      <c r="H38" s="40" t="s">
        <v>48</v>
      </c>
      <c r="I38" s="40" t="s">
        <v>48</v>
      </c>
      <c r="J38" s="40" t="s">
        <v>48</v>
      </c>
      <c r="K38" s="40" t="s">
        <v>48</v>
      </c>
      <c r="L38" s="40" t="s">
        <v>48</v>
      </c>
      <c r="M38" s="40" t="s">
        <v>48</v>
      </c>
      <c r="N38" s="40" t="s">
        <v>48</v>
      </c>
      <c r="O38" s="40" t="s">
        <v>48</v>
      </c>
      <c r="P38" s="40" t="s">
        <v>48</v>
      </c>
      <c r="Q38" s="40" t="s">
        <v>48</v>
      </c>
      <c r="R38" s="40" t="s">
        <v>48</v>
      </c>
      <c r="S38" s="40" t="s">
        <v>48</v>
      </c>
      <c r="T38" s="40" t="s">
        <v>48</v>
      </c>
      <c r="V38" s="33"/>
      <c r="W38" s="38" t="str">
        <f>Notes!U39</f>
        <v xml:space="preserve">               Rubber</v>
      </c>
      <c r="X38" s="4" t="s">
        <v>493</v>
      </c>
      <c r="Y38" s="44">
        <v>6.1222118920647786E-2</v>
      </c>
      <c r="Z38" s="42" t="s">
        <v>48</v>
      </c>
      <c r="AA38" s="40" t="s">
        <v>48</v>
      </c>
      <c r="AB38" s="40" t="s">
        <v>48</v>
      </c>
      <c r="AC38" s="40" t="s">
        <v>48</v>
      </c>
      <c r="AD38" s="40" t="s">
        <v>48</v>
      </c>
      <c r="AE38" s="40" t="s">
        <v>48</v>
      </c>
      <c r="AF38" s="40" t="s">
        <v>48</v>
      </c>
      <c r="AG38" s="40" t="s">
        <v>48</v>
      </c>
      <c r="AH38" s="40" t="s">
        <v>48</v>
      </c>
      <c r="AI38" s="40" t="s">
        <v>48</v>
      </c>
      <c r="AJ38" s="40" t="s">
        <v>48</v>
      </c>
      <c r="AK38" s="40" t="s">
        <v>48</v>
      </c>
      <c r="AL38" s="40" t="s">
        <v>48</v>
      </c>
      <c r="AM38" s="40" t="s">
        <v>48</v>
      </c>
      <c r="AN38" s="40" t="s">
        <v>48</v>
      </c>
    </row>
    <row r="39" spans="1:40" x14ac:dyDescent="0.35">
      <c r="A39" s="12">
        <v>32</v>
      </c>
      <c r="B39" s="33"/>
      <c r="C39" s="38" t="str">
        <f>Notes!U40</f>
        <v xml:space="preserve">               Other crops</v>
      </c>
      <c r="D39" s="4" t="s">
        <v>332</v>
      </c>
      <c r="E39" s="44" t="s">
        <v>48</v>
      </c>
      <c r="F39" s="42" t="s">
        <v>48</v>
      </c>
      <c r="G39" s="40" t="s">
        <v>48</v>
      </c>
      <c r="H39" s="40" t="s">
        <v>48</v>
      </c>
      <c r="I39" s="40" t="s">
        <v>48</v>
      </c>
      <c r="J39" s="40" t="s">
        <v>48</v>
      </c>
      <c r="K39" s="40" t="s">
        <v>48</v>
      </c>
      <c r="L39" s="40" t="s">
        <v>48</v>
      </c>
      <c r="M39" s="40" t="s">
        <v>48</v>
      </c>
      <c r="N39" s="40" t="s">
        <v>48</v>
      </c>
      <c r="O39" s="40" t="s">
        <v>48</v>
      </c>
      <c r="P39" s="40" t="s">
        <v>48</v>
      </c>
      <c r="Q39" s="40" t="s">
        <v>48</v>
      </c>
      <c r="R39" s="40" t="s">
        <v>48</v>
      </c>
      <c r="S39" s="40" t="s">
        <v>48</v>
      </c>
      <c r="T39" s="40" t="s">
        <v>48</v>
      </c>
      <c r="V39" s="33"/>
      <c r="W39" s="38" t="str">
        <f>Notes!U40</f>
        <v xml:space="preserve">               Other crops</v>
      </c>
      <c r="X39" s="4" t="s">
        <v>332</v>
      </c>
      <c r="Y39" s="44" t="s">
        <v>48</v>
      </c>
      <c r="Z39" s="42" t="s">
        <v>48</v>
      </c>
      <c r="AA39" s="40" t="s">
        <v>48</v>
      </c>
      <c r="AB39" s="40" t="s">
        <v>48</v>
      </c>
      <c r="AC39" s="40" t="s">
        <v>48</v>
      </c>
      <c r="AD39" s="40" t="s">
        <v>48</v>
      </c>
      <c r="AE39" s="40" t="s">
        <v>48</v>
      </c>
      <c r="AF39" s="40" t="s">
        <v>48</v>
      </c>
      <c r="AG39" s="40" t="s">
        <v>48</v>
      </c>
      <c r="AH39" s="40" t="s">
        <v>48</v>
      </c>
      <c r="AI39" s="40" t="s">
        <v>48</v>
      </c>
      <c r="AJ39" s="40" t="s">
        <v>48</v>
      </c>
      <c r="AK39" s="40" t="s">
        <v>48</v>
      </c>
      <c r="AL39" s="40" t="s">
        <v>48</v>
      </c>
      <c r="AM39" s="40" t="s">
        <v>48</v>
      </c>
      <c r="AN39" s="40" t="s">
        <v>48</v>
      </c>
    </row>
    <row r="40" spans="1:40" x14ac:dyDescent="0.35">
      <c r="A40" s="12">
        <v>33</v>
      </c>
      <c r="B40" s="33"/>
      <c r="C40" s="38" t="str">
        <f>Notes!U41</f>
        <v xml:space="preserve">               Livestock</v>
      </c>
      <c r="D40" s="4" t="s">
        <v>333</v>
      </c>
      <c r="E40" s="44" t="s">
        <v>48</v>
      </c>
      <c r="F40" s="42" t="s">
        <v>48</v>
      </c>
      <c r="G40" s="40" t="s">
        <v>48</v>
      </c>
      <c r="H40" s="40" t="s">
        <v>48</v>
      </c>
      <c r="I40" s="40" t="s">
        <v>48</v>
      </c>
      <c r="J40" s="40" t="s">
        <v>48</v>
      </c>
      <c r="K40" s="40" t="s">
        <v>48</v>
      </c>
      <c r="L40" s="40" t="s">
        <v>48</v>
      </c>
      <c r="M40" s="40" t="s">
        <v>48</v>
      </c>
      <c r="N40" s="40" t="s">
        <v>48</v>
      </c>
      <c r="O40" s="40" t="s">
        <v>48</v>
      </c>
      <c r="P40" s="40" t="s">
        <v>48</v>
      </c>
      <c r="Q40" s="40" t="s">
        <v>48</v>
      </c>
      <c r="R40" s="40" t="s">
        <v>48</v>
      </c>
      <c r="S40" s="40" t="s">
        <v>48</v>
      </c>
      <c r="T40" s="40" t="s">
        <v>48</v>
      </c>
      <c r="V40" s="33"/>
      <c r="W40" s="38" t="str">
        <f>Notes!U41</f>
        <v xml:space="preserve">               Livestock</v>
      </c>
      <c r="X40" s="4" t="s">
        <v>333</v>
      </c>
      <c r="Y40" s="44" t="s">
        <v>48</v>
      </c>
      <c r="Z40" s="42" t="s">
        <v>48</v>
      </c>
      <c r="AA40" s="40" t="s">
        <v>48</v>
      </c>
      <c r="AB40" s="40" t="s">
        <v>48</v>
      </c>
      <c r="AC40" s="40" t="s">
        <v>48</v>
      </c>
      <c r="AD40" s="40" t="s">
        <v>48</v>
      </c>
      <c r="AE40" s="40" t="s">
        <v>48</v>
      </c>
      <c r="AF40" s="40" t="s">
        <v>48</v>
      </c>
      <c r="AG40" s="40" t="s">
        <v>48</v>
      </c>
      <c r="AH40" s="40" t="s">
        <v>48</v>
      </c>
      <c r="AI40" s="40" t="s">
        <v>48</v>
      </c>
      <c r="AJ40" s="40" t="s">
        <v>48</v>
      </c>
      <c r="AK40" s="40" t="s">
        <v>48</v>
      </c>
      <c r="AL40" s="40" t="s">
        <v>48</v>
      </c>
      <c r="AM40" s="40" t="s">
        <v>48</v>
      </c>
      <c r="AN40" s="40" t="s">
        <v>48</v>
      </c>
    </row>
    <row r="41" spans="1:40" x14ac:dyDescent="0.35">
      <c r="A41" s="12">
        <v>34</v>
      </c>
      <c r="B41" s="33"/>
      <c r="C41" s="38" t="str">
        <f>Notes!U42</f>
        <v xml:space="preserve">               Cattle</v>
      </c>
      <c r="D41" s="4" t="s">
        <v>488</v>
      </c>
      <c r="E41" s="44">
        <v>0.18846270794032013</v>
      </c>
      <c r="F41" s="42" t="s">
        <v>48</v>
      </c>
      <c r="G41" s="40" t="s">
        <v>48</v>
      </c>
      <c r="H41" s="40" t="s">
        <v>48</v>
      </c>
      <c r="I41" s="40" t="s">
        <v>48</v>
      </c>
      <c r="J41" s="40" t="s">
        <v>48</v>
      </c>
      <c r="K41" s="40" t="s">
        <v>48</v>
      </c>
      <c r="L41" s="40" t="s">
        <v>48</v>
      </c>
      <c r="M41" s="40" t="s">
        <v>48</v>
      </c>
      <c r="N41" s="40" t="s">
        <v>48</v>
      </c>
      <c r="O41" s="40" t="s">
        <v>48</v>
      </c>
      <c r="P41" s="40" t="s">
        <v>48</v>
      </c>
      <c r="Q41" s="40" t="s">
        <v>48</v>
      </c>
      <c r="R41" s="40" t="s">
        <v>48</v>
      </c>
      <c r="S41" s="40" t="s">
        <v>48</v>
      </c>
      <c r="T41" s="40" t="s">
        <v>48</v>
      </c>
      <c r="V41" s="33"/>
      <c r="W41" s="38" t="str">
        <f>Notes!U42</f>
        <v xml:space="preserve">               Cattle</v>
      </c>
      <c r="X41" s="4" t="s">
        <v>488</v>
      </c>
      <c r="Y41" s="44">
        <v>3.954897320590723E-2</v>
      </c>
      <c r="Z41" s="42" t="s">
        <v>48</v>
      </c>
      <c r="AA41" s="40" t="s">
        <v>48</v>
      </c>
      <c r="AB41" s="40" t="s">
        <v>48</v>
      </c>
      <c r="AC41" s="40" t="s">
        <v>48</v>
      </c>
      <c r="AD41" s="40" t="s">
        <v>48</v>
      </c>
      <c r="AE41" s="40" t="s">
        <v>48</v>
      </c>
      <c r="AF41" s="40" t="s">
        <v>48</v>
      </c>
      <c r="AG41" s="40" t="s">
        <v>48</v>
      </c>
      <c r="AH41" s="40" t="s">
        <v>48</v>
      </c>
      <c r="AI41" s="40" t="s">
        <v>48</v>
      </c>
      <c r="AJ41" s="40" t="s">
        <v>48</v>
      </c>
      <c r="AK41" s="40" t="s">
        <v>48</v>
      </c>
      <c r="AL41" s="40" t="s">
        <v>48</v>
      </c>
      <c r="AM41" s="40" t="s">
        <v>48</v>
      </c>
      <c r="AN41" s="40" t="s">
        <v>48</v>
      </c>
    </row>
    <row r="42" spans="1:40" x14ac:dyDescent="0.35">
      <c r="A42" s="12">
        <v>35</v>
      </c>
      <c r="B42" s="33"/>
      <c r="C42" s="38" t="str">
        <f>Notes!U43</f>
        <v xml:space="preserve">               Raw milk</v>
      </c>
      <c r="D42" s="4" t="s">
        <v>491</v>
      </c>
      <c r="E42" s="44" t="s">
        <v>48</v>
      </c>
      <c r="F42" s="42" t="s">
        <v>48</v>
      </c>
      <c r="G42" s="40" t="s">
        <v>48</v>
      </c>
      <c r="H42" s="40" t="s">
        <v>48</v>
      </c>
      <c r="I42" s="40" t="s">
        <v>48</v>
      </c>
      <c r="J42" s="40" t="s">
        <v>48</v>
      </c>
      <c r="K42" s="40" t="s">
        <v>48</v>
      </c>
      <c r="L42" s="40" t="s">
        <v>48</v>
      </c>
      <c r="M42" s="40" t="s">
        <v>48</v>
      </c>
      <c r="N42" s="40" t="s">
        <v>48</v>
      </c>
      <c r="O42" s="40" t="s">
        <v>48</v>
      </c>
      <c r="P42" s="40" t="s">
        <v>48</v>
      </c>
      <c r="Q42" s="40" t="s">
        <v>48</v>
      </c>
      <c r="R42" s="40" t="s">
        <v>48</v>
      </c>
      <c r="S42" s="40" t="s">
        <v>48</v>
      </c>
      <c r="T42" s="40" t="s">
        <v>48</v>
      </c>
      <c r="V42" s="33"/>
      <c r="W42" s="38" t="str">
        <f>Notes!U43</f>
        <v xml:space="preserve">               Raw milk</v>
      </c>
      <c r="X42" s="4" t="s">
        <v>491</v>
      </c>
      <c r="Y42" s="44" t="s">
        <v>48</v>
      </c>
      <c r="Z42" s="42" t="s">
        <v>48</v>
      </c>
      <c r="AA42" s="40" t="s">
        <v>48</v>
      </c>
      <c r="AB42" s="40" t="s">
        <v>48</v>
      </c>
      <c r="AC42" s="40" t="s">
        <v>48</v>
      </c>
      <c r="AD42" s="40" t="s">
        <v>48</v>
      </c>
      <c r="AE42" s="40" t="s">
        <v>48</v>
      </c>
      <c r="AF42" s="40" t="s">
        <v>48</v>
      </c>
      <c r="AG42" s="40" t="s">
        <v>48</v>
      </c>
      <c r="AH42" s="40" t="s">
        <v>48</v>
      </c>
      <c r="AI42" s="40" t="s">
        <v>48</v>
      </c>
      <c r="AJ42" s="40" t="s">
        <v>48</v>
      </c>
      <c r="AK42" s="40" t="s">
        <v>48</v>
      </c>
      <c r="AL42" s="40" t="s">
        <v>48</v>
      </c>
      <c r="AM42" s="40" t="s">
        <v>48</v>
      </c>
      <c r="AN42" s="40" t="s">
        <v>48</v>
      </c>
    </row>
    <row r="43" spans="1:40" x14ac:dyDescent="0.35">
      <c r="A43" s="12">
        <v>36</v>
      </c>
      <c r="B43" s="33"/>
      <c r="C43" s="38" t="str">
        <f>Notes!U44</f>
        <v xml:space="preserve">               Poultry</v>
      </c>
      <c r="D43" s="4" t="s">
        <v>706</v>
      </c>
      <c r="E43" s="44" t="s">
        <v>48</v>
      </c>
      <c r="F43" s="42" t="s">
        <v>48</v>
      </c>
      <c r="G43" s="40" t="s">
        <v>48</v>
      </c>
      <c r="H43" s="40" t="s">
        <v>48</v>
      </c>
      <c r="I43" s="40" t="s">
        <v>48</v>
      </c>
      <c r="J43" s="40" t="s">
        <v>48</v>
      </c>
      <c r="K43" s="40" t="s">
        <v>48</v>
      </c>
      <c r="L43" s="40" t="s">
        <v>48</v>
      </c>
      <c r="M43" s="40" t="s">
        <v>48</v>
      </c>
      <c r="N43" s="40" t="s">
        <v>48</v>
      </c>
      <c r="O43" s="40" t="s">
        <v>48</v>
      </c>
      <c r="P43" s="40" t="s">
        <v>48</v>
      </c>
      <c r="Q43" s="40" t="s">
        <v>48</v>
      </c>
      <c r="R43" s="40" t="s">
        <v>48</v>
      </c>
      <c r="S43" s="40" t="s">
        <v>48</v>
      </c>
      <c r="T43" s="40" t="s">
        <v>48</v>
      </c>
      <c r="V43" s="33"/>
      <c r="W43" s="38" t="str">
        <f>Notes!U44</f>
        <v xml:space="preserve">               Poultry</v>
      </c>
      <c r="X43" s="4" t="s">
        <v>706</v>
      </c>
      <c r="Y43" s="44" t="s">
        <v>48</v>
      </c>
      <c r="Z43" s="42" t="s">
        <v>48</v>
      </c>
      <c r="AA43" s="40" t="s">
        <v>48</v>
      </c>
      <c r="AB43" s="40" t="s">
        <v>48</v>
      </c>
      <c r="AC43" s="40" t="s">
        <v>48</v>
      </c>
      <c r="AD43" s="40" t="s">
        <v>48</v>
      </c>
      <c r="AE43" s="40" t="s">
        <v>48</v>
      </c>
      <c r="AF43" s="40" t="s">
        <v>48</v>
      </c>
      <c r="AG43" s="40" t="s">
        <v>48</v>
      </c>
      <c r="AH43" s="40" t="s">
        <v>48</v>
      </c>
      <c r="AI43" s="40" t="s">
        <v>48</v>
      </c>
      <c r="AJ43" s="40" t="s">
        <v>48</v>
      </c>
      <c r="AK43" s="40" t="s">
        <v>48</v>
      </c>
      <c r="AL43" s="40" t="s">
        <v>48</v>
      </c>
      <c r="AM43" s="40" t="s">
        <v>48</v>
      </c>
      <c r="AN43" s="40" t="s">
        <v>48</v>
      </c>
    </row>
    <row r="44" spans="1:40" x14ac:dyDescent="0.35">
      <c r="A44" s="12">
        <v>37</v>
      </c>
      <c r="B44" s="33"/>
      <c r="C44" s="38" t="str">
        <f>Notes!U45</f>
        <v xml:space="preserve">               Eggs</v>
      </c>
      <c r="D44" s="4" t="s">
        <v>336</v>
      </c>
      <c r="E44" s="44">
        <v>7.8874243652921908E-2</v>
      </c>
      <c r="F44" s="42" t="s">
        <v>48</v>
      </c>
      <c r="G44" s="40" t="s">
        <v>48</v>
      </c>
      <c r="H44" s="40" t="s">
        <v>48</v>
      </c>
      <c r="I44" s="40" t="s">
        <v>48</v>
      </c>
      <c r="J44" s="40" t="s">
        <v>48</v>
      </c>
      <c r="K44" s="40" t="s">
        <v>48</v>
      </c>
      <c r="L44" s="40" t="s">
        <v>48</v>
      </c>
      <c r="M44" s="40" t="s">
        <v>48</v>
      </c>
      <c r="N44" s="40" t="s">
        <v>48</v>
      </c>
      <c r="O44" s="40" t="s">
        <v>48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V44" s="33"/>
      <c r="W44" s="38" t="str">
        <f>Notes!U45</f>
        <v xml:space="preserve">               Eggs</v>
      </c>
      <c r="X44" s="4" t="s">
        <v>336</v>
      </c>
      <c r="Y44" s="44">
        <v>2.1673145714740563E-2</v>
      </c>
      <c r="Z44" s="42" t="s">
        <v>48</v>
      </c>
      <c r="AA44" s="40" t="s">
        <v>48</v>
      </c>
      <c r="AB44" s="40" t="s">
        <v>48</v>
      </c>
      <c r="AC44" s="40" t="s">
        <v>48</v>
      </c>
      <c r="AD44" s="40" t="s">
        <v>48</v>
      </c>
      <c r="AE44" s="40" t="s">
        <v>48</v>
      </c>
      <c r="AF44" s="40" t="s">
        <v>48</v>
      </c>
      <c r="AG44" s="40" t="s">
        <v>48</v>
      </c>
      <c r="AH44" s="40" t="s">
        <v>48</v>
      </c>
      <c r="AI44" s="40" t="s">
        <v>48</v>
      </c>
      <c r="AJ44" s="40" t="s">
        <v>48</v>
      </c>
      <c r="AK44" s="40" t="s">
        <v>48</v>
      </c>
      <c r="AL44" s="40" t="s">
        <v>48</v>
      </c>
      <c r="AM44" s="40" t="s">
        <v>48</v>
      </c>
      <c r="AN44" s="40" t="s">
        <v>48</v>
      </c>
    </row>
    <row r="45" spans="1:40" x14ac:dyDescent="0.35">
      <c r="A45" s="12">
        <v>38</v>
      </c>
      <c r="B45" s="33"/>
      <c r="C45" s="38" t="str">
        <f>Notes!U46</f>
        <v xml:space="preserve">               Small ruminants</v>
      </c>
      <c r="D45" s="4" t="s">
        <v>707</v>
      </c>
      <c r="E45" s="44" t="s">
        <v>48</v>
      </c>
      <c r="F45" s="42" t="s">
        <v>48</v>
      </c>
      <c r="G45" s="40" t="s">
        <v>48</v>
      </c>
      <c r="H45" s="40" t="s">
        <v>48</v>
      </c>
      <c r="I45" s="40" t="s">
        <v>48</v>
      </c>
      <c r="J45" s="40" t="s">
        <v>48</v>
      </c>
      <c r="K45" s="40" t="s">
        <v>48</v>
      </c>
      <c r="L45" s="40" t="s">
        <v>48</v>
      </c>
      <c r="M45" s="40" t="s">
        <v>48</v>
      </c>
      <c r="N45" s="40" t="s">
        <v>48</v>
      </c>
      <c r="O45" s="40" t="s">
        <v>48</v>
      </c>
      <c r="P45" s="40" t="s">
        <v>48</v>
      </c>
      <c r="Q45" s="40" t="s">
        <v>48</v>
      </c>
      <c r="R45" s="40" t="s">
        <v>48</v>
      </c>
      <c r="S45" s="40" t="s">
        <v>48</v>
      </c>
      <c r="T45" s="40" t="s">
        <v>48</v>
      </c>
      <c r="V45" s="33"/>
      <c r="W45" s="38" t="str">
        <f>Notes!U46</f>
        <v xml:space="preserve">               Small ruminants</v>
      </c>
      <c r="X45" s="4" t="s">
        <v>707</v>
      </c>
      <c r="Y45" s="44" t="s">
        <v>48</v>
      </c>
      <c r="Z45" s="42" t="s">
        <v>48</v>
      </c>
      <c r="AA45" s="40" t="s">
        <v>48</v>
      </c>
      <c r="AB45" s="40" t="s">
        <v>48</v>
      </c>
      <c r="AC45" s="40" t="s">
        <v>48</v>
      </c>
      <c r="AD45" s="40" t="s">
        <v>48</v>
      </c>
      <c r="AE45" s="40" t="s">
        <v>48</v>
      </c>
      <c r="AF45" s="40" t="s">
        <v>48</v>
      </c>
      <c r="AG45" s="40" t="s">
        <v>48</v>
      </c>
      <c r="AH45" s="40" t="s">
        <v>48</v>
      </c>
      <c r="AI45" s="40" t="s">
        <v>48</v>
      </c>
      <c r="AJ45" s="40" t="s">
        <v>48</v>
      </c>
      <c r="AK45" s="40" t="s">
        <v>48</v>
      </c>
      <c r="AL45" s="40" t="s">
        <v>48</v>
      </c>
      <c r="AM45" s="40" t="s">
        <v>48</v>
      </c>
      <c r="AN45" s="40" t="s">
        <v>48</v>
      </c>
    </row>
    <row r="46" spans="1:40" x14ac:dyDescent="0.35">
      <c r="A46" s="12">
        <v>39</v>
      </c>
      <c r="B46" s="33"/>
      <c r="C46" s="38" t="str">
        <f>Notes!U47</f>
        <v xml:space="preserve">               Other livestock</v>
      </c>
      <c r="D46" s="4" t="s">
        <v>338</v>
      </c>
      <c r="E46" s="44" t="s">
        <v>48</v>
      </c>
      <c r="F46" s="42" t="s">
        <v>48</v>
      </c>
      <c r="G46" s="40" t="s">
        <v>48</v>
      </c>
      <c r="H46" s="40" t="s">
        <v>48</v>
      </c>
      <c r="I46" s="40" t="s">
        <v>48</v>
      </c>
      <c r="J46" s="40" t="s">
        <v>48</v>
      </c>
      <c r="K46" s="40" t="s">
        <v>48</v>
      </c>
      <c r="L46" s="40" t="s">
        <v>48</v>
      </c>
      <c r="M46" s="40" t="s">
        <v>48</v>
      </c>
      <c r="N46" s="40" t="s">
        <v>48</v>
      </c>
      <c r="O46" s="40" t="s">
        <v>48</v>
      </c>
      <c r="P46" s="40" t="s">
        <v>48</v>
      </c>
      <c r="Q46" s="40" t="s">
        <v>48</v>
      </c>
      <c r="R46" s="40" t="s">
        <v>48</v>
      </c>
      <c r="S46" s="40" t="s">
        <v>48</v>
      </c>
      <c r="T46" s="40" t="s">
        <v>48</v>
      </c>
      <c r="V46" s="33"/>
      <c r="W46" s="38" t="str">
        <f>Notes!U47</f>
        <v xml:space="preserve">               Other livestock</v>
      </c>
      <c r="X46" s="4" t="s">
        <v>338</v>
      </c>
      <c r="Y46" s="44" t="s">
        <v>48</v>
      </c>
      <c r="Z46" s="42" t="s">
        <v>48</v>
      </c>
      <c r="AA46" s="40" t="s">
        <v>48</v>
      </c>
      <c r="AB46" s="40" t="s">
        <v>48</v>
      </c>
      <c r="AC46" s="40" t="s">
        <v>48</v>
      </c>
      <c r="AD46" s="40" t="s">
        <v>48</v>
      </c>
      <c r="AE46" s="40" t="s">
        <v>48</v>
      </c>
      <c r="AF46" s="40" t="s">
        <v>48</v>
      </c>
      <c r="AG46" s="40" t="s">
        <v>48</v>
      </c>
      <c r="AH46" s="40" t="s">
        <v>48</v>
      </c>
      <c r="AI46" s="40" t="s">
        <v>48</v>
      </c>
      <c r="AJ46" s="40" t="s">
        <v>48</v>
      </c>
      <c r="AK46" s="40" t="s">
        <v>48</v>
      </c>
      <c r="AL46" s="40" t="s">
        <v>48</v>
      </c>
      <c r="AM46" s="40" t="s">
        <v>48</v>
      </c>
      <c r="AN46" s="40" t="s">
        <v>48</v>
      </c>
    </row>
    <row r="47" spans="1:40" x14ac:dyDescent="0.35">
      <c r="A47" s="12">
        <v>40</v>
      </c>
      <c r="B47" s="33"/>
      <c r="C47" s="38" t="str">
        <f>Notes!U48</f>
        <v xml:space="preserve">               Other agriculture</v>
      </c>
      <c r="D47" s="4" t="s">
        <v>708</v>
      </c>
      <c r="E47" s="44" t="s">
        <v>48</v>
      </c>
      <c r="F47" s="42" t="s">
        <v>48</v>
      </c>
      <c r="G47" s="40" t="s">
        <v>48</v>
      </c>
      <c r="H47" s="40" t="s">
        <v>48</v>
      </c>
      <c r="I47" s="40" t="s">
        <v>48</v>
      </c>
      <c r="J47" s="40" t="s">
        <v>48</v>
      </c>
      <c r="K47" s="40" t="s">
        <v>48</v>
      </c>
      <c r="L47" s="40" t="s">
        <v>48</v>
      </c>
      <c r="M47" s="40" t="s">
        <v>48</v>
      </c>
      <c r="N47" s="40" t="s">
        <v>48</v>
      </c>
      <c r="O47" s="40" t="s">
        <v>48</v>
      </c>
      <c r="P47" s="40" t="s">
        <v>48</v>
      </c>
      <c r="Q47" s="40" t="s">
        <v>48</v>
      </c>
      <c r="R47" s="40" t="s">
        <v>48</v>
      </c>
      <c r="S47" s="40" t="s">
        <v>48</v>
      </c>
      <c r="T47" s="40" t="s">
        <v>48</v>
      </c>
      <c r="V47" s="33"/>
      <c r="W47" s="38" t="str">
        <f>Notes!U48</f>
        <v xml:space="preserve">               Other agriculture</v>
      </c>
      <c r="X47" s="4" t="s">
        <v>708</v>
      </c>
      <c r="Y47" s="44" t="s">
        <v>48</v>
      </c>
      <c r="Z47" s="42" t="s">
        <v>48</v>
      </c>
      <c r="AA47" s="40" t="s">
        <v>48</v>
      </c>
      <c r="AB47" s="40" t="s">
        <v>48</v>
      </c>
      <c r="AC47" s="40" t="s">
        <v>48</v>
      </c>
      <c r="AD47" s="40" t="s">
        <v>48</v>
      </c>
      <c r="AE47" s="40" t="s">
        <v>48</v>
      </c>
      <c r="AF47" s="40" t="s">
        <v>48</v>
      </c>
      <c r="AG47" s="40" t="s">
        <v>48</v>
      </c>
      <c r="AH47" s="40" t="s">
        <v>48</v>
      </c>
      <c r="AI47" s="40" t="s">
        <v>48</v>
      </c>
      <c r="AJ47" s="40" t="s">
        <v>48</v>
      </c>
      <c r="AK47" s="40" t="s">
        <v>48</v>
      </c>
      <c r="AL47" s="40" t="s">
        <v>48</v>
      </c>
      <c r="AM47" s="40" t="s">
        <v>48</v>
      </c>
      <c r="AN47" s="40" t="s">
        <v>48</v>
      </c>
    </row>
    <row r="48" spans="1:40" x14ac:dyDescent="0.35">
      <c r="A48" s="12">
        <v>41</v>
      </c>
      <c r="B48" s="33"/>
      <c r="C48" s="38" t="str">
        <f>Notes!U49</f>
        <v xml:space="preserve">               Forestry</v>
      </c>
      <c r="D48" s="4" t="s">
        <v>709</v>
      </c>
      <c r="E48" s="44" t="s">
        <v>48</v>
      </c>
      <c r="F48" s="42" t="s">
        <v>48</v>
      </c>
      <c r="G48" s="40" t="s">
        <v>48</v>
      </c>
      <c r="H48" s="40" t="s">
        <v>48</v>
      </c>
      <c r="I48" s="40" t="s">
        <v>48</v>
      </c>
      <c r="J48" s="40" t="s">
        <v>48</v>
      </c>
      <c r="K48" s="40" t="s">
        <v>48</v>
      </c>
      <c r="L48" s="40" t="s">
        <v>48</v>
      </c>
      <c r="M48" s="40" t="s">
        <v>48</v>
      </c>
      <c r="N48" s="40" t="s">
        <v>48</v>
      </c>
      <c r="O48" s="40" t="s">
        <v>48</v>
      </c>
      <c r="P48" s="40" t="s">
        <v>48</v>
      </c>
      <c r="Q48" s="40" t="s">
        <v>48</v>
      </c>
      <c r="R48" s="40" t="s">
        <v>48</v>
      </c>
      <c r="S48" s="40" t="s">
        <v>48</v>
      </c>
      <c r="T48" s="40" t="s">
        <v>48</v>
      </c>
      <c r="V48" s="33"/>
      <c r="W48" s="38" t="str">
        <f>Notes!U49</f>
        <v xml:space="preserve">               Forestry</v>
      </c>
      <c r="X48" s="4" t="s">
        <v>709</v>
      </c>
      <c r="Y48" s="44" t="s">
        <v>48</v>
      </c>
      <c r="Z48" s="42" t="s">
        <v>48</v>
      </c>
      <c r="AA48" s="40" t="s">
        <v>48</v>
      </c>
      <c r="AB48" s="40" t="s">
        <v>48</v>
      </c>
      <c r="AC48" s="40" t="s">
        <v>48</v>
      </c>
      <c r="AD48" s="40" t="s">
        <v>48</v>
      </c>
      <c r="AE48" s="40" t="s">
        <v>48</v>
      </c>
      <c r="AF48" s="40" t="s">
        <v>48</v>
      </c>
      <c r="AG48" s="40" t="s">
        <v>48</v>
      </c>
      <c r="AH48" s="40" t="s">
        <v>48</v>
      </c>
      <c r="AI48" s="40" t="s">
        <v>48</v>
      </c>
      <c r="AJ48" s="40" t="s">
        <v>48</v>
      </c>
      <c r="AK48" s="40" t="s">
        <v>48</v>
      </c>
      <c r="AL48" s="40" t="s">
        <v>48</v>
      </c>
      <c r="AM48" s="40" t="s">
        <v>48</v>
      </c>
      <c r="AN48" s="40" t="s">
        <v>48</v>
      </c>
    </row>
    <row r="49" spans="1:40" x14ac:dyDescent="0.35">
      <c r="A49" s="12">
        <v>42</v>
      </c>
      <c r="B49" s="33"/>
      <c r="C49" s="38" t="str">
        <f>Notes!U50</f>
        <v xml:space="preserve">               Aquaculture</v>
      </c>
      <c r="D49" s="4" t="s">
        <v>710</v>
      </c>
      <c r="E49" s="44">
        <v>88.303396918261342</v>
      </c>
      <c r="F49" s="42" t="s">
        <v>48</v>
      </c>
      <c r="G49" s="40" t="s">
        <v>48</v>
      </c>
      <c r="H49" s="40" t="s">
        <v>48</v>
      </c>
      <c r="I49" s="40" t="s">
        <v>48</v>
      </c>
      <c r="J49" s="40" t="s">
        <v>48</v>
      </c>
      <c r="K49" s="40" t="s">
        <v>48</v>
      </c>
      <c r="L49" s="40" t="s">
        <v>48</v>
      </c>
      <c r="M49" s="40" t="s">
        <v>48</v>
      </c>
      <c r="N49" s="40" t="s">
        <v>48</v>
      </c>
      <c r="O49" s="40" t="s">
        <v>48</v>
      </c>
      <c r="P49" s="40" t="s">
        <v>48</v>
      </c>
      <c r="Q49" s="40" t="s">
        <v>48</v>
      </c>
      <c r="R49" s="40" t="s">
        <v>48</v>
      </c>
      <c r="S49" s="40" t="s">
        <v>48</v>
      </c>
      <c r="T49" s="40" t="s">
        <v>48</v>
      </c>
      <c r="V49" s="33"/>
      <c r="W49" s="38" t="str">
        <f>Notes!U50</f>
        <v xml:space="preserve">               Aquaculture</v>
      </c>
      <c r="X49" s="4" t="s">
        <v>710</v>
      </c>
      <c r="Y49" s="44">
        <v>93.596095332718463</v>
      </c>
      <c r="Z49" s="42" t="s">
        <v>48</v>
      </c>
      <c r="AA49" s="40" t="s">
        <v>48</v>
      </c>
      <c r="AB49" s="40" t="s">
        <v>48</v>
      </c>
      <c r="AC49" s="40" t="s">
        <v>48</v>
      </c>
      <c r="AD49" s="40" t="s">
        <v>48</v>
      </c>
      <c r="AE49" s="40" t="s">
        <v>48</v>
      </c>
      <c r="AF49" s="40" t="s">
        <v>48</v>
      </c>
      <c r="AG49" s="40" t="s">
        <v>48</v>
      </c>
      <c r="AH49" s="40" t="s">
        <v>48</v>
      </c>
      <c r="AI49" s="40" t="s">
        <v>48</v>
      </c>
      <c r="AJ49" s="40" t="s">
        <v>48</v>
      </c>
      <c r="AK49" s="40" t="s">
        <v>48</v>
      </c>
      <c r="AL49" s="40" t="s">
        <v>48</v>
      </c>
      <c r="AM49" s="40" t="s">
        <v>48</v>
      </c>
      <c r="AN49" s="40" t="s">
        <v>48</v>
      </c>
    </row>
    <row r="50" spans="1:40" x14ac:dyDescent="0.35">
      <c r="A50" s="12">
        <v>43</v>
      </c>
      <c r="B50" s="33"/>
      <c r="C50" s="38" t="str">
        <f>Notes!U51</f>
        <v xml:space="preserve">               Capture fisheries</v>
      </c>
      <c r="D50" s="4" t="s">
        <v>499</v>
      </c>
      <c r="E50" s="44">
        <v>55.87711120759662</v>
      </c>
      <c r="F50" s="42" t="s">
        <v>48</v>
      </c>
      <c r="G50" s="40" t="s">
        <v>48</v>
      </c>
      <c r="H50" s="40" t="s">
        <v>48</v>
      </c>
      <c r="I50" s="40" t="s">
        <v>48</v>
      </c>
      <c r="J50" s="40" t="s">
        <v>48</v>
      </c>
      <c r="K50" s="40" t="s">
        <v>48</v>
      </c>
      <c r="L50" s="40" t="s">
        <v>48</v>
      </c>
      <c r="M50" s="40" t="s">
        <v>48</v>
      </c>
      <c r="N50" s="40" t="s">
        <v>48</v>
      </c>
      <c r="O50" s="40" t="s">
        <v>48</v>
      </c>
      <c r="P50" s="40" t="s">
        <v>48</v>
      </c>
      <c r="Q50" s="40" t="s">
        <v>48</v>
      </c>
      <c r="R50" s="40" t="s">
        <v>48</v>
      </c>
      <c r="S50" s="40" t="s">
        <v>48</v>
      </c>
      <c r="T50" s="40" t="s">
        <v>48</v>
      </c>
      <c r="V50" s="33"/>
      <c r="W50" s="38" t="str">
        <f>Notes!U51</f>
        <v xml:space="preserve">               Capture fisheries</v>
      </c>
      <c r="X50" s="4" t="s">
        <v>499</v>
      </c>
      <c r="Y50" s="44">
        <v>82.832081980677415</v>
      </c>
      <c r="Z50" s="42" t="s">
        <v>48</v>
      </c>
      <c r="AA50" s="40" t="s">
        <v>48</v>
      </c>
      <c r="AB50" s="40" t="s">
        <v>48</v>
      </c>
      <c r="AC50" s="40" t="s">
        <v>48</v>
      </c>
      <c r="AD50" s="40" t="s">
        <v>48</v>
      </c>
      <c r="AE50" s="40" t="s">
        <v>48</v>
      </c>
      <c r="AF50" s="40" t="s">
        <v>48</v>
      </c>
      <c r="AG50" s="40" t="s">
        <v>48</v>
      </c>
      <c r="AH50" s="40" t="s">
        <v>48</v>
      </c>
      <c r="AI50" s="40" t="s">
        <v>48</v>
      </c>
      <c r="AJ50" s="40" t="s">
        <v>48</v>
      </c>
      <c r="AK50" s="40" t="s">
        <v>48</v>
      </c>
      <c r="AL50" s="40" t="s">
        <v>48</v>
      </c>
      <c r="AM50" s="40" t="s">
        <v>48</v>
      </c>
      <c r="AN50" s="40" t="s">
        <v>48</v>
      </c>
    </row>
    <row r="51" spans="1:40" x14ac:dyDescent="0.35">
      <c r="A51" s="12">
        <v>44</v>
      </c>
      <c r="B51" s="33"/>
      <c r="C51" s="38" t="str">
        <f>Notes!U52</f>
        <v xml:space="preserve">               Industry</v>
      </c>
      <c r="D51" s="4" t="s">
        <v>501</v>
      </c>
      <c r="E51" s="44">
        <v>23.05519055335829</v>
      </c>
      <c r="F51" s="42" t="s">
        <v>48</v>
      </c>
      <c r="G51" s="40" t="s">
        <v>48</v>
      </c>
      <c r="H51" s="40" t="s">
        <v>48</v>
      </c>
      <c r="I51" s="40" t="s">
        <v>48</v>
      </c>
      <c r="J51" s="40" t="s">
        <v>48</v>
      </c>
      <c r="K51" s="40" t="s">
        <v>48</v>
      </c>
      <c r="L51" s="40" t="s">
        <v>48</v>
      </c>
      <c r="M51" s="40" t="s">
        <v>48</v>
      </c>
      <c r="N51" s="40" t="s">
        <v>48</v>
      </c>
      <c r="O51" s="40" t="s">
        <v>48</v>
      </c>
      <c r="P51" s="40" t="s">
        <v>48</v>
      </c>
      <c r="Q51" s="40" t="s">
        <v>48</v>
      </c>
      <c r="R51" s="40" t="s">
        <v>48</v>
      </c>
      <c r="S51" s="40" t="s">
        <v>48</v>
      </c>
      <c r="T51" s="40" t="s">
        <v>48</v>
      </c>
      <c r="V51" s="33"/>
      <c r="W51" s="38" t="str">
        <f>Notes!U52</f>
        <v xml:space="preserve">               Industry</v>
      </c>
      <c r="X51" s="4" t="s">
        <v>501</v>
      </c>
      <c r="Y51" s="44">
        <v>0.55368935251314588</v>
      </c>
      <c r="Z51" s="42" t="s">
        <v>48</v>
      </c>
      <c r="AA51" s="40" t="s">
        <v>48</v>
      </c>
      <c r="AB51" s="40" t="s">
        <v>48</v>
      </c>
      <c r="AC51" s="40" t="s">
        <v>48</v>
      </c>
      <c r="AD51" s="40" t="s">
        <v>48</v>
      </c>
      <c r="AE51" s="40" t="s">
        <v>48</v>
      </c>
      <c r="AF51" s="40" t="s">
        <v>48</v>
      </c>
      <c r="AG51" s="40" t="s">
        <v>48</v>
      </c>
      <c r="AH51" s="40" t="s">
        <v>48</v>
      </c>
      <c r="AI51" s="40" t="s">
        <v>48</v>
      </c>
      <c r="AJ51" s="40" t="s">
        <v>48</v>
      </c>
      <c r="AK51" s="40" t="s">
        <v>48</v>
      </c>
      <c r="AL51" s="40" t="s">
        <v>48</v>
      </c>
      <c r="AM51" s="40" t="s">
        <v>48</v>
      </c>
      <c r="AN51" s="40" t="s">
        <v>48</v>
      </c>
    </row>
    <row r="52" spans="1:40" x14ac:dyDescent="0.35">
      <c r="A52" s="12">
        <v>45</v>
      </c>
      <c r="B52" s="33"/>
      <c r="C52" s="38" t="str">
        <f>Notes!U53</f>
        <v xml:space="preserve">               Mining</v>
      </c>
      <c r="D52" s="4" t="s">
        <v>711</v>
      </c>
      <c r="E52" s="44" t="s">
        <v>48</v>
      </c>
      <c r="F52" s="42" t="s">
        <v>48</v>
      </c>
      <c r="G52" s="40" t="s">
        <v>48</v>
      </c>
      <c r="H52" s="40" t="s">
        <v>48</v>
      </c>
      <c r="I52" s="40" t="s">
        <v>48</v>
      </c>
      <c r="J52" s="40" t="s">
        <v>48</v>
      </c>
      <c r="K52" s="40" t="s">
        <v>48</v>
      </c>
      <c r="L52" s="40" t="s">
        <v>48</v>
      </c>
      <c r="M52" s="40" t="s">
        <v>48</v>
      </c>
      <c r="N52" s="40" t="s">
        <v>48</v>
      </c>
      <c r="O52" s="40" t="s">
        <v>48</v>
      </c>
      <c r="P52" s="40" t="s">
        <v>48</v>
      </c>
      <c r="Q52" s="40" t="s">
        <v>48</v>
      </c>
      <c r="R52" s="40" t="s">
        <v>48</v>
      </c>
      <c r="S52" s="40" t="s">
        <v>48</v>
      </c>
      <c r="T52" s="40" t="s">
        <v>48</v>
      </c>
      <c r="V52" s="33"/>
      <c r="W52" s="38" t="str">
        <f>Notes!U53</f>
        <v xml:space="preserve">               Mining</v>
      </c>
      <c r="X52" s="4" t="s">
        <v>711</v>
      </c>
      <c r="Y52" s="44">
        <v>0.13732968838579954</v>
      </c>
      <c r="Z52" s="42" t="s">
        <v>48</v>
      </c>
      <c r="AA52" s="40" t="s">
        <v>48</v>
      </c>
      <c r="AB52" s="40" t="s">
        <v>48</v>
      </c>
      <c r="AC52" s="40" t="s">
        <v>48</v>
      </c>
      <c r="AD52" s="40" t="s">
        <v>48</v>
      </c>
      <c r="AE52" s="40" t="s">
        <v>48</v>
      </c>
      <c r="AF52" s="40" t="s">
        <v>48</v>
      </c>
      <c r="AG52" s="40" t="s">
        <v>48</v>
      </c>
      <c r="AH52" s="40" t="s">
        <v>48</v>
      </c>
      <c r="AI52" s="40" t="s">
        <v>48</v>
      </c>
      <c r="AJ52" s="40" t="s">
        <v>48</v>
      </c>
      <c r="AK52" s="40" t="s">
        <v>48</v>
      </c>
      <c r="AL52" s="40" t="s">
        <v>48</v>
      </c>
      <c r="AM52" s="40" t="s">
        <v>48</v>
      </c>
      <c r="AN52" s="40" t="s">
        <v>48</v>
      </c>
    </row>
    <row r="53" spans="1:40" x14ac:dyDescent="0.35">
      <c r="A53" s="12">
        <v>46</v>
      </c>
      <c r="B53" s="33"/>
      <c r="C53" s="38" t="str">
        <f>Notes!U54</f>
        <v xml:space="preserve">               Coal and lignite</v>
      </c>
      <c r="D53" s="4" t="s">
        <v>712</v>
      </c>
      <c r="E53" s="44">
        <v>23.05519055335829</v>
      </c>
      <c r="F53" s="42" t="s">
        <v>48</v>
      </c>
      <c r="G53" s="40" t="s">
        <v>48</v>
      </c>
      <c r="H53" s="40" t="s">
        <v>48</v>
      </c>
      <c r="I53" s="40" t="s">
        <v>48</v>
      </c>
      <c r="J53" s="40" t="s">
        <v>48</v>
      </c>
      <c r="K53" s="40" t="s">
        <v>48</v>
      </c>
      <c r="L53" s="40" t="s">
        <v>48</v>
      </c>
      <c r="M53" s="40" t="s">
        <v>48</v>
      </c>
      <c r="N53" s="40" t="s">
        <v>48</v>
      </c>
      <c r="O53" s="40" t="s">
        <v>48</v>
      </c>
      <c r="P53" s="40" t="s">
        <v>48</v>
      </c>
      <c r="Q53" s="40" t="s">
        <v>48</v>
      </c>
      <c r="R53" s="40" t="s">
        <v>48</v>
      </c>
      <c r="S53" s="40" t="s">
        <v>48</v>
      </c>
      <c r="T53" s="40" t="s">
        <v>48</v>
      </c>
      <c r="V53" s="33"/>
      <c r="W53" s="38" t="str">
        <f>Notes!U54</f>
        <v xml:space="preserve">               Coal and lignite</v>
      </c>
      <c r="X53" s="4" t="s">
        <v>712</v>
      </c>
      <c r="Y53" s="44">
        <v>0.41635966412734643</v>
      </c>
      <c r="Z53" s="42" t="s">
        <v>48</v>
      </c>
      <c r="AA53" s="40" t="s">
        <v>48</v>
      </c>
      <c r="AB53" s="40" t="s">
        <v>48</v>
      </c>
      <c r="AC53" s="40" t="s">
        <v>48</v>
      </c>
      <c r="AD53" s="40" t="s">
        <v>48</v>
      </c>
      <c r="AE53" s="40" t="s">
        <v>48</v>
      </c>
      <c r="AF53" s="40" t="s">
        <v>48</v>
      </c>
      <c r="AG53" s="40" t="s">
        <v>48</v>
      </c>
      <c r="AH53" s="40" t="s">
        <v>48</v>
      </c>
      <c r="AI53" s="40" t="s">
        <v>48</v>
      </c>
      <c r="AJ53" s="40" t="s">
        <v>48</v>
      </c>
      <c r="AK53" s="40" t="s">
        <v>48</v>
      </c>
      <c r="AL53" s="40" t="s">
        <v>48</v>
      </c>
      <c r="AM53" s="40" t="s">
        <v>48</v>
      </c>
      <c r="AN53" s="40" t="s">
        <v>48</v>
      </c>
    </row>
    <row r="54" spans="1:40" x14ac:dyDescent="0.35">
      <c r="A54" s="12">
        <v>47</v>
      </c>
      <c r="B54" s="33"/>
      <c r="C54" s="38" t="str">
        <f>Notes!U55</f>
        <v xml:space="preserve">               Crude oil</v>
      </c>
      <c r="D54" s="4" t="s">
        <v>713</v>
      </c>
      <c r="E54" s="44">
        <v>32.821920654238326</v>
      </c>
      <c r="F54" s="42" t="s">
        <v>48</v>
      </c>
      <c r="G54" s="40" t="s">
        <v>48</v>
      </c>
      <c r="H54" s="40" t="s">
        <v>48</v>
      </c>
      <c r="I54" s="40" t="s">
        <v>48</v>
      </c>
      <c r="J54" s="40" t="s">
        <v>48</v>
      </c>
      <c r="K54" s="40" t="s">
        <v>48</v>
      </c>
      <c r="L54" s="40" t="s">
        <v>48</v>
      </c>
      <c r="M54" s="40" t="s">
        <v>48</v>
      </c>
      <c r="N54" s="40" t="s">
        <v>48</v>
      </c>
      <c r="O54" s="40" t="s">
        <v>48</v>
      </c>
      <c r="P54" s="40" t="s">
        <v>48</v>
      </c>
      <c r="Q54" s="40" t="s">
        <v>48</v>
      </c>
      <c r="R54" s="40" t="s">
        <v>48</v>
      </c>
      <c r="S54" s="40" t="s">
        <v>48</v>
      </c>
      <c r="T54" s="40" t="s">
        <v>48</v>
      </c>
      <c r="V54" s="33"/>
      <c r="W54" s="38" t="str">
        <f>Notes!U55</f>
        <v xml:space="preserve">               Crude oil</v>
      </c>
      <c r="X54" s="4" t="s">
        <v>713</v>
      </c>
      <c r="Y54" s="44">
        <v>82.278392628164283</v>
      </c>
      <c r="Z54" s="42" t="s">
        <v>48</v>
      </c>
      <c r="AA54" s="40" t="s">
        <v>48</v>
      </c>
      <c r="AB54" s="40" t="s">
        <v>48</v>
      </c>
      <c r="AC54" s="40" t="s">
        <v>48</v>
      </c>
      <c r="AD54" s="40" t="s">
        <v>48</v>
      </c>
      <c r="AE54" s="40" t="s">
        <v>48</v>
      </c>
      <c r="AF54" s="40" t="s">
        <v>48</v>
      </c>
      <c r="AG54" s="40" t="s">
        <v>48</v>
      </c>
      <c r="AH54" s="40" t="s">
        <v>48</v>
      </c>
      <c r="AI54" s="40" t="s">
        <v>48</v>
      </c>
      <c r="AJ54" s="40" t="s">
        <v>48</v>
      </c>
      <c r="AK54" s="40" t="s">
        <v>48</v>
      </c>
      <c r="AL54" s="40" t="s">
        <v>48</v>
      </c>
      <c r="AM54" s="40" t="s">
        <v>48</v>
      </c>
      <c r="AN54" s="40" t="s">
        <v>48</v>
      </c>
    </row>
    <row r="55" spans="1:40" x14ac:dyDescent="0.35">
      <c r="A55" s="12">
        <v>48</v>
      </c>
      <c r="B55" s="33"/>
      <c r="C55" s="38" t="str">
        <f>Notes!U56</f>
        <v xml:space="preserve">               Natural gas</v>
      </c>
      <c r="D55" s="4" t="s">
        <v>504</v>
      </c>
      <c r="E55" s="44">
        <v>13.115291921394141</v>
      </c>
      <c r="F55" s="42" t="s">
        <v>48</v>
      </c>
      <c r="G55" s="40" t="s">
        <v>48</v>
      </c>
      <c r="H55" s="40" t="s">
        <v>48</v>
      </c>
      <c r="I55" s="40" t="s">
        <v>48</v>
      </c>
      <c r="J55" s="40" t="s">
        <v>48</v>
      </c>
      <c r="K55" s="40" t="s">
        <v>48</v>
      </c>
      <c r="L55" s="40" t="s">
        <v>48</v>
      </c>
      <c r="M55" s="40" t="s">
        <v>48</v>
      </c>
      <c r="N55" s="40" t="s">
        <v>48</v>
      </c>
      <c r="O55" s="40" t="s">
        <v>48</v>
      </c>
      <c r="P55" s="40" t="s">
        <v>48</v>
      </c>
      <c r="Q55" s="40" t="s">
        <v>48</v>
      </c>
      <c r="R55" s="40" t="s">
        <v>48</v>
      </c>
      <c r="S55" s="40" t="s">
        <v>48</v>
      </c>
      <c r="T55" s="40" t="s">
        <v>48</v>
      </c>
      <c r="V55" s="33"/>
      <c r="W55" s="38" t="str">
        <f>Notes!U56</f>
        <v xml:space="preserve">               Natural gas</v>
      </c>
      <c r="X55" s="4" t="s">
        <v>504</v>
      </c>
      <c r="Y55" s="44">
        <v>14.272701111344494</v>
      </c>
      <c r="Z55" s="42" t="s">
        <v>48</v>
      </c>
      <c r="AA55" s="40" t="s">
        <v>48</v>
      </c>
      <c r="AB55" s="40" t="s">
        <v>48</v>
      </c>
      <c r="AC55" s="40" t="s">
        <v>48</v>
      </c>
      <c r="AD55" s="40" t="s">
        <v>48</v>
      </c>
      <c r="AE55" s="40" t="s">
        <v>48</v>
      </c>
      <c r="AF55" s="40" t="s">
        <v>48</v>
      </c>
      <c r="AG55" s="40" t="s">
        <v>48</v>
      </c>
      <c r="AH55" s="40" t="s">
        <v>48</v>
      </c>
      <c r="AI55" s="40" t="s">
        <v>48</v>
      </c>
      <c r="AJ55" s="40" t="s">
        <v>48</v>
      </c>
      <c r="AK55" s="40" t="s">
        <v>48</v>
      </c>
      <c r="AL55" s="40" t="s">
        <v>48</v>
      </c>
      <c r="AM55" s="40" t="s">
        <v>48</v>
      </c>
      <c r="AN55" s="40" t="s">
        <v>48</v>
      </c>
    </row>
    <row r="56" spans="1:40" x14ac:dyDescent="0.35">
      <c r="A56" s="12">
        <v>49</v>
      </c>
      <c r="B56" s="33"/>
      <c r="C56" s="38" t="str">
        <f>Notes!U57</f>
        <v xml:space="preserve">               Other mining</v>
      </c>
      <c r="D56" s="4" t="s">
        <v>766</v>
      </c>
      <c r="E56" s="44">
        <v>12.391326768043502</v>
      </c>
      <c r="F56" s="42" t="s">
        <v>48</v>
      </c>
      <c r="G56" s="40" t="s">
        <v>48</v>
      </c>
      <c r="H56" s="40" t="s">
        <v>48</v>
      </c>
      <c r="I56" s="40" t="s">
        <v>48</v>
      </c>
      <c r="J56" s="40" t="s">
        <v>48</v>
      </c>
      <c r="K56" s="40" t="s">
        <v>48</v>
      </c>
      <c r="L56" s="40" t="s">
        <v>48</v>
      </c>
      <c r="M56" s="40" t="s">
        <v>48</v>
      </c>
      <c r="N56" s="40" t="s">
        <v>48</v>
      </c>
      <c r="O56" s="40" t="s">
        <v>48</v>
      </c>
      <c r="P56" s="40" t="s">
        <v>48</v>
      </c>
      <c r="Q56" s="40" t="s">
        <v>48</v>
      </c>
      <c r="R56" s="40" t="s">
        <v>48</v>
      </c>
      <c r="S56" s="40" t="s">
        <v>48</v>
      </c>
      <c r="T56" s="40" t="s">
        <v>48</v>
      </c>
      <c r="V56" s="33"/>
      <c r="W56" s="38" t="str">
        <f>Notes!U57</f>
        <v xml:space="preserve">               Other mining</v>
      </c>
      <c r="X56" s="4" t="s">
        <v>766</v>
      </c>
      <c r="Y56" s="44">
        <v>10.850915469955323</v>
      </c>
      <c r="Z56" s="42" t="s">
        <v>48</v>
      </c>
      <c r="AA56" s="40" t="s">
        <v>48</v>
      </c>
      <c r="AB56" s="40" t="s">
        <v>48</v>
      </c>
      <c r="AC56" s="40" t="s">
        <v>48</v>
      </c>
      <c r="AD56" s="40" t="s">
        <v>48</v>
      </c>
      <c r="AE56" s="40" t="s">
        <v>48</v>
      </c>
      <c r="AF56" s="40" t="s">
        <v>48</v>
      </c>
      <c r="AG56" s="40" t="s">
        <v>48</v>
      </c>
      <c r="AH56" s="40" t="s">
        <v>48</v>
      </c>
      <c r="AI56" s="40" t="s">
        <v>48</v>
      </c>
      <c r="AJ56" s="40" t="s">
        <v>48</v>
      </c>
      <c r="AK56" s="40" t="s">
        <v>48</v>
      </c>
      <c r="AL56" s="40" t="s">
        <v>48</v>
      </c>
      <c r="AM56" s="40" t="s">
        <v>48</v>
      </c>
      <c r="AN56" s="40" t="s">
        <v>48</v>
      </c>
    </row>
    <row r="57" spans="1:40" x14ac:dyDescent="0.35">
      <c r="A57" s="12">
        <v>50</v>
      </c>
      <c r="B57" s="33"/>
      <c r="C57" s="38" t="str">
        <f>Notes!U58</f>
        <v xml:space="preserve">               Manufacturing</v>
      </c>
      <c r="D57" s="4" t="s">
        <v>508</v>
      </c>
      <c r="E57" s="44" t="s">
        <v>48</v>
      </c>
      <c r="F57" s="42" t="s">
        <v>48</v>
      </c>
      <c r="G57" s="40" t="s">
        <v>48</v>
      </c>
      <c r="H57" s="40" t="s">
        <v>48</v>
      </c>
      <c r="I57" s="40" t="s">
        <v>48</v>
      </c>
      <c r="J57" s="40" t="s">
        <v>48</v>
      </c>
      <c r="K57" s="40" t="s">
        <v>48</v>
      </c>
      <c r="L57" s="40" t="s">
        <v>48</v>
      </c>
      <c r="M57" s="40" t="s">
        <v>48</v>
      </c>
      <c r="N57" s="40" t="s">
        <v>48</v>
      </c>
      <c r="O57" s="40" t="s">
        <v>48</v>
      </c>
      <c r="P57" s="40" t="s">
        <v>48</v>
      </c>
      <c r="Q57" s="40" t="s">
        <v>48</v>
      </c>
      <c r="R57" s="40" t="s">
        <v>48</v>
      </c>
      <c r="S57" s="40" t="s">
        <v>48</v>
      </c>
      <c r="T57" s="40" t="s">
        <v>48</v>
      </c>
      <c r="V57" s="33"/>
      <c r="W57" s="38" t="str">
        <f>Notes!U58</f>
        <v xml:space="preserve">               Manufacturing</v>
      </c>
      <c r="X57" s="4" t="s">
        <v>508</v>
      </c>
      <c r="Y57" s="44" t="s">
        <v>48</v>
      </c>
      <c r="Z57" s="42" t="s">
        <v>48</v>
      </c>
      <c r="AA57" s="40" t="s">
        <v>48</v>
      </c>
      <c r="AB57" s="40" t="s">
        <v>48</v>
      </c>
      <c r="AC57" s="40" t="s">
        <v>48</v>
      </c>
      <c r="AD57" s="40" t="s">
        <v>48</v>
      </c>
      <c r="AE57" s="40" t="s">
        <v>48</v>
      </c>
      <c r="AF57" s="40" t="s">
        <v>48</v>
      </c>
      <c r="AG57" s="40" t="s">
        <v>48</v>
      </c>
      <c r="AH57" s="40" t="s">
        <v>48</v>
      </c>
      <c r="AI57" s="40" t="s">
        <v>48</v>
      </c>
      <c r="AJ57" s="40" t="s">
        <v>48</v>
      </c>
      <c r="AK57" s="40" t="s">
        <v>48</v>
      </c>
      <c r="AL57" s="40" t="s">
        <v>48</v>
      </c>
      <c r="AM57" s="40" t="s">
        <v>48</v>
      </c>
      <c r="AN57" s="40" t="s">
        <v>48</v>
      </c>
    </row>
    <row r="58" spans="1:40" x14ac:dyDescent="0.35">
      <c r="A58" s="12">
        <v>51</v>
      </c>
      <c r="B58" s="33"/>
      <c r="C58" s="38" t="str">
        <f>Notes!U59</f>
        <v xml:space="preserve">               Food processing</v>
      </c>
      <c r="D58" s="4" t="s">
        <v>510</v>
      </c>
      <c r="E58" s="44" t="s">
        <v>48</v>
      </c>
      <c r="F58" s="42" t="s">
        <v>48</v>
      </c>
      <c r="G58" s="40" t="s">
        <v>48</v>
      </c>
      <c r="H58" s="40" t="s">
        <v>48</v>
      </c>
      <c r="I58" s="40" t="s">
        <v>48</v>
      </c>
      <c r="J58" s="40" t="s">
        <v>48</v>
      </c>
      <c r="K58" s="40" t="s">
        <v>48</v>
      </c>
      <c r="L58" s="40" t="s">
        <v>48</v>
      </c>
      <c r="M58" s="40" t="s">
        <v>48</v>
      </c>
      <c r="N58" s="40" t="s">
        <v>48</v>
      </c>
      <c r="O58" s="40" t="s">
        <v>48</v>
      </c>
      <c r="P58" s="40" t="s">
        <v>48</v>
      </c>
      <c r="Q58" s="40" t="s">
        <v>48</v>
      </c>
      <c r="R58" s="40" t="s">
        <v>48</v>
      </c>
      <c r="S58" s="40" t="s">
        <v>48</v>
      </c>
      <c r="T58" s="40" t="s">
        <v>48</v>
      </c>
      <c r="V58" s="33"/>
      <c r="W58" s="38" t="str">
        <f>Notes!U59</f>
        <v xml:space="preserve">               Food processing</v>
      </c>
      <c r="X58" s="4" t="s">
        <v>510</v>
      </c>
      <c r="Y58" s="44" t="s">
        <v>48</v>
      </c>
      <c r="Z58" s="42" t="s">
        <v>48</v>
      </c>
      <c r="AA58" s="40" t="s">
        <v>48</v>
      </c>
      <c r="AB58" s="40" t="s">
        <v>48</v>
      </c>
      <c r="AC58" s="40" t="s">
        <v>48</v>
      </c>
      <c r="AD58" s="40" t="s">
        <v>48</v>
      </c>
      <c r="AE58" s="40" t="s">
        <v>48</v>
      </c>
      <c r="AF58" s="40" t="s">
        <v>48</v>
      </c>
      <c r="AG58" s="40" t="s">
        <v>48</v>
      </c>
      <c r="AH58" s="40" t="s">
        <v>48</v>
      </c>
      <c r="AI58" s="40" t="s">
        <v>48</v>
      </c>
      <c r="AJ58" s="40" t="s">
        <v>48</v>
      </c>
      <c r="AK58" s="40" t="s">
        <v>48</v>
      </c>
      <c r="AL58" s="40" t="s">
        <v>48</v>
      </c>
      <c r="AM58" s="40" t="s">
        <v>48</v>
      </c>
      <c r="AN58" s="40" t="s">
        <v>48</v>
      </c>
    </row>
    <row r="59" spans="1:40" x14ac:dyDescent="0.35">
      <c r="A59" s="12">
        <v>52</v>
      </c>
      <c r="B59" s="33"/>
      <c r="C59" s="38" t="str">
        <f>Notes!U60</f>
        <v xml:space="preserve">               Food processing</v>
      </c>
      <c r="D59" s="4" t="s">
        <v>506</v>
      </c>
      <c r="E59" s="44">
        <v>0.21985942575286047</v>
      </c>
      <c r="F59" s="42" t="s">
        <v>48</v>
      </c>
      <c r="G59" s="40" t="s">
        <v>48</v>
      </c>
      <c r="H59" s="40" t="s">
        <v>48</v>
      </c>
      <c r="I59" s="40" t="s">
        <v>48</v>
      </c>
      <c r="J59" s="40" t="s">
        <v>48</v>
      </c>
      <c r="K59" s="40" t="s">
        <v>48</v>
      </c>
      <c r="L59" s="40" t="s">
        <v>48</v>
      </c>
      <c r="M59" s="40" t="s">
        <v>48</v>
      </c>
      <c r="N59" s="40" t="s">
        <v>48</v>
      </c>
      <c r="O59" s="40" t="s">
        <v>48</v>
      </c>
      <c r="P59" s="40" t="s">
        <v>48</v>
      </c>
      <c r="Q59" s="40" t="s">
        <v>48</v>
      </c>
      <c r="R59" s="40" t="s">
        <v>48</v>
      </c>
      <c r="S59" s="40" t="s">
        <v>48</v>
      </c>
      <c r="T59" s="40" t="s">
        <v>48</v>
      </c>
      <c r="V59" s="33"/>
      <c r="W59" s="38" t="str">
        <f>Notes!U60</f>
        <v xml:space="preserve">               Food processing</v>
      </c>
      <c r="X59" s="4" t="s">
        <v>506</v>
      </c>
      <c r="Y59" s="44">
        <v>0.13940801336565897</v>
      </c>
      <c r="Z59" s="42" t="s">
        <v>48</v>
      </c>
      <c r="AA59" s="40" t="s">
        <v>48</v>
      </c>
      <c r="AB59" s="40" t="s">
        <v>48</v>
      </c>
      <c r="AC59" s="40" t="s">
        <v>48</v>
      </c>
      <c r="AD59" s="40" t="s">
        <v>48</v>
      </c>
      <c r="AE59" s="40" t="s">
        <v>48</v>
      </c>
      <c r="AF59" s="40" t="s">
        <v>48</v>
      </c>
      <c r="AG59" s="40" t="s">
        <v>48</v>
      </c>
      <c r="AH59" s="40" t="s">
        <v>48</v>
      </c>
      <c r="AI59" s="40" t="s">
        <v>48</v>
      </c>
      <c r="AJ59" s="40" t="s">
        <v>48</v>
      </c>
      <c r="AK59" s="40" t="s">
        <v>48</v>
      </c>
      <c r="AL59" s="40" t="s">
        <v>48</v>
      </c>
      <c r="AM59" s="40" t="s">
        <v>48</v>
      </c>
      <c r="AN59" s="40" t="s">
        <v>48</v>
      </c>
    </row>
    <row r="60" spans="1:40" x14ac:dyDescent="0.35">
      <c r="A60" s="12">
        <v>53</v>
      </c>
      <c r="B60" s="33"/>
      <c r="C60" s="38" t="str">
        <f>Notes!U61</f>
        <v xml:space="preserve">               Meat processing</v>
      </c>
      <c r="D60" s="4" t="s">
        <v>342</v>
      </c>
      <c r="E60" s="44" t="s">
        <v>48</v>
      </c>
      <c r="F60" s="42" t="s">
        <v>48</v>
      </c>
      <c r="G60" s="40" t="s">
        <v>48</v>
      </c>
      <c r="H60" s="40" t="s">
        <v>48</v>
      </c>
      <c r="I60" s="40" t="s">
        <v>48</v>
      </c>
      <c r="J60" s="40" t="s">
        <v>48</v>
      </c>
      <c r="K60" s="40" t="s">
        <v>48</v>
      </c>
      <c r="L60" s="40" t="s">
        <v>48</v>
      </c>
      <c r="M60" s="40" t="s">
        <v>48</v>
      </c>
      <c r="N60" s="40" t="s">
        <v>48</v>
      </c>
      <c r="O60" s="40" t="s">
        <v>48</v>
      </c>
      <c r="P60" s="40" t="s">
        <v>48</v>
      </c>
      <c r="Q60" s="40" t="s">
        <v>48</v>
      </c>
      <c r="R60" s="40" t="s">
        <v>48</v>
      </c>
      <c r="S60" s="40" t="s">
        <v>48</v>
      </c>
      <c r="T60" s="40" t="s">
        <v>48</v>
      </c>
      <c r="V60" s="33"/>
      <c r="W60" s="38" t="str">
        <f>Notes!U61</f>
        <v xml:space="preserve">               Meat processing</v>
      </c>
      <c r="X60" s="4" t="s">
        <v>342</v>
      </c>
      <c r="Y60" s="44">
        <v>2.5374960503099127</v>
      </c>
      <c r="Z60" s="42" t="s">
        <v>48</v>
      </c>
      <c r="AA60" s="40" t="s">
        <v>48</v>
      </c>
      <c r="AB60" s="40" t="s">
        <v>48</v>
      </c>
      <c r="AC60" s="40" t="s">
        <v>48</v>
      </c>
      <c r="AD60" s="40" t="s">
        <v>48</v>
      </c>
      <c r="AE60" s="40" t="s">
        <v>48</v>
      </c>
      <c r="AF60" s="40" t="s">
        <v>48</v>
      </c>
      <c r="AG60" s="40" t="s">
        <v>48</v>
      </c>
      <c r="AH60" s="40" t="s">
        <v>48</v>
      </c>
      <c r="AI60" s="40" t="s">
        <v>48</v>
      </c>
      <c r="AJ60" s="40" t="s">
        <v>48</v>
      </c>
      <c r="AK60" s="40" t="s">
        <v>48</v>
      </c>
      <c r="AL60" s="40" t="s">
        <v>48</v>
      </c>
      <c r="AM60" s="40" t="s">
        <v>48</v>
      </c>
      <c r="AN60" s="40" t="s">
        <v>48</v>
      </c>
    </row>
    <row r="61" spans="1:40" x14ac:dyDescent="0.35">
      <c r="A61" s="12">
        <v>54</v>
      </c>
      <c r="B61" s="33"/>
      <c r="C61" s="38" t="str">
        <f>Notes!U62</f>
        <v xml:space="preserve">               Fish and seafood processing</v>
      </c>
      <c r="D61" s="4" t="s">
        <v>714</v>
      </c>
      <c r="E61" s="44">
        <v>0.55786183216273222</v>
      </c>
      <c r="F61" s="42" t="s">
        <v>48</v>
      </c>
      <c r="G61" s="40" t="s">
        <v>48</v>
      </c>
      <c r="H61" s="40" t="s">
        <v>48</v>
      </c>
      <c r="I61" s="40" t="s">
        <v>48</v>
      </c>
      <c r="J61" s="40" t="s">
        <v>48</v>
      </c>
      <c r="K61" s="40" t="s">
        <v>48</v>
      </c>
      <c r="L61" s="40" t="s">
        <v>48</v>
      </c>
      <c r="M61" s="40" t="s">
        <v>48</v>
      </c>
      <c r="N61" s="40" t="s">
        <v>48</v>
      </c>
      <c r="O61" s="40" t="s">
        <v>48</v>
      </c>
      <c r="P61" s="40" t="s">
        <v>48</v>
      </c>
      <c r="Q61" s="40" t="s">
        <v>48</v>
      </c>
      <c r="R61" s="40" t="s">
        <v>48</v>
      </c>
      <c r="S61" s="40" t="s">
        <v>48</v>
      </c>
      <c r="T61" s="40" t="s">
        <v>48</v>
      </c>
      <c r="V61" s="33"/>
      <c r="W61" s="38" t="str">
        <f>Notes!U62</f>
        <v xml:space="preserve">               Fish and seafood processing</v>
      </c>
      <c r="X61" s="4" t="s">
        <v>714</v>
      </c>
      <c r="Y61" s="44">
        <v>0.3129452699392154</v>
      </c>
      <c r="Z61" s="42" t="s">
        <v>48</v>
      </c>
      <c r="AA61" s="40" t="s">
        <v>48</v>
      </c>
      <c r="AB61" s="40" t="s">
        <v>48</v>
      </c>
      <c r="AC61" s="40" t="s">
        <v>48</v>
      </c>
      <c r="AD61" s="40" t="s">
        <v>48</v>
      </c>
      <c r="AE61" s="40" t="s">
        <v>48</v>
      </c>
      <c r="AF61" s="40" t="s">
        <v>48</v>
      </c>
      <c r="AG61" s="40" t="s">
        <v>48</v>
      </c>
      <c r="AH61" s="40" t="s">
        <v>48</v>
      </c>
      <c r="AI61" s="40" t="s">
        <v>48</v>
      </c>
      <c r="AJ61" s="40" t="s">
        <v>48</v>
      </c>
      <c r="AK61" s="40" t="s">
        <v>48</v>
      </c>
      <c r="AL61" s="40" t="s">
        <v>48</v>
      </c>
      <c r="AM61" s="40" t="s">
        <v>48</v>
      </c>
      <c r="AN61" s="40" t="s">
        <v>48</v>
      </c>
    </row>
    <row r="62" spans="1:40" x14ac:dyDescent="0.35">
      <c r="A62" s="12">
        <v>55</v>
      </c>
      <c r="B62" s="33"/>
      <c r="C62" s="38" t="str">
        <f>Notes!U63</f>
        <v xml:space="preserve">               Dairy</v>
      </c>
      <c r="D62" s="4" t="s">
        <v>344</v>
      </c>
      <c r="E62" s="44">
        <v>4.1699616207946928</v>
      </c>
      <c r="F62" s="42" t="s">
        <v>48</v>
      </c>
      <c r="G62" s="40" t="s">
        <v>48</v>
      </c>
      <c r="H62" s="40" t="s">
        <v>48</v>
      </c>
      <c r="I62" s="40" t="s">
        <v>48</v>
      </c>
      <c r="J62" s="40" t="s">
        <v>48</v>
      </c>
      <c r="K62" s="40" t="s">
        <v>48</v>
      </c>
      <c r="L62" s="40" t="s">
        <v>48</v>
      </c>
      <c r="M62" s="40" t="s">
        <v>48</v>
      </c>
      <c r="N62" s="40" t="s">
        <v>48</v>
      </c>
      <c r="O62" s="40" t="s">
        <v>48</v>
      </c>
      <c r="P62" s="40" t="s">
        <v>48</v>
      </c>
      <c r="Q62" s="40" t="s">
        <v>48</v>
      </c>
      <c r="R62" s="40" t="s">
        <v>48</v>
      </c>
      <c r="S62" s="40" t="s">
        <v>48</v>
      </c>
      <c r="T62" s="40" t="s">
        <v>48</v>
      </c>
      <c r="V62" s="33"/>
      <c r="W62" s="38" t="str">
        <f>Notes!U63</f>
        <v xml:space="preserve">               Dairy</v>
      </c>
      <c r="X62" s="4" t="s">
        <v>344</v>
      </c>
      <c r="Y62" s="44">
        <v>2.0928940584214399</v>
      </c>
      <c r="Z62" s="42" t="s">
        <v>48</v>
      </c>
      <c r="AA62" s="40" t="s">
        <v>48</v>
      </c>
      <c r="AB62" s="40" t="s">
        <v>48</v>
      </c>
      <c r="AC62" s="40" t="s">
        <v>48</v>
      </c>
      <c r="AD62" s="40" t="s">
        <v>48</v>
      </c>
      <c r="AE62" s="40" t="s">
        <v>48</v>
      </c>
      <c r="AF62" s="40" t="s">
        <v>48</v>
      </c>
      <c r="AG62" s="40" t="s">
        <v>48</v>
      </c>
      <c r="AH62" s="40" t="s">
        <v>48</v>
      </c>
      <c r="AI62" s="40" t="s">
        <v>48</v>
      </c>
      <c r="AJ62" s="40" t="s">
        <v>48</v>
      </c>
      <c r="AK62" s="40" t="s">
        <v>48</v>
      </c>
      <c r="AL62" s="40" t="s">
        <v>48</v>
      </c>
      <c r="AM62" s="40" t="s">
        <v>48</v>
      </c>
      <c r="AN62" s="40" t="s">
        <v>48</v>
      </c>
    </row>
    <row r="63" spans="1:40" x14ac:dyDescent="0.35">
      <c r="A63" s="12">
        <v>56</v>
      </c>
      <c r="B63" s="33"/>
      <c r="C63" s="38" t="str">
        <f>Notes!U64</f>
        <v xml:space="preserve">               Fruit and vegetable processing</v>
      </c>
      <c r="D63" s="4" t="s">
        <v>343</v>
      </c>
      <c r="E63" s="44">
        <v>0.32791866003996273</v>
      </c>
      <c r="F63" s="42" t="s">
        <v>48</v>
      </c>
      <c r="G63" s="40" t="s">
        <v>48</v>
      </c>
      <c r="H63" s="40" t="s">
        <v>48</v>
      </c>
      <c r="I63" s="40" t="s">
        <v>48</v>
      </c>
      <c r="J63" s="40" t="s">
        <v>48</v>
      </c>
      <c r="K63" s="40" t="s">
        <v>48</v>
      </c>
      <c r="L63" s="40" t="s">
        <v>48</v>
      </c>
      <c r="M63" s="40" t="s">
        <v>48</v>
      </c>
      <c r="N63" s="40" t="s">
        <v>48</v>
      </c>
      <c r="O63" s="40" t="s">
        <v>48</v>
      </c>
      <c r="P63" s="40" t="s">
        <v>48</v>
      </c>
      <c r="Q63" s="40" t="s">
        <v>48</v>
      </c>
      <c r="R63" s="40" t="s">
        <v>48</v>
      </c>
      <c r="S63" s="40" t="s">
        <v>48</v>
      </c>
      <c r="T63" s="40" t="s">
        <v>48</v>
      </c>
      <c r="V63" s="33"/>
      <c r="W63" s="38" t="str">
        <f>Notes!U64</f>
        <v xml:space="preserve">               Fruit and vegetable processing</v>
      </c>
      <c r="X63" s="4" t="s">
        <v>343</v>
      </c>
      <c r="Y63" s="44">
        <v>0.26432617394543478</v>
      </c>
      <c r="Z63" s="42" t="s">
        <v>48</v>
      </c>
      <c r="AA63" s="40" t="s">
        <v>48</v>
      </c>
      <c r="AB63" s="40" t="s">
        <v>48</v>
      </c>
      <c r="AC63" s="40" t="s">
        <v>48</v>
      </c>
      <c r="AD63" s="40" t="s">
        <v>48</v>
      </c>
      <c r="AE63" s="40" t="s">
        <v>48</v>
      </c>
      <c r="AF63" s="40" t="s">
        <v>48</v>
      </c>
      <c r="AG63" s="40" t="s">
        <v>48</v>
      </c>
      <c r="AH63" s="40" t="s">
        <v>48</v>
      </c>
      <c r="AI63" s="40" t="s">
        <v>48</v>
      </c>
      <c r="AJ63" s="40" t="s">
        <v>48</v>
      </c>
      <c r="AK63" s="40" t="s">
        <v>48</v>
      </c>
      <c r="AL63" s="40" t="s">
        <v>48</v>
      </c>
      <c r="AM63" s="40" t="s">
        <v>48</v>
      </c>
      <c r="AN63" s="40" t="s">
        <v>48</v>
      </c>
    </row>
    <row r="64" spans="1:40" x14ac:dyDescent="0.35">
      <c r="A64" s="12">
        <v>57</v>
      </c>
      <c r="B64" s="33"/>
      <c r="C64" s="38" t="str">
        <f>Notes!U65</f>
        <v xml:space="preserve">               Fats and oils</v>
      </c>
      <c r="D64" s="4" t="s">
        <v>715</v>
      </c>
      <c r="E64" s="44" t="s">
        <v>48</v>
      </c>
      <c r="F64" s="42" t="s">
        <v>48</v>
      </c>
      <c r="G64" s="40" t="s">
        <v>48</v>
      </c>
      <c r="H64" s="40" t="s">
        <v>48</v>
      </c>
      <c r="I64" s="40" t="s">
        <v>48</v>
      </c>
      <c r="J64" s="40" t="s">
        <v>48</v>
      </c>
      <c r="K64" s="40" t="s">
        <v>48</v>
      </c>
      <c r="L64" s="40" t="s">
        <v>48</v>
      </c>
      <c r="M64" s="40" t="s">
        <v>48</v>
      </c>
      <c r="N64" s="40" t="s">
        <v>48</v>
      </c>
      <c r="O64" s="40" t="s">
        <v>48</v>
      </c>
      <c r="P64" s="40" t="s">
        <v>48</v>
      </c>
      <c r="Q64" s="40" t="s">
        <v>48</v>
      </c>
      <c r="R64" s="40" t="s">
        <v>48</v>
      </c>
      <c r="S64" s="40" t="s">
        <v>48</v>
      </c>
      <c r="T64" s="40" t="s">
        <v>48</v>
      </c>
      <c r="V64" s="33"/>
      <c r="W64" s="38" t="str">
        <f>Notes!U65</f>
        <v xml:space="preserve">               Fats and oils</v>
      </c>
      <c r="X64" s="4" t="s">
        <v>715</v>
      </c>
      <c r="Y64" s="44" t="s">
        <v>48</v>
      </c>
      <c r="Z64" s="42" t="s">
        <v>48</v>
      </c>
      <c r="AA64" s="40" t="s">
        <v>48</v>
      </c>
      <c r="AB64" s="40" t="s">
        <v>48</v>
      </c>
      <c r="AC64" s="40" t="s">
        <v>48</v>
      </c>
      <c r="AD64" s="40" t="s">
        <v>48</v>
      </c>
      <c r="AE64" s="40" t="s">
        <v>48</v>
      </c>
      <c r="AF64" s="40" t="s">
        <v>48</v>
      </c>
      <c r="AG64" s="40" t="s">
        <v>48</v>
      </c>
      <c r="AH64" s="40" t="s">
        <v>48</v>
      </c>
      <c r="AI64" s="40" t="s">
        <v>48</v>
      </c>
      <c r="AJ64" s="40" t="s">
        <v>48</v>
      </c>
      <c r="AK64" s="40" t="s">
        <v>48</v>
      </c>
      <c r="AL64" s="40" t="s">
        <v>48</v>
      </c>
      <c r="AM64" s="40" t="s">
        <v>48</v>
      </c>
      <c r="AN64" s="40" t="s">
        <v>48</v>
      </c>
    </row>
    <row r="65" spans="1:40" x14ac:dyDescent="0.35">
      <c r="A65" s="12">
        <v>58</v>
      </c>
      <c r="B65" s="33"/>
      <c r="C65" s="38" t="str">
        <f>Notes!U66</f>
        <v xml:space="preserve">               Maize milling</v>
      </c>
      <c r="D65" s="4" t="s">
        <v>345</v>
      </c>
      <c r="E65" s="44">
        <v>7.115725229293254</v>
      </c>
      <c r="F65" s="42" t="s">
        <v>48</v>
      </c>
      <c r="G65" s="40" t="s">
        <v>48</v>
      </c>
      <c r="H65" s="40" t="s">
        <v>48</v>
      </c>
      <c r="I65" s="40" t="s">
        <v>48</v>
      </c>
      <c r="J65" s="40" t="s">
        <v>48</v>
      </c>
      <c r="K65" s="40" t="s">
        <v>48</v>
      </c>
      <c r="L65" s="40" t="s">
        <v>48</v>
      </c>
      <c r="M65" s="40" t="s">
        <v>48</v>
      </c>
      <c r="N65" s="40" t="s">
        <v>48</v>
      </c>
      <c r="O65" s="40" t="s">
        <v>48</v>
      </c>
      <c r="P65" s="40" t="s">
        <v>48</v>
      </c>
      <c r="Q65" s="40" t="s">
        <v>48</v>
      </c>
      <c r="R65" s="40" t="s">
        <v>48</v>
      </c>
      <c r="S65" s="40" t="s">
        <v>48</v>
      </c>
      <c r="T65" s="40" t="s">
        <v>48</v>
      </c>
      <c r="V65" s="33"/>
      <c r="W65" s="38" t="str">
        <f>Notes!U66</f>
        <v xml:space="preserve">               Maize milling</v>
      </c>
      <c r="X65" s="4" t="s">
        <v>345</v>
      </c>
      <c r="Y65" s="44">
        <v>5.5038459039736605</v>
      </c>
      <c r="Z65" s="42" t="s">
        <v>48</v>
      </c>
      <c r="AA65" s="40" t="s">
        <v>48</v>
      </c>
      <c r="AB65" s="40" t="s">
        <v>48</v>
      </c>
      <c r="AC65" s="40" t="s">
        <v>48</v>
      </c>
      <c r="AD65" s="40" t="s">
        <v>48</v>
      </c>
      <c r="AE65" s="40" t="s">
        <v>48</v>
      </c>
      <c r="AF65" s="40" t="s">
        <v>48</v>
      </c>
      <c r="AG65" s="40" t="s">
        <v>48</v>
      </c>
      <c r="AH65" s="40" t="s">
        <v>48</v>
      </c>
      <c r="AI65" s="40" t="s">
        <v>48</v>
      </c>
      <c r="AJ65" s="40" t="s">
        <v>48</v>
      </c>
      <c r="AK65" s="40" t="s">
        <v>48</v>
      </c>
      <c r="AL65" s="40" t="s">
        <v>48</v>
      </c>
      <c r="AM65" s="40" t="s">
        <v>48</v>
      </c>
      <c r="AN65" s="40" t="s">
        <v>48</v>
      </c>
    </row>
    <row r="66" spans="1:40" x14ac:dyDescent="0.35">
      <c r="A66" s="12">
        <v>59</v>
      </c>
      <c r="B66" s="33"/>
      <c r="C66" s="38" t="str">
        <f>Notes!U67</f>
        <v xml:space="preserve">               Sorghum and millet milling</v>
      </c>
      <c r="D66" s="4" t="s">
        <v>346</v>
      </c>
      <c r="E66" s="44">
        <v>0.50523514722413376</v>
      </c>
      <c r="F66" s="42" t="s">
        <v>48</v>
      </c>
      <c r="G66" s="40" t="s">
        <v>48</v>
      </c>
      <c r="H66" s="40" t="s">
        <v>48</v>
      </c>
      <c r="I66" s="40" t="s">
        <v>48</v>
      </c>
      <c r="J66" s="40" t="s">
        <v>48</v>
      </c>
      <c r="K66" s="40" t="s">
        <v>48</v>
      </c>
      <c r="L66" s="40" t="s">
        <v>48</v>
      </c>
      <c r="M66" s="40" t="s">
        <v>48</v>
      </c>
      <c r="N66" s="40" t="s">
        <v>48</v>
      </c>
      <c r="O66" s="40" t="s">
        <v>48</v>
      </c>
      <c r="P66" s="40" t="s">
        <v>48</v>
      </c>
      <c r="Q66" s="40" t="s">
        <v>48</v>
      </c>
      <c r="R66" s="40" t="s">
        <v>48</v>
      </c>
      <c r="S66" s="40" t="s">
        <v>48</v>
      </c>
      <c r="T66" s="40" t="s">
        <v>48</v>
      </c>
      <c r="V66" s="33"/>
      <c r="W66" s="38" t="str">
        <f>Notes!U67</f>
        <v xml:space="preserve">               Sorghum and millet milling</v>
      </c>
      <c r="X66" s="4" t="s">
        <v>346</v>
      </c>
      <c r="Y66" s="44">
        <v>1.6496094171956039</v>
      </c>
      <c r="Z66" s="42" t="s">
        <v>48</v>
      </c>
      <c r="AA66" s="40" t="s">
        <v>48</v>
      </c>
      <c r="AB66" s="40" t="s">
        <v>48</v>
      </c>
      <c r="AC66" s="40" t="s">
        <v>48</v>
      </c>
      <c r="AD66" s="40" t="s">
        <v>48</v>
      </c>
      <c r="AE66" s="40" t="s">
        <v>48</v>
      </c>
      <c r="AF66" s="40" t="s">
        <v>48</v>
      </c>
      <c r="AG66" s="40" t="s">
        <v>48</v>
      </c>
      <c r="AH66" s="40" t="s">
        <v>48</v>
      </c>
      <c r="AI66" s="40" t="s">
        <v>48</v>
      </c>
      <c r="AJ66" s="40" t="s">
        <v>48</v>
      </c>
      <c r="AK66" s="40" t="s">
        <v>48</v>
      </c>
      <c r="AL66" s="40" t="s">
        <v>48</v>
      </c>
      <c r="AM66" s="40" t="s">
        <v>48</v>
      </c>
      <c r="AN66" s="40" t="s">
        <v>48</v>
      </c>
    </row>
    <row r="67" spans="1:40" x14ac:dyDescent="0.35">
      <c r="A67" s="12">
        <v>60</v>
      </c>
      <c r="B67" s="33"/>
      <c r="C67" s="38" t="str">
        <f>Notes!U68</f>
        <v xml:space="preserve">               Rice milling</v>
      </c>
      <c r="D67" s="4" t="s">
        <v>716</v>
      </c>
      <c r="E67" s="44">
        <v>0.50523514722413376</v>
      </c>
      <c r="F67" s="42" t="s">
        <v>48</v>
      </c>
      <c r="G67" s="40" t="s">
        <v>48</v>
      </c>
      <c r="H67" s="40" t="s">
        <v>48</v>
      </c>
      <c r="I67" s="40" t="s">
        <v>48</v>
      </c>
      <c r="J67" s="40" t="s">
        <v>48</v>
      </c>
      <c r="K67" s="40" t="s">
        <v>48</v>
      </c>
      <c r="L67" s="40" t="s">
        <v>48</v>
      </c>
      <c r="M67" s="40" t="s">
        <v>48</v>
      </c>
      <c r="N67" s="40" t="s">
        <v>48</v>
      </c>
      <c r="O67" s="40" t="s">
        <v>48</v>
      </c>
      <c r="P67" s="40" t="s">
        <v>48</v>
      </c>
      <c r="Q67" s="40" t="s">
        <v>48</v>
      </c>
      <c r="R67" s="40" t="s">
        <v>48</v>
      </c>
      <c r="S67" s="40" t="s">
        <v>48</v>
      </c>
      <c r="T67" s="40" t="s">
        <v>48</v>
      </c>
      <c r="V67" s="33"/>
      <c r="W67" s="38" t="str">
        <f>Notes!U68</f>
        <v xml:space="preserve">               Rice milling</v>
      </c>
      <c r="X67" s="4" t="s">
        <v>716</v>
      </c>
      <c r="Y67" s="44">
        <v>1.5197276360926699</v>
      </c>
      <c r="Z67" s="42" t="s">
        <v>48</v>
      </c>
      <c r="AA67" s="40" t="s">
        <v>48</v>
      </c>
      <c r="AB67" s="40" t="s">
        <v>48</v>
      </c>
      <c r="AC67" s="40" t="s">
        <v>48</v>
      </c>
      <c r="AD67" s="40" t="s">
        <v>48</v>
      </c>
      <c r="AE67" s="40" t="s">
        <v>48</v>
      </c>
      <c r="AF67" s="40" t="s">
        <v>48</v>
      </c>
      <c r="AG67" s="40" t="s">
        <v>48</v>
      </c>
      <c r="AH67" s="40" t="s">
        <v>48</v>
      </c>
      <c r="AI67" s="40" t="s">
        <v>48</v>
      </c>
      <c r="AJ67" s="40" t="s">
        <v>48</v>
      </c>
      <c r="AK67" s="40" t="s">
        <v>48</v>
      </c>
      <c r="AL67" s="40" t="s">
        <v>48</v>
      </c>
      <c r="AM67" s="40" t="s">
        <v>48</v>
      </c>
      <c r="AN67" s="40" t="s">
        <v>48</v>
      </c>
    </row>
    <row r="68" spans="1:40" x14ac:dyDescent="0.35">
      <c r="A68" s="12">
        <v>61</v>
      </c>
      <c r="B68" s="33"/>
      <c r="C68" s="38" t="str">
        <f>Notes!U69</f>
        <v xml:space="preserve">               Rice milling - coarse</v>
      </c>
      <c r="D68" s="4" t="s">
        <v>717</v>
      </c>
      <c r="E68" s="44" t="s">
        <v>48</v>
      </c>
      <c r="F68" s="42" t="s">
        <v>48</v>
      </c>
      <c r="G68" s="40" t="s">
        <v>48</v>
      </c>
      <c r="H68" s="40" t="s">
        <v>48</v>
      </c>
      <c r="I68" s="40" t="s">
        <v>48</v>
      </c>
      <c r="J68" s="40" t="s">
        <v>48</v>
      </c>
      <c r="K68" s="40" t="s">
        <v>48</v>
      </c>
      <c r="L68" s="40" t="s">
        <v>48</v>
      </c>
      <c r="M68" s="40" t="s">
        <v>48</v>
      </c>
      <c r="N68" s="40" t="s">
        <v>48</v>
      </c>
      <c r="O68" s="40" t="s">
        <v>48</v>
      </c>
      <c r="P68" s="40" t="s">
        <v>48</v>
      </c>
      <c r="Q68" s="40" t="s">
        <v>48</v>
      </c>
      <c r="R68" s="40" t="s">
        <v>48</v>
      </c>
      <c r="S68" s="40" t="s">
        <v>48</v>
      </c>
      <c r="T68" s="40" t="s">
        <v>48</v>
      </c>
      <c r="V68" s="33"/>
      <c r="W68" s="38" t="str">
        <f>Notes!U69</f>
        <v xml:space="preserve">               Rice milling - coarse</v>
      </c>
      <c r="X68" s="4" t="s">
        <v>717</v>
      </c>
      <c r="Y68" s="44">
        <v>0.12988178110293402</v>
      </c>
      <c r="Z68" s="42" t="s">
        <v>48</v>
      </c>
      <c r="AA68" s="40" t="s">
        <v>48</v>
      </c>
      <c r="AB68" s="40" t="s">
        <v>48</v>
      </c>
      <c r="AC68" s="40" t="s">
        <v>48</v>
      </c>
      <c r="AD68" s="40" t="s">
        <v>48</v>
      </c>
      <c r="AE68" s="40" t="s">
        <v>48</v>
      </c>
      <c r="AF68" s="40" t="s">
        <v>48</v>
      </c>
      <c r="AG68" s="40" t="s">
        <v>48</v>
      </c>
      <c r="AH68" s="40" t="s">
        <v>48</v>
      </c>
      <c r="AI68" s="40" t="s">
        <v>48</v>
      </c>
      <c r="AJ68" s="40" t="s">
        <v>48</v>
      </c>
      <c r="AK68" s="40" t="s">
        <v>48</v>
      </c>
      <c r="AL68" s="40" t="s">
        <v>48</v>
      </c>
      <c r="AM68" s="40" t="s">
        <v>48</v>
      </c>
      <c r="AN68" s="40" t="s">
        <v>48</v>
      </c>
    </row>
    <row r="69" spans="1:40" x14ac:dyDescent="0.35">
      <c r="A69" s="12">
        <v>62</v>
      </c>
      <c r="B69" s="33"/>
      <c r="C69" s="38" t="str">
        <f>Notes!U70</f>
        <v xml:space="preserve">               Rice milling - other</v>
      </c>
      <c r="D69" s="4" t="s">
        <v>347</v>
      </c>
      <c r="E69" s="44">
        <v>19.92535873897069</v>
      </c>
      <c r="F69" s="42" t="s">
        <v>48</v>
      </c>
      <c r="G69" s="40" t="s">
        <v>48</v>
      </c>
      <c r="H69" s="40" t="s">
        <v>48</v>
      </c>
      <c r="I69" s="40" t="s">
        <v>48</v>
      </c>
      <c r="J69" s="40" t="s">
        <v>48</v>
      </c>
      <c r="K69" s="40" t="s">
        <v>48</v>
      </c>
      <c r="L69" s="40" t="s">
        <v>48</v>
      </c>
      <c r="M69" s="40" t="s">
        <v>48</v>
      </c>
      <c r="N69" s="40" t="s">
        <v>48</v>
      </c>
      <c r="O69" s="40" t="s">
        <v>48</v>
      </c>
      <c r="P69" s="40" t="s">
        <v>48</v>
      </c>
      <c r="Q69" s="40" t="s">
        <v>48</v>
      </c>
      <c r="R69" s="40" t="s">
        <v>48</v>
      </c>
      <c r="S69" s="40" t="s">
        <v>48</v>
      </c>
      <c r="T69" s="40" t="s">
        <v>48</v>
      </c>
      <c r="V69" s="33"/>
      <c r="W69" s="38" t="str">
        <f>Notes!U70</f>
        <v xml:space="preserve">               Rice milling - other</v>
      </c>
      <c r="X69" s="4" t="s">
        <v>347</v>
      </c>
      <c r="Y69" s="44">
        <v>69.777867741013338</v>
      </c>
      <c r="Z69" s="42" t="s">
        <v>48</v>
      </c>
      <c r="AA69" s="40" t="s">
        <v>48</v>
      </c>
      <c r="AB69" s="40" t="s">
        <v>48</v>
      </c>
      <c r="AC69" s="40" t="s">
        <v>48</v>
      </c>
      <c r="AD69" s="40" t="s">
        <v>48</v>
      </c>
      <c r="AE69" s="40" t="s">
        <v>48</v>
      </c>
      <c r="AF69" s="40" t="s">
        <v>48</v>
      </c>
      <c r="AG69" s="40" t="s">
        <v>48</v>
      </c>
      <c r="AH69" s="40" t="s">
        <v>48</v>
      </c>
      <c r="AI69" s="40" t="s">
        <v>48</v>
      </c>
      <c r="AJ69" s="40" t="s">
        <v>48</v>
      </c>
      <c r="AK69" s="40" t="s">
        <v>48</v>
      </c>
      <c r="AL69" s="40" t="s">
        <v>48</v>
      </c>
      <c r="AM69" s="40" t="s">
        <v>48</v>
      </c>
      <c r="AN69" s="40" t="s">
        <v>48</v>
      </c>
    </row>
    <row r="70" spans="1:40" x14ac:dyDescent="0.35">
      <c r="A70" s="12">
        <v>63</v>
      </c>
      <c r="B70" s="33"/>
      <c r="C70" s="38" t="str">
        <f>Notes!U71</f>
        <v xml:space="preserve">               Wheat and barley milling</v>
      </c>
      <c r="D70" s="4" t="s">
        <v>718</v>
      </c>
      <c r="E70" s="44">
        <v>2.4189799616336889</v>
      </c>
      <c r="F70" s="42" t="s">
        <v>48</v>
      </c>
      <c r="G70" s="40" t="s">
        <v>48</v>
      </c>
      <c r="H70" s="40" t="s">
        <v>48</v>
      </c>
      <c r="I70" s="40" t="s">
        <v>48</v>
      </c>
      <c r="J70" s="40" t="s">
        <v>48</v>
      </c>
      <c r="K70" s="40" t="s">
        <v>48</v>
      </c>
      <c r="L70" s="40" t="s">
        <v>48</v>
      </c>
      <c r="M70" s="40" t="s">
        <v>48</v>
      </c>
      <c r="N70" s="40" t="s">
        <v>48</v>
      </c>
      <c r="O70" s="40" t="s">
        <v>48</v>
      </c>
      <c r="P70" s="40" t="s">
        <v>48</v>
      </c>
      <c r="Q70" s="40" t="s">
        <v>48</v>
      </c>
      <c r="R70" s="40" t="s">
        <v>48</v>
      </c>
      <c r="S70" s="40" t="s">
        <v>48</v>
      </c>
      <c r="T70" s="40" t="s">
        <v>48</v>
      </c>
      <c r="V70" s="33"/>
      <c r="W70" s="38" t="str">
        <f>Notes!U71</f>
        <v xml:space="preserve">               Wheat and barley milling</v>
      </c>
      <c r="X70" s="4" t="s">
        <v>718</v>
      </c>
      <c r="Y70" s="44">
        <v>3.3333076482890114</v>
      </c>
      <c r="Z70" s="42" t="s">
        <v>48</v>
      </c>
      <c r="AA70" s="40" t="s">
        <v>48</v>
      </c>
      <c r="AB70" s="40" t="s">
        <v>48</v>
      </c>
      <c r="AC70" s="40" t="s">
        <v>48</v>
      </c>
      <c r="AD70" s="40" t="s">
        <v>48</v>
      </c>
      <c r="AE70" s="40" t="s">
        <v>48</v>
      </c>
      <c r="AF70" s="40" t="s">
        <v>48</v>
      </c>
      <c r="AG70" s="40" t="s">
        <v>48</v>
      </c>
      <c r="AH70" s="40" t="s">
        <v>48</v>
      </c>
      <c r="AI70" s="40" t="s">
        <v>48</v>
      </c>
      <c r="AJ70" s="40" t="s">
        <v>48</v>
      </c>
      <c r="AK70" s="40" t="s">
        <v>48</v>
      </c>
      <c r="AL70" s="40" t="s">
        <v>48</v>
      </c>
      <c r="AM70" s="40" t="s">
        <v>48</v>
      </c>
      <c r="AN70" s="40" t="s">
        <v>48</v>
      </c>
    </row>
    <row r="71" spans="1:40" x14ac:dyDescent="0.35">
      <c r="A71" s="12">
        <v>64</v>
      </c>
      <c r="B71" s="33"/>
      <c r="C71" s="38" t="str">
        <f>Notes!U72</f>
        <v xml:space="preserve">               Other grain milling</v>
      </c>
      <c r="D71" s="4" t="s">
        <v>349</v>
      </c>
      <c r="E71" s="44">
        <v>2.4189799616336889</v>
      </c>
      <c r="F71" s="42" t="s">
        <v>48</v>
      </c>
      <c r="G71" s="40" t="s">
        <v>48</v>
      </c>
      <c r="H71" s="40" t="s">
        <v>48</v>
      </c>
      <c r="I71" s="40" t="s">
        <v>48</v>
      </c>
      <c r="J71" s="40" t="s">
        <v>48</v>
      </c>
      <c r="K71" s="40" t="s">
        <v>48</v>
      </c>
      <c r="L71" s="40" t="s">
        <v>48</v>
      </c>
      <c r="M71" s="40" t="s">
        <v>48</v>
      </c>
      <c r="N71" s="40" t="s">
        <v>48</v>
      </c>
      <c r="O71" s="40" t="s">
        <v>48</v>
      </c>
      <c r="P71" s="40" t="s">
        <v>48</v>
      </c>
      <c r="Q71" s="40" t="s">
        <v>48</v>
      </c>
      <c r="R71" s="40" t="s">
        <v>48</v>
      </c>
      <c r="S71" s="40" t="s">
        <v>48</v>
      </c>
      <c r="T71" s="40" t="s">
        <v>48</v>
      </c>
      <c r="V71" s="33"/>
      <c r="W71" s="38" t="str">
        <f>Notes!U72</f>
        <v xml:space="preserve">               Other grain milling</v>
      </c>
      <c r="X71" s="4" t="s">
        <v>349</v>
      </c>
      <c r="Y71" s="44">
        <v>3.3333076482890114</v>
      </c>
      <c r="Z71" s="42" t="s">
        <v>48</v>
      </c>
      <c r="AA71" s="40" t="s">
        <v>48</v>
      </c>
      <c r="AB71" s="40" t="s">
        <v>48</v>
      </c>
      <c r="AC71" s="40" t="s">
        <v>48</v>
      </c>
      <c r="AD71" s="40" t="s">
        <v>48</v>
      </c>
      <c r="AE71" s="40" t="s">
        <v>48</v>
      </c>
      <c r="AF71" s="40" t="s">
        <v>48</v>
      </c>
      <c r="AG71" s="40" t="s">
        <v>48</v>
      </c>
      <c r="AH71" s="40" t="s">
        <v>48</v>
      </c>
      <c r="AI71" s="40" t="s">
        <v>48</v>
      </c>
      <c r="AJ71" s="40" t="s">
        <v>48</v>
      </c>
      <c r="AK71" s="40" t="s">
        <v>48</v>
      </c>
      <c r="AL71" s="40" t="s">
        <v>48</v>
      </c>
      <c r="AM71" s="40" t="s">
        <v>48</v>
      </c>
      <c r="AN71" s="40" t="s">
        <v>48</v>
      </c>
    </row>
    <row r="72" spans="1:40" x14ac:dyDescent="0.35">
      <c r="A72" s="12">
        <v>65</v>
      </c>
      <c r="B72" s="33"/>
      <c r="C72" s="38" t="str">
        <f>Notes!U73</f>
        <v xml:space="preserve">               Sugar refining</v>
      </c>
      <c r="D72" s="4" t="s">
        <v>719</v>
      </c>
      <c r="E72" s="44">
        <v>0.48578238381539907</v>
      </c>
      <c r="F72" s="42" t="s">
        <v>48</v>
      </c>
      <c r="G72" s="40" t="s">
        <v>48</v>
      </c>
      <c r="H72" s="40" t="s">
        <v>48</v>
      </c>
      <c r="I72" s="40" t="s">
        <v>48</v>
      </c>
      <c r="J72" s="40" t="s">
        <v>48</v>
      </c>
      <c r="K72" s="40" t="s">
        <v>48</v>
      </c>
      <c r="L72" s="40" t="s">
        <v>48</v>
      </c>
      <c r="M72" s="40" t="s">
        <v>48</v>
      </c>
      <c r="N72" s="40" t="s">
        <v>48</v>
      </c>
      <c r="O72" s="40" t="s">
        <v>48</v>
      </c>
      <c r="P72" s="40" t="s">
        <v>48</v>
      </c>
      <c r="Q72" s="40" t="s">
        <v>48</v>
      </c>
      <c r="R72" s="40" t="s">
        <v>48</v>
      </c>
      <c r="S72" s="40" t="s">
        <v>48</v>
      </c>
      <c r="T72" s="40" t="s">
        <v>48</v>
      </c>
      <c r="V72" s="33"/>
      <c r="W72" s="38" t="str">
        <f>Notes!U73</f>
        <v xml:space="preserve">               Sugar refining</v>
      </c>
      <c r="X72" s="4" t="s">
        <v>719</v>
      </c>
      <c r="Y72" s="44">
        <v>2.1054635973475184</v>
      </c>
      <c r="Z72" s="42" t="s">
        <v>48</v>
      </c>
      <c r="AA72" s="40" t="s">
        <v>48</v>
      </c>
      <c r="AB72" s="40" t="s">
        <v>48</v>
      </c>
      <c r="AC72" s="40" t="s">
        <v>48</v>
      </c>
      <c r="AD72" s="40" t="s">
        <v>48</v>
      </c>
      <c r="AE72" s="40" t="s">
        <v>48</v>
      </c>
      <c r="AF72" s="40" t="s">
        <v>48</v>
      </c>
      <c r="AG72" s="40" t="s">
        <v>48</v>
      </c>
      <c r="AH72" s="40" t="s">
        <v>48</v>
      </c>
      <c r="AI72" s="40" t="s">
        <v>48</v>
      </c>
      <c r="AJ72" s="40" t="s">
        <v>48</v>
      </c>
      <c r="AK72" s="40" t="s">
        <v>48</v>
      </c>
      <c r="AL72" s="40" t="s">
        <v>48</v>
      </c>
      <c r="AM72" s="40" t="s">
        <v>48</v>
      </c>
      <c r="AN72" s="40" t="s">
        <v>48</v>
      </c>
    </row>
    <row r="73" spans="1:40" x14ac:dyDescent="0.35">
      <c r="A73" s="12">
        <v>66</v>
      </c>
      <c r="B73" s="33"/>
      <c r="C73" s="38" t="str">
        <f>Notes!U74</f>
        <v xml:space="preserve">               Coffee processing</v>
      </c>
      <c r="D73" s="4" t="s">
        <v>720</v>
      </c>
      <c r="E73" s="44">
        <v>0.21873000612650317</v>
      </c>
      <c r="F73" s="42" t="s">
        <v>48</v>
      </c>
      <c r="G73" s="40" t="s">
        <v>48</v>
      </c>
      <c r="H73" s="40" t="s">
        <v>48</v>
      </c>
      <c r="I73" s="40" t="s">
        <v>48</v>
      </c>
      <c r="J73" s="40" t="s">
        <v>48</v>
      </c>
      <c r="K73" s="40" t="s">
        <v>48</v>
      </c>
      <c r="L73" s="40" t="s">
        <v>48</v>
      </c>
      <c r="M73" s="40" t="s">
        <v>48</v>
      </c>
      <c r="N73" s="40" t="s">
        <v>48</v>
      </c>
      <c r="O73" s="40" t="s">
        <v>48</v>
      </c>
      <c r="P73" s="40" t="s">
        <v>48</v>
      </c>
      <c r="Q73" s="40" t="s">
        <v>48</v>
      </c>
      <c r="R73" s="40" t="s">
        <v>48</v>
      </c>
      <c r="S73" s="40" t="s">
        <v>48</v>
      </c>
      <c r="T73" s="40" t="s">
        <v>48</v>
      </c>
      <c r="V73" s="33"/>
      <c r="W73" s="38" t="str">
        <f>Notes!U74</f>
        <v xml:space="preserve">               Coffee processing</v>
      </c>
      <c r="X73" s="4" t="s">
        <v>720</v>
      </c>
      <c r="Y73" s="44">
        <v>1.7721762241935657</v>
      </c>
      <c r="Z73" s="42" t="s">
        <v>48</v>
      </c>
      <c r="AA73" s="40" t="s">
        <v>48</v>
      </c>
      <c r="AB73" s="40" t="s">
        <v>48</v>
      </c>
      <c r="AC73" s="40" t="s">
        <v>48</v>
      </c>
      <c r="AD73" s="40" t="s">
        <v>48</v>
      </c>
      <c r="AE73" s="40" t="s">
        <v>48</v>
      </c>
      <c r="AF73" s="40" t="s">
        <v>48</v>
      </c>
      <c r="AG73" s="40" t="s">
        <v>48</v>
      </c>
      <c r="AH73" s="40" t="s">
        <v>48</v>
      </c>
      <c r="AI73" s="40" t="s">
        <v>48</v>
      </c>
      <c r="AJ73" s="40" t="s">
        <v>48</v>
      </c>
      <c r="AK73" s="40" t="s">
        <v>48</v>
      </c>
      <c r="AL73" s="40" t="s">
        <v>48</v>
      </c>
      <c r="AM73" s="40" t="s">
        <v>48</v>
      </c>
      <c r="AN73" s="40" t="s">
        <v>48</v>
      </c>
    </row>
    <row r="74" spans="1:40" x14ac:dyDescent="0.35">
      <c r="A74" s="12">
        <v>67</v>
      </c>
      <c r="B74" s="33"/>
      <c r="C74" s="38" t="str">
        <f>Notes!U75</f>
        <v xml:space="preserve">               Tea processing</v>
      </c>
      <c r="D74" s="4" t="s">
        <v>350</v>
      </c>
      <c r="E74" s="44">
        <v>0.26705237768889589</v>
      </c>
      <c r="F74" s="42" t="s">
        <v>48</v>
      </c>
      <c r="G74" s="40" t="s">
        <v>48</v>
      </c>
      <c r="H74" s="40" t="s">
        <v>48</v>
      </c>
      <c r="I74" s="40" t="s">
        <v>48</v>
      </c>
      <c r="J74" s="40" t="s">
        <v>48</v>
      </c>
      <c r="K74" s="40" t="s">
        <v>48</v>
      </c>
      <c r="L74" s="40" t="s">
        <v>48</v>
      </c>
      <c r="M74" s="40" t="s">
        <v>48</v>
      </c>
      <c r="N74" s="40" t="s">
        <v>48</v>
      </c>
      <c r="O74" s="40" t="s">
        <v>48</v>
      </c>
      <c r="P74" s="40" t="s">
        <v>48</v>
      </c>
      <c r="Q74" s="40" t="s">
        <v>48</v>
      </c>
      <c r="R74" s="40" t="s">
        <v>48</v>
      </c>
      <c r="S74" s="40" t="s">
        <v>48</v>
      </c>
      <c r="T74" s="40" t="s">
        <v>48</v>
      </c>
      <c r="V74" s="33"/>
      <c r="W74" s="38" t="str">
        <f>Notes!U75</f>
        <v xml:space="preserve">               Tea processing</v>
      </c>
      <c r="X74" s="4" t="s">
        <v>350</v>
      </c>
      <c r="Y74" s="44">
        <v>0.33328737315395285</v>
      </c>
      <c r="Z74" s="42" t="s">
        <v>48</v>
      </c>
      <c r="AA74" s="40" t="s">
        <v>48</v>
      </c>
      <c r="AB74" s="40" t="s">
        <v>48</v>
      </c>
      <c r="AC74" s="40" t="s">
        <v>48</v>
      </c>
      <c r="AD74" s="40" t="s">
        <v>48</v>
      </c>
      <c r="AE74" s="40" t="s">
        <v>48</v>
      </c>
      <c r="AF74" s="40" t="s">
        <v>48</v>
      </c>
      <c r="AG74" s="40" t="s">
        <v>48</v>
      </c>
      <c r="AH74" s="40" t="s">
        <v>48</v>
      </c>
      <c r="AI74" s="40" t="s">
        <v>48</v>
      </c>
      <c r="AJ74" s="40" t="s">
        <v>48</v>
      </c>
      <c r="AK74" s="40" t="s">
        <v>48</v>
      </c>
      <c r="AL74" s="40" t="s">
        <v>48</v>
      </c>
      <c r="AM74" s="40" t="s">
        <v>48</v>
      </c>
      <c r="AN74" s="40" t="s">
        <v>48</v>
      </c>
    </row>
    <row r="75" spans="1:40" x14ac:dyDescent="0.35">
      <c r="A75" s="12">
        <v>68</v>
      </c>
      <c r="B75" s="33"/>
      <c r="C75" s="38" t="str">
        <f>Notes!U76</f>
        <v xml:space="preserve">               Other foods</v>
      </c>
      <c r="D75" s="4" t="s">
        <v>351</v>
      </c>
      <c r="E75" s="44">
        <v>0.99228821061399541</v>
      </c>
      <c r="F75" s="42" t="s">
        <v>48</v>
      </c>
      <c r="G75" s="40" t="s">
        <v>48</v>
      </c>
      <c r="H75" s="40" t="s">
        <v>48</v>
      </c>
      <c r="I75" s="40" t="s">
        <v>48</v>
      </c>
      <c r="J75" s="40" t="s">
        <v>48</v>
      </c>
      <c r="K75" s="40" t="s">
        <v>48</v>
      </c>
      <c r="L75" s="40" t="s">
        <v>48</v>
      </c>
      <c r="M75" s="40" t="s">
        <v>48</v>
      </c>
      <c r="N75" s="40" t="s">
        <v>48</v>
      </c>
      <c r="O75" s="40" t="s">
        <v>48</v>
      </c>
      <c r="P75" s="40" t="s">
        <v>48</v>
      </c>
      <c r="Q75" s="40" t="s">
        <v>48</v>
      </c>
      <c r="R75" s="40" t="s">
        <v>48</v>
      </c>
      <c r="S75" s="40" t="s">
        <v>48</v>
      </c>
      <c r="T75" s="40" t="s">
        <v>48</v>
      </c>
      <c r="V75" s="33"/>
      <c r="W75" s="38" t="str">
        <f>Notes!U76</f>
        <v xml:space="preserve">               Other foods</v>
      </c>
      <c r="X75" s="4" t="s">
        <v>351</v>
      </c>
      <c r="Y75" s="44">
        <v>28.513953120456868</v>
      </c>
      <c r="Z75" s="42" t="s">
        <v>48</v>
      </c>
      <c r="AA75" s="40" t="s">
        <v>48</v>
      </c>
      <c r="AB75" s="40" t="s">
        <v>48</v>
      </c>
      <c r="AC75" s="40" t="s">
        <v>48</v>
      </c>
      <c r="AD75" s="40" t="s">
        <v>48</v>
      </c>
      <c r="AE75" s="40" t="s">
        <v>48</v>
      </c>
      <c r="AF75" s="40" t="s">
        <v>48</v>
      </c>
      <c r="AG75" s="40" t="s">
        <v>48</v>
      </c>
      <c r="AH75" s="40" t="s">
        <v>48</v>
      </c>
      <c r="AI75" s="40" t="s">
        <v>48</v>
      </c>
      <c r="AJ75" s="40" t="s">
        <v>48</v>
      </c>
      <c r="AK75" s="40" t="s">
        <v>48</v>
      </c>
      <c r="AL75" s="40" t="s">
        <v>48</v>
      </c>
      <c r="AM75" s="40" t="s">
        <v>48</v>
      </c>
      <c r="AN75" s="40" t="s">
        <v>48</v>
      </c>
    </row>
    <row r="76" spans="1:40" x14ac:dyDescent="0.35">
      <c r="A76" s="12">
        <v>69</v>
      </c>
      <c r="B76" s="33"/>
      <c r="C76" s="38" t="str">
        <f>Notes!U77</f>
        <v xml:space="preserve">               Animal feed</v>
      </c>
      <c r="D76" s="4" t="s">
        <v>721</v>
      </c>
      <c r="E76" s="44" t="s">
        <v>48</v>
      </c>
      <c r="F76" s="42" t="s">
        <v>48</v>
      </c>
      <c r="G76" s="40" t="s">
        <v>48</v>
      </c>
      <c r="H76" s="40" t="s">
        <v>48</v>
      </c>
      <c r="I76" s="40" t="s">
        <v>48</v>
      </c>
      <c r="J76" s="40" t="s">
        <v>48</v>
      </c>
      <c r="K76" s="40" t="s">
        <v>48</v>
      </c>
      <c r="L76" s="40" t="s">
        <v>48</v>
      </c>
      <c r="M76" s="40" t="s">
        <v>48</v>
      </c>
      <c r="N76" s="40" t="s">
        <v>48</v>
      </c>
      <c r="O76" s="40" t="s">
        <v>48</v>
      </c>
      <c r="P76" s="40" t="s">
        <v>48</v>
      </c>
      <c r="Q76" s="40" t="s">
        <v>48</v>
      </c>
      <c r="R76" s="40" t="s">
        <v>48</v>
      </c>
      <c r="S76" s="40" t="s">
        <v>48</v>
      </c>
      <c r="T76" s="40" t="s">
        <v>48</v>
      </c>
      <c r="V76" s="33"/>
      <c r="W76" s="38" t="str">
        <f>Notes!U77</f>
        <v xml:space="preserve">               Animal feed</v>
      </c>
      <c r="X76" s="4" t="s">
        <v>721</v>
      </c>
      <c r="Y76" s="44">
        <v>18.598776660508324</v>
      </c>
      <c r="Z76" s="42" t="s">
        <v>48</v>
      </c>
      <c r="AA76" s="40" t="s">
        <v>48</v>
      </c>
      <c r="AB76" s="40" t="s">
        <v>48</v>
      </c>
      <c r="AC76" s="40" t="s">
        <v>48</v>
      </c>
      <c r="AD76" s="40" t="s">
        <v>48</v>
      </c>
      <c r="AE76" s="40" t="s">
        <v>48</v>
      </c>
      <c r="AF76" s="40" t="s">
        <v>48</v>
      </c>
      <c r="AG76" s="40" t="s">
        <v>48</v>
      </c>
      <c r="AH76" s="40" t="s">
        <v>48</v>
      </c>
      <c r="AI76" s="40" t="s">
        <v>48</v>
      </c>
      <c r="AJ76" s="40" t="s">
        <v>48</v>
      </c>
      <c r="AK76" s="40" t="s">
        <v>48</v>
      </c>
      <c r="AL76" s="40" t="s">
        <v>48</v>
      </c>
      <c r="AM76" s="40" t="s">
        <v>48</v>
      </c>
      <c r="AN76" s="40" t="s">
        <v>48</v>
      </c>
    </row>
    <row r="77" spans="1:40" x14ac:dyDescent="0.35">
      <c r="A77" s="12">
        <v>70</v>
      </c>
      <c r="B77" s="33"/>
      <c r="C77" s="38" t="str">
        <f>Notes!U78</f>
        <v xml:space="preserve">               Beverages and tobacco</v>
      </c>
      <c r="D77" s="4" t="s">
        <v>722</v>
      </c>
      <c r="E77" s="44">
        <v>0.99228821061399541</v>
      </c>
      <c r="F77" s="42" t="s">
        <v>48</v>
      </c>
      <c r="G77" s="40" t="s">
        <v>48</v>
      </c>
      <c r="H77" s="40" t="s">
        <v>48</v>
      </c>
      <c r="I77" s="40" t="s">
        <v>48</v>
      </c>
      <c r="J77" s="40" t="s">
        <v>48</v>
      </c>
      <c r="K77" s="40" t="s">
        <v>48</v>
      </c>
      <c r="L77" s="40" t="s">
        <v>48</v>
      </c>
      <c r="M77" s="40" t="s">
        <v>48</v>
      </c>
      <c r="N77" s="40" t="s">
        <v>48</v>
      </c>
      <c r="O77" s="40" t="s">
        <v>48</v>
      </c>
      <c r="P77" s="40" t="s">
        <v>48</v>
      </c>
      <c r="Q77" s="40" t="s">
        <v>48</v>
      </c>
      <c r="R77" s="40" t="s">
        <v>48</v>
      </c>
      <c r="S77" s="40" t="s">
        <v>48</v>
      </c>
      <c r="T77" s="40" t="s">
        <v>48</v>
      </c>
      <c r="V77" s="33"/>
      <c r="W77" s="38" t="str">
        <f>Notes!U78</f>
        <v xml:space="preserve">               Beverages and tobacco</v>
      </c>
      <c r="X77" s="4" t="s">
        <v>722</v>
      </c>
      <c r="Y77" s="44">
        <v>6.4565027014787653</v>
      </c>
      <c r="Z77" s="42" t="s">
        <v>48</v>
      </c>
      <c r="AA77" s="40" t="s">
        <v>48</v>
      </c>
      <c r="AB77" s="40" t="s">
        <v>48</v>
      </c>
      <c r="AC77" s="40" t="s">
        <v>48</v>
      </c>
      <c r="AD77" s="40" t="s">
        <v>48</v>
      </c>
      <c r="AE77" s="40" t="s">
        <v>48</v>
      </c>
      <c r="AF77" s="40" t="s">
        <v>48</v>
      </c>
      <c r="AG77" s="40" t="s">
        <v>48</v>
      </c>
      <c r="AH77" s="40" t="s">
        <v>48</v>
      </c>
      <c r="AI77" s="40" t="s">
        <v>48</v>
      </c>
      <c r="AJ77" s="40" t="s">
        <v>48</v>
      </c>
      <c r="AK77" s="40" t="s">
        <v>48</v>
      </c>
      <c r="AL77" s="40" t="s">
        <v>48</v>
      </c>
      <c r="AM77" s="40" t="s">
        <v>48</v>
      </c>
      <c r="AN77" s="40" t="s">
        <v>48</v>
      </c>
    </row>
    <row r="78" spans="1:40" x14ac:dyDescent="0.35">
      <c r="A78" s="12">
        <v>71</v>
      </c>
      <c r="B78" s="33"/>
      <c r="C78" s="38" t="str">
        <f>Notes!U79</f>
        <v xml:space="preserve">               Beverages</v>
      </c>
      <c r="D78" s="4" t="s">
        <v>723</v>
      </c>
      <c r="E78" s="44" t="s">
        <v>48</v>
      </c>
      <c r="F78" s="42" t="s">
        <v>48</v>
      </c>
      <c r="G78" s="40" t="s">
        <v>48</v>
      </c>
      <c r="H78" s="40" t="s">
        <v>48</v>
      </c>
      <c r="I78" s="40" t="s">
        <v>48</v>
      </c>
      <c r="J78" s="40" t="s">
        <v>48</v>
      </c>
      <c r="K78" s="40" t="s">
        <v>48</v>
      </c>
      <c r="L78" s="40" t="s">
        <v>48</v>
      </c>
      <c r="M78" s="40" t="s">
        <v>48</v>
      </c>
      <c r="N78" s="40" t="s">
        <v>48</v>
      </c>
      <c r="O78" s="40" t="s">
        <v>48</v>
      </c>
      <c r="P78" s="40" t="s">
        <v>48</v>
      </c>
      <c r="Q78" s="40" t="s">
        <v>48</v>
      </c>
      <c r="R78" s="40" t="s">
        <v>48</v>
      </c>
      <c r="S78" s="40" t="s">
        <v>48</v>
      </c>
      <c r="T78" s="40" t="s">
        <v>48</v>
      </c>
      <c r="V78" s="33"/>
      <c r="W78" s="38" t="str">
        <f>Notes!U79</f>
        <v xml:space="preserve">               Beverages</v>
      </c>
      <c r="X78" s="4" t="s">
        <v>723</v>
      </c>
      <c r="Y78" s="44">
        <v>3.4586737584697822</v>
      </c>
      <c r="Z78" s="42" t="s">
        <v>48</v>
      </c>
      <c r="AA78" s="40" t="s">
        <v>48</v>
      </c>
      <c r="AB78" s="40" t="s">
        <v>48</v>
      </c>
      <c r="AC78" s="40" t="s">
        <v>48</v>
      </c>
      <c r="AD78" s="40" t="s">
        <v>48</v>
      </c>
      <c r="AE78" s="40" t="s">
        <v>48</v>
      </c>
      <c r="AF78" s="40" t="s">
        <v>48</v>
      </c>
      <c r="AG78" s="40" t="s">
        <v>48</v>
      </c>
      <c r="AH78" s="40" t="s">
        <v>48</v>
      </c>
      <c r="AI78" s="40" t="s">
        <v>48</v>
      </c>
      <c r="AJ78" s="40" t="s">
        <v>48</v>
      </c>
      <c r="AK78" s="40" t="s">
        <v>48</v>
      </c>
      <c r="AL78" s="40" t="s">
        <v>48</v>
      </c>
      <c r="AM78" s="40" t="s">
        <v>48</v>
      </c>
      <c r="AN78" s="40" t="s">
        <v>48</v>
      </c>
    </row>
    <row r="79" spans="1:40" x14ac:dyDescent="0.35">
      <c r="A79" s="12">
        <v>72</v>
      </c>
      <c r="B79" s="33"/>
      <c r="C79" s="38" t="str">
        <f>Notes!U80</f>
        <v xml:space="preserve">               Tobacco processing</v>
      </c>
      <c r="D79" s="4" t="s">
        <v>352</v>
      </c>
      <c r="E79" s="44">
        <v>12.525560853263714</v>
      </c>
      <c r="F79" s="42" t="s">
        <v>48</v>
      </c>
      <c r="G79" s="40" t="s">
        <v>48</v>
      </c>
      <c r="H79" s="40" t="s">
        <v>48</v>
      </c>
      <c r="I79" s="40" t="s">
        <v>48</v>
      </c>
      <c r="J79" s="40" t="s">
        <v>48</v>
      </c>
      <c r="K79" s="40" t="s">
        <v>48</v>
      </c>
      <c r="L79" s="40" t="s">
        <v>48</v>
      </c>
      <c r="M79" s="40" t="s">
        <v>48</v>
      </c>
      <c r="N79" s="40" t="s">
        <v>48</v>
      </c>
      <c r="O79" s="40" t="s">
        <v>48</v>
      </c>
      <c r="P79" s="40" t="s">
        <v>48</v>
      </c>
      <c r="Q79" s="40" t="s">
        <v>48</v>
      </c>
      <c r="R79" s="40" t="s">
        <v>48</v>
      </c>
      <c r="S79" s="40" t="s">
        <v>48</v>
      </c>
      <c r="T79" s="40" t="s">
        <v>48</v>
      </c>
      <c r="V79" s="33"/>
      <c r="W79" s="38" t="str">
        <f>Notes!U80</f>
        <v xml:space="preserve">               Tobacco processing</v>
      </c>
      <c r="X79" s="4" t="s">
        <v>352</v>
      </c>
      <c r="Y79" s="44">
        <v>35.075979927205545</v>
      </c>
      <c r="Z79" s="42" t="s">
        <v>48</v>
      </c>
      <c r="AA79" s="40" t="s">
        <v>48</v>
      </c>
      <c r="AB79" s="40" t="s">
        <v>48</v>
      </c>
      <c r="AC79" s="40" t="s">
        <v>48</v>
      </c>
      <c r="AD79" s="40" t="s">
        <v>48</v>
      </c>
      <c r="AE79" s="40" t="s">
        <v>48</v>
      </c>
      <c r="AF79" s="40" t="s">
        <v>48</v>
      </c>
      <c r="AG79" s="40" t="s">
        <v>48</v>
      </c>
      <c r="AH79" s="40" t="s">
        <v>48</v>
      </c>
      <c r="AI79" s="40" t="s">
        <v>48</v>
      </c>
      <c r="AJ79" s="40" t="s">
        <v>48</v>
      </c>
      <c r="AK79" s="40" t="s">
        <v>48</v>
      </c>
      <c r="AL79" s="40" t="s">
        <v>48</v>
      </c>
      <c r="AM79" s="40" t="s">
        <v>48</v>
      </c>
      <c r="AN79" s="40" t="s">
        <v>48</v>
      </c>
    </row>
    <row r="80" spans="1:40" x14ac:dyDescent="0.35">
      <c r="A80" s="12">
        <v>73</v>
      </c>
      <c r="B80" s="33"/>
      <c r="C80" s="38" t="str">
        <f>Notes!U81</f>
        <v xml:space="preserve">               Textiles, clothing and leather</v>
      </c>
      <c r="D80" s="4" t="s">
        <v>724</v>
      </c>
      <c r="E80" s="44">
        <v>0.44905449292784361</v>
      </c>
      <c r="F80" s="42" t="s">
        <v>48</v>
      </c>
      <c r="G80" s="40" t="s">
        <v>48</v>
      </c>
      <c r="H80" s="40" t="s">
        <v>48</v>
      </c>
      <c r="I80" s="40" t="s">
        <v>48</v>
      </c>
      <c r="J80" s="40" t="s">
        <v>48</v>
      </c>
      <c r="K80" s="40" t="s">
        <v>48</v>
      </c>
      <c r="L80" s="40" t="s">
        <v>48</v>
      </c>
      <c r="M80" s="40" t="s">
        <v>48</v>
      </c>
      <c r="N80" s="40" t="s">
        <v>48</v>
      </c>
      <c r="O80" s="40" t="s">
        <v>48</v>
      </c>
      <c r="P80" s="40" t="s">
        <v>48</v>
      </c>
      <c r="Q80" s="40" t="s">
        <v>48</v>
      </c>
      <c r="R80" s="40" t="s">
        <v>48</v>
      </c>
      <c r="S80" s="40" t="s">
        <v>48</v>
      </c>
      <c r="T80" s="40" t="s">
        <v>48</v>
      </c>
      <c r="V80" s="33"/>
      <c r="W80" s="38" t="str">
        <f>Notes!U81</f>
        <v xml:space="preserve">               Textiles, clothing and leather</v>
      </c>
      <c r="X80" s="4" t="s">
        <v>724</v>
      </c>
      <c r="Y80" s="44">
        <v>1.9803598651744851</v>
      </c>
      <c r="Z80" s="42" t="s">
        <v>48</v>
      </c>
      <c r="AA80" s="40" t="s">
        <v>48</v>
      </c>
      <c r="AB80" s="40" t="s">
        <v>48</v>
      </c>
      <c r="AC80" s="40" t="s">
        <v>48</v>
      </c>
      <c r="AD80" s="40" t="s">
        <v>48</v>
      </c>
      <c r="AE80" s="40" t="s">
        <v>48</v>
      </c>
      <c r="AF80" s="40" t="s">
        <v>48</v>
      </c>
      <c r="AG80" s="40" t="s">
        <v>48</v>
      </c>
      <c r="AH80" s="40" t="s">
        <v>48</v>
      </c>
      <c r="AI80" s="40" t="s">
        <v>48</v>
      </c>
      <c r="AJ80" s="40" t="s">
        <v>48</v>
      </c>
      <c r="AK80" s="40" t="s">
        <v>48</v>
      </c>
      <c r="AL80" s="40" t="s">
        <v>48</v>
      </c>
      <c r="AM80" s="40" t="s">
        <v>48</v>
      </c>
      <c r="AN80" s="40" t="s">
        <v>48</v>
      </c>
    </row>
    <row r="81" spans="1:40" x14ac:dyDescent="0.35">
      <c r="A81" s="12">
        <v>74</v>
      </c>
      <c r="B81" s="33"/>
      <c r="C81" s="38" t="str">
        <f>Notes!U82</f>
        <v xml:space="preserve">               Jute baling</v>
      </c>
      <c r="D81" s="4" t="s">
        <v>354</v>
      </c>
      <c r="E81" s="44">
        <v>9.844578280432531E-2</v>
      </c>
      <c r="F81" s="42" t="s">
        <v>48</v>
      </c>
      <c r="G81" s="40" t="s">
        <v>48</v>
      </c>
      <c r="H81" s="40" t="s">
        <v>48</v>
      </c>
      <c r="I81" s="40" t="s">
        <v>48</v>
      </c>
      <c r="J81" s="40" t="s">
        <v>48</v>
      </c>
      <c r="K81" s="40" t="s">
        <v>48</v>
      </c>
      <c r="L81" s="40" t="s">
        <v>48</v>
      </c>
      <c r="M81" s="40" t="s">
        <v>48</v>
      </c>
      <c r="N81" s="40" t="s">
        <v>48</v>
      </c>
      <c r="O81" s="40" t="s">
        <v>48</v>
      </c>
      <c r="P81" s="40" t="s">
        <v>48</v>
      </c>
      <c r="Q81" s="40" t="s">
        <v>48</v>
      </c>
      <c r="R81" s="40" t="s">
        <v>48</v>
      </c>
      <c r="S81" s="40" t="s">
        <v>48</v>
      </c>
      <c r="T81" s="40" t="s">
        <v>48</v>
      </c>
      <c r="V81" s="33"/>
      <c r="W81" s="38" t="str">
        <f>Notes!U82</f>
        <v xml:space="preserve">               Jute baling</v>
      </c>
      <c r="X81" s="4" t="s">
        <v>354</v>
      </c>
      <c r="Y81" s="44">
        <v>0.96468563843739408</v>
      </c>
      <c r="Z81" s="42" t="s">
        <v>48</v>
      </c>
      <c r="AA81" s="40" t="s">
        <v>48</v>
      </c>
      <c r="AB81" s="40" t="s">
        <v>48</v>
      </c>
      <c r="AC81" s="40" t="s">
        <v>48</v>
      </c>
      <c r="AD81" s="40" t="s">
        <v>48</v>
      </c>
      <c r="AE81" s="40" t="s">
        <v>48</v>
      </c>
      <c r="AF81" s="40" t="s">
        <v>48</v>
      </c>
      <c r="AG81" s="40" t="s">
        <v>48</v>
      </c>
      <c r="AH81" s="40" t="s">
        <v>48</v>
      </c>
      <c r="AI81" s="40" t="s">
        <v>48</v>
      </c>
      <c r="AJ81" s="40" t="s">
        <v>48</v>
      </c>
      <c r="AK81" s="40" t="s">
        <v>48</v>
      </c>
      <c r="AL81" s="40" t="s">
        <v>48</v>
      </c>
      <c r="AM81" s="40" t="s">
        <v>48</v>
      </c>
      <c r="AN81" s="40" t="s">
        <v>48</v>
      </c>
    </row>
    <row r="82" spans="1:40" x14ac:dyDescent="0.35">
      <c r="A82" s="12">
        <v>75</v>
      </c>
      <c r="B82" s="33"/>
      <c r="C82" s="38" t="str">
        <f>Notes!U83</f>
        <v xml:space="preserve">               Jute fabrication</v>
      </c>
      <c r="D82" s="4" t="s">
        <v>355</v>
      </c>
      <c r="E82" s="44">
        <v>1.1115869568501537</v>
      </c>
      <c r="F82" s="42" t="s">
        <v>48</v>
      </c>
      <c r="G82" s="40" t="s">
        <v>48</v>
      </c>
      <c r="H82" s="40" t="s">
        <v>48</v>
      </c>
      <c r="I82" s="40" t="s">
        <v>48</v>
      </c>
      <c r="J82" s="40" t="s">
        <v>48</v>
      </c>
      <c r="K82" s="40" t="s">
        <v>48</v>
      </c>
      <c r="L82" s="40" t="s">
        <v>48</v>
      </c>
      <c r="M82" s="40" t="s">
        <v>48</v>
      </c>
      <c r="N82" s="40" t="s">
        <v>48</v>
      </c>
      <c r="O82" s="40" t="s">
        <v>48</v>
      </c>
      <c r="P82" s="40" t="s">
        <v>48</v>
      </c>
      <c r="Q82" s="40" t="s">
        <v>48</v>
      </c>
      <c r="R82" s="40" t="s">
        <v>48</v>
      </c>
      <c r="S82" s="40" t="s">
        <v>48</v>
      </c>
      <c r="T82" s="40" t="s">
        <v>48</v>
      </c>
      <c r="V82" s="33"/>
      <c r="W82" s="38" t="str">
        <f>Notes!U83</f>
        <v xml:space="preserve">               Jute fabrication</v>
      </c>
      <c r="X82" s="4" t="s">
        <v>355</v>
      </c>
      <c r="Y82" s="44">
        <v>2.2131273095551363</v>
      </c>
      <c r="Z82" s="42" t="s">
        <v>48</v>
      </c>
      <c r="AA82" s="40" t="s">
        <v>48</v>
      </c>
      <c r="AB82" s="40" t="s">
        <v>48</v>
      </c>
      <c r="AC82" s="40" t="s">
        <v>48</v>
      </c>
      <c r="AD82" s="40" t="s">
        <v>48</v>
      </c>
      <c r="AE82" s="40" t="s">
        <v>48</v>
      </c>
      <c r="AF82" s="40" t="s">
        <v>48</v>
      </c>
      <c r="AG82" s="40" t="s">
        <v>48</v>
      </c>
      <c r="AH82" s="40" t="s">
        <v>48</v>
      </c>
      <c r="AI82" s="40" t="s">
        <v>48</v>
      </c>
      <c r="AJ82" s="40" t="s">
        <v>48</v>
      </c>
      <c r="AK82" s="40" t="s">
        <v>48</v>
      </c>
      <c r="AL82" s="40" t="s">
        <v>48</v>
      </c>
      <c r="AM82" s="40" t="s">
        <v>48</v>
      </c>
      <c r="AN82" s="40" t="s">
        <v>48</v>
      </c>
    </row>
    <row r="83" spans="1:40" x14ac:dyDescent="0.35">
      <c r="A83" s="12">
        <v>76</v>
      </c>
      <c r="B83" s="33"/>
      <c r="C83" s="38" t="str">
        <f>Notes!U84</f>
        <v xml:space="preserve">               Cotton yarn</v>
      </c>
      <c r="D83" s="4" t="s">
        <v>356</v>
      </c>
      <c r="E83" s="44">
        <v>8.3726620738724158</v>
      </c>
      <c r="F83" s="42" t="s">
        <v>48</v>
      </c>
      <c r="G83" s="40" t="s">
        <v>48</v>
      </c>
      <c r="H83" s="40" t="s">
        <v>48</v>
      </c>
      <c r="I83" s="40" t="s">
        <v>48</v>
      </c>
      <c r="J83" s="40" t="s">
        <v>48</v>
      </c>
      <c r="K83" s="40" t="s">
        <v>48</v>
      </c>
      <c r="L83" s="40" t="s">
        <v>48</v>
      </c>
      <c r="M83" s="40" t="s">
        <v>48</v>
      </c>
      <c r="N83" s="40" t="s">
        <v>48</v>
      </c>
      <c r="O83" s="40" t="s">
        <v>48</v>
      </c>
      <c r="P83" s="40" t="s">
        <v>48</v>
      </c>
      <c r="Q83" s="40" t="s">
        <v>48</v>
      </c>
      <c r="R83" s="40" t="s">
        <v>48</v>
      </c>
      <c r="S83" s="40" t="s">
        <v>48</v>
      </c>
      <c r="T83" s="40" t="s">
        <v>48</v>
      </c>
      <c r="V83" s="33"/>
      <c r="W83" s="38" t="str">
        <f>Notes!U84</f>
        <v xml:space="preserve">               Cotton yarn</v>
      </c>
      <c r="X83" s="4" t="s">
        <v>356</v>
      </c>
      <c r="Y83" s="44">
        <v>6.3677781014830819</v>
      </c>
      <c r="Z83" s="42" t="s">
        <v>48</v>
      </c>
      <c r="AA83" s="40" t="s">
        <v>48</v>
      </c>
      <c r="AB83" s="40" t="s">
        <v>48</v>
      </c>
      <c r="AC83" s="40" t="s">
        <v>48</v>
      </c>
      <c r="AD83" s="40" t="s">
        <v>48</v>
      </c>
      <c r="AE83" s="40" t="s">
        <v>48</v>
      </c>
      <c r="AF83" s="40" t="s">
        <v>48</v>
      </c>
      <c r="AG83" s="40" t="s">
        <v>48</v>
      </c>
      <c r="AH83" s="40" t="s">
        <v>48</v>
      </c>
      <c r="AI83" s="40" t="s">
        <v>48</v>
      </c>
      <c r="AJ83" s="40" t="s">
        <v>48</v>
      </c>
      <c r="AK83" s="40" t="s">
        <v>48</v>
      </c>
      <c r="AL83" s="40" t="s">
        <v>48</v>
      </c>
      <c r="AM83" s="40" t="s">
        <v>48</v>
      </c>
      <c r="AN83" s="40" t="s">
        <v>48</v>
      </c>
    </row>
    <row r="84" spans="1:40" x14ac:dyDescent="0.35">
      <c r="A84" s="12">
        <v>77</v>
      </c>
      <c r="B84" s="33"/>
      <c r="C84" s="38" t="str">
        <f>Notes!U85</f>
        <v xml:space="preserve">               Textiles</v>
      </c>
      <c r="D84" s="4" t="s">
        <v>725</v>
      </c>
      <c r="E84" s="44" t="s">
        <v>48</v>
      </c>
      <c r="F84" s="42" t="s">
        <v>48</v>
      </c>
      <c r="G84" s="40" t="s">
        <v>48</v>
      </c>
      <c r="H84" s="40" t="s">
        <v>48</v>
      </c>
      <c r="I84" s="40" t="s">
        <v>48</v>
      </c>
      <c r="J84" s="40" t="s">
        <v>48</v>
      </c>
      <c r="K84" s="40" t="s">
        <v>48</v>
      </c>
      <c r="L84" s="40" t="s">
        <v>48</v>
      </c>
      <c r="M84" s="40" t="s">
        <v>48</v>
      </c>
      <c r="N84" s="40" t="s">
        <v>48</v>
      </c>
      <c r="O84" s="40" t="s">
        <v>48</v>
      </c>
      <c r="P84" s="40" t="s">
        <v>48</v>
      </c>
      <c r="Q84" s="40" t="s">
        <v>48</v>
      </c>
      <c r="R84" s="40" t="s">
        <v>48</v>
      </c>
      <c r="S84" s="40" t="s">
        <v>48</v>
      </c>
      <c r="T84" s="40" t="s">
        <v>48</v>
      </c>
      <c r="V84" s="33"/>
      <c r="W84" s="38" t="str">
        <f>Notes!U85</f>
        <v xml:space="preserve">               Textiles</v>
      </c>
      <c r="X84" s="4" t="s">
        <v>725</v>
      </c>
      <c r="Y84" s="44">
        <v>14.27778125570833</v>
      </c>
      <c r="Z84" s="42" t="s">
        <v>48</v>
      </c>
      <c r="AA84" s="40" t="s">
        <v>48</v>
      </c>
      <c r="AB84" s="40" t="s">
        <v>48</v>
      </c>
      <c r="AC84" s="40" t="s">
        <v>48</v>
      </c>
      <c r="AD84" s="40" t="s">
        <v>48</v>
      </c>
      <c r="AE84" s="40" t="s">
        <v>48</v>
      </c>
      <c r="AF84" s="40" t="s">
        <v>48</v>
      </c>
      <c r="AG84" s="40" t="s">
        <v>48</v>
      </c>
      <c r="AH84" s="40" t="s">
        <v>48</v>
      </c>
      <c r="AI84" s="40" t="s">
        <v>48</v>
      </c>
      <c r="AJ84" s="40" t="s">
        <v>48</v>
      </c>
      <c r="AK84" s="40" t="s">
        <v>48</v>
      </c>
      <c r="AL84" s="40" t="s">
        <v>48</v>
      </c>
      <c r="AM84" s="40" t="s">
        <v>48</v>
      </c>
      <c r="AN84" s="40" t="s">
        <v>48</v>
      </c>
    </row>
    <row r="85" spans="1:40" x14ac:dyDescent="0.35">
      <c r="A85" s="12">
        <v>78</v>
      </c>
      <c r="B85" s="33"/>
      <c r="C85" s="38" t="str">
        <f>Notes!U86</f>
        <v xml:space="preserve">               Clothing</v>
      </c>
      <c r="D85" s="4" t="s">
        <v>357</v>
      </c>
      <c r="E85" s="44" t="s">
        <v>48</v>
      </c>
      <c r="F85" s="42" t="s">
        <v>48</v>
      </c>
      <c r="G85" s="40" t="s">
        <v>48</v>
      </c>
      <c r="H85" s="40" t="s">
        <v>48</v>
      </c>
      <c r="I85" s="40" t="s">
        <v>48</v>
      </c>
      <c r="J85" s="40" t="s">
        <v>48</v>
      </c>
      <c r="K85" s="40" t="s">
        <v>48</v>
      </c>
      <c r="L85" s="40" t="s">
        <v>48</v>
      </c>
      <c r="M85" s="40" t="s">
        <v>48</v>
      </c>
      <c r="N85" s="40" t="s">
        <v>48</v>
      </c>
      <c r="O85" s="40" t="s">
        <v>48</v>
      </c>
      <c r="P85" s="40" t="s">
        <v>48</v>
      </c>
      <c r="Q85" s="40" t="s">
        <v>48</v>
      </c>
      <c r="R85" s="40" t="s">
        <v>48</v>
      </c>
      <c r="S85" s="40" t="s">
        <v>48</v>
      </c>
      <c r="T85" s="40" t="s">
        <v>48</v>
      </c>
      <c r="V85" s="33"/>
      <c r="W85" s="38" t="str">
        <f>Notes!U86</f>
        <v xml:space="preserve">               Clothing</v>
      </c>
      <c r="X85" s="4" t="s">
        <v>357</v>
      </c>
      <c r="Y85" s="44">
        <v>5.0411092312356001</v>
      </c>
      <c r="Z85" s="42" t="s">
        <v>48</v>
      </c>
      <c r="AA85" s="40" t="s">
        <v>48</v>
      </c>
      <c r="AB85" s="40" t="s">
        <v>48</v>
      </c>
      <c r="AC85" s="40" t="s">
        <v>48</v>
      </c>
      <c r="AD85" s="40" t="s">
        <v>48</v>
      </c>
      <c r="AE85" s="40" t="s">
        <v>48</v>
      </c>
      <c r="AF85" s="40" t="s">
        <v>48</v>
      </c>
      <c r="AG85" s="40" t="s">
        <v>48</v>
      </c>
      <c r="AH85" s="40" t="s">
        <v>48</v>
      </c>
      <c r="AI85" s="40" t="s">
        <v>48</v>
      </c>
      <c r="AJ85" s="40" t="s">
        <v>48</v>
      </c>
      <c r="AK85" s="40" t="s">
        <v>48</v>
      </c>
      <c r="AL85" s="40" t="s">
        <v>48</v>
      </c>
      <c r="AM85" s="40" t="s">
        <v>48</v>
      </c>
      <c r="AN85" s="40" t="s">
        <v>48</v>
      </c>
    </row>
    <row r="86" spans="1:40" x14ac:dyDescent="0.35">
      <c r="A86" s="12">
        <v>79</v>
      </c>
      <c r="B86" s="33"/>
      <c r="C86" s="38" t="str">
        <f>Notes!U87</f>
        <v xml:space="preserve">               Leather and footwear</v>
      </c>
      <c r="D86" s="4" t="s">
        <v>726</v>
      </c>
      <c r="E86" s="44">
        <v>0.28249247272294242</v>
      </c>
      <c r="F86" s="42" t="s">
        <v>48</v>
      </c>
      <c r="G86" s="40" t="s">
        <v>48</v>
      </c>
      <c r="H86" s="40" t="s">
        <v>48</v>
      </c>
      <c r="I86" s="40" t="s">
        <v>48</v>
      </c>
      <c r="J86" s="40" t="s">
        <v>48</v>
      </c>
      <c r="K86" s="40" t="s">
        <v>48</v>
      </c>
      <c r="L86" s="40" t="s">
        <v>48</v>
      </c>
      <c r="M86" s="40" t="s">
        <v>48</v>
      </c>
      <c r="N86" s="40" t="s">
        <v>48</v>
      </c>
      <c r="O86" s="40" t="s">
        <v>48</v>
      </c>
      <c r="P86" s="40" t="s">
        <v>48</v>
      </c>
      <c r="Q86" s="40" t="s">
        <v>48</v>
      </c>
      <c r="R86" s="40" t="s">
        <v>48</v>
      </c>
      <c r="S86" s="40" t="s">
        <v>48</v>
      </c>
      <c r="T86" s="40" t="s">
        <v>48</v>
      </c>
      <c r="V86" s="33"/>
      <c r="W86" s="38" t="str">
        <f>Notes!U87</f>
        <v xml:space="preserve">               Leather and footwear</v>
      </c>
      <c r="X86" s="4" t="s">
        <v>726</v>
      </c>
      <c r="Y86" s="44">
        <v>0.46460064976416982</v>
      </c>
      <c r="Z86" s="42" t="s">
        <v>48</v>
      </c>
      <c r="AA86" s="40" t="s">
        <v>48</v>
      </c>
      <c r="AB86" s="40" t="s">
        <v>48</v>
      </c>
      <c r="AC86" s="40" t="s">
        <v>48</v>
      </c>
      <c r="AD86" s="40" t="s">
        <v>48</v>
      </c>
      <c r="AE86" s="40" t="s">
        <v>48</v>
      </c>
      <c r="AF86" s="40" t="s">
        <v>48</v>
      </c>
      <c r="AG86" s="40" t="s">
        <v>48</v>
      </c>
      <c r="AH86" s="40" t="s">
        <v>48</v>
      </c>
      <c r="AI86" s="40" t="s">
        <v>48</v>
      </c>
      <c r="AJ86" s="40" t="s">
        <v>48</v>
      </c>
      <c r="AK86" s="40" t="s">
        <v>48</v>
      </c>
      <c r="AL86" s="40" t="s">
        <v>48</v>
      </c>
      <c r="AM86" s="40" t="s">
        <v>48</v>
      </c>
      <c r="AN86" s="40" t="s">
        <v>48</v>
      </c>
    </row>
    <row r="87" spans="1:40" x14ac:dyDescent="0.35">
      <c r="A87" s="12">
        <v>80</v>
      </c>
      <c r="B87" s="33"/>
      <c r="C87" s="38" t="str">
        <f>Notes!U88</f>
        <v xml:space="preserve">               Wood and paper products</v>
      </c>
      <c r="D87" s="4" t="s">
        <v>727</v>
      </c>
      <c r="E87" s="44">
        <v>2.2113190740860329</v>
      </c>
      <c r="F87" s="42" t="s">
        <v>48</v>
      </c>
      <c r="G87" s="40" t="s">
        <v>48</v>
      </c>
      <c r="H87" s="40" t="s">
        <v>48</v>
      </c>
      <c r="I87" s="40" t="s">
        <v>48</v>
      </c>
      <c r="J87" s="40" t="s">
        <v>48</v>
      </c>
      <c r="K87" s="40" t="s">
        <v>48</v>
      </c>
      <c r="L87" s="40" t="s">
        <v>48</v>
      </c>
      <c r="M87" s="40" t="s">
        <v>48</v>
      </c>
      <c r="N87" s="40" t="s">
        <v>48</v>
      </c>
      <c r="O87" s="40" t="s">
        <v>48</v>
      </c>
      <c r="P87" s="40" t="s">
        <v>48</v>
      </c>
      <c r="Q87" s="40" t="s">
        <v>48</v>
      </c>
      <c r="R87" s="40" t="s">
        <v>48</v>
      </c>
      <c r="S87" s="40" t="s">
        <v>48</v>
      </c>
      <c r="T87" s="40" t="s">
        <v>48</v>
      </c>
      <c r="V87" s="33"/>
      <c r="W87" s="38" t="str">
        <f>Notes!U88</f>
        <v xml:space="preserve">               Wood and paper products</v>
      </c>
      <c r="X87" s="4" t="s">
        <v>727</v>
      </c>
      <c r="Y87" s="44">
        <v>3.7665378758473413</v>
      </c>
      <c r="Z87" s="42" t="s">
        <v>48</v>
      </c>
      <c r="AA87" s="40" t="s">
        <v>48</v>
      </c>
      <c r="AB87" s="40" t="s">
        <v>48</v>
      </c>
      <c r="AC87" s="40" t="s">
        <v>48</v>
      </c>
      <c r="AD87" s="40" t="s">
        <v>48</v>
      </c>
      <c r="AE87" s="40" t="s">
        <v>48</v>
      </c>
      <c r="AF87" s="40" t="s">
        <v>48</v>
      </c>
      <c r="AG87" s="40" t="s">
        <v>48</v>
      </c>
      <c r="AH87" s="40" t="s">
        <v>48</v>
      </c>
      <c r="AI87" s="40" t="s">
        <v>48</v>
      </c>
      <c r="AJ87" s="40" t="s">
        <v>48</v>
      </c>
      <c r="AK87" s="40" t="s">
        <v>48</v>
      </c>
      <c r="AL87" s="40" t="s">
        <v>48</v>
      </c>
      <c r="AM87" s="40" t="s">
        <v>48</v>
      </c>
      <c r="AN87" s="40" t="s">
        <v>48</v>
      </c>
    </row>
    <row r="88" spans="1:40" x14ac:dyDescent="0.35">
      <c r="A88" s="12">
        <v>81</v>
      </c>
      <c r="B88" s="33"/>
      <c r="C88" s="38" t="str">
        <f>Notes!U89</f>
        <v xml:space="preserve">               Wood products</v>
      </c>
      <c r="D88" s="4" t="s">
        <v>360</v>
      </c>
      <c r="E88" s="44">
        <v>3.5027473296438933</v>
      </c>
      <c r="F88" s="42" t="s">
        <v>48</v>
      </c>
      <c r="G88" s="40" t="s">
        <v>48</v>
      </c>
      <c r="H88" s="40" t="s">
        <v>48</v>
      </c>
      <c r="I88" s="40" t="s">
        <v>48</v>
      </c>
      <c r="J88" s="40" t="s">
        <v>48</v>
      </c>
      <c r="K88" s="40" t="s">
        <v>48</v>
      </c>
      <c r="L88" s="40" t="s">
        <v>48</v>
      </c>
      <c r="M88" s="40" t="s">
        <v>48</v>
      </c>
      <c r="N88" s="40" t="s">
        <v>48</v>
      </c>
      <c r="O88" s="40" t="s">
        <v>48</v>
      </c>
      <c r="P88" s="40" t="s">
        <v>48</v>
      </c>
      <c r="Q88" s="40" t="s">
        <v>48</v>
      </c>
      <c r="R88" s="40" t="s">
        <v>48</v>
      </c>
      <c r="S88" s="40" t="s">
        <v>48</v>
      </c>
      <c r="T88" s="40" t="s">
        <v>48</v>
      </c>
      <c r="V88" s="33"/>
      <c r="W88" s="38" t="str">
        <f>Notes!U89</f>
        <v xml:space="preserve">               Wood products</v>
      </c>
      <c r="X88" s="4" t="s">
        <v>360</v>
      </c>
      <c r="Y88" s="44">
        <v>0.74916344771439736</v>
      </c>
      <c r="Z88" s="42" t="s">
        <v>48</v>
      </c>
      <c r="AA88" s="40" t="s">
        <v>48</v>
      </c>
      <c r="AB88" s="40" t="s">
        <v>48</v>
      </c>
      <c r="AC88" s="40" t="s">
        <v>48</v>
      </c>
      <c r="AD88" s="40" t="s">
        <v>48</v>
      </c>
      <c r="AE88" s="40" t="s">
        <v>48</v>
      </c>
      <c r="AF88" s="40" t="s">
        <v>48</v>
      </c>
      <c r="AG88" s="40" t="s">
        <v>48</v>
      </c>
      <c r="AH88" s="40" t="s">
        <v>48</v>
      </c>
      <c r="AI88" s="40" t="s">
        <v>48</v>
      </c>
      <c r="AJ88" s="40" t="s">
        <v>48</v>
      </c>
      <c r="AK88" s="40" t="s">
        <v>48</v>
      </c>
      <c r="AL88" s="40" t="s">
        <v>48</v>
      </c>
      <c r="AM88" s="40" t="s">
        <v>48</v>
      </c>
      <c r="AN88" s="40" t="s">
        <v>48</v>
      </c>
    </row>
    <row r="89" spans="1:40" x14ac:dyDescent="0.35">
      <c r="A89" s="12">
        <v>82</v>
      </c>
      <c r="B89" s="33"/>
      <c r="C89" s="38" t="str">
        <f>Notes!U90</f>
        <v xml:space="preserve">               Paper products and publishing</v>
      </c>
      <c r="D89" s="4" t="s">
        <v>362</v>
      </c>
      <c r="E89" s="44" t="s">
        <v>48</v>
      </c>
      <c r="F89" s="42" t="s">
        <v>48</v>
      </c>
      <c r="G89" s="40" t="s">
        <v>48</v>
      </c>
      <c r="H89" s="40" t="s">
        <v>48</v>
      </c>
      <c r="I89" s="40" t="s">
        <v>48</v>
      </c>
      <c r="J89" s="40" t="s">
        <v>48</v>
      </c>
      <c r="K89" s="40" t="s">
        <v>48</v>
      </c>
      <c r="L89" s="40" t="s">
        <v>48</v>
      </c>
      <c r="M89" s="40" t="s">
        <v>48</v>
      </c>
      <c r="N89" s="40" t="s">
        <v>48</v>
      </c>
      <c r="O89" s="40" t="s">
        <v>48</v>
      </c>
      <c r="P89" s="40" t="s">
        <v>48</v>
      </c>
      <c r="Q89" s="40" t="s">
        <v>48</v>
      </c>
      <c r="R89" s="40" t="s">
        <v>48</v>
      </c>
      <c r="S89" s="40" t="s">
        <v>48</v>
      </c>
      <c r="T89" s="40" t="s">
        <v>48</v>
      </c>
      <c r="V89" s="33"/>
      <c r="W89" s="38" t="str">
        <f>Notes!U90</f>
        <v xml:space="preserve">               Paper products and publishing</v>
      </c>
      <c r="X89" s="4" t="s">
        <v>362</v>
      </c>
      <c r="Y89" s="44" t="s">
        <v>48</v>
      </c>
      <c r="Z89" s="42" t="s">
        <v>48</v>
      </c>
      <c r="AA89" s="40" t="s">
        <v>48</v>
      </c>
      <c r="AB89" s="40" t="s">
        <v>48</v>
      </c>
      <c r="AC89" s="40" t="s">
        <v>48</v>
      </c>
      <c r="AD89" s="40" t="s">
        <v>48</v>
      </c>
      <c r="AE89" s="40" t="s">
        <v>48</v>
      </c>
      <c r="AF89" s="40" t="s">
        <v>48</v>
      </c>
      <c r="AG89" s="40" t="s">
        <v>48</v>
      </c>
      <c r="AH89" s="40" t="s">
        <v>48</v>
      </c>
      <c r="AI89" s="40" t="s">
        <v>48</v>
      </c>
      <c r="AJ89" s="40" t="s">
        <v>48</v>
      </c>
      <c r="AK89" s="40" t="s">
        <v>48</v>
      </c>
      <c r="AL89" s="40" t="s">
        <v>48</v>
      </c>
      <c r="AM89" s="40" t="s">
        <v>48</v>
      </c>
      <c r="AN89" s="40" t="s">
        <v>48</v>
      </c>
    </row>
    <row r="90" spans="1:40" x14ac:dyDescent="0.35">
      <c r="A90" s="12">
        <v>83</v>
      </c>
      <c r="B90" s="33"/>
      <c r="C90" s="38" t="str">
        <f>Notes!U91</f>
        <v xml:space="preserve">               Chemical products</v>
      </c>
      <c r="D90" s="4" t="s">
        <v>364</v>
      </c>
      <c r="E90" s="44" t="s">
        <v>48</v>
      </c>
      <c r="F90" s="42" t="s">
        <v>48</v>
      </c>
      <c r="G90" s="40" t="s">
        <v>48</v>
      </c>
      <c r="H90" s="40" t="s">
        <v>48</v>
      </c>
      <c r="I90" s="40" t="s">
        <v>48</v>
      </c>
      <c r="J90" s="40" t="s">
        <v>48</v>
      </c>
      <c r="K90" s="40" t="s">
        <v>48</v>
      </c>
      <c r="L90" s="40" t="s">
        <v>48</v>
      </c>
      <c r="M90" s="40" t="s">
        <v>48</v>
      </c>
      <c r="N90" s="40" t="s">
        <v>48</v>
      </c>
      <c r="O90" s="40" t="s">
        <v>48</v>
      </c>
      <c r="P90" s="40" t="s">
        <v>48</v>
      </c>
      <c r="Q90" s="40" t="s">
        <v>48</v>
      </c>
      <c r="R90" s="40" t="s">
        <v>48</v>
      </c>
      <c r="S90" s="40" t="s">
        <v>48</v>
      </c>
      <c r="T90" s="40" t="s">
        <v>48</v>
      </c>
      <c r="V90" s="33"/>
      <c r="W90" s="38" t="str">
        <f>Notes!U91</f>
        <v xml:space="preserve">               Chemical products</v>
      </c>
      <c r="X90" s="4" t="s">
        <v>364</v>
      </c>
      <c r="Y90" s="44" t="s">
        <v>48</v>
      </c>
      <c r="Z90" s="42" t="s">
        <v>48</v>
      </c>
      <c r="AA90" s="40" t="s">
        <v>48</v>
      </c>
      <c r="AB90" s="40" t="s">
        <v>48</v>
      </c>
      <c r="AC90" s="40" t="s">
        <v>48</v>
      </c>
      <c r="AD90" s="40" t="s">
        <v>48</v>
      </c>
      <c r="AE90" s="40" t="s">
        <v>48</v>
      </c>
      <c r="AF90" s="40" t="s">
        <v>48</v>
      </c>
      <c r="AG90" s="40" t="s">
        <v>48</v>
      </c>
      <c r="AH90" s="40" t="s">
        <v>48</v>
      </c>
      <c r="AI90" s="40" t="s">
        <v>48</v>
      </c>
      <c r="AJ90" s="40" t="s">
        <v>48</v>
      </c>
      <c r="AK90" s="40" t="s">
        <v>48</v>
      </c>
      <c r="AL90" s="40" t="s">
        <v>48</v>
      </c>
      <c r="AM90" s="40" t="s">
        <v>48</v>
      </c>
      <c r="AN90" s="40" t="s">
        <v>48</v>
      </c>
    </row>
    <row r="91" spans="1:40" x14ac:dyDescent="0.35">
      <c r="A91" s="12">
        <v>84</v>
      </c>
      <c r="B91" s="33"/>
      <c r="C91" s="38" t="str">
        <f>Notes!U92</f>
        <v xml:space="preserve">               Petroleum products</v>
      </c>
      <c r="D91" s="4" t="s">
        <v>728</v>
      </c>
      <c r="E91" s="44" t="s">
        <v>48</v>
      </c>
      <c r="F91" s="42" t="s">
        <v>48</v>
      </c>
      <c r="G91" s="40" t="s">
        <v>48</v>
      </c>
      <c r="H91" s="40" t="s">
        <v>48</v>
      </c>
      <c r="I91" s="40" t="s">
        <v>48</v>
      </c>
      <c r="J91" s="40" t="s">
        <v>48</v>
      </c>
      <c r="K91" s="40" t="s">
        <v>48</v>
      </c>
      <c r="L91" s="40" t="s">
        <v>48</v>
      </c>
      <c r="M91" s="40" t="s">
        <v>48</v>
      </c>
      <c r="N91" s="40" t="s">
        <v>48</v>
      </c>
      <c r="O91" s="40" t="s">
        <v>48</v>
      </c>
      <c r="P91" s="40" t="s">
        <v>48</v>
      </c>
      <c r="Q91" s="40" t="s">
        <v>48</v>
      </c>
      <c r="R91" s="40" t="s">
        <v>48</v>
      </c>
      <c r="S91" s="40" t="s">
        <v>48</v>
      </c>
      <c r="T91" s="40" t="s">
        <v>48</v>
      </c>
      <c r="V91" s="33"/>
      <c r="W91" s="38" t="str">
        <f>Notes!U92</f>
        <v xml:space="preserve">               Petroleum products</v>
      </c>
      <c r="X91" s="4" t="s">
        <v>728</v>
      </c>
      <c r="Y91" s="44" t="s">
        <v>48</v>
      </c>
      <c r="Z91" s="42" t="s">
        <v>48</v>
      </c>
      <c r="AA91" s="40" t="s">
        <v>48</v>
      </c>
      <c r="AB91" s="40" t="s">
        <v>48</v>
      </c>
      <c r="AC91" s="40" t="s">
        <v>48</v>
      </c>
      <c r="AD91" s="40" t="s">
        <v>48</v>
      </c>
      <c r="AE91" s="40" t="s">
        <v>48</v>
      </c>
      <c r="AF91" s="40" t="s">
        <v>48</v>
      </c>
      <c r="AG91" s="40" t="s">
        <v>48</v>
      </c>
      <c r="AH91" s="40" t="s">
        <v>48</v>
      </c>
      <c r="AI91" s="40" t="s">
        <v>48</v>
      </c>
      <c r="AJ91" s="40" t="s">
        <v>48</v>
      </c>
      <c r="AK91" s="40" t="s">
        <v>48</v>
      </c>
      <c r="AL91" s="40" t="s">
        <v>48</v>
      </c>
      <c r="AM91" s="40" t="s">
        <v>48</v>
      </c>
      <c r="AN91" s="40" t="s">
        <v>48</v>
      </c>
    </row>
    <row r="92" spans="1:40" x14ac:dyDescent="0.35">
      <c r="A92" s="12">
        <v>85</v>
      </c>
      <c r="B92" s="33"/>
      <c r="C92" s="38" t="str">
        <f>Notes!U93</f>
        <v xml:space="preserve">               Fertilizers and herbicides</v>
      </c>
      <c r="D92" s="4" t="s">
        <v>729</v>
      </c>
      <c r="E92" s="44">
        <v>3.5027473296438933</v>
      </c>
      <c r="F92" s="42" t="s">
        <v>48</v>
      </c>
      <c r="G92" s="40" t="s">
        <v>48</v>
      </c>
      <c r="H92" s="40" t="s">
        <v>48</v>
      </c>
      <c r="I92" s="40" t="s">
        <v>48</v>
      </c>
      <c r="J92" s="40" t="s">
        <v>48</v>
      </c>
      <c r="K92" s="40" t="s">
        <v>48</v>
      </c>
      <c r="L92" s="40" t="s">
        <v>48</v>
      </c>
      <c r="M92" s="40" t="s">
        <v>48</v>
      </c>
      <c r="N92" s="40" t="s">
        <v>48</v>
      </c>
      <c r="O92" s="40" t="s">
        <v>48</v>
      </c>
      <c r="P92" s="40" t="s">
        <v>48</v>
      </c>
      <c r="Q92" s="40" t="s">
        <v>48</v>
      </c>
      <c r="R92" s="40" t="s">
        <v>48</v>
      </c>
      <c r="S92" s="40" t="s">
        <v>48</v>
      </c>
      <c r="T92" s="40" t="s">
        <v>48</v>
      </c>
      <c r="V92" s="33"/>
      <c r="W92" s="38" t="str">
        <f>Notes!U93</f>
        <v xml:space="preserve">               Fertilizers and herbicides</v>
      </c>
      <c r="X92" s="4" t="s">
        <v>729</v>
      </c>
      <c r="Y92" s="44">
        <v>0.74916344771439736</v>
      </c>
      <c r="Z92" s="42" t="s">
        <v>48</v>
      </c>
      <c r="AA92" s="40" t="s">
        <v>48</v>
      </c>
      <c r="AB92" s="40" t="s">
        <v>48</v>
      </c>
      <c r="AC92" s="40" t="s">
        <v>48</v>
      </c>
      <c r="AD92" s="40" t="s">
        <v>48</v>
      </c>
      <c r="AE92" s="40" t="s">
        <v>48</v>
      </c>
      <c r="AF92" s="40" t="s">
        <v>48</v>
      </c>
      <c r="AG92" s="40" t="s">
        <v>48</v>
      </c>
      <c r="AH92" s="40" t="s">
        <v>48</v>
      </c>
      <c r="AI92" s="40" t="s">
        <v>48</v>
      </c>
      <c r="AJ92" s="40" t="s">
        <v>48</v>
      </c>
      <c r="AK92" s="40" t="s">
        <v>48</v>
      </c>
      <c r="AL92" s="40" t="s">
        <v>48</v>
      </c>
      <c r="AM92" s="40" t="s">
        <v>48</v>
      </c>
      <c r="AN92" s="40" t="s">
        <v>48</v>
      </c>
    </row>
    <row r="93" spans="1:40" x14ac:dyDescent="0.35">
      <c r="A93" s="12">
        <v>86</v>
      </c>
      <c r="B93" s="33"/>
      <c r="C93" s="38" t="str">
        <f>Notes!U94</f>
        <v xml:space="preserve">               Other chemicals</v>
      </c>
      <c r="D93" s="4" t="s">
        <v>368</v>
      </c>
      <c r="E93" s="44">
        <v>32.426285710664729</v>
      </c>
      <c r="F93" s="42" t="s">
        <v>48</v>
      </c>
      <c r="G93" s="40" t="s">
        <v>48</v>
      </c>
      <c r="H93" s="40" t="s">
        <v>48</v>
      </c>
      <c r="I93" s="40" t="s">
        <v>48</v>
      </c>
      <c r="J93" s="40" t="s">
        <v>48</v>
      </c>
      <c r="K93" s="40" t="s">
        <v>48</v>
      </c>
      <c r="L93" s="40" t="s">
        <v>48</v>
      </c>
      <c r="M93" s="40" t="s">
        <v>48</v>
      </c>
      <c r="N93" s="40" t="s">
        <v>48</v>
      </c>
      <c r="O93" s="40" t="s">
        <v>48</v>
      </c>
      <c r="P93" s="40" t="s">
        <v>48</v>
      </c>
      <c r="Q93" s="40" t="s">
        <v>48</v>
      </c>
      <c r="R93" s="40" t="s">
        <v>48</v>
      </c>
      <c r="S93" s="40" t="s">
        <v>48</v>
      </c>
      <c r="T93" s="40" t="s">
        <v>48</v>
      </c>
      <c r="V93" s="33"/>
      <c r="W93" s="38" t="str">
        <f>Notes!U94</f>
        <v xml:space="preserve">               Other chemicals</v>
      </c>
      <c r="X93" s="4" t="s">
        <v>368</v>
      </c>
      <c r="Y93" s="44">
        <v>10.764013352041054</v>
      </c>
      <c r="Z93" s="42" t="s">
        <v>48</v>
      </c>
      <c r="AA93" s="40" t="s">
        <v>48</v>
      </c>
      <c r="AB93" s="40" t="s">
        <v>48</v>
      </c>
      <c r="AC93" s="40" t="s">
        <v>48</v>
      </c>
      <c r="AD93" s="40" t="s">
        <v>48</v>
      </c>
      <c r="AE93" s="40" t="s">
        <v>48</v>
      </c>
      <c r="AF93" s="40" t="s">
        <v>48</v>
      </c>
      <c r="AG93" s="40" t="s">
        <v>48</v>
      </c>
      <c r="AH93" s="40" t="s">
        <v>48</v>
      </c>
      <c r="AI93" s="40" t="s">
        <v>48</v>
      </c>
      <c r="AJ93" s="40" t="s">
        <v>48</v>
      </c>
      <c r="AK93" s="40" t="s">
        <v>48</v>
      </c>
      <c r="AL93" s="40" t="s">
        <v>48</v>
      </c>
      <c r="AM93" s="40" t="s">
        <v>48</v>
      </c>
      <c r="AN93" s="40" t="s">
        <v>48</v>
      </c>
    </row>
    <row r="94" spans="1:40" x14ac:dyDescent="0.35">
      <c r="A94" s="12">
        <v>87</v>
      </c>
      <c r="B94" s="33"/>
      <c r="C94" s="38" t="str">
        <f>Notes!U95</f>
        <v xml:space="preserve">               Non-metal minerals</v>
      </c>
      <c r="D94" s="4" t="s">
        <v>730</v>
      </c>
      <c r="E94" s="44">
        <v>1.6204531510397954E-2</v>
      </c>
      <c r="F94" s="42" t="s">
        <v>48</v>
      </c>
      <c r="G94" s="40" t="s">
        <v>48</v>
      </c>
      <c r="H94" s="40" t="s">
        <v>48</v>
      </c>
      <c r="I94" s="40" t="s">
        <v>48</v>
      </c>
      <c r="J94" s="40" t="s">
        <v>48</v>
      </c>
      <c r="K94" s="40" t="s">
        <v>48</v>
      </c>
      <c r="L94" s="40" t="s">
        <v>48</v>
      </c>
      <c r="M94" s="40" t="s">
        <v>48</v>
      </c>
      <c r="N94" s="40" t="s">
        <v>48</v>
      </c>
      <c r="O94" s="40" t="s">
        <v>48</v>
      </c>
      <c r="P94" s="40" t="s">
        <v>48</v>
      </c>
      <c r="Q94" s="40" t="s">
        <v>48</v>
      </c>
      <c r="R94" s="40" t="s">
        <v>48</v>
      </c>
      <c r="S94" s="40" t="s">
        <v>48</v>
      </c>
      <c r="T94" s="40" t="s">
        <v>48</v>
      </c>
      <c r="V94" s="33"/>
      <c r="W94" s="38" t="str">
        <f>Notes!U95</f>
        <v xml:space="preserve">               Non-metal minerals</v>
      </c>
      <c r="X94" s="4" t="s">
        <v>730</v>
      </c>
      <c r="Y94" s="44">
        <v>2.9801604400244847E-3</v>
      </c>
      <c r="Z94" s="42" t="s">
        <v>48</v>
      </c>
      <c r="AA94" s="40" t="s">
        <v>48</v>
      </c>
      <c r="AB94" s="40" t="s">
        <v>48</v>
      </c>
      <c r="AC94" s="40" t="s">
        <v>48</v>
      </c>
      <c r="AD94" s="40" t="s">
        <v>48</v>
      </c>
      <c r="AE94" s="40" t="s">
        <v>48</v>
      </c>
      <c r="AF94" s="40" t="s">
        <v>48</v>
      </c>
      <c r="AG94" s="40" t="s">
        <v>48</v>
      </c>
      <c r="AH94" s="40" t="s">
        <v>48</v>
      </c>
      <c r="AI94" s="40" t="s">
        <v>48</v>
      </c>
      <c r="AJ94" s="40" t="s">
        <v>48</v>
      </c>
      <c r="AK94" s="40" t="s">
        <v>48</v>
      </c>
      <c r="AL94" s="40" t="s">
        <v>48</v>
      </c>
      <c r="AM94" s="40" t="s">
        <v>48</v>
      </c>
      <c r="AN94" s="40" t="s">
        <v>48</v>
      </c>
    </row>
    <row r="95" spans="1:40" x14ac:dyDescent="0.35">
      <c r="A95" s="12">
        <v>88</v>
      </c>
      <c r="B95" s="33"/>
      <c r="C95" s="38" t="str">
        <f>Notes!U96</f>
        <v xml:space="preserve">               Metals and metal products</v>
      </c>
      <c r="D95" s="4" t="s">
        <v>371</v>
      </c>
      <c r="E95" s="44">
        <v>1.6204531510397954E-2</v>
      </c>
      <c r="F95" s="42" t="s">
        <v>48</v>
      </c>
      <c r="G95" s="40" t="s">
        <v>48</v>
      </c>
      <c r="H95" s="40" t="s">
        <v>48</v>
      </c>
      <c r="I95" s="40" t="s">
        <v>48</v>
      </c>
      <c r="J95" s="40" t="s">
        <v>48</v>
      </c>
      <c r="K95" s="40" t="s">
        <v>48</v>
      </c>
      <c r="L95" s="40" t="s">
        <v>48</v>
      </c>
      <c r="M95" s="40" t="s">
        <v>48</v>
      </c>
      <c r="N95" s="40" t="s">
        <v>48</v>
      </c>
      <c r="O95" s="40" t="s">
        <v>48</v>
      </c>
      <c r="P95" s="40" t="s">
        <v>48</v>
      </c>
      <c r="Q95" s="40" t="s">
        <v>48</v>
      </c>
      <c r="R95" s="40" t="s">
        <v>48</v>
      </c>
      <c r="S95" s="40" t="s">
        <v>48</v>
      </c>
      <c r="T95" s="40" t="s">
        <v>48</v>
      </c>
      <c r="V95" s="33"/>
      <c r="W95" s="38" t="str">
        <f>Notes!U96</f>
        <v xml:space="preserve">               Metals and metal products</v>
      </c>
      <c r="X95" s="4" t="s">
        <v>371</v>
      </c>
      <c r="Y95" s="44">
        <v>2.9801604400244847E-3</v>
      </c>
      <c r="Z95" s="42" t="s">
        <v>48</v>
      </c>
      <c r="AA95" s="40" t="s">
        <v>48</v>
      </c>
      <c r="AB95" s="40" t="s">
        <v>48</v>
      </c>
      <c r="AC95" s="40" t="s">
        <v>48</v>
      </c>
      <c r="AD95" s="40" t="s">
        <v>48</v>
      </c>
      <c r="AE95" s="40" t="s">
        <v>48</v>
      </c>
      <c r="AF95" s="40" t="s">
        <v>48</v>
      </c>
      <c r="AG95" s="40" t="s">
        <v>48</v>
      </c>
      <c r="AH95" s="40" t="s">
        <v>48</v>
      </c>
      <c r="AI95" s="40" t="s">
        <v>48</v>
      </c>
      <c r="AJ95" s="40" t="s">
        <v>48</v>
      </c>
      <c r="AK95" s="40" t="s">
        <v>48</v>
      </c>
      <c r="AL95" s="40" t="s">
        <v>48</v>
      </c>
      <c r="AM95" s="40" t="s">
        <v>48</v>
      </c>
      <c r="AN95" s="40" t="s">
        <v>48</v>
      </c>
    </row>
    <row r="96" spans="1:40" x14ac:dyDescent="0.35">
      <c r="A96" s="12">
        <v>89</v>
      </c>
      <c r="B96" s="33"/>
      <c r="C96" s="38" t="str">
        <f>Notes!U97</f>
        <v xml:space="preserve">               Machinery and equipment</v>
      </c>
      <c r="D96" s="4" t="s">
        <v>731</v>
      </c>
      <c r="E96" s="44">
        <v>9.8646121381305552</v>
      </c>
      <c r="F96" s="42" t="s">
        <v>48</v>
      </c>
      <c r="G96" s="40" t="s">
        <v>48</v>
      </c>
      <c r="H96" s="40" t="s">
        <v>48</v>
      </c>
      <c r="I96" s="40" t="s">
        <v>48</v>
      </c>
      <c r="J96" s="40" t="s">
        <v>48</v>
      </c>
      <c r="K96" s="40" t="s">
        <v>48</v>
      </c>
      <c r="L96" s="40" t="s">
        <v>48</v>
      </c>
      <c r="M96" s="40" t="s">
        <v>48</v>
      </c>
      <c r="N96" s="40" t="s">
        <v>48</v>
      </c>
      <c r="O96" s="40" t="s">
        <v>48</v>
      </c>
      <c r="P96" s="40" t="s">
        <v>48</v>
      </c>
      <c r="Q96" s="40" t="s">
        <v>48</v>
      </c>
      <c r="R96" s="40" t="s">
        <v>48</v>
      </c>
      <c r="S96" s="40" t="s">
        <v>48</v>
      </c>
      <c r="T96" s="40" t="s">
        <v>48</v>
      </c>
      <c r="V96" s="33"/>
      <c r="W96" s="38" t="str">
        <f>Notes!U97</f>
        <v xml:space="preserve">               Machinery and equipment</v>
      </c>
      <c r="X96" s="4" t="s">
        <v>731</v>
      </c>
      <c r="Y96" s="44">
        <v>2.9944661873981895</v>
      </c>
      <c r="Z96" s="42" t="s">
        <v>48</v>
      </c>
      <c r="AA96" s="40" t="s">
        <v>48</v>
      </c>
      <c r="AB96" s="40" t="s">
        <v>48</v>
      </c>
      <c r="AC96" s="40" t="s">
        <v>48</v>
      </c>
      <c r="AD96" s="40" t="s">
        <v>48</v>
      </c>
      <c r="AE96" s="40" t="s">
        <v>48</v>
      </c>
      <c r="AF96" s="40" t="s">
        <v>48</v>
      </c>
      <c r="AG96" s="40" t="s">
        <v>48</v>
      </c>
      <c r="AH96" s="40" t="s">
        <v>48</v>
      </c>
      <c r="AI96" s="40" t="s">
        <v>48</v>
      </c>
      <c r="AJ96" s="40" t="s">
        <v>48</v>
      </c>
      <c r="AK96" s="40" t="s">
        <v>48</v>
      </c>
      <c r="AL96" s="40" t="s">
        <v>48</v>
      </c>
      <c r="AM96" s="40" t="s">
        <v>48</v>
      </c>
      <c r="AN96" s="40" t="s">
        <v>48</v>
      </c>
    </row>
    <row r="97" spans="1:40" x14ac:dyDescent="0.35">
      <c r="A97" s="12">
        <v>90</v>
      </c>
      <c r="B97" s="33"/>
      <c r="C97" s="38" t="str">
        <f>Notes!U98</f>
        <v xml:space="preserve">               Machinery and other equipment</v>
      </c>
      <c r="D97" s="4" t="s">
        <v>732</v>
      </c>
      <c r="E97" s="44">
        <v>9.4455057206476756</v>
      </c>
      <c r="F97" s="42" t="s">
        <v>48</v>
      </c>
      <c r="G97" s="40" t="s">
        <v>48</v>
      </c>
      <c r="H97" s="40" t="s">
        <v>48</v>
      </c>
      <c r="I97" s="40" t="s">
        <v>48</v>
      </c>
      <c r="J97" s="40" t="s">
        <v>48</v>
      </c>
      <c r="K97" s="40" t="s">
        <v>48</v>
      </c>
      <c r="L97" s="40" t="s">
        <v>48</v>
      </c>
      <c r="M97" s="40" t="s">
        <v>48</v>
      </c>
      <c r="N97" s="40" t="s">
        <v>48</v>
      </c>
      <c r="O97" s="40" t="s">
        <v>48</v>
      </c>
      <c r="P97" s="40" t="s">
        <v>48</v>
      </c>
      <c r="Q97" s="40" t="s">
        <v>48</v>
      </c>
      <c r="R97" s="40" t="s">
        <v>48</v>
      </c>
      <c r="S97" s="40" t="s">
        <v>48</v>
      </c>
      <c r="T97" s="40" t="s">
        <v>48</v>
      </c>
      <c r="V97" s="33"/>
      <c r="W97" s="38" t="str">
        <f>Notes!U98</f>
        <v xml:space="preserve">               Machinery and other equipment</v>
      </c>
      <c r="X97" s="4" t="s">
        <v>732</v>
      </c>
      <c r="Y97" s="44">
        <v>2.9458832807260746</v>
      </c>
      <c r="Z97" s="42" t="s">
        <v>48</v>
      </c>
      <c r="AA97" s="40" t="s">
        <v>48</v>
      </c>
      <c r="AB97" s="40" t="s">
        <v>48</v>
      </c>
      <c r="AC97" s="40" t="s">
        <v>48</v>
      </c>
      <c r="AD97" s="40" t="s">
        <v>48</v>
      </c>
      <c r="AE97" s="40" t="s">
        <v>48</v>
      </c>
      <c r="AF97" s="40" t="s">
        <v>48</v>
      </c>
      <c r="AG97" s="40" t="s">
        <v>48</v>
      </c>
      <c r="AH97" s="40" t="s">
        <v>48</v>
      </c>
      <c r="AI97" s="40" t="s">
        <v>48</v>
      </c>
      <c r="AJ97" s="40" t="s">
        <v>48</v>
      </c>
      <c r="AK97" s="40" t="s">
        <v>48</v>
      </c>
      <c r="AL97" s="40" t="s">
        <v>48</v>
      </c>
      <c r="AM97" s="40" t="s">
        <v>48</v>
      </c>
      <c r="AN97" s="40" t="s">
        <v>48</v>
      </c>
    </row>
    <row r="98" spans="1:40" x14ac:dyDescent="0.35">
      <c r="A98" s="12">
        <v>91</v>
      </c>
      <c r="B98" s="33"/>
      <c r="C98" s="38" t="str">
        <f>Notes!U99</f>
        <v xml:space="preserve">               Electrical equipment</v>
      </c>
      <c r="D98" s="4" t="s">
        <v>373</v>
      </c>
      <c r="E98" s="44">
        <v>0.41910641748287897</v>
      </c>
      <c r="F98" s="42" t="s">
        <v>48</v>
      </c>
      <c r="G98" s="40" t="s">
        <v>48</v>
      </c>
      <c r="H98" s="40" t="s">
        <v>48</v>
      </c>
      <c r="I98" s="40" t="s">
        <v>48</v>
      </c>
      <c r="J98" s="40" t="s">
        <v>48</v>
      </c>
      <c r="K98" s="40" t="s">
        <v>48</v>
      </c>
      <c r="L98" s="40" t="s">
        <v>48</v>
      </c>
      <c r="M98" s="40" t="s">
        <v>48</v>
      </c>
      <c r="N98" s="40" t="s">
        <v>48</v>
      </c>
      <c r="O98" s="40" t="s">
        <v>48</v>
      </c>
      <c r="P98" s="40" t="s">
        <v>48</v>
      </c>
      <c r="Q98" s="40" t="s">
        <v>48</v>
      </c>
      <c r="R98" s="40" t="s">
        <v>48</v>
      </c>
      <c r="S98" s="40" t="s">
        <v>48</v>
      </c>
      <c r="T98" s="40" t="s">
        <v>48</v>
      </c>
      <c r="V98" s="33"/>
      <c r="W98" s="38" t="str">
        <f>Notes!U99</f>
        <v xml:space="preserve">               Electrical equipment</v>
      </c>
      <c r="X98" s="4" t="s">
        <v>373</v>
      </c>
      <c r="Y98" s="44">
        <v>4.8582906672114672E-2</v>
      </c>
      <c r="Z98" s="42" t="s">
        <v>48</v>
      </c>
      <c r="AA98" s="40" t="s">
        <v>48</v>
      </c>
      <c r="AB98" s="40" t="s">
        <v>48</v>
      </c>
      <c r="AC98" s="40" t="s">
        <v>48</v>
      </c>
      <c r="AD98" s="40" t="s">
        <v>48</v>
      </c>
      <c r="AE98" s="40" t="s">
        <v>48</v>
      </c>
      <c r="AF98" s="40" t="s">
        <v>48</v>
      </c>
      <c r="AG98" s="40" t="s">
        <v>48</v>
      </c>
      <c r="AH98" s="40" t="s">
        <v>48</v>
      </c>
      <c r="AI98" s="40" t="s">
        <v>48</v>
      </c>
      <c r="AJ98" s="40" t="s">
        <v>48</v>
      </c>
      <c r="AK98" s="40" t="s">
        <v>48</v>
      </c>
      <c r="AL98" s="40" t="s">
        <v>48</v>
      </c>
      <c r="AM98" s="40" t="s">
        <v>48</v>
      </c>
      <c r="AN98" s="40" t="s">
        <v>48</v>
      </c>
    </row>
    <row r="99" spans="1:40" x14ac:dyDescent="0.35">
      <c r="A99" s="12">
        <v>92</v>
      </c>
      <c r="B99" s="33"/>
      <c r="C99" s="38" t="str">
        <f>Notes!U100</f>
        <v xml:space="preserve">               Vehicles and transport equipment</v>
      </c>
      <c r="D99" s="4" t="s">
        <v>733</v>
      </c>
      <c r="E99" s="44">
        <v>1.746610295255814</v>
      </c>
      <c r="F99" s="42" t="s">
        <v>48</v>
      </c>
      <c r="G99" s="40" t="s">
        <v>48</v>
      </c>
      <c r="H99" s="40" t="s">
        <v>48</v>
      </c>
      <c r="I99" s="40" t="s">
        <v>48</v>
      </c>
      <c r="J99" s="40" t="s">
        <v>48</v>
      </c>
      <c r="K99" s="40" t="s">
        <v>48</v>
      </c>
      <c r="L99" s="40" t="s">
        <v>48</v>
      </c>
      <c r="M99" s="40" t="s">
        <v>48</v>
      </c>
      <c r="N99" s="40" t="s">
        <v>48</v>
      </c>
      <c r="O99" s="40" t="s">
        <v>48</v>
      </c>
      <c r="P99" s="40" t="s">
        <v>48</v>
      </c>
      <c r="Q99" s="40" t="s">
        <v>48</v>
      </c>
      <c r="R99" s="40" t="s">
        <v>48</v>
      </c>
      <c r="S99" s="40" t="s">
        <v>48</v>
      </c>
      <c r="T99" s="40" t="s">
        <v>48</v>
      </c>
      <c r="V99" s="33"/>
      <c r="W99" s="38" t="str">
        <f>Notes!U100</f>
        <v xml:space="preserve">               Vehicles and transport equipment</v>
      </c>
      <c r="X99" s="4" t="s">
        <v>733</v>
      </c>
      <c r="Y99" s="44">
        <v>0.89050041937008828</v>
      </c>
      <c r="Z99" s="42" t="s">
        <v>48</v>
      </c>
      <c r="AA99" s="40" t="s">
        <v>48</v>
      </c>
      <c r="AB99" s="40" t="s">
        <v>48</v>
      </c>
      <c r="AC99" s="40" t="s">
        <v>48</v>
      </c>
      <c r="AD99" s="40" t="s">
        <v>48</v>
      </c>
      <c r="AE99" s="40" t="s">
        <v>48</v>
      </c>
      <c r="AF99" s="40" t="s">
        <v>48</v>
      </c>
      <c r="AG99" s="40" t="s">
        <v>48</v>
      </c>
      <c r="AH99" s="40" t="s">
        <v>48</v>
      </c>
      <c r="AI99" s="40" t="s">
        <v>48</v>
      </c>
      <c r="AJ99" s="40" t="s">
        <v>48</v>
      </c>
      <c r="AK99" s="40" t="s">
        <v>48</v>
      </c>
      <c r="AL99" s="40" t="s">
        <v>48</v>
      </c>
      <c r="AM99" s="40" t="s">
        <v>48</v>
      </c>
      <c r="AN99" s="40" t="s">
        <v>48</v>
      </c>
    </row>
    <row r="100" spans="1:40" x14ac:dyDescent="0.35">
      <c r="A100" s="12">
        <v>93</v>
      </c>
      <c r="B100" s="33"/>
      <c r="C100" s="38" t="str">
        <f>Notes!U101</f>
        <v xml:space="preserve">               Other manufacturing</v>
      </c>
      <c r="D100" s="4" t="s">
        <v>374</v>
      </c>
      <c r="E100" s="44" t="s">
        <v>48</v>
      </c>
      <c r="F100" s="42" t="s">
        <v>48</v>
      </c>
      <c r="G100" s="40" t="s">
        <v>48</v>
      </c>
      <c r="H100" s="40" t="s">
        <v>48</v>
      </c>
      <c r="I100" s="40" t="s">
        <v>48</v>
      </c>
      <c r="J100" s="40" t="s">
        <v>48</v>
      </c>
      <c r="K100" s="40" t="s">
        <v>48</v>
      </c>
      <c r="L100" s="40" t="s">
        <v>48</v>
      </c>
      <c r="M100" s="40" t="s">
        <v>48</v>
      </c>
      <c r="N100" s="40" t="s">
        <v>48</v>
      </c>
      <c r="O100" s="40" t="s">
        <v>48</v>
      </c>
      <c r="P100" s="40" t="s">
        <v>48</v>
      </c>
      <c r="Q100" s="40" t="s">
        <v>48</v>
      </c>
      <c r="R100" s="40" t="s">
        <v>48</v>
      </c>
      <c r="S100" s="40" t="s">
        <v>48</v>
      </c>
      <c r="T100" s="40" t="s">
        <v>48</v>
      </c>
      <c r="V100" s="33"/>
      <c r="W100" s="38" t="str">
        <f>Notes!U101</f>
        <v xml:space="preserve">               Other manufacturing</v>
      </c>
      <c r="X100" s="4" t="s">
        <v>374</v>
      </c>
      <c r="Y100" s="44" t="s">
        <v>48</v>
      </c>
      <c r="Z100" s="42" t="s">
        <v>48</v>
      </c>
      <c r="AA100" s="40" t="s">
        <v>48</v>
      </c>
      <c r="AB100" s="40" t="s">
        <v>48</v>
      </c>
      <c r="AC100" s="40" t="s">
        <v>48</v>
      </c>
      <c r="AD100" s="40" t="s">
        <v>48</v>
      </c>
      <c r="AE100" s="40" t="s">
        <v>48</v>
      </c>
      <c r="AF100" s="40" t="s">
        <v>48</v>
      </c>
      <c r="AG100" s="40" t="s">
        <v>48</v>
      </c>
      <c r="AH100" s="40" t="s">
        <v>48</v>
      </c>
      <c r="AI100" s="40" t="s">
        <v>48</v>
      </c>
      <c r="AJ100" s="40" t="s">
        <v>48</v>
      </c>
      <c r="AK100" s="40" t="s">
        <v>48</v>
      </c>
      <c r="AL100" s="40" t="s">
        <v>48</v>
      </c>
      <c r="AM100" s="40" t="s">
        <v>48</v>
      </c>
      <c r="AN100" s="40" t="s">
        <v>48</v>
      </c>
    </row>
    <row r="101" spans="1:40" x14ac:dyDescent="0.35">
      <c r="A101" s="12">
        <v>94</v>
      </c>
      <c r="B101" s="33"/>
      <c r="C101" s="38" t="str">
        <f>Notes!U102</f>
        <v xml:space="preserve">               Utilities</v>
      </c>
      <c r="D101" s="4" t="s">
        <v>734</v>
      </c>
      <c r="E101" s="44" t="s">
        <v>48</v>
      </c>
      <c r="F101" s="42" t="s">
        <v>48</v>
      </c>
      <c r="G101" s="40" t="s">
        <v>48</v>
      </c>
      <c r="H101" s="40" t="s">
        <v>48</v>
      </c>
      <c r="I101" s="40" t="s">
        <v>48</v>
      </c>
      <c r="J101" s="40" t="s">
        <v>48</v>
      </c>
      <c r="K101" s="40" t="s">
        <v>48</v>
      </c>
      <c r="L101" s="40" t="s">
        <v>48</v>
      </c>
      <c r="M101" s="40" t="s">
        <v>48</v>
      </c>
      <c r="N101" s="40" t="s">
        <v>48</v>
      </c>
      <c r="O101" s="40" t="s">
        <v>48</v>
      </c>
      <c r="P101" s="40" t="s">
        <v>48</v>
      </c>
      <c r="Q101" s="40" t="s">
        <v>48</v>
      </c>
      <c r="R101" s="40" t="s">
        <v>48</v>
      </c>
      <c r="S101" s="40" t="s">
        <v>48</v>
      </c>
      <c r="T101" s="40" t="s">
        <v>48</v>
      </c>
      <c r="V101" s="33"/>
      <c r="W101" s="38" t="str">
        <f>Notes!U102</f>
        <v xml:space="preserve">               Utilities</v>
      </c>
      <c r="X101" s="4" t="s">
        <v>734</v>
      </c>
      <c r="Y101" s="44" t="s">
        <v>48</v>
      </c>
      <c r="Z101" s="42" t="s">
        <v>48</v>
      </c>
      <c r="AA101" s="40" t="s">
        <v>48</v>
      </c>
      <c r="AB101" s="40" t="s">
        <v>48</v>
      </c>
      <c r="AC101" s="40" t="s">
        <v>48</v>
      </c>
      <c r="AD101" s="40" t="s">
        <v>48</v>
      </c>
      <c r="AE101" s="40" t="s">
        <v>48</v>
      </c>
      <c r="AF101" s="40" t="s">
        <v>48</v>
      </c>
      <c r="AG101" s="40" t="s">
        <v>48</v>
      </c>
      <c r="AH101" s="40" t="s">
        <v>48</v>
      </c>
      <c r="AI101" s="40" t="s">
        <v>48</v>
      </c>
      <c r="AJ101" s="40" t="s">
        <v>48</v>
      </c>
      <c r="AK101" s="40" t="s">
        <v>48</v>
      </c>
      <c r="AL101" s="40" t="s">
        <v>48</v>
      </c>
      <c r="AM101" s="40" t="s">
        <v>48</v>
      </c>
      <c r="AN101" s="40" t="s">
        <v>48</v>
      </c>
    </row>
    <row r="102" spans="1:40" x14ac:dyDescent="0.35">
      <c r="A102" s="12">
        <v>95</v>
      </c>
      <c r="B102" s="33"/>
      <c r="C102" s="38" t="str">
        <f>Notes!U103</f>
        <v xml:space="preserve">               Electricity, gas and steam</v>
      </c>
      <c r="D102" s="4" t="s">
        <v>735</v>
      </c>
      <c r="E102" s="44">
        <v>1.6462309098111332</v>
      </c>
      <c r="F102" s="42" t="s">
        <v>48</v>
      </c>
      <c r="G102" s="40" t="s">
        <v>48</v>
      </c>
      <c r="H102" s="40" t="s">
        <v>48</v>
      </c>
      <c r="I102" s="40" t="s">
        <v>48</v>
      </c>
      <c r="J102" s="40" t="s">
        <v>48</v>
      </c>
      <c r="K102" s="40" t="s">
        <v>48</v>
      </c>
      <c r="L102" s="40" t="s">
        <v>48</v>
      </c>
      <c r="M102" s="40" t="s">
        <v>48</v>
      </c>
      <c r="N102" s="40" t="s">
        <v>48</v>
      </c>
      <c r="O102" s="40" t="s">
        <v>48</v>
      </c>
      <c r="P102" s="40" t="s">
        <v>48</v>
      </c>
      <c r="Q102" s="40" t="s">
        <v>48</v>
      </c>
      <c r="R102" s="40" t="s">
        <v>48</v>
      </c>
      <c r="S102" s="40" t="s">
        <v>48</v>
      </c>
      <c r="T102" s="40" t="s">
        <v>48</v>
      </c>
      <c r="V102" s="33"/>
      <c r="W102" s="38" t="str">
        <f>Notes!U103</f>
        <v xml:space="preserve">               Electricity, gas and steam</v>
      </c>
      <c r="X102" s="4" t="s">
        <v>735</v>
      </c>
      <c r="Y102" s="44">
        <v>0.89050041937008828</v>
      </c>
      <c r="Z102" s="42" t="s">
        <v>48</v>
      </c>
      <c r="AA102" s="40" t="s">
        <v>48</v>
      </c>
      <c r="AB102" s="40" t="s">
        <v>48</v>
      </c>
      <c r="AC102" s="40" t="s">
        <v>48</v>
      </c>
      <c r="AD102" s="40" t="s">
        <v>48</v>
      </c>
      <c r="AE102" s="40" t="s">
        <v>48</v>
      </c>
      <c r="AF102" s="40" t="s">
        <v>48</v>
      </c>
      <c r="AG102" s="40" t="s">
        <v>48</v>
      </c>
      <c r="AH102" s="40" t="s">
        <v>48</v>
      </c>
      <c r="AI102" s="40" t="s">
        <v>48</v>
      </c>
      <c r="AJ102" s="40" t="s">
        <v>48</v>
      </c>
      <c r="AK102" s="40" t="s">
        <v>48</v>
      </c>
      <c r="AL102" s="40" t="s">
        <v>48</v>
      </c>
      <c r="AM102" s="40" t="s">
        <v>48</v>
      </c>
      <c r="AN102" s="40" t="s">
        <v>48</v>
      </c>
    </row>
    <row r="103" spans="1:40" x14ac:dyDescent="0.35">
      <c r="A103" s="12">
        <v>96</v>
      </c>
      <c r="B103" s="33"/>
      <c r="C103" s="38" t="str">
        <f>Notes!U104</f>
        <v xml:space="preserve">               Water supply and sewage</v>
      </c>
      <c r="D103" s="4" t="s">
        <v>736</v>
      </c>
      <c r="E103" s="44">
        <v>0.10037938544468059</v>
      </c>
      <c r="F103" s="42" t="s">
        <v>48</v>
      </c>
      <c r="G103" s="40" t="s">
        <v>48</v>
      </c>
      <c r="H103" s="40" t="s">
        <v>48</v>
      </c>
      <c r="I103" s="40" t="s">
        <v>48</v>
      </c>
      <c r="J103" s="40" t="s">
        <v>48</v>
      </c>
      <c r="K103" s="40" t="s">
        <v>48</v>
      </c>
      <c r="L103" s="40" t="s">
        <v>48</v>
      </c>
      <c r="M103" s="40" t="s">
        <v>48</v>
      </c>
      <c r="N103" s="40" t="s">
        <v>48</v>
      </c>
      <c r="O103" s="40" t="s">
        <v>48</v>
      </c>
      <c r="P103" s="40" t="s">
        <v>48</v>
      </c>
      <c r="Q103" s="40" t="s">
        <v>48</v>
      </c>
      <c r="R103" s="40" t="s">
        <v>48</v>
      </c>
      <c r="S103" s="40" t="s">
        <v>48</v>
      </c>
      <c r="T103" s="40" t="s">
        <v>48</v>
      </c>
      <c r="V103" s="33"/>
      <c r="W103" s="38" t="str">
        <f>Notes!U104</f>
        <v xml:space="preserve">               Water supply and sewage</v>
      </c>
      <c r="X103" s="4" t="s">
        <v>736</v>
      </c>
      <c r="Y103" s="44" t="s">
        <v>48</v>
      </c>
      <c r="Z103" s="42" t="s">
        <v>48</v>
      </c>
      <c r="AA103" s="40" t="s">
        <v>48</v>
      </c>
      <c r="AB103" s="40" t="s">
        <v>48</v>
      </c>
      <c r="AC103" s="40" t="s">
        <v>48</v>
      </c>
      <c r="AD103" s="40" t="s">
        <v>48</v>
      </c>
      <c r="AE103" s="40" t="s">
        <v>48</v>
      </c>
      <c r="AF103" s="40" t="s">
        <v>48</v>
      </c>
      <c r="AG103" s="40" t="s">
        <v>48</v>
      </c>
      <c r="AH103" s="40" t="s">
        <v>48</v>
      </c>
      <c r="AI103" s="40" t="s">
        <v>48</v>
      </c>
      <c r="AJ103" s="40" t="s">
        <v>48</v>
      </c>
      <c r="AK103" s="40" t="s">
        <v>48</v>
      </c>
      <c r="AL103" s="40" t="s">
        <v>48</v>
      </c>
      <c r="AM103" s="40" t="s">
        <v>48</v>
      </c>
      <c r="AN103" s="40" t="s">
        <v>48</v>
      </c>
    </row>
    <row r="104" spans="1:40" x14ac:dyDescent="0.35">
      <c r="A104" s="12">
        <v>97</v>
      </c>
      <c r="B104" s="33"/>
      <c r="C104" s="38" t="str">
        <f>Notes!U105</f>
        <v xml:space="preserve">               Construction</v>
      </c>
      <c r="D104" s="4" t="s">
        <v>737</v>
      </c>
      <c r="E104" s="44">
        <v>6.469134671698991</v>
      </c>
      <c r="F104" s="42" t="s">
        <v>48</v>
      </c>
      <c r="G104" s="40" t="s">
        <v>48</v>
      </c>
      <c r="H104" s="40" t="s">
        <v>48</v>
      </c>
      <c r="I104" s="40" t="s">
        <v>48</v>
      </c>
      <c r="J104" s="40" t="s">
        <v>48</v>
      </c>
      <c r="K104" s="40" t="s">
        <v>48</v>
      </c>
      <c r="L104" s="40" t="s">
        <v>48</v>
      </c>
      <c r="M104" s="40" t="s">
        <v>48</v>
      </c>
      <c r="N104" s="40" t="s">
        <v>48</v>
      </c>
      <c r="O104" s="40" t="s">
        <v>48</v>
      </c>
      <c r="P104" s="40" t="s">
        <v>48</v>
      </c>
      <c r="Q104" s="40" t="s">
        <v>48</v>
      </c>
      <c r="R104" s="40" t="s">
        <v>48</v>
      </c>
      <c r="S104" s="40" t="s">
        <v>48</v>
      </c>
      <c r="T104" s="40" t="s">
        <v>48</v>
      </c>
      <c r="V104" s="33"/>
      <c r="W104" s="38" t="str">
        <f>Notes!U105</f>
        <v xml:space="preserve">               Construction</v>
      </c>
      <c r="X104" s="4" t="s">
        <v>737</v>
      </c>
      <c r="Y104" s="44">
        <v>7.464684991651338</v>
      </c>
      <c r="Z104" s="42" t="s">
        <v>48</v>
      </c>
      <c r="AA104" s="40" t="s">
        <v>48</v>
      </c>
      <c r="AB104" s="40" t="s">
        <v>48</v>
      </c>
      <c r="AC104" s="40" t="s">
        <v>48</v>
      </c>
      <c r="AD104" s="40" t="s">
        <v>48</v>
      </c>
      <c r="AE104" s="40" t="s">
        <v>48</v>
      </c>
      <c r="AF104" s="40" t="s">
        <v>48</v>
      </c>
      <c r="AG104" s="40" t="s">
        <v>48</v>
      </c>
      <c r="AH104" s="40" t="s">
        <v>48</v>
      </c>
      <c r="AI104" s="40" t="s">
        <v>48</v>
      </c>
      <c r="AJ104" s="40" t="s">
        <v>48</v>
      </c>
      <c r="AK104" s="40" t="s">
        <v>48</v>
      </c>
      <c r="AL104" s="40" t="s">
        <v>48</v>
      </c>
      <c r="AM104" s="40" t="s">
        <v>48</v>
      </c>
      <c r="AN104" s="40" t="s">
        <v>48</v>
      </c>
    </row>
    <row r="105" spans="1:40" x14ac:dyDescent="0.35">
      <c r="A105" s="12">
        <v>98</v>
      </c>
      <c r="B105" s="33"/>
      <c r="C105" s="38" t="str">
        <f>Notes!U106</f>
        <v xml:space="preserve">               Services</v>
      </c>
      <c r="D105" s="4" t="s">
        <v>738</v>
      </c>
      <c r="E105" s="44">
        <v>2.2606759528321825</v>
      </c>
      <c r="F105" s="42" t="s">
        <v>48</v>
      </c>
      <c r="G105" s="40" t="s">
        <v>48</v>
      </c>
      <c r="H105" s="40" t="s">
        <v>48</v>
      </c>
      <c r="I105" s="40" t="s">
        <v>48</v>
      </c>
      <c r="J105" s="40" t="s">
        <v>48</v>
      </c>
      <c r="K105" s="40" t="s">
        <v>48</v>
      </c>
      <c r="L105" s="40" t="s">
        <v>48</v>
      </c>
      <c r="M105" s="40" t="s">
        <v>48</v>
      </c>
      <c r="N105" s="40" t="s">
        <v>48</v>
      </c>
      <c r="O105" s="40" t="s">
        <v>48</v>
      </c>
      <c r="P105" s="40" t="s">
        <v>48</v>
      </c>
      <c r="Q105" s="40" t="s">
        <v>48</v>
      </c>
      <c r="R105" s="40" t="s">
        <v>48</v>
      </c>
      <c r="S105" s="40" t="s">
        <v>48</v>
      </c>
      <c r="T105" s="40" t="s">
        <v>48</v>
      </c>
      <c r="V105" s="33"/>
      <c r="W105" s="38" t="str">
        <f>Notes!U106</f>
        <v xml:space="preserve">               Services</v>
      </c>
      <c r="X105" s="4" t="s">
        <v>738</v>
      </c>
      <c r="Y105" s="44">
        <v>0.72293354632335793</v>
      </c>
      <c r="Z105" s="42" t="s">
        <v>48</v>
      </c>
      <c r="AA105" s="40" t="s">
        <v>48</v>
      </c>
      <c r="AB105" s="40" t="s">
        <v>48</v>
      </c>
      <c r="AC105" s="40" t="s">
        <v>48</v>
      </c>
      <c r="AD105" s="40" t="s">
        <v>48</v>
      </c>
      <c r="AE105" s="40" t="s">
        <v>48</v>
      </c>
      <c r="AF105" s="40" t="s">
        <v>48</v>
      </c>
      <c r="AG105" s="40" t="s">
        <v>48</v>
      </c>
      <c r="AH105" s="40" t="s">
        <v>48</v>
      </c>
      <c r="AI105" s="40" t="s">
        <v>48</v>
      </c>
      <c r="AJ105" s="40" t="s">
        <v>48</v>
      </c>
      <c r="AK105" s="40" t="s">
        <v>48</v>
      </c>
      <c r="AL105" s="40" t="s">
        <v>48</v>
      </c>
      <c r="AM105" s="40" t="s">
        <v>48</v>
      </c>
      <c r="AN105" s="40" t="s">
        <v>48</v>
      </c>
    </row>
    <row r="106" spans="1:40" x14ac:dyDescent="0.35">
      <c r="A106" s="12">
        <v>99</v>
      </c>
      <c r="B106" s="33"/>
      <c r="C106" s="38" t="str">
        <f>Notes!U107</f>
        <v xml:space="preserve">               Trade and food services</v>
      </c>
      <c r="D106" s="4" t="s">
        <v>739</v>
      </c>
      <c r="E106" s="44">
        <v>9.51782966477423E-2</v>
      </c>
      <c r="F106" s="42" t="s">
        <v>48</v>
      </c>
      <c r="G106" s="40" t="s">
        <v>48</v>
      </c>
      <c r="H106" s="40" t="s">
        <v>48</v>
      </c>
      <c r="I106" s="40" t="s">
        <v>48</v>
      </c>
      <c r="J106" s="40" t="s">
        <v>48</v>
      </c>
      <c r="K106" s="40" t="s">
        <v>48</v>
      </c>
      <c r="L106" s="40" t="s">
        <v>48</v>
      </c>
      <c r="M106" s="40" t="s">
        <v>48</v>
      </c>
      <c r="N106" s="40" t="s">
        <v>48</v>
      </c>
      <c r="O106" s="40" t="s">
        <v>48</v>
      </c>
      <c r="P106" s="40" t="s">
        <v>48</v>
      </c>
      <c r="Q106" s="40" t="s">
        <v>48</v>
      </c>
      <c r="R106" s="40" t="s">
        <v>48</v>
      </c>
      <c r="S106" s="40" t="s">
        <v>48</v>
      </c>
      <c r="T106" s="40" t="s">
        <v>48</v>
      </c>
      <c r="V106" s="33"/>
      <c r="W106" s="38" t="str">
        <f>Notes!U107</f>
        <v xml:space="preserve">               Trade and food services</v>
      </c>
      <c r="X106" s="4" t="s">
        <v>739</v>
      </c>
      <c r="Y106" s="44">
        <v>0.19674265900992416</v>
      </c>
      <c r="Z106" s="42" t="s">
        <v>48</v>
      </c>
      <c r="AA106" s="40" t="s">
        <v>48</v>
      </c>
      <c r="AB106" s="40" t="s">
        <v>48</v>
      </c>
      <c r="AC106" s="40" t="s">
        <v>48</v>
      </c>
      <c r="AD106" s="40" t="s">
        <v>48</v>
      </c>
      <c r="AE106" s="40" t="s">
        <v>48</v>
      </c>
      <c r="AF106" s="40" t="s">
        <v>48</v>
      </c>
      <c r="AG106" s="40" t="s">
        <v>48</v>
      </c>
      <c r="AH106" s="40" t="s">
        <v>48</v>
      </c>
      <c r="AI106" s="40" t="s">
        <v>48</v>
      </c>
      <c r="AJ106" s="40" t="s">
        <v>48</v>
      </c>
      <c r="AK106" s="40" t="s">
        <v>48</v>
      </c>
      <c r="AL106" s="40" t="s">
        <v>48</v>
      </c>
      <c r="AM106" s="40" t="s">
        <v>48</v>
      </c>
      <c r="AN106" s="40" t="s">
        <v>48</v>
      </c>
    </row>
    <row r="107" spans="1:40" x14ac:dyDescent="0.35">
      <c r="A107" s="12">
        <v>100</v>
      </c>
      <c r="B107" s="33"/>
      <c r="C107" s="38" t="str">
        <f>Notes!U108</f>
        <v xml:space="preserve">               Wholesale and retail trade</v>
      </c>
      <c r="D107" s="4" t="s">
        <v>378</v>
      </c>
      <c r="E107" s="44" t="s">
        <v>48</v>
      </c>
      <c r="F107" s="42" t="s">
        <v>48</v>
      </c>
      <c r="G107" s="40" t="s">
        <v>48</v>
      </c>
      <c r="H107" s="40" t="s">
        <v>48</v>
      </c>
      <c r="I107" s="40" t="s">
        <v>48</v>
      </c>
      <c r="J107" s="40" t="s">
        <v>48</v>
      </c>
      <c r="K107" s="40" t="s">
        <v>48</v>
      </c>
      <c r="L107" s="40" t="s">
        <v>48</v>
      </c>
      <c r="M107" s="40" t="s">
        <v>48</v>
      </c>
      <c r="N107" s="40" t="s">
        <v>48</v>
      </c>
      <c r="O107" s="40" t="s">
        <v>48</v>
      </c>
      <c r="P107" s="40" t="s">
        <v>48</v>
      </c>
      <c r="Q107" s="40" t="s">
        <v>48</v>
      </c>
      <c r="R107" s="40" t="s">
        <v>48</v>
      </c>
      <c r="S107" s="40" t="s">
        <v>48</v>
      </c>
      <c r="T107" s="40" t="s">
        <v>48</v>
      </c>
      <c r="V107" s="33"/>
      <c r="W107" s="38" t="str">
        <f>Notes!U108</f>
        <v xml:space="preserve">               Wholesale and retail trade</v>
      </c>
      <c r="X107" s="4" t="s">
        <v>378</v>
      </c>
      <c r="Y107" s="44" t="s">
        <v>48</v>
      </c>
      <c r="Z107" s="42" t="s">
        <v>48</v>
      </c>
      <c r="AA107" s="40" t="s">
        <v>48</v>
      </c>
      <c r="AB107" s="40" t="s">
        <v>48</v>
      </c>
      <c r="AC107" s="40" t="s">
        <v>48</v>
      </c>
      <c r="AD107" s="40" t="s">
        <v>48</v>
      </c>
      <c r="AE107" s="40" t="s">
        <v>48</v>
      </c>
      <c r="AF107" s="40" t="s">
        <v>48</v>
      </c>
      <c r="AG107" s="40" t="s">
        <v>48</v>
      </c>
      <c r="AH107" s="40" t="s">
        <v>48</v>
      </c>
      <c r="AI107" s="40" t="s">
        <v>48</v>
      </c>
      <c r="AJ107" s="40" t="s">
        <v>48</v>
      </c>
      <c r="AK107" s="40" t="s">
        <v>48</v>
      </c>
      <c r="AL107" s="40" t="s">
        <v>48</v>
      </c>
      <c r="AM107" s="40" t="s">
        <v>48</v>
      </c>
      <c r="AN107" s="40" t="s">
        <v>48</v>
      </c>
    </row>
    <row r="108" spans="1:40" x14ac:dyDescent="0.35">
      <c r="A108" s="12">
        <v>101</v>
      </c>
      <c r="B108" s="33"/>
      <c r="C108" s="38" t="str">
        <f>Notes!U109</f>
        <v xml:space="preserve">               Accommodation</v>
      </c>
      <c r="D108" s="4" t="s">
        <v>740</v>
      </c>
      <c r="E108" s="44" t="s">
        <v>48</v>
      </c>
      <c r="F108" s="42" t="s">
        <v>48</v>
      </c>
      <c r="G108" s="40" t="s">
        <v>48</v>
      </c>
      <c r="H108" s="40" t="s">
        <v>48</v>
      </c>
      <c r="I108" s="40" t="s">
        <v>48</v>
      </c>
      <c r="J108" s="40" t="s">
        <v>48</v>
      </c>
      <c r="K108" s="40" t="s">
        <v>48</v>
      </c>
      <c r="L108" s="40" t="s">
        <v>48</v>
      </c>
      <c r="M108" s="40" t="s">
        <v>48</v>
      </c>
      <c r="N108" s="40" t="s">
        <v>48</v>
      </c>
      <c r="O108" s="40" t="s">
        <v>48</v>
      </c>
      <c r="P108" s="40" t="s">
        <v>48</v>
      </c>
      <c r="Q108" s="40" t="s">
        <v>48</v>
      </c>
      <c r="R108" s="40" t="s">
        <v>48</v>
      </c>
      <c r="S108" s="40" t="s">
        <v>48</v>
      </c>
      <c r="T108" s="40" t="s">
        <v>48</v>
      </c>
      <c r="V108" s="33"/>
      <c r="W108" s="38" t="str">
        <f>Notes!U109</f>
        <v xml:space="preserve">               Accommodation</v>
      </c>
      <c r="X108" s="4" t="s">
        <v>740</v>
      </c>
      <c r="Y108" s="44" t="s">
        <v>48</v>
      </c>
      <c r="Z108" s="42" t="s">
        <v>48</v>
      </c>
      <c r="AA108" s="40" t="s">
        <v>48</v>
      </c>
      <c r="AB108" s="40" t="s">
        <v>48</v>
      </c>
      <c r="AC108" s="40" t="s">
        <v>48</v>
      </c>
      <c r="AD108" s="40" t="s">
        <v>48</v>
      </c>
      <c r="AE108" s="40" t="s">
        <v>48</v>
      </c>
      <c r="AF108" s="40" t="s">
        <v>48</v>
      </c>
      <c r="AG108" s="40" t="s">
        <v>48</v>
      </c>
      <c r="AH108" s="40" t="s">
        <v>48</v>
      </c>
      <c r="AI108" s="40" t="s">
        <v>48</v>
      </c>
      <c r="AJ108" s="40" t="s">
        <v>48</v>
      </c>
      <c r="AK108" s="40" t="s">
        <v>48</v>
      </c>
      <c r="AL108" s="40" t="s">
        <v>48</v>
      </c>
      <c r="AM108" s="40" t="s">
        <v>48</v>
      </c>
      <c r="AN108" s="40" t="s">
        <v>48</v>
      </c>
    </row>
    <row r="109" spans="1:40" x14ac:dyDescent="0.35">
      <c r="A109" s="12">
        <v>102</v>
      </c>
      <c r="B109" s="33"/>
      <c r="C109" s="38" t="str">
        <f>Notes!U110</f>
        <v xml:space="preserve">               Restaurants and food services</v>
      </c>
      <c r="D109" s="4" t="s">
        <v>741</v>
      </c>
      <c r="E109" s="44" t="s">
        <v>48</v>
      </c>
      <c r="F109" s="42" t="s">
        <v>48</v>
      </c>
      <c r="G109" s="40" t="s">
        <v>48</v>
      </c>
      <c r="H109" s="40" t="s">
        <v>48</v>
      </c>
      <c r="I109" s="40" t="s">
        <v>48</v>
      </c>
      <c r="J109" s="40" t="s">
        <v>48</v>
      </c>
      <c r="K109" s="40" t="s">
        <v>48</v>
      </c>
      <c r="L109" s="40" t="s">
        <v>48</v>
      </c>
      <c r="M109" s="40" t="s">
        <v>48</v>
      </c>
      <c r="N109" s="40" t="s">
        <v>48</v>
      </c>
      <c r="O109" s="40" t="s">
        <v>48</v>
      </c>
      <c r="P109" s="40" t="s">
        <v>48</v>
      </c>
      <c r="Q109" s="40" t="s">
        <v>48</v>
      </c>
      <c r="R109" s="40" t="s">
        <v>48</v>
      </c>
      <c r="S109" s="40" t="s">
        <v>48</v>
      </c>
      <c r="T109" s="40" t="s">
        <v>48</v>
      </c>
      <c r="V109" s="33"/>
      <c r="W109" s="38" t="str">
        <f>Notes!U110</f>
        <v xml:space="preserve">               Restaurants and food services</v>
      </c>
      <c r="X109" s="4" t="s">
        <v>741</v>
      </c>
      <c r="Y109" s="44" t="s">
        <v>48</v>
      </c>
      <c r="Z109" s="42" t="s">
        <v>48</v>
      </c>
      <c r="AA109" s="40" t="s">
        <v>48</v>
      </c>
      <c r="AB109" s="40" t="s">
        <v>48</v>
      </c>
      <c r="AC109" s="40" t="s">
        <v>48</v>
      </c>
      <c r="AD109" s="40" t="s">
        <v>48</v>
      </c>
      <c r="AE109" s="40" t="s">
        <v>48</v>
      </c>
      <c r="AF109" s="40" t="s">
        <v>48</v>
      </c>
      <c r="AG109" s="40" t="s">
        <v>48</v>
      </c>
      <c r="AH109" s="40" t="s">
        <v>48</v>
      </c>
      <c r="AI109" s="40" t="s">
        <v>48</v>
      </c>
      <c r="AJ109" s="40" t="s">
        <v>48</v>
      </c>
      <c r="AK109" s="40" t="s">
        <v>48</v>
      </c>
      <c r="AL109" s="40" t="s">
        <v>48</v>
      </c>
      <c r="AM109" s="40" t="s">
        <v>48</v>
      </c>
      <c r="AN109" s="40" t="s">
        <v>48</v>
      </c>
    </row>
    <row r="110" spans="1:40" x14ac:dyDescent="0.35">
      <c r="A110" s="12">
        <v>103</v>
      </c>
      <c r="B110" s="33"/>
      <c r="C110" s="38" t="str">
        <f>Notes!U111</f>
        <v xml:space="preserve">               Transport and communication</v>
      </c>
      <c r="D110" s="4" t="s">
        <v>382</v>
      </c>
      <c r="E110" s="44">
        <v>4.1132804222190664</v>
      </c>
      <c r="F110" s="42" t="s">
        <v>48</v>
      </c>
      <c r="G110" s="40" t="s">
        <v>48</v>
      </c>
      <c r="H110" s="40" t="s">
        <v>48</v>
      </c>
      <c r="I110" s="40" t="s">
        <v>48</v>
      </c>
      <c r="J110" s="40" t="s">
        <v>48</v>
      </c>
      <c r="K110" s="40" t="s">
        <v>48</v>
      </c>
      <c r="L110" s="40" t="s">
        <v>48</v>
      </c>
      <c r="M110" s="40" t="s">
        <v>48</v>
      </c>
      <c r="N110" s="40" t="s">
        <v>48</v>
      </c>
      <c r="O110" s="40" t="s">
        <v>48</v>
      </c>
      <c r="P110" s="40" t="s">
        <v>48</v>
      </c>
      <c r="Q110" s="40" t="s">
        <v>48</v>
      </c>
      <c r="R110" s="40" t="s">
        <v>48</v>
      </c>
      <c r="S110" s="40" t="s">
        <v>48</v>
      </c>
      <c r="T110" s="40" t="s">
        <v>48</v>
      </c>
      <c r="V110" s="33"/>
      <c r="W110" s="38" t="str">
        <f>Notes!U111</f>
        <v xml:space="preserve">               Transport and communication</v>
      </c>
      <c r="X110" s="4" t="s">
        <v>382</v>
      </c>
      <c r="Y110" s="44">
        <v>6.5450087863180562</v>
      </c>
      <c r="Z110" s="42" t="s">
        <v>48</v>
      </c>
      <c r="AA110" s="40" t="s">
        <v>48</v>
      </c>
      <c r="AB110" s="40" t="s">
        <v>48</v>
      </c>
      <c r="AC110" s="40" t="s">
        <v>48</v>
      </c>
      <c r="AD110" s="40" t="s">
        <v>48</v>
      </c>
      <c r="AE110" s="40" t="s">
        <v>48</v>
      </c>
      <c r="AF110" s="40" t="s">
        <v>48</v>
      </c>
      <c r="AG110" s="40" t="s">
        <v>48</v>
      </c>
      <c r="AH110" s="40" t="s">
        <v>48</v>
      </c>
      <c r="AI110" s="40" t="s">
        <v>48</v>
      </c>
      <c r="AJ110" s="40" t="s">
        <v>48</v>
      </c>
      <c r="AK110" s="40" t="s">
        <v>48</v>
      </c>
      <c r="AL110" s="40" t="s">
        <v>48</v>
      </c>
      <c r="AM110" s="40" t="s">
        <v>48</v>
      </c>
      <c r="AN110" s="40" t="s">
        <v>48</v>
      </c>
    </row>
    <row r="111" spans="1:40" x14ac:dyDescent="0.35">
      <c r="A111" s="12">
        <v>104</v>
      </c>
      <c r="B111" s="33"/>
      <c r="C111" s="38" t="str">
        <f>Notes!U112</f>
        <v xml:space="preserve">               Transportation and storage</v>
      </c>
      <c r="D111" s="4" t="s">
        <v>384</v>
      </c>
      <c r="E111" s="44">
        <v>14.32972407406897</v>
      </c>
      <c r="F111" s="42" t="s">
        <v>48</v>
      </c>
      <c r="G111" s="40" t="s">
        <v>48</v>
      </c>
      <c r="H111" s="40" t="s">
        <v>48</v>
      </c>
      <c r="I111" s="40" t="s">
        <v>48</v>
      </c>
      <c r="J111" s="40" t="s">
        <v>48</v>
      </c>
      <c r="K111" s="40" t="s">
        <v>48</v>
      </c>
      <c r="L111" s="40" t="s">
        <v>48</v>
      </c>
      <c r="M111" s="40" t="s">
        <v>48</v>
      </c>
      <c r="N111" s="40" t="s">
        <v>48</v>
      </c>
      <c r="O111" s="40" t="s">
        <v>48</v>
      </c>
      <c r="P111" s="40" t="s">
        <v>48</v>
      </c>
      <c r="Q111" s="40" t="s">
        <v>48</v>
      </c>
      <c r="R111" s="40" t="s">
        <v>48</v>
      </c>
      <c r="S111" s="40" t="s">
        <v>48</v>
      </c>
      <c r="T111" s="40" t="s">
        <v>48</v>
      </c>
      <c r="V111" s="33"/>
      <c r="W111" s="38" t="str">
        <f>Notes!U112</f>
        <v xml:space="preserve">               Transportation and storage</v>
      </c>
      <c r="X111" s="4" t="s">
        <v>384</v>
      </c>
      <c r="Y111" s="44" t="s">
        <v>48</v>
      </c>
      <c r="Z111" s="42" t="s">
        <v>48</v>
      </c>
      <c r="AA111" s="40" t="s">
        <v>48</v>
      </c>
      <c r="AB111" s="40" t="s">
        <v>48</v>
      </c>
      <c r="AC111" s="40" t="s">
        <v>48</v>
      </c>
      <c r="AD111" s="40" t="s">
        <v>48</v>
      </c>
      <c r="AE111" s="40" t="s">
        <v>48</v>
      </c>
      <c r="AF111" s="40" t="s">
        <v>48</v>
      </c>
      <c r="AG111" s="40" t="s">
        <v>48</v>
      </c>
      <c r="AH111" s="40" t="s">
        <v>48</v>
      </c>
      <c r="AI111" s="40" t="s">
        <v>48</v>
      </c>
      <c r="AJ111" s="40" t="s">
        <v>48</v>
      </c>
      <c r="AK111" s="40" t="s">
        <v>48</v>
      </c>
      <c r="AL111" s="40" t="s">
        <v>48</v>
      </c>
      <c r="AM111" s="40" t="s">
        <v>48</v>
      </c>
      <c r="AN111" s="40" t="s">
        <v>48</v>
      </c>
    </row>
    <row r="112" spans="1:40" x14ac:dyDescent="0.35">
      <c r="A112" s="12">
        <v>105</v>
      </c>
      <c r="B112" s="33"/>
      <c r="C112" s="38" t="str">
        <f>Notes!U113</f>
        <v xml:space="preserve">               Information and communication</v>
      </c>
      <c r="D112" s="4" t="s">
        <v>386</v>
      </c>
      <c r="E112" s="44">
        <v>14.32972407406897</v>
      </c>
      <c r="F112" s="42" t="s">
        <v>48</v>
      </c>
      <c r="G112" s="40" t="s">
        <v>48</v>
      </c>
      <c r="H112" s="40" t="s">
        <v>48</v>
      </c>
      <c r="I112" s="40" t="s">
        <v>48</v>
      </c>
      <c r="J112" s="40" t="s">
        <v>48</v>
      </c>
      <c r="K112" s="40" t="s">
        <v>48</v>
      </c>
      <c r="L112" s="40" t="s">
        <v>48</v>
      </c>
      <c r="M112" s="40" t="s">
        <v>48</v>
      </c>
      <c r="N112" s="40" t="s">
        <v>48</v>
      </c>
      <c r="O112" s="40" t="s">
        <v>48</v>
      </c>
      <c r="P112" s="40" t="s">
        <v>48</v>
      </c>
      <c r="Q112" s="40" t="s">
        <v>48</v>
      </c>
      <c r="R112" s="40" t="s">
        <v>48</v>
      </c>
      <c r="S112" s="40" t="s">
        <v>48</v>
      </c>
      <c r="T112" s="40" t="s">
        <v>48</v>
      </c>
      <c r="V112" s="33"/>
      <c r="W112" s="38" t="str">
        <f>Notes!U113</f>
        <v xml:space="preserve">               Information and communication</v>
      </c>
      <c r="X112" s="4" t="s">
        <v>386</v>
      </c>
      <c r="Y112" s="44" t="s">
        <v>48</v>
      </c>
      <c r="Z112" s="42" t="s">
        <v>48</v>
      </c>
      <c r="AA112" s="40" t="s">
        <v>48</v>
      </c>
      <c r="AB112" s="40" t="s">
        <v>48</v>
      </c>
      <c r="AC112" s="40" t="s">
        <v>48</v>
      </c>
      <c r="AD112" s="40" t="s">
        <v>48</v>
      </c>
      <c r="AE112" s="40" t="s">
        <v>48</v>
      </c>
      <c r="AF112" s="40" t="s">
        <v>48</v>
      </c>
      <c r="AG112" s="40" t="s">
        <v>48</v>
      </c>
      <c r="AH112" s="40" t="s">
        <v>48</v>
      </c>
      <c r="AI112" s="40" t="s">
        <v>48</v>
      </c>
      <c r="AJ112" s="40" t="s">
        <v>48</v>
      </c>
      <c r="AK112" s="40" t="s">
        <v>48</v>
      </c>
      <c r="AL112" s="40" t="s">
        <v>48</v>
      </c>
      <c r="AM112" s="40" t="s">
        <v>48</v>
      </c>
      <c r="AN112" s="40" t="s">
        <v>48</v>
      </c>
    </row>
    <row r="113" spans="1:40" x14ac:dyDescent="0.35">
      <c r="A113" s="12">
        <v>106</v>
      </c>
      <c r="B113" s="33"/>
      <c r="C113" s="38" t="str">
        <f>Notes!U114</f>
        <v xml:space="preserve">               Finance and business services</v>
      </c>
      <c r="D113" s="4" t="s">
        <v>742</v>
      </c>
      <c r="E113" s="44" t="s">
        <v>48</v>
      </c>
      <c r="F113" s="42" t="s">
        <v>48</v>
      </c>
      <c r="G113" s="40" t="s">
        <v>48</v>
      </c>
      <c r="H113" s="40" t="s">
        <v>48</v>
      </c>
      <c r="I113" s="40" t="s">
        <v>48</v>
      </c>
      <c r="J113" s="40" t="s">
        <v>48</v>
      </c>
      <c r="K113" s="40" t="s">
        <v>48</v>
      </c>
      <c r="L113" s="40" t="s">
        <v>48</v>
      </c>
      <c r="M113" s="40" t="s">
        <v>48</v>
      </c>
      <c r="N113" s="40" t="s">
        <v>48</v>
      </c>
      <c r="O113" s="40" t="s">
        <v>48</v>
      </c>
      <c r="P113" s="40" t="s">
        <v>48</v>
      </c>
      <c r="Q113" s="40" t="s">
        <v>48</v>
      </c>
      <c r="R113" s="40" t="s">
        <v>48</v>
      </c>
      <c r="S113" s="40" t="s">
        <v>48</v>
      </c>
      <c r="T113" s="40" t="s">
        <v>48</v>
      </c>
      <c r="V113" s="33"/>
      <c r="W113" s="38" t="str">
        <f>Notes!U114</f>
        <v xml:space="preserve">               Finance and business services</v>
      </c>
      <c r="X113" s="4" t="s">
        <v>742</v>
      </c>
      <c r="Y113" s="44" t="s">
        <v>48</v>
      </c>
      <c r="Z113" s="42" t="s">
        <v>48</v>
      </c>
      <c r="AA113" s="40" t="s">
        <v>48</v>
      </c>
      <c r="AB113" s="40" t="s">
        <v>48</v>
      </c>
      <c r="AC113" s="40" t="s">
        <v>48</v>
      </c>
      <c r="AD113" s="40" t="s">
        <v>48</v>
      </c>
      <c r="AE113" s="40" t="s">
        <v>48</v>
      </c>
      <c r="AF113" s="40" t="s">
        <v>48</v>
      </c>
      <c r="AG113" s="40" t="s">
        <v>48</v>
      </c>
      <c r="AH113" s="40" t="s">
        <v>48</v>
      </c>
      <c r="AI113" s="40" t="s">
        <v>48</v>
      </c>
      <c r="AJ113" s="40" t="s">
        <v>48</v>
      </c>
      <c r="AK113" s="40" t="s">
        <v>48</v>
      </c>
      <c r="AL113" s="40" t="s">
        <v>48</v>
      </c>
      <c r="AM113" s="40" t="s">
        <v>48</v>
      </c>
      <c r="AN113" s="40" t="s">
        <v>48</v>
      </c>
    </row>
    <row r="114" spans="1:40" x14ac:dyDescent="0.35">
      <c r="A114" s="12">
        <v>107</v>
      </c>
      <c r="B114" s="33"/>
      <c r="C114" s="38" t="str">
        <f>Notes!U115</f>
        <v xml:space="preserve">               Finance and insurance</v>
      </c>
      <c r="D114" s="4" t="s">
        <v>743</v>
      </c>
      <c r="E114" s="44" t="s">
        <v>48</v>
      </c>
      <c r="F114" s="42" t="s">
        <v>48</v>
      </c>
      <c r="G114" s="40" t="s">
        <v>48</v>
      </c>
      <c r="H114" s="40" t="s">
        <v>48</v>
      </c>
      <c r="I114" s="40" t="s">
        <v>48</v>
      </c>
      <c r="J114" s="40" t="s">
        <v>48</v>
      </c>
      <c r="K114" s="40" t="s">
        <v>48</v>
      </c>
      <c r="L114" s="40" t="s">
        <v>48</v>
      </c>
      <c r="M114" s="40" t="s">
        <v>48</v>
      </c>
      <c r="N114" s="40" t="s">
        <v>48</v>
      </c>
      <c r="O114" s="40" t="s">
        <v>48</v>
      </c>
      <c r="P114" s="40" t="s">
        <v>48</v>
      </c>
      <c r="Q114" s="40" t="s">
        <v>48</v>
      </c>
      <c r="R114" s="40" t="s">
        <v>48</v>
      </c>
      <c r="S114" s="40" t="s">
        <v>48</v>
      </c>
      <c r="T114" s="40" t="s">
        <v>48</v>
      </c>
      <c r="V114" s="33"/>
      <c r="W114" s="38" t="str">
        <f>Notes!U115</f>
        <v xml:space="preserve">               Finance and insurance</v>
      </c>
      <c r="X114" s="4" t="s">
        <v>743</v>
      </c>
      <c r="Y114" s="44" t="s">
        <v>48</v>
      </c>
      <c r="Z114" s="42" t="s">
        <v>48</v>
      </c>
      <c r="AA114" s="40" t="s">
        <v>48</v>
      </c>
      <c r="AB114" s="40" t="s">
        <v>48</v>
      </c>
      <c r="AC114" s="40" t="s">
        <v>48</v>
      </c>
      <c r="AD114" s="40" t="s">
        <v>48</v>
      </c>
      <c r="AE114" s="40" t="s">
        <v>48</v>
      </c>
      <c r="AF114" s="40" t="s">
        <v>48</v>
      </c>
      <c r="AG114" s="40" t="s">
        <v>48</v>
      </c>
      <c r="AH114" s="40" t="s">
        <v>48</v>
      </c>
      <c r="AI114" s="40" t="s">
        <v>48</v>
      </c>
      <c r="AJ114" s="40" t="s">
        <v>48</v>
      </c>
      <c r="AK114" s="40" t="s">
        <v>48</v>
      </c>
      <c r="AL114" s="40" t="s">
        <v>48</v>
      </c>
      <c r="AM114" s="40" t="s">
        <v>48</v>
      </c>
      <c r="AN114" s="40" t="s">
        <v>48</v>
      </c>
    </row>
    <row r="115" spans="1:40" x14ac:dyDescent="0.35">
      <c r="A115" s="12">
        <v>108</v>
      </c>
      <c r="B115" s="33"/>
      <c r="C115" s="38" t="str">
        <f>Notes!U116</f>
        <v xml:space="preserve">               Real estate activities</v>
      </c>
      <c r="D115" s="4" t="s">
        <v>744</v>
      </c>
      <c r="E115" s="44" t="s">
        <v>48</v>
      </c>
      <c r="F115" s="42" t="s">
        <v>48</v>
      </c>
      <c r="G115" s="40" t="s">
        <v>48</v>
      </c>
      <c r="H115" s="40" t="s">
        <v>48</v>
      </c>
      <c r="I115" s="40" t="s">
        <v>48</v>
      </c>
      <c r="J115" s="40" t="s">
        <v>48</v>
      </c>
      <c r="K115" s="40" t="s">
        <v>48</v>
      </c>
      <c r="L115" s="40" t="s">
        <v>48</v>
      </c>
      <c r="M115" s="40" t="s">
        <v>48</v>
      </c>
      <c r="N115" s="40" t="s">
        <v>48</v>
      </c>
      <c r="O115" s="40" t="s">
        <v>48</v>
      </c>
      <c r="P115" s="40" t="s">
        <v>48</v>
      </c>
      <c r="Q115" s="40" t="s">
        <v>48</v>
      </c>
      <c r="R115" s="40" t="s">
        <v>48</v>
      </c>
      <c r="S115" s="40" t="s">
        <v>48</v>
      </c>
      <c r="T115" s="40" t="s">
        <v>48</v>
      </c>
      <c r="V115" s="33"/>
      <c r="W115" s="38" t="str">
        <f>Notes!U116</f>
        <v xml:space="preserve">               Real estate activities</v>
      </c>
      <c r="X115" s="4" t="s">
        <v>744</v>
      </c>
      <c r="Y115" s="44">
        <v>-0.58861840681858524</v>
      </c>
      <c r="Z115" s="42" t="s">
        <v>48</v>
      </c>
      <c r="AA115" s="40" t="s">
        <v>48</v>
      </c>
      <c r="AB115" s="40" t="s">
        <v>48</v>
      </c>
      <c r="AC115" s="40" t="s">
        <v>48</v>
      </c>
      <c r="AD115" s="40" t="s">
        <v>48</v>
      </c>
      <c r="AE115" s="40" t="s">
        <v>48</v>
      </c>
      <c r="AF115" s="40" t="s">
        <v>48</v>
      </c>
      <c r="AG115" s="40" t="s">
        <v>48</v>
      </c>
      <c r="AH115" s="40" t="s">
        <v>48</v>
      </c>
      <c r="AI115" s="40" t="s">
        <v>48</v>
      </c>
      <c r="AJ115" s="40" t="s">
        <v>48</v>
      </c>
      <c r="AK115" s="40" t="s">
        <v>48</v>
      </c>
      <c r="AL115" s="40" t="s">
        <v>48</v>
      </c>
      <c r="AM115" s="40" t="s">
        <v>48</v>
      </c>
      <c r="AN115" s="40" t="s">
        <v>48</v>
      </c>
    </row>
    <row r="116" spans="1:40" x14ac:dyDescent="0.35">
      <c r="A116" s="12">
        <v>109</v>
      </c>
      <c r="B116" s="33"/>
      <c r="C116" s="38" t="str">
        <f>Notes!U117</f>
        <v xml:space="preserve">               Business services</v>
      </c>
      <c r="D116" s="4" t="s">
        <v>745</v>
      </c>
      <c r="E116" s="44" t="s">
        <v>48</v>
      </c>
      <c r="F116" s="42" t="s">
        <v>48</v>
      </c>
      <c r="G116" s="40" t="s">
        <v>48</v>
      </c>
      <c r="H116" s="40" t="s">
        <v>48</v>
      </c>
      <c r="I116" s="40" t="s">
        <v>48</v>
      </c>
      <c r="J116" s="40" t="s">
        <v>48</v>
      </c>
      <c r="K116" s="40" t="s">
        <v>48</v>
      </c>
      <c r="L116" s="40" t="s">
        <v>48</v>
      </c>
      <c r="M116" s="40" t="s">
        <v>48</v>
      </c>
      <c r="N116" s="40" t="s">
        <v>48</v>
      </c>
      <c r="O116" s="40" t="s">
        <v>48</v>
      </c>
      <c r="P116" s="40" t="s">
        <v>48</v>
      </c>
      <c r="Q116" s="40" t="s">
        <v>48</v>
      </c>
      <c r="R116" s="40" t="s">
        <v>48</v>
      </c>
      <c r="S116" s="40" t="s">
        <v>48</v>
      </c>
      <c r="T116" s="40" t="s">
        <v>48</v>
      </c>
      <c r="V116" s="33"/>
      <c r="W116" s="38" t="str">
        <f>Notes!U117</f>
        <v xml:space="preserve">               Business services</v>
      </c>
      <c r="X116" s="4" t="s">
        <v>745</v>
      </c>
      <c r="Y116" s="44" t="s">
        <v>48</v>
      </c>
      <c r="Z116" s="42" t="s">
        <v>48</v>
      </c>
      <c r="AA116" s="40" t="s">
        <v>48</v>
      </c>
      <c r="AB116" s="40" t="s">
        <v>48</v>
      </c>
      <c r="AC116" s="40" t="s">
        <v>48</v>
      </c>
      <c r="AD116" s="40" t="s">
        <v>48</v>
      </c>
      <c r="AE116" s="40" t="s">
        <v>48</v>
      </c>
      <c r="AF116" s="40" t="s">
        <v>48</v>
      </c>
      <c r="AG116" s="40" t="s">
        <v>48</v>
      </c>
      <c r="AH116" s="40" t="s">
        <v>48</v>
      </c>
      <c r="AI116" s="40" t="s">
        <v>48</v>
      </c>
      <c r="AJ116" s="40" t="s">
        <v>48</v>
      </c>
      <c r="AK116" s="40" t="s">
        <v>48</v>
      </c>
      <c r="AL116" s="40" t="s">
        <v>48</v>
      </c>
      <c r="AM116" s="40" t="s">
        <v>48</v>
      </c>
      <c r="AN116" s="40" t="s">
        <v>48</v>
      </c>
    </row>
    <row r="117" spans="1:40" x14ac:dyDescent="0.35">
      <c r="A117" s="12">
        <v>110</v>
      </c>
      <c r="B117" s="33"/>
      <c r="C117" s="38" t="str">
        <f>Notes!U118</f>
        <v xml:space="preserve">               Public and social services</v>
      </c>
      <c r="D117" s="4" t="s">
        <v>388</v>
      </c>
      <c r="E117" s="44" t="s">
        <v>48</v>
      </c>
      <c r="F117" s="42" t="s">
        <v>48</v>
      </c>
      <c r="G117" s="40" t="s">
        <v>48</v>
      </c>
      <c r="H117" s="40" t="s">
        <v>48</v>
      </c>
      <c r="I117" s="40" t="s">
        <v>48</v>
      </c>
      <c r="J117" s="40" t="s">
        <v>48</v>
      </c>
      <c r="K117" s="40" t="s">
        <v>48</v>
      </c>
      <c r="L117" s="40" t="s">
        <v>48</v>
      </c>
      <c r="M117" s="40" t="s">
        <v>48</v>
      </c>
      <c r="N117" s="40" t="s">
        <v>48</v>
      </c>
      <c r="O117" s="40" t="s">
        <v>48</v>
      </c>
      <c r="P117" s="40" t="s">
        <v>48</v>
      </c>
      <c r="Q117" s="40" t="s">
        <v>48</v>
      </c>
      <c r="R117" s="40" t="s">
        <v>48</v>
      </c>
      <c r="S117" s="40" t="s">
        <v>48</v>
      </c>
      <c r="T117" s="40" t="s">
        <v>48</v>
      </c>
      <c r="V117" s="33"/>
      <c r="W117" s="38" t="str">
        <f>Notes!U118</f>
        <v xml:space="preserve">               Public and social services</v>
      </c>
      <c r="X117" s="4" t="s">
        <v>388</v>
      </c>
      <c r="Y117" s="44" t="s">
        <v>48</v>
      </c>
      <c r="Z117" s="42" t="s">
        <v>48</v>
      </c>
      <c r="AA117" s="40" t="s">
        <v>48</v>
      </c>
      <c r="AB117" s="40" t="s">
        <v>48</v>
      </c>
      <c r="AC117" s="40" t="s">
        <v>48</v>
      </c>
      <c r="AD117" s="40" t="s">
        <v>48</v>
      </c>
      <c r="AE117" s="40" t="s">
        <v>48</v>
      </c>
      <c r="AF117" s="40" t="s">
        <v>48</v>
      </c>
      <c r="AG117" s="40" t="s">
        <v>48</v>
      </c>
      <c r="AH117" s="40" t="s">
        <v>48</v>
      </c>
      <c r="AI117" s="40" t="s">
        <v>48</v>
      </c>
      <c r="AJ117" s="40" t="s">
        <v>48</v>
      </c>
      <c r="AK117" s="40" t="s">
        <v>48</v>
      </c>
      <c r="AL117" s="40" t="s">
        <v>48</v>
      </c>
      <c r="AM117" s="40" t="s">
        <v>48</v>
      </c>
      <c r="AN117" s="40" t="s">
        <v>48</v>
      </c>
    </row>
    <row r="118" spans="1:40" x14ac:dyDescent="0.35">
      <c r="A118" s="12">
        <v>111</v>
      </c>
      <c r="B118" s="33"/>
      <c r="C118" s="38" t="str">
        <f>Notes!U119</f>
        <v xml:space="preserve">               Public administration</v>
      </c>
      <c r="D118" s="4" t="s">
        <v>746</v>
      </c>
      <c r="E118" s="44" t="s">
        <v>48</v>
      </c>
      <c r="F118" s="42" t="s">
        <v>48</v>
      </c>
      <c r="G118" s="40" t="s">
        <v>48</v>
      </c>
      <c r="H118" s="40" t="s">
        <v>48</v>
      </c>
      <c r="I118" s="40" t="s">
        <v>48</v>
      </c>
      <c r="J118" s="40" t="s">
        <v>48</v>
      </c>
      <c r="K118" s="40" t="s">
        <v>48</v>
      </c>
      <c r="L118" s="40" t="s">
        <v>48</v>
      </c>
      <c r="M118" s="40" t="s">
        <v>48</v>
      </c>
      <c r="N118" s="40" t="s">
        <v>48</v>
      </c>
      <c r="O118" s="40" t="s">
        <v>48</v>
      </c>
      <c r="P118" s="40" t="s">
        <v>48</v>
      </c>
      <c r="Q118" s="40" t="s">
        <v>48</v>
      </c>
      <c r="R118" s="40" t="s">
        <v>48</v>
      </c>
      <c r="S118" s="40" t="s">
        <v>48</v>
      </c>
      <c r="T118" s="40" t="s">
        <v>48</v>
      </c>
      <c r="V118" s="33"/>
      <c r="W118" s="38" t="str">
        <f>Notes!U119</f>
        <v xml:space="preserve">               Public administration</v>
      </c>
      <c r="X118" s="4" t="s">
        <v>746</v>
      </c>
      <c r="Y118" s="44" t="s">
        <v>48</v>
      </c>
      <c r="Z118" s="42" t="s">
        <v>48</v>
      </c>
      <c r="AA118" s="40" t="s">
        <v>48</v>
      </c>
      <c r="AB118" s="40" t="s">
        <v>48</v>
      </c>
      <c r="AC118" s="40" t="s">
        <v>48</v>
      </c>
      <c r="AD118" s="40" t="s">
        <v>48</v>
      </c>
      <c r="AE118" s="40" t="s">
        <v>48</v>
      </c>
      <c r="AF118" s="40" t="s">
        <v>48</v>
      </c>
      <c r="AG118" s="40" t="s">
        <v>48</v>
      </c>
      <c r="AH118" s="40" t="s">
        <v>48</v>
      </c>
      <c r="AI118" s="40" t="s">
        <v>48</v>
      </c>
      <c r="AJ118" s="40" t="s">
        <v>48</v>
      </c>
      <c r="AK118" s="40" t="s">
        <v>48</v>
      </c>
      <c r="AL118" s="40" t="s">
        <v>48</v>
      </c>
      <c r="AM118" s="40" t="s">
        <v>48</v>
      </c>
      <c r="AN118" s="40" t="s">
        <v>48</v>
      </c>
    </row>
    <row r="119" spans="1:40" x14ac:dyDescent="0.35">
      <c r="A119" s="12">
        <v>112</v>
      </c>
      <c r="B119" s="33"/>
      <c r="C119" s="38" t="str">
        <f>Notes!U120</f>
        <v xml:space="preserve">               Education</v>
      </c>
      <c r="D119" s="4" t="s">
        <v>747</v>
      </c>
      <c r="E119" s="44" t="s">
        <v>48</v>
      </c>
      <c r="F119" s="42" t="s">
        <v>48</v>
      </c>
      <c r="G119" s="40" t="s">
        <v>48</v>
      </c>
      <c r="H119" s="40" t="s">
        <v>48</v>
      </c>
      <c r="I119" s="40" t="s">
        <v>48</v>
      </c>
      <c r="J119" s="40" t="s">
        <v>48</v>
      </c>
      <c r="K119" s="40" t="s">
        <v>48</v>
      </c>
      <c r="L119" s="40" t="s">
        <v>48</v>
      </c>
      <c r="M119" s="40" t="s">
        <v>48</v>
      </c>
      <c r="N119" s="40" t="s">
        <v>48</v>
      </c>
      <c r="O119" s="40" t="s">
        <v>48</v>
      </c>
      <c r="P119" s="40" t="s">
        <v>48</v>
      </c>
      <c r="Q119" s="40" t="s">
        <v>48</v>
      </c>
      <c r="R119" s="40" t="s">
        <v>48</v>
      </c>
      <c r="S119" s="40" t="s">
        <v>48</v>
      </c>
      <c r="T119" s="40" t="s">
        <v>48</v>
      </c>
      <c r="V119" s="33"/>
      <c r="W119" s="38" t="str">
        <f>Notes!U120</f>
        <v xml:space="preserve">               Education</v>
      </c>
      <c r="X119" s="4" t="s">
        <v>747</v>
      </c>
      <c r="Y119" s="44">
        <v>-0.58861840681858524</v>
      </c>
      <c r="Z119" s="42" t="s">
        <v>48</v>
      </c>
      <c r="AA119" s="40" t="s">
        <v>48</v>
      </c>
      <c r="AB119" s="40" t="s">
        <v>48</v>
      </c>
      <c r="AC119" s="40" t="s">
        <v>48</v>
      </c>
      <c r="AD119" s="40" t="s">
        <v>48</v>
      </c>
      <c r="AE119" s="40" t="s">
        <v>48</v>
      </c>
      <c r="AF119" s="40" t="s">
        <v>48</v>
      </c>
      <c r="AG119" s="40" t="s">
        <v>48</v>
      </c>
      <c r="AH119" s="40" t="s">
        <v>48</v>
      </c>
      <c r="AI119" s="40" t="s">
        <v>48</v>
      </c>
      <c r="AJ119" s="40" t="s">
        <v>48</v>
      </c>
      <c r="AK119" s="40" t="s">
        <v>48</v>
      </c>
      <c r="AL119" s="40" t="s">
        <v>48</v>
      </c>
      <c r="AM119" s="40" t="s">
        <v>48</v>
      </c>
      <c r="AN119" s="40" t="s">
        <v>48</v>
      </c>
    </row>
    <row r="120" spans="1:40" x14ac:dyDescent="0.35">
      <c r="A120" s="12">
        <v>113</v>
      </c>
      <c r="B120" s="33"/>
      <c r="C120" s="38" t="str">
        <f>Notes!U121</f>
        <v xml:space="preserve">               Health and social work</v>
      </c>
      <c r="D120" s="4" t="s">
        <v>746</v>
      </c>
      <c r="E120" s="44" t="s">
        <v>48</v>
      </c>
      <c r="F120" s="42" t="s">
        <v>48</v>
      </c>
      <c r="G120" s="40" t="s">
        <v>48</v>
      </c>
      <c r="H120" s="40" t="s">
        <v>48</v>
      </c>
      <c r="I120" s="40" t="s">
        <v>48</v>
      </c>
      <c r="J120" s="40" t="s">
        <v>48</v>
      </c>
      <c r="K120" s="40" t="s">
        <v>48</v>
      </c>
      <c r="L120" s="40" t="s">
        <v>48</v>
      </c>
      <c r="M120" s="40" t="s">
        <v>48</v>
      </c>
      <c r="N120" s="40" t="s">
        <v>48</v>
      </c>
      <c r="O120" s="40" t="s">
        <v>48</v>
      </c>
      <c r="P120" s="40" t="s">
        <v>48</v>
      </c>
      <c r="Q120" s="40" t="s">
        <v>48</v>
      </c>
      <c r="R120" s="40" t="s">
        <v>48</v>
      </c>
      <c r="S120" s="40" t="s">
        <v>48</v>
      </c>
      <c r="T120" s="40" t="s">
        <v>48</v>
      </c>
      <c r="V120" s="33"/>
      <c r="W120" s="38" t="str">
        <f>Notes!U121</f>
        <v xml:space="preserve">               Health and social work</v>
      </c>
      <c r="X120" s="4" t="s">
        <v>746</v>
      </c>
      <c r="Y120" s="44" t="s">
        <v>48</v>
      </c>
      <c r="Z120" s="42" t="s">
        <v>48</v>
      </c>
      <c r="AA120" s="40" t="s">
        <v>48</v>
      </c>
      <c r="AB120" s="40" t="s">
        <v>48</v>
      </c>
      <c r="AC120" s="40" t="s">
        <v>48</v>
      </c>
      <c r="AD120" s="40" t="s">
        <v>48</v>
      </c>
      <c r="AE120" s="40" t="s">
        <v>48</v>
      </c>
      <c r="AF120" s="40" t="s">
        <v>48</v>
      </c>
      <c r="AG120" s="40" t="s">
        <v>48</v>
      </c>
      <c r="AH120" s="40" t="s">
        <v>48</v>
      </c>
      <c r="AI120" s="40" t="s">
        <v>48</v>
      </c>
      <c r="AJ120" s="40" t="s">
        <v>48</v>
      </c>
      <c r="AK120" s="40" t="s">
        <v>48</v>
      </c>
      <c r="AL120" s="40" t="s">
        <v>48</v>
      </c>
      <c r="AM120" s="40" t="s">
        <v>48</v>
      </c>
      <c r="AN120" s="40" t="s">
        <v>48</v>
      </c>
    </row>
    <row r="121" spans="1:40" x14ac:dyDescent="0.35">
      <c r="A121" s="12">
        <v>114</v>
      </c>
      <c r="B121" s="33"/>
      <c r="C121" s="38" t="str">
        <f>Notes!U122</f>
        <v xml:space="preserve">               Other services</v>
      </c>
      <c r="D121" s="4" t="s">
        <v>747</v>
      </c>
      <c r="E121" s="44" t="s">
        <v>48</v>
      </c>
      <c r="F121" s="42" t="s">
        <v>48</v>
      </c>
      <c r="G121" s="40" t="s">
        <v>48</v>
      </c>
      <c r="H121" s="40" t="s">
        <v>48</v>
      </c>
      <c r="I121" s="40" t="s">
        <v>48</v>
      </c>
      <c r="J121" s="40" t="s">
        <v>48</v>
      </c>
      <c r="K121" s="40" t="s">
        <v>48</v>
      </c>
      <c r="L121" s="40" t="s">
        <v>48</v>
      </c>
      <c r="M121" s="40" t="s">
        <v>48</v>
      </c>
      <c r="N121" s="40" t="s">
        <v>48</v>
      </c>
      <c r="O121" s="40" t="s">
        <v>48</v>
      </c>
      <c r="P121" s="40" t="s">
        <v>48</v>
      </c>
      <c r="Q121" s="40" t="s">
        <v>48</v>
      </c>
      <c r="R121" s="40" t="s">
        <v>48</v>
      </c>
      <c r="S121" s="40" t="s">
        <v>48</v>
      </c>
      <c r="T121" s="40" t="s">
        <v>48</v>
      </c>
      <c r="V121" s="33"/>
      <c r="W121" s="38" t="str">
        <f>Notes!U122</f>
        <v xml:space="preserve">               Other services</v>
      </c>
      <c r="X121" s="4" t="s">
        <v>747</v>
      </c>
      <c r="Y121" s="44">
        <v>-0.58861840681858524</v>
      </c>
      <c r="Z121" s="42">
        <v>-0.56773776387450958</v>
      </c>
      <c r="AA121" s="40" t="s">
        <v>48</v>
      </c>
      <c r="AB121" s="40" t="s">
        <v>48</v>
      </c>
      <c r="AC121" s="40" t="s">
        <v>48</v>
      </c>
      <c r="AD121" s="40" t="s">
        <v>48</v>
      </c>
      <c r="AE121" s="40" t="s">
        <v>48</v>
      </c>
      <c r="AF121" s="40" t="s">
        <v>48</v>
      </c>
      <c r="AG121" s="40" t="s">
        <v>48</v>
      </c>
      <c r="AH121" s="40" t="s">
        <v>48</v>
      </c>
      <c r="AI121" s="40" t="s">
        <v>48</v>
      </c>
      <c r="AJ121" s="40" t="s">
        <v>48</v>
      </c>
      <c r="AK121" s="40" t="s">
        <v>48</v>
      </c>
      <c r="AL121" s="40" t="s">
        <v>48</v>
      </c>
      <c r="AM121" s="40" t="s">
        <v>48</v>
      </c>
      <c r="AN121" s="40" t="s">
        <v>48</v>
      </c>
    </row>
    <row r="122" spans="1:40" x14ac:dyDescent="0.35">
      <c r="A122" s="12">
        <v>115</v>
      </c>
      <c r="B122" s="33"/>
      <c r="C122" s="38" t="str">
        <f>Notes!U123</f>
        <v xml:space="preserve">               </v>
      </c>
      <c r="D122" s="4" t="s">
        <v>386</v>
      </c>
      <c r="E122" s="44"/>
      <c r="F122" s="42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V122" s="33"/>
      <c r="W122" s="38" t="str">
        <f>Notes!U123</f>
        <v xml:space="preserve">               </v>
      </c>
      <c r="X122" s="4" t="s">
        <v>386</v>
      </c>
      <c r="Y122" s="44"/>
      <c r="Z122" s="42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</row>
    <row r="123" spans="1:40" x14ac:dyDescent="0.35">
      <c r="A123" s="12">
        <v>116</v>
      </c>
      <c r="B123" s="33"/>
      <c r="C123" s="38" t="str">
        <f>Notes!U124</f>
        <v xml:space="preserve">               </v>
      </c>
      <c r="D123" s="4" t="s">
        <v>388</v>
      </c>
      <c r="E123" s="44"/>
      <c r="F123" s="42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V123" s="33"/>
      <c r="W123" s="38" t="str">
        <f>Notes!U124</f>
        <v xml:space="preserve">               </v>
      </c>
      <c r="X123" s="4" t="s">
        <v>388</v>
      </c>
      <c r="Y123" s="44"/>
      <c r="Z123" s="42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</row>
    <row r="124" spans="1:40" x14ac:dyDescent="0.35">
      <c r="A124" s="12">
        <v>117</v>
      </c>
      <c r="B124" s="33"/>
      <c r="C124" s="38" t="str">
        <f>Notes!U125</f>
        <v xml:space="preserve">               </v>
      </c>
      <c r="D124" s="4"/>
      <c r="E124" s="44"/>
      <c r="F124" s="42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V124" s="33"/>
      <c r="W124" s="38" t="str">
        <f>Notes!U125</f>
        <v xml:space="preserve">               </v>
      </c>
      <c r="X124" s="4"/>
      <c r="Y124" s="44"/>
      <c r="Z124" s="42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</row>
    <row r="125" spans="1:40" x14ac:dyDescent="0.35">
      <c r="A125" s="12">
        <v>118</v>
      </c>
      <c r="B125" s="33"/>
      <c r="C125" s="38" t="str">
        <f>Notes!U126</f>
        <v xml:space="preserve">               </v>
      </c>
      <c r="D125" s="4"/>
      <c r="E125" s="44"/>
      <c r="F125" s="42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V125" s="33"/>
      <c r="W125" s="38" t="str">
        <f>Notes!U126</f>
        <v xml:space="preserve">               </v>
      </c>
      <c r="X125" s="4"/>
      <c r="Y125" s="44"/>
      <c r="Z125" s="42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</row>
    <row r="126" spans="1:40" x14ac:dyDescent="0.35">
      <c r="A126" s="12">
        <v>119</v>
      </c>
      <c r="B126" s="33"/>
      <c r="C126" s="38" t="str">
        <f>Notes!U127</f>
        <v xml:space="preserve">               </v>
      </c>
      <c r="D126" s="4"/>
      <c r="E126" s="44"/>
      <c r="F126" s="42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V126" s="33"/>
      <c r="W126" s="38" t="str">
        <f>Notes!U127</f>
        <v xml:space="preserve">               </v>
      </c>
      <c r="X126" s="4"/>
      <c r="Y126" s="44"/>
      <c r="Z126" s="42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</row>
    <row r="127" spans="1:40" x14ac:dyDescent="0.35">
      <c r="A127" s="12">
        <v>120</v>
      </c>
      <c r="B127" s="33"/>
      <c r="C127" s="38" t="str">
        <f>Notes!U128</f>
        <v xml:space="preserve">               </v>
      </c>
      <c r="D127" s="4"/>
      <c r="E127" s="44"/>
      <c r="F127" s="42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V127" s="33"/>
      <c r="W127" s="38" t="str">
        <f>Notes!U128</f>
        <v xml:space="preserve">               </v>
      </c>
      <c r="X127" s="4"/>
      <c r="Y127" s="44"/>
      <c r="Z127" s="42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</row>
    <row r="128" spans="1:40" x14ac:dyDescent="0.35">
      <c r="A128" s="12">
        <v>121</v>
      </c>
      <c r="B128" s="33"/>
      <c r="C128" s="38" t="str">
        <f>Notes!U129</f>
        <v xml:space="preserve">               </v>
      </c>
      <c r="D128" s="4"/>
      <c r="E128" s="44"/>
      <c r="F128" s="42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V128" s="33"/>
      <c r="W128" s="38" t="str">
        <f>Notes!U129</f>
        <v xml:space="preserve">               </v>
      </c>
      <c r="X128" s="4"/>
      <c r="Y128" s="44"/>
      <c r="Z128" s="42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</row>
    <row r="129" spans="1:40" x14ac:dyDescent="0.35">
      <c r="A129" s="12">
        <v>122</v>
      </c>
      <c r="B129" s="33"/>
      <c r="C129" s="38" t="str">
        <f>Notes!U130</f>
        <v xml:space="preserve">               </v>
      </c>
      <c r="D129" s="4"/>
      <c r="E129" s="44"/>
      <c r="F129" s="42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V129" s="33"/>
      <c r="W129" s="38" t="str">
        <f>Notes!U130</f>
        <v xml:space="preserve">               </v>
      </c>
      <c r="X129" s="4"/>
      <c r="Y129" s="44"/>
      <c r="Z129" s="42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</row>
    <row r="130" spans="1:40" x14ac:dyDescent="0.35">
      <c r="A130" s="12">
        <v>123</v>
      </c>
      <c r="B130" s="33"/>
      <c r="C130" s="38" t="str">
        <f>Notes!U131</f>
        <v xml:space="preserve">               </v>
      </c>
      <c r="D130" s="4"/>
      <c r="E130" s="44"/>
      <c r="F130" s="42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V130" s="33"/>
      <c r="W130" s="38" t="str">
        <f>Notes!U131</f>
        <v xml:space="preserve">               </v>
      </c>
      <c r="X130" s="4"/>
      <c r="Y130" s="44"/>
      <c r="Z130" s="42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</row>
    <row r="131" spans="1:40" x14ac:dyDescent="0.35">
      <c r="A131" s="12">
        <v>124</v>
      </c>
      <c r="B131" s="33"/>
      <c r="C131" s="38" t="str">
        <f>Notes!U132</f>
        <v xml:space="preserve">               </v>
      </c>
      <c r="D131" s="4"/>
      <c r="E131" s="44"/>
      <c r="F131" s="42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V131" s="33"/>
      <c r="W131" s="38" t="str">
        <f>Notes!U132</f>
        <v xml:space="preserve">               </v>
      </c>
      <c r="X131" s="4"/>
      <c r="Y131" s="44"/>
      <c r="Z131" s="42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</row>
    <row r="132" spans="1:40" x14ac:dyDescent="0.35">
      <c r="A132" s="12">
        <v>125</v>
      </c>
      <c r="B132" s="33"/>
      <c r="C132" s="38" t="str">
        <f>Notes!U133</f>
        <v xml:space="preserve">               </v>
      </c>
      <c r="D132" s="4"/>
      <c r="E132" s="44"/>
      <c r="F132" s="42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V132" s="33"/>
      <c r="W132" s="38" t="str">
        <f>Notes!U133</f>
        <v xml:space="preserve">               </v>
      </c>
      <c r="X132" s="4"/>
      <c r="Y132" s="44"/>
      <c r="Z132" s="42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</row>
    <row r="133" spans="1:40" x14ac:dyDescent="0.35">
      <c r="A133" s="12">
        <v>126</v>
      </c>
      <c r="B133" s="33"/>
      <c r="C133" s="38" t="str">
        <f>Notes!U134</f>
        <v xml:space="preserve">               </v>
      </c>
      <c r="D133" s="4"/>
      <c r="E133" s="44"/>
      <c r="F133" s="42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V133" s="33"/>
      <c r="W133" s="38" t="str">
        <f>Notes!U134</f>
        <v xml:space="preserve">               </v>
      </c>
      <c r="X133" s="4"/>
      <c r="Y133" s="44"/>
      <c r="Z133" s="42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</row>
    <row r="134" spans="1:40" x14ac:dyDescent="0.35">
      <c r="A134" s="12">
        <v>127</v>
      </c>
      <c r="B134" s="33"/>
      <c r="C134" s="38" t="str">
        <f>Notes!U135</f>
        <v xml:space="preserve">               </v>
      </c>
      <c r="D134" s="4"/>
      <c r="E134" s="44"/>
      <c r="F134" s="42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V134" s="33"/>
      <c r="W134" s="38" t="str">
        <f>Notes!U135</f>
        <v xml:space="preserve">               </v>
      </c>
      <c r="X134" s="4"/>
      <c r="Y134" s="44"/>
      <c r="Z134" s="42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</row>
    <row r="135" spans="1:40" x14ac:dyDescent="0.35">
      <c r="A135" s="12">
        <v>128</v>
      </c>
      <c r="B135" s="33"/>
      <c r="C135" s="38" t="str">
        <f>Notes!U136</f>
        <v xml:space="preserve">               </v>
      </c>
      <c r="D135" s="4"/>
      <c r="E135" s="44"/>
      <c r="F135" s="42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V135" s="33"/>
      <c r="W135" s="38" t="str">
        <f>Notes!U136</f>
        <v xml:space="preserve">               </v>
      </c>
      <c r="X135" s="4"/>
      <c r="Y135" s="44"/>
      <c r="Z135" s="42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</row>
    <row r="136" spans="1:40" x14ac:dyDescent="0.35">
      <c r="A136" s="12">
        <v>129</v>
      </c>
      <c r="B136" s="33"/>
      <c r="C136" s="38" t="str">
        <f>Notes!U137</f>
        <v xml:space="preserve">               </v>
      </c>
      <c r="D136" s="4"/>
      <c r="E136" s="44"/>
      <c r="F136" s="42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V136" s="33"/>
      <c r="W136" s="38" t="str">
        <f>Notes!U137</f>
        <v xml:space="preserve">               </v>
      </c>
      <c r="X136" s="4"/>
      <c r="Y136" s="44"/>
      <c r="Z136" s="42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</row>
    <row r="137" spans="1:40" x14ac:dyDescent="0.35">
      <c r="A137" s="12">
        <v>130</v>
      </c>
      <c r="B137" s="33"/>
      <c r="C137" s="38" t="str">
        <f>Notes!U138</f>
        <v xml:space="preserve">               </v>
      </c>
      <c r="D137" s="4"/>
      <c r="E137" s="44"/>
      <c r="F137" s="42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V137" s="33"/>
      <c r="W137" s="38" t="str">
        <f>Notes!U138</f>
        <v xml:space="preserve">               </v>
      </c>
      <c r="X137" s="4"/>
      <c r="Y137" s="44"/>
      <c r="Z137" s="42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</row>
    <row r="138" spans="1:40" x14ac:dyDescent="0.35">
      <c r="A138" s="12">
        <v>131</v>
      </c>
      <c r="B138" s="33"/>
      <c r="C138" s="38" t="str">
        <f>Notes!U139</f>
        <v xml:space="preserve">               </v>
      </c>
      <c r="D138" s="4"/>
      <c r="E138" s="44"/>
      <c r="F138" s="42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V138" s="33"/>
      <c r="W138" s="38" t="str">
        <f>Notes!U139</f>
        <v xml:space="preserve">               </v>
      </c>
      <c r="X138" s="4"/>
      <c r="Y138" s="44"/>
      <c r="Z138" s="42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</row>
    <row r="139" spans="1:40" x14ac:dyDescent="0.35">
      <c r="A139" s="12">
        <v>132</v>
      </c>
      <c r="B139" s="33"/>
      <c r="C139" s="38" t="str">
        <f>Notes!U140</f>
        <v xml:space="preserve">               </v>
      </c>
      <c r="D139" s="4"/>
      <c r="E139" s="44"/>
      <c r="F139" s="42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V139" s="33"/>
      <c r="W139" s="38" t="str">
        <f>Notes!U140</f>
        <v xml:space="preserve">               </v>
      </c>
      <c r="X139" s="4"/>
      <c r="Y139" s="44"/>
      <c r="Z139" s="42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</row>
    <row r="140" spans="1:40" x14ac:dyDescent="0.35">
      <c r="A140" s="12">
        <v>133</v>
      </c>
      <c r="B140" s="33"/>
      <c r="C140" s="38" t="str">
        <f>Notes!U141</f>
        <v xml:space="preserve">               </v>
      </c>
      <c r="D140" s="4"/>
      <c r="E140" s="44"/>
      <c r="F140" s="42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V140" s="33"/>
      <c r="W140" s="38" t="str">
        <f>Notes!U141</f>
        <v xml:space="preserve">               </v>
      </c>
      <c r="X140" s="4"/>
      <c r="Y140" s="44"/>
      <c r="Z140" s="42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</row>
    <row r="141" spans="1:40" x14ac:dyDescent="0.35">
      <c r="A141" s="12">
        <v>134</v>
      </c>
      <c r="B141" s="33"/>
      <c r="C141" s="38" t="str">
        <f>Notes!U142</f>
        <v xml:space="preserve">               </v>
      </c>
      <c r="D141" s="4"/>
      <c r="E141" s="44"/>
      <c r="F141" s="42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V141" s="33"/>
      <c r="W141" s="38" t="str">
        <f>Notes!U142</f>
        <v xml:space="preserve">               </v>
      </c>
      <c r="X141" s="4"/>
      <c r="Y141" s="44"/>
      <c r="Z141" s="42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</row>
    <row r="142" spans="1:40" x14ac:dyDescent="0.35">
      <c r="A142" s="12">
        <v>135</v>
      </c>
      <c r="B142" s="33"/>
      <c r="C142" s="38" t="str">
        <f>Notes!U143</f>
        <v xml:space="preserve">               </v>
      </c>
      <c r="D142" s="4"/>
      <c r="E142" s="44"/>
      <c r="F142" s="42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V142" s="33"/>
      <c r="W142" s="38" t="str">
        <f>Notes!U143</f>
        <v xml:space="preserve">               </v>
      </c>
      <c r="X142" s="4"/>
      <c r="Y142" s="44"/>
      <c r="Z142" s="42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</row>
    <row r="143" spans="1:40" x14ac:dyDescent="0.35">
      <c r="A143" s="12">
        <v>136</v>
      </c>
      <c r="B143" s="33"/>
      <c r="C143" s="38" t="str">
        <f>Notes!U144</f>
        <v xml:space="preserve">               </v>
      </c>
      <c r="D143" s="4"/>
      <c r="E143" s="44"/>
      <c r="F143" s="42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V143" s="33"/>
      <c r="W143" s="38" t="str">
        <f>Notes!U144</f>
        <v xml:space="preserve">               </v>
      </c>
      <c r="X143" s="4"/>
      <c r="Y143" s="44"/>
      <c r="Z143" s="42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</row>
    <row r="144" spans="1:40" x14ac:dyDescent="0.35">
      <c r="A144" s="12">
        <v>137</v>
      </c>
      <c r="B144" s="33"/>
      <c r="C144" s="38" t="str">
        <f>Notes!U145</f>
        <v xml:space="preserve">               </v>
      </c>
      <c r="D144" s="4"/>
      <c r="E144" s="44"/>
      <c r="F144" s="42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V144" s="33"/>
      <c r="W144" s="38" t="str">
        <f>Notes!U145</f>
        <v xml:space="preserve">               </v>
      </c>
      <c r="X144" s="4"/>
      <c r="Y144" s="44"/>
      <c r="Z144" s="42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</row>
    <row r="145" spans="1:40" x14ac:dyDescent="0.35">
      <c r="A145" s="12">
        <v>138</v>
      </c>
      <c r="B145" s="33"/>
      <c r="C145" s="38" t="str">
        <f>Notes!U146</f>
        <v xml:space="preserve">               </v>
      </c>
      <c r="D145" s="4"/>
      <c r="E145" s="44"/>
      <c r="F145" s="42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V145" s="33"/>
      <c r="W145" s="38" t="str">
        <f>Notes!U146</f>
        <v xml:space="preserve">               </v>
      </c>
      <c r="X145" s="4"/>
      <c r="Y145" s="44"/>
      <c r="Z145" s="42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</row>
    <row r="146" spans="1:40" x14ac:dyDescent="0.35">
      <c r="A146" s="12">
        <v>139</v>
      </c>
      <c r="B146" s="33"/>
      <c r="C146" s="38" t="str">
        <f>Notes!U147</f>
        <v xml:space="preserve">               </v>
      </c>
      <c r="D146" s="4"/>
      <c r="E146" s="44"/>
      <c r="F146" s="42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V146" s="33"/>
      <c r="W146" s="38" t="str">
        <f>Notes!U147</f>
        <v xml:space="preserve">               </v>
      </c>
      <c r="X146" s="4"/>
      <c r="Y146" s="44"/>
      <c r="Z146" s="42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</row>
    <row r="147" spans="1:40" x14ac:dyDescent="0.35">
      <c r="A147" s="12">
        <v>140</v>
      </c>
      <c r="B147" s="33"/>
      <c r="C147" s="38" t="str">
        <f>Notes!U148</f>
        <v xml:space="preserve">               </v>
      </c>
      <c r="D147" s="4"/>
      <c r="E147" s="44"/>
      <c r="F147" s="42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V147" s="33"/>
      <c r="W147" s="38" t="str">
        <f>Notes!U148</f>
        <v xml:space="preserve">               </v>
      </c>
      <c r="X147" s="4"/>
      <c r="Y147" s="44"/>
      <c r="Z147" s="42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</row>
    <row r="148" spans="1:40" x14ac:dyDescent="0.35">
      <c r="A148" s="12">
        <v>141</v>
      </c>
      <c r="B148" s="33"/>
      <c r="C148" s="38" t="str">
        <f>Notes!U149</f>
        <v xml:space="preserve">               </v>
      </c>
      <c r="D148" s="4"/>
      <c r="E148" s="44"/>
      <c r="F148" s="42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V148" s="33"/>
      <c r="W148" s="38" t="str">
        <f>Notes!U149</f>
        <v xml:space="preserve">               </v>
      </c>
      <c r="X148" s="4"/>
      <c r="Y148" s="44"/>
      <c r="Z148" s="42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</row>
    <row r="149" spans="1:40" x14ac:dyDescent="0.35">
      <c r="A149" s="12">
        <v>142</v>
      </c>
      <c r="B149" s="33"/>
      <c r="C149" s="38" t="str">
        <f>Notes!U150</f>
        <v xml:space="preserve">               </v>
      </c>
      <c r="D149" s="4"/>
      <c r="E149" s="44"/>
      <c r="F149" s="42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V149" s="33"/>
      <c r="W149" s="38" t="str">
        <f>Notes!U150</f>
        <v xml:space="preserve">               </v>
      </c>
      <c r="X149" s="4"/>
      <c r="Y149" s="44"/>
      <c r="Z149" s="42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</row>
    <row r="150" spans="1:40" x14ac:dyDescent="0.35">
      <c r="A150" s="12">
        <v>143</v>
      </c>
      <c r="B150" s="33"/>
      <c r="C150" s="38" t="str">
        <f>Notes!U151</f>
        <v xml:space="preserve">               </v>
      </c>
      <c r="D150" s="4"/>
      <c r="E150" s="44"/>
      <c r="F150" s="42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V150" s="33"/>
      <c r="W150" s="38" t="str">
        <f>Notes!U151</f>
        <v xml:space="preserve">               </v>
      </c>
      <c r="X150" s="4"/>
      <c r="Y150" s="44"/>
      <c r="Z150" s="42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</row>
    <row r="151" spans="1:40" x14ac:dyDescent="0.35">
      <c r="A151" s="12">
        <v>144</v>
      </c>
      <c r="B151" s="33"/>
      <c r="C151" s="38" t="str">
        <f>Notes!U152</f>
        <v xml:space="preserve">               </v>
      </c>
      <c r="D151" s="4"/>
      <c r="E151" s="44"/>
      <c r="F151" s="42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V151" s="33"/>
      <c r="W151" s="38" t="str">
        <f>Notes!U152</f>
        <v xml:space="preserve">               </v>
      </c>
      <c r="X151" s="4"/>
      <c r="Y151" s="44"/>
      <c r="Z151" s="42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</row>
    <row r="152" spans="1:40" x14ac:dyDescent="0.35">
      <c r="A152" s="12">
        <v>145</v>
      </c>
      <c r="B152" s="33"/>
      <c r="C152" s="38" t="str">
        <f>Notes!U153</f>
        <v xml:space="preserve">               </v>
      </c>
      <c r="D152" s="4"/>
      <c r="E152" s="44"/>
      <c r="F152" s="42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V152" s="33"/>
      <c r="W152" s="38" t="str">
        <f>Notes!U153</f>
        <v xml:space="preserve">               </v>
      </c>
      <c r="X152" s="4"/>
      <c r="Y152" s="44"/>
      <c r="Z152" s="42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</row>
    <row r="153" spans="1:40" x14ac:dyDescent="0.35">
      <c r="A153" s="12">
        <v>146</v>
      </c>
      <c r="B153" s="33"/>
      <c r="C153" s="38" t="str">
        <f>Notes!U154</f>
        <v xml:space="preserve">               </v>
      </c>
      <c r="D153" s="4"/>
      <c r="E153" s="44"/>
      <c r="F153" s="42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V153" s="33"/>
      <c r="W153" s="38" t="str">
        <f>Notes!U154</f>
        <v xml:space="preserve">               </v>
      </c>
      <c r="X153" s="4"/>
      <c r="Y153" s="44"/>
      <c r="Z153" s="42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</row>
    <row r="154" spans="1:40" x14ac:dyDescent="0.35">
      <c r="A154" s="12">
        <v>147</v>
      </c>
      <c r="B154" s="33"/>
      <c r="C154" s="38" t="str">
        <f>Notes!U155</f>
        <v xml:space="preserve">               </v>
      </c>
      <c r="D154" s="4"/>
      <c r="E154" s="44"/>
      <c r="F154" s="42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V154" s="33"/>
      <c r="W154" s="38" t="str">
        <f>Notes!U155</f>
        <v xml:space="preserve">               </v>
      </c>
      <c r="X154" s="4"/>
      <c r="Y154" s="44"/>
      <c r="Z154" s="42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</row>
    <row r="155" spans="1:40" x14ac:dyDescent="0.35">
      <c r="A155" s="12">
        <v>148</v>
      </c>
      <c r="B155" s="33"/>
      <c r="C155" s="38" t="str">
        <f>Notes!U156</f>
        <v xml:space="preserve">               </v>
      </c>
      <c r="D155" s="4"/>
      <c r="E155" s="44"/>
      <c r="F155" s="42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V155" s="33"/>
      <c r="W155" s="38" t="str">
        <f>Notes!U156</f>
        <v xml:space="preserve">               </v>
      </c>
      <c r="X155" s="4"/>
      <c r="Y155" s="44"/>
      <c r="Z155" s="42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</row>
    <row r="156" spans="1:40" x14ac:dyDescent="0.35">
      <c r="A156" s="12">
        <v>149</v>
      </c>
      <c r="B156" s="33"/>
      <c r="C156" s="38" t="str">
        <f>Notes!U157</f>
        <v xml:space="preserve">               </v>
      </c>
      <c r="D156" s="4"/>
      <c r="E156" s="44"/>
      <c r="F156" s="42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V156" s="33"/>
      <c r="W156" s="38" t="str">
        <f>Notes!U157</f>
        <v xml:space="preserve">               </v>
      </c>
      <c r="X156" s="4"/>
      <c r="Y156" s="44"/>
      <c r="Z156" s="42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</row>
    <row r="157" spans="1:40" x14ac:dyDescent="0.35">
      <c r="A157" s="12">
        <v>150</v>
      </c>
      <c r="B157" s="33"/>
      <c r="C157" s="106"/>
      <c r="D157" s="4"/>
      <c r="E157" s="45"/>
      <c r="F157" s="42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V157" s="33"/>
      <c r="W157" s="106"/>
      <c r="X157" s="4"/>
      <c r="Y157" s="44"/>
      <c r="Z157" s="42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</row>
    <row r="158" spans="1:40" x14ac:dyDescent="0.35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</sheetData>
  <sheetProtection sheet="1" objects="1" scenarios="1"/>
  <conditionalFormatting sqref="E8:T157">
    <cfRule type="cellIs" dxfId="15" priority="3" operator="equal">
      <formula>"Eps"</formula>
    </cfRule>
  </conditionalFormatting>
  <conditionalFormatting sqref="Y8:AN157">
    <cfRule type="cellIs" dxfId="14" priority="2" operator="equal">
      <formula>"Eps"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184F-29F6-4141-9A99-879CCC5D9264}">
  <sheetPr>
    <tabColor theme="8" tint="-0.499984740745262"/>
  </sheetPr>
  <dimension ref="A1:DQ158"/>
  <sheetViews>
    <sheetView zoomScale="85" zoomScaleNormal="85" workbookViewId="0">
      <pane ySplit="7" topLeftCell="A8" activePane="bottomLeft" state="frozen"/>
      <selection activeCell="K75" sqref="K75"/>
      <selection pane="bottomLeft" activeCell="E26" sqref="E26"/>
    </sheetView>
  </sheetViews>
  <sheetFormatPr defaultColWidth="0" defaultRowHeight="14.5" zeroHeight="1" x14ac:dyDescent="0.35"/>
  <cols>
    <col min="1" max="2" width="2.453125" customWidth="1"/>
    <col min="3" max="3" width="28.90625" customWidth="1"/>
    <col min="4" max="4" width="9.08984375" hidden="1" customWidth="1"/>
    <col min="5" max="20" width="9.08984375" customWidth="1"/>
    <col min="21" max="22" width="2.453125" customWidth="1"/>
    <col min="23" max="23" width="28.90625" customWidth="1"/>
    <col min="24" max="24" width="9.08984375" hidden="1" customWidth="1"/>
    <col min="25" max="40" width="9.08984375" customWidth="1"/>
    <col min="41" max="42" width="2.453125" customWidth="1"/>
    <col min="43" max="43" width="28.90625" customWidth="1"/>
    <col min="44" max="44" width="9.08984375" hidden="1" customWidth="1"/>
    <col min="45" max="60" width="9.08984375" customWidth="1"/>
    <col min="61" max="62" width="2.453125" customWidth="1"/>
    <col min="63" max="63" width="19.90625" customWidth="1"/>
    <col min="64" max="64" width="9.08984375" hidden="1" customWidth="1"/>
    <col min="65" max="80" width="9.08984375" customWidth="1"/>
    <col min="81" max="82" width="2.453125" customWidth="1"/>
    <col min="83" max="83" width="19.90625" customWidth="1"/>
    <col min="84" max="84" width="9.08984375" hidden="1" customWidth="1"/>
    <col min="85" max="100" width="9.08984375" customWidth="1"/>
    <col min="101" max="102" width="2.453125" customWidth="1"/>
    <col min="103" max="103" width="19.90625" customWidth="1"/>
    <col min="104" max="104" width="9.08984375" hidden="1" customWidth="1"/>
    <col min="105" max="120" width="9.08984375" customWidth="1"/>
    <col min="121" max="121" width="2.453125" customWidth="1"/>
    <col min="122" max="16384" width="9.08984375" hidden="1"/>
  </cols>
  <sheetData>
    <row r="1" spans="1:120" ht="18.5" x14ac:dyDescent="0.45">
      <c r="A1" s="9" t="s">
        <v>94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7" t="s">
        <v>70</v>
      </c>
      <c r="M1" s="8" t="str">
        <f>C5</f>
        <v>Average output price (PX)</v>
      </c>
      <c r="Q1" s="8" t="str">
        <f>BK5</f>
        <v>Import price incl. transaction costs (PM)</v>
      </c>
    </row>
    <row r="2" spans="1:120" x14ac:dyDescent="0.35">
      <c r="L2" s="8"/>
      <c r="M2" s="8" t="str">
        <f>W5</f>
        <v>Composite commodity price (PQ)</v>
      </c>
      <c r="Q2" s="8" t="str">
        <f>CE5</f>
        <v>World export price excl. transaction costs (pwe)</v>
      </c>
    </row>
    <row r="3" spans="1:120" x14ac:dyDescent="0.35">
      <c r="L3" s="8"/>
      <c r="M3" s="8" t="str">
        <f>AQ5</f>
        <v>Export price incl. transaction costs (PE)</v>
      </c>
      <c r="Q3" s="8" t="str">
        <f>CY5</f>
        <v>World import price excl. transaction costs (pwm)</v>
      </c>
    </row>
    <row r="4" spans="1:120" x14ac:dyDescent="0.35"/>
    <row r="5" spans="1:120" ht="15.5" x14ac:dyDescent="0.35">
      <c r="B5" s="13"/>
      <c r="C5" s="11" t="s">
        <v>82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V5" s="13"/>
      <c r="W5" s="11" t="s">
        <v>83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P5" s="13"/>
      <c r="AQ5" s="11" t="s">
        <v>84</v>
      </c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J5" s="13"/>
      <c r="BK5" s="11" t="s">
        <v>85</v>
      </c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D5" s="13"/>
      <c r="CE5" s="11" t="s">
        <v>86</v>
      </c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X5" s="13"/>
      <c r="CY5" s="11" t="s">
        <v>87</v>
      </c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</row>
    <row r="6" spans="1:120" x14ac:dyDescent="0.35">
      <c r="B6" s="29"/>
      <c r="C6" s="35" t="s">
        <v>104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V6" s="29"/>
      <c r="W6" s="35" t="s">
        <v>105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P6" s="29"/>
      <c r="AQ6" s="35" t="s">
        <v>106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J6" s="29"/>
      <c r="BK6" s="35" t="s">
        <v>107</v>
      </c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D6" s="29"/>
      <c r="CE6" s="35" t="s">
        <v>106</v>
      </c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X6" s="29"/>
      <c r="CY6" s="35" t="s">
        <v>107</v>
      </c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</row>
    <row r="7" spans="1:120" x14ac:dyDescent="0.35">
      <c r="B7" s="29"/>
      <c r="C7" s="34"/>
      <c r="D7" s="34"/>
      <c r="E7" s="43" t="s">
        <v>42</v>
      </c>
      <c r="F7" s="41" t="s">
        <v>588</v>
      </c>
      <c r="G7" s="39" t="s">
        <v>589</v>
      </c>
      <c r="H7" s="39" t="s">
        <v>590</v>
      </c>
      <c r="I7" s="39" t="s">
        <v>465</v>
      </c>
      <c r="J7" s="39" t="s">
        <v>455</v>
      </c>
      <c r="K7" s="39" t="s">
        <v>456</v>
      </c>
      <c r="L7" s="39" t="s">
        <v>457</v>
      </c>
      <c r="M7" s="39" t="s">
        <v>458</v>
      </c>
      <c r="N7" s="39" t="s">
        <v>459</v>
      </c>
      <c r="O7" s="39" t="s">
        <v>460</v>
      </c>
      <c r="P7" s="39" t="s">
        <v>43</v>
      </c>
      <c r="Q7" s="39" t="s">
        <v>44</v>
      </c>
      <c r="R7" s="39" t="s">
        <v>45</v>
      </c>
      <c r="S7" s="39" t="s">
        <v>46</v>
      </c>
      <c r="T7" s="39" t="s">
        <v>47</v>
      </c>
      <c r="V7" s="29"/>
      <c r="W7" s="34"/>
      <c r="X7" s="34"/>
      <c r="Y7" s="43" t="s">
        <v>42</v>
      </c>
      <c r="Z7" s="41" t="s">
        <v>588</v>
      </c>
      <c r="AA7" s="39" t="s">
        <v>589</v>
      </c>
      <c r="AB7" s="39" t="s">
        <v>590</v>
      </c>
      <c r="AC7" s="39" t="s">
        <v>465</v>
      </c>
      <c r="AD7" s="39" t="s">
        <v>455</v>
      </c>
      <c r="AE7" s="39" t="s">
        <v>456</v>
      </c>
      <c r="AF7" s="39" t="s">
        <v>457</v>
      </c>
      <c r="AG7" s="39" t="s">
        <v>458</v>
      </c>
      <c r="AH7" s="39" t="s">
        <v>459</v>
      </c>
      <c r="AI7" s="39" t="s">
        <v>460</v>
      </c>
      <c r="AJ7" s="39" t="s">
        <v>43</v>
      </c>
      <c r="AK7" s="39" t="s">
        <v>44</v>
      </c>
      <c r="AL7" s="39" t="s">
        <v>45</v>
      </c>
      <c r="AM7" s="39" t="s">
        <v>46</v>
      </c>
      <c r="AN7" s="39" t="s">
        <v>47</v>
      </c>
      <c r="AP7" s="29"/>
      <c r="AQ7" s="34"/>
      <c r="AR7" s="34"/>
      <c r="AS7" s="43" t="s">
        <v>42</v>
      </c>
      <c r="AT7" s="41" t="s">
        <v>588</v>
      </c>
      <c r="AU7" s="39" t="s">
        <v>589</v>
      </c>
      <c r="AV7" s="39" t="s">
        <v>590</v>
      </c>
      <c r="AW7" s="39" t="s">
        <v>465</v>
      </c>
      <c r="AX7" s="39" t="s">
        <v>455</v>
      </c>
      <c r="AY7" s="39" t="s">
        <v>456</v>
      </c>
      <c r="AZ7" s="39" t="s">
        <v>457</v>
      </c>
      <c r="BA7" s="39" t="s">
        <v>458</v>
      </c>
      <c r="BB7" s="39" t="s">
        <v>459</v>
      </c>
      <c r="BC7" s="39" t="s">
        <v>460</v>
      </c>
      <c r="BD7" s="39" t="s">
        <v>43</v>
      </c>
      <c r="BE7" s="39" t="s">
        <v>44</v>
      </c>
      <c r="BF7" s="39" t="s">
        <v>45</v>
      </c>
      <c r="BG7" s="39" t="s">
        <v>46</v>
      </c>
      <c r="BH7" s="39" t="s">
        <v>47</v>
      </c>
      <c r="BJ7" s="29"/>
      <c r="BK7" s="34"/>
      <c r="BL7" s="34"/>
      <c r="BM7" s="43" t="s">
        <v>42</v>
      </c>
      <c r="BN7" s="41" t="s">
        <v>588</v>
      </c>
      <c r="BO7" s="39" t="s">
        <v>589</v>
      </c>
      <c r="BP7" s="39" t="s">
        <v>590</v>
      </c>
      <c r="BQ7" s="39" t="s">
        <v>465</v>
      </c>
      <c r="BR7" s="39" t="s">
        <v>455</v>
      </c>
      <c r="BS7" s="39" t="s">
        <v>456</v>
      </c>
      <c r="BT7" s="39" t="s">
        <v>457</v>
      </c>
      <c r="BU7" s="39" t="s">
        <v>458</v>
      </c>
      <c r="BV7" s="39" t="s">
        <v>459</v>
      </c>
      <c r="BW7" s="39" t="s">
        <v>460</v>
      </c>
      <c r="BX7" s="39" t="s">
        <v>43</v>
      </c>
      <c r="BY7" s="39" t="s">
        <v>44</v>
      </c>
      <c r="BZ7" s="39" t="s">
        <v>45</v>
      </c>
      <c r="CA7" s="39" t="s">
        <v>46</v>
      </c>
      <c r="CB7" s="39" t="s">
        <v>47</v>
      </c>
      <c r="CD7" s="29"/>
      <c r="CE7" s="34"/>
      <c r="CF7" s="34"/>
      <c r="CG7" s="43" t="s">
        <v>42</v>
      </c>
      <c r="CH7" s="41" t="s">
        <v>588</v>
      </c>
      <c r="CI7" s="39" t="s">
        <v>589</v>
      </c>
      <c r="CJ7" s="39" t="s">
        <v>590</v>
      </c>
      <c r="CK7" s="39" t="s">
        <v>465</v>
      </c>
      <c r="CL7" s="39" t="s">
        <v>455</v>
      </c>
      <c r="CM7" s="39" t="s">
        <v>456</v>
      </c>
      <c r="CN7" s="39" t="s">
        <v>457</v>
      </c>
      <c r="CO7" s="39" t="s">
        <v>458</v>
      </c>
      <c r="CP7" s="39" t="s">
        <v>459</v>
      </c>
      <c r="CQ7" s="39" t="s">
        <v>460</v>
      </c>
      <c r="CR7" s="39" t="s">
        <v>43</v>
      </c>
      <c r="CS7" s="39" t="s">
        <v>44</v>
      </c>
      <c r="CT7" s="39" t="s">
        <v>45</v>
      </c>
      <c r="CU7" s="39" t="s">
        <v>46</v>
      </c>
      <c r="CV7" s="39" t="s">
        <v>47</v>
      </c>
      <c r="CX7" s="29"/>
      <c r="CY7" s="34"/>
      <c r="CZ7" s="34"/>
      <c r="DA7" s="43" t="s">
        <v>42</v>
      </c>
      <c r="DB7" s="41" t="s">
        <v>588</v>
      </c>
      <c r="DC7" s="39" t="s">
        <v>589</v>
      </c>
      <c r="DD7" s="39" t="s">
        <v>590</v>
      </c>
      <c r="DE7" s="39" t="s">
        <v>465</v>
      </c>
      <c r="DF7" s="39" t="s">
        <v>455</v>
      </c>
      <c r="DG7" s="39" t="s">
        <v>456</v>
      </c>
      <c r="DH7" s="39" t="s">
        <v>457</v>
      </c>
      <c r="DI7" s="39" t="s">
        <v>458</v>
      </c>
      <c r="DJ7" s="39" t="s">
        <v>459</v>
      </c>
      <c r="DK7" s="39" t="s">
        <v>460</v>
      </c>
      <c r="DL7" s="39" t="s">
        <v>43</v>
      </c>
      <c r="DM7" s="39" t="s">
        <v>44</v>
      </c>
      <c r="DN7" s="39" t="s">
        <v>45</v>
      </c>
      <c r="DO7" s="39" t="s">
        <v>46</v>
      </c>
      <c r="DP7" s="39" t="s">
        <v>47</v>
      </c>
    </row>
    <row r="8" spans="1:120" x14ac:dyDescent="0.35">
      <c r="A8" s="12">
        <v>1</v>
      </c>
      <c r="B8" s="33"/>
      <c r="C8" s="38" t="str">
        <f>Notes!U9</f>
        <v xml:space="preserve">               All products</v>
      </c>
      <c r="D8" s="4" t="s">
        <v>309</v>
      </c>
      <c r="E8" s="44">
        <v>99.999999999999986</v>
      </c>
      <c r="F8" s="42" t="s">
        <v>48</v>
      </c>
      <c r="G8" s="40" t="s">
        <v>48</v>
      </c>
      <c r="H8" s="40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V8" s="33"/>
      <c r="W8" s="38" t="str">
        <f>Notes!U9</f>
        <v xml:space="preserve">               All products</v>
      </c>
      <c r="X8" s="4" t="s">
        <v>309</v>
      </c>
      <c r="Y8" s="44">
        <v>100</v>
      </c>
      <c r="Z8" s="42" t="s">
        <v>48</v>
      </c>
      <c r="AA8" s="40" t="s">
        <v>48</v>
      </c>
      <c r="AB8" s="40" t="s">
        <v>48</v>
      </c>
      <c r="AC8" s="40" t="s">
        <v>48</v>
      </c>
      <c r="AD8" s="40" t="s">
        <v>48</v>
      </c>
      <c r="AE8" s="40" t="s">
        <v>48</v>
      </c>
      <c r="AF8" s="40" t="s">
        <v>48</v>
      </c>
      <c r="AG8" s="40" t="s">
        <v>48</v>
      </c>
      <c r="AH8" s="40" t="s">
        <v>48</v>
      </c>
      <c r="AI8" s="40" t="s">
        <v>48</v>
      </c>
      <c r="AJ8" s="40" t="s">
        <v>48</v>
      </c>
      <c r="AK8" s="40" t="s">
        <v>48</v>
      </c>
      <c r="AL8" s="40" t="s">
        <v>48</v>
      </c>
      <c r="AM8" s="40" t="s">
        <v>48</v>
      </c>
      <c r="AN8" s="40" t="s">
        <v>48</v>
      </c>
      <c r="AP8" s="33"/>
      <c r="AQ8" s="38" t="str">
        <f>Notes!U9</f>
        <v xml:space="preserve">               All products</v>
      </c>
      <c r="AR8" s="4" t="s">
        <v>309</v>
      </c>
      <c r="AS8" s="44">
        <v>100</v>
      </c>
      <c r="AT8" s="42" t="s">
        <v>48</v>
      </c>
      <c r="AU8" s="40" t="s">
        <v>48</v>
      </c>
      <c r="AV8" s="40" t="s">
        <v>48</v>
      </c>
      <c r="AW8" s="40" t="s">
        <v>48</v>
      </c>
      <c r="AX8" s="40" t="s">
        <v>48</v>
      </c>
      <c r="AY8" s="40" t="s">
        <v>48</v>
      </c>
      <c r="AZ8" s="40" t="s">
        <v>48</v>
      </c>
      <c r="BA8" s="40" t="s">
        <v>48</v>
      </c>
      <c r="BB8" s="40" t="s">
        <v>48</v>
      </c>
      <c r="BC8" s="40" t="s">
        <v>48</v>
      </c>
      <c r="BD8" s="40" t="s">
        <v>48</v>
      </c>
      <c r="BE8" s="40" t="s">
        <v>48</v>
      </c>
      <c r="BF8" s="40" t="s">
        <v>48</v>
      </c>
      <c r="BG8" s="40" t="s">
        <v>48</v>
      </c>
      <c r="BH8" s="40" t="s">
        <v>48</v>
      </c>
      <c r="BJ8" s="33"/>
      <c r="BK8" s="38" t="str">
        <f>Notes!U9</f>
        <v xml:space="preserve">               All products</v>
      </c>
      <c r="BL8" s="4" t="s">
        <v>309</v>
      </c>
      <c r="BM8" s="44">
        <v>99.999999999999986</v>
      </c>
      <c r="BN8" s="42" t="s">
        <v>48</v>
      </c>
      <c r="BO8" s="40" t="s">
        <v>48</v>
      </c>
      <c r="BP8" s="40" t="s">
        <v>48</v>
      </c>
      <c r="BQ8" s="40" t="s">
        <v>48</v>
      </c>
      <c r="BR8" s="40" t="s">
        <v>48</v>
      </c>
      <c r="BS8" s="40" t="s">
        <v>48</v>
      </c>
      <c r="BT8" s="40" t="s">
        <v>48</v>
      </c>
      <c r="BU8" s="40" t="s">
        <v>48</v>
      </c>
      <c r="BV8" s="40" t="s">
        <v>48</v>
      </c>
      <c r="BW8" s="40" t="s">
        <v>48</v>
      </c>
      <c r="BX8" s="40" t="s">
        <v>48</v>
      </c>
      <c r="BY8" s="40" t="s">
        <v>48</v>
      </c>
      <c r="BZ8" s="40" t="s">
        <v>48</v>
      </c>
      <c r="CA8" s="40" t="s">
        <v>48</v>
      </c>
      <c r="CB8" s="40" t="s">
        <v>48</v>
      </c>
      <c r="CD8" s="33"/>
      <c r="CE8" s="38" t="str">
        <f>Notes!U9</f>
        <v xml:space="preserve">               All products</v>
      </c>
      <c r="CF8" s="4" t="s">
        <v>309</v>
      </c>
      <c r="CG8" s="44">
        <v>100.00000000000003</v>
      </c>
      <c r="CH8" s="42" t="s">
        <v>48</v>
      </c>
      <c r="CI8" s="40" t="s">
        <v>48</v>
      </c>
      <c r="CJ8" s="40" t="s">
        <v>48</v>
      </c>
      <c r="CK8" s="40" t="s">
        <v>48</v>
      </c>
      <c r="CL8" s="40" t="s">
        <v>48</v>
      </c>
      <c r="CM8" s="40" t="s">
        <v>48</v>
      </c>
      <c r="CN8" s="40" t="s">
        <v>48</v>
      </c>
      <c r="CO8" s="40" t="s">
        <v>48</v>
      </c>
      <c r="CP8" s="40" t="s">
        <v>48</v>
      </c>
      <c r="CQ8" s="40" t="s">
        <v>48</v>
      </c>
      <c r="CR8" s="40" t="s">
        <v>48</v>
      </c>
      <c r="CS8" s="40" t="s">
        <v>48</v>
      </c>
      <c r="CT8" s="40" t="s">
        <v>48</v>
      </c>
      <c r="CU8" s="40" t="s">
        <v>48</v>
      </c>
      <c r="CV8" s="40" t="s">
        <v>48</v>
      </c>
      <c r="CX8" s="33"/>
      <c r="CY8" s="38" t="str">
        <f>Notes!U9</f>
        <v xml:space="preserve">               All products</v>
      </c>
      <c r="CZ8" s="4" t="s">
        <v>309</v>
      </c>
      <c r="DA8" s="44">
        <v>100</v>
      </c>
      <c r="DB8" s="42" t="s">
        <v>48</v>
      </c>
      <c r="DC8" s="40" t="s">
        <v>48</v>
      </c>
      <c r="DD8" s="40" t="s">
        <v>48</v>
      </c>
      <c r="DE8" s="40" t="s">
        <v>48</v>
      </c>
      <c r="DF8" s="40" t="s">
        <v>48</v>
      </c>
      <c r="DG8" s="40" t="s">
        <v>48</v>
      </c>
      <c r="DH8" s="40" t="s">
        <v>48</v>
      </c>
      <c r="DI8" s="40" t="s">
        <v>48</v>
      </c>
      <c r="DJ8" s="40" t="s">
        <v>48</v>
      </c>
      <c r="DK8" s="40" t="s">
        <v>48</v>
      </c>
      <c r="DL8" s="40" t="s">
        <v>48</v>
      </c>
      <c r="DM8" s="40" t="s">
        <v>48</v>
      </c>
      <c r="DN8" s="40" t="s">
        <v>48</v>
      </c>
      <c r="DO8" s="40" t="s">
        <v>48</v>
      </c>
      <c r="DP8" s="40" t="s">
        <v>48</v>
      </c>
    </row>
    <row r="9" spans="1:120" x14ac:dyDescent="0.35">
      <c r="A9" s="12">
        <v>2</v>
      </c>
      <c r="B9" s="33"/>
      <c r="C9" s="38" t="str">
        <f>Notes!U10</f>
        <v xml:space="preserve">               Agriculture</v>
      </c>
      <c r="D9" s="4" t="s">
        <v>695</v>
      </c>
      <c r="E9" s="46">
        <v>11.516489951969266</v>
      </c>
      <c r="F9" s="47" t="s">
        <v>48</v>
      </c>
      <c r="G9" s="48" t="s">
        <v>48</v>
      </c>
      <c r="H9" s="48" t="s">
        <v>48</v>
      </c>
      <c r="I9" s="48" t="s">
        <v>48</v>
      </c>
      <c r="J9" s="48" t="s">
        <v>48</v>
      </c>
      <c r="K9" s="48" t="s">
        <v>48</v>
      </c>
      <c r="L9" s="48" t="s">
        <v>48</v>
      </c>
      <c r="M9" s="48" t="s">
        <v>48</v>
      </c>
      <c r="N9" s="48" t="s">
        <v>48</v>
      </c>
      <c r="O9" s="48" t="s">
        <v>48</v>
      </c>
      <c r="P9" s="48" t="s">
        <v>48</v>
      </c>
      <c r="Q9" s="48" t="s">
        <v>48</v>
      </c>
      <c r="R9" s="48" t="s">
        <v>48</v>
      </c>
      <c r="S9" s="48" t="s">
        <v>48</v>
      </c>
      <c r="T9" s="48" t="s">
        <v>48</v>
      </c>
      <c r="V9" s="33"/>
      <c r="W9" s="38" t="str">
        <f>Notes!U10</f>
        <v xml:space="preserve">               Agriculture</v>
      </c>
      <c r="X9" s="4" t="s">
        <v>695</v>
      </c>
      <c r="Y9" s="46">
        <v>9.9114000576342587</v>
      </c>
      <c r="Z9" s="47" t="s">
        <v>48</v>
      </c>
      <c r="AA9" s="48" t="s">
        <v>48</v>
      </c>
      <c r="AB9" s="48" t="s">
        <v>48</v>
      </c>
      <c r="AC9" s="48" t="s">
        <v>48</v>
      </c>
      <c r="AD9" s="48" t="s">
        <v>48</v>
      </c>
      <c r="AE9" s="48" t="s">
        <v>48</v>
      </c>
      <c r="AF9" s="48" t="s">
        <v>48</v>
      </c>
      <c r="AG9" s="48" t="s">
        <v>48</v>
      </c>
      <c r="AH9" s="48" t="s">
        <v>48</v>
      </c>
      <c r="AI9" s="48" t="s">
        <v>48</v>
      </c>
      <c r="AJ9" s="48" t="s">
        <v>48</v>
      </c>
      <c r="AK9" s="48" t="s">
        <v>48</v>
      </c>
      <c r="AL9" s="48" t="s">
        <v>48</v>
      </c>
      <c r="AM9" s="48" t="s">
        <v>48</v>
      </c>
      <c r="AN9" s="48" t="s">
        <v>48</v>
      </c>
      <c r="AP9" s="33"/>
      <c r="AQ9" s="38" t="str">
        <f>Notes!U10</f>
        <v xml:space="preserve">               Agriculture</v>
      </c>
      <c r="AR9" s="4" t="s">
        <v>695</v>
      </c>
      <c r="AS9" s="46">
        <v>13.09369972610566</v>
      </c>
      <c r="AT9" s="47" t="s">
        <v>48</v>
      </c>
      <c r="AU9" s="48" t="s">
        <v>48</v>
      </c>
      <c r="AV9" s="48" t="s">
        <v>48</v>
      </c>
      <c r="AW9" s="48" t="s">
        <v>48</v>
      </c>
      <c r="AX9" s="48" t="s">
        <v>48</v>
      </c>
      <c r="AY9" s="48" t="s">
        <v>48</v>
      </c>
      <c r="AZ9" s="48" t="s">
        <v>48</v>
      </c>
      <c r="BA9" s="48" t="s">
        <v>48</v>
      </c>
      <c r="BB9" s="48" t="s">
        <v>48</v>
      </c>
      <c r="BC9" s="48" t="s">
        <v>48</v>
      </c>
      <c r="BD9" s="48" t="s">
        <v>48</v>
      </c>
      <c r="BE9" s="48" t="s">
        <v>48</v>
      </c>
      <c r="BF9" s="48" t="s">
        <v>48</v>
      </c>
      <c r="BG9" s="48" t="s">
        <v>48</v>
      </c>
      <c r="BH9" s="48" t="s">
        <v>48</v>
      </c>
      <c r="BJ9" s="33"/>
      <c r="BK9" s="38" t="str">
        <f>Notes!U10</f>
        <v xml:space="preserve">               Agriculture</v>
      </c>
      <c r="BL9" s="4" t="s">
        <v>695</v>
      </c>
      <c r="BM9" s="46">
        <v>5.1034406905305403</v>
      </c>
      <c r="BN9" s="47" t="s">
        <v>48</v>
      </c>
      <c r="BO9" s="48" t="s">
        <v>48</v>
      </c>
      <c r="BP9" s="48" t="s">
        <v>48</v>
      </c>
      <c r="BQ9" s="48" t="s">
        <v>48</v>
      </c>
      <c r="BR9" s="48" t="s">
        <v>48</v>
      </c>
      <c r="BS9" s="48" t="s">
        <v>48</v>
      </c>
      <c r="BT9" s="48" t="s">
        <v>48</v>
      </c>
      <c r="BU9" s="48" t="s">
        <v>48</v>
      </c>
      <c r="BV9" s="48" t="s">
        <v>48</v>
      </c>
      <c r="BW9" s="48" t="s">
        <v>48</v>
      </c>
      <c r="BX9" s="48" t="s">
        <v>48</v>
      </c>
      <c r="BY9" s="48" t="s">
        <v>48</v>
      </c>
      <c r="BZ9" s="48" t="s">
        <v>48</v>
      </c>
      <c r="CA9" s="48" t="s">
        <v>48</v>
      </c>
      <c r="CB9" s="48" t="s">
        <v>48</v>
      </c>
      <c r="CD9" s="33"/>
      <c r="CE9" s="38" t="str">
        <f>Notes!U10</f>
        <v xml:space="preserve">               Agriculture</v>
      </c>
      <c r="CF9" s="4" t="s">
        <v>695</v>
      </c>
      <c r="CG9" s="46">
        <v>11.696603081738667</v>
      </c>
      <c r="CH9" s="47" t="s">
        <v>48</v>
      </c>
      <c r="CI9" s="48" t="s">
        <v>48</v>
      </c>
      <c r="CJ9" s="48" t="s">
        <v>48</v>
      </c>
      <c r="CK9" s="48" t="s">
        <v>48</v>
      </c>
      <c r="CL9" s="48" t="s">
        <v>48</v>
      </c>
      <c r="CM9" s="48" t="s">
        <v>48</v>
      </c>
      <c r="CN9" s="48" t="s">
        <v>48</v>
      </c>
      <c r="CO9" s="48" t="s">
        <v>48</v>
      </c>
      <c r="CP9" s="48" t="s">
        <v>48</v>
      </c>
      <c r="CQ9" s="48" t="s">
        <v>48</v>
      </c>
      <c r="CR9" s="48" t="s">
        <v>48</v>
      </c>
      <c r="CS9" s="48" t="s">
        <v>48</v>
      </c>
      <c r="CT9" s="48" t="s">
        <v>48</v>
      </c>
      <c r="CU9" s="48" t="s">
        <v>48</v>
      </c>
      <c r="CV9" s="48" t="s">
        <v>48</v>
      </c>
      <c r="CX9" s="33"/>
      <c r="CY9" s="38" t="str">
        <f>Notes!U10</f>
        <v xml:space="preserve">               Agriculture</v>
      </c>
      <c r="CZ9" s="4" t="s">
        <v>695</v>
      </c>
      <c r="DA9" s="46">
        <v>6.4039046672815392</v>
      </c>
      <c r="DB9" s="47" t="s">
        <v>48</v>
      </c>
      <c r="DC9" s="48" t="s">
        <v>48</v>
      </c>
      <c r="DD9" s="48" t="s">
        <v>48</v>
      </c>
      <c r="DE9" s="48" t="s">
        <v>48</v>
      </c>
      <c r="DF9" s="48" t="s">
        <v>48</v>
      </c>
      <c r="DG9" s="48" t="s">
        <v>48</v>
      </c>
      <c r="DH9" s="48" t="s">
        <v>48</v>
      </c>
      <c r="DI9" s="48" t="s">
        <v>48</v>
      </c>
      <c r="DJ9" s="48" t="s">
        <v>48</v>
      </c>
      <c r="DK9" s="48" t="s">
        <v>48</v>
      </c>
      <c r="DL9" s="48" t="s">
        <v>48</v>
      </c>
      <c r="DM9" s="48" t="s">
        <v>48</v>
      </c>
      <c r="DN9" s="48" t="s">
        <v>48</v>
      </c>
      <c r="DO9" s="48" t="s">
        <v>48</v>
      </c>
      <c r="DP9" s="48" t="s">
        <v>48</v>
      </c>
    </row>
    <row r="10" spans="1:120" x14ac:dyDescent="0.35">
      <c r="A10" s="12">
        <v>3</v>
      </c>
      <c r="B10" s="33"/>
      <c r="C10" s="38" t="str">
        <f>Notes!U11</f>
        <v xml:space="preserve">               Crops</v>
      </c>
      <c r="D10" s="4" t="s">
        <v>696</v>
      </c>
      <c r="E10" s="44">
        <v>8.9093683244379189</v>
      </c>
      <c r="F10" s="42" t="s">
        <v>48</v>
      </c>
      <c r="G10" s="40" t="s">
        <v>48</v>
      </c>
      <c r="H10" s="40" t="s">
        <v>48</v>
      </c>
      <c r="I10" s="40" t="s">
        <v>48</v>
      </c>
      <c r="J10" s="40" t="s">
        <v>48</v>
      </c>
      <c r="K10" s="40" t="s">
        <v>48</v>
      </c>
      <c r="L10" s="40" t="s">
        <v>48</v>
      </c>
      <c r="M10" s="40" t="s">
        <v>48</v>
      </c>
      <c r="N10" s="40" t="s">
        <v>48</v>
      </c>
      <c r="O10" s="40" t="s">
        <v>48</v>
      </c>
      <c r="P10" s="40" t="s">
        <v>48</v>
      </c>
      <c r="Q10" s="40" t="s">
        <v>48</v>
      </c>
      <c r="R10" s="40" t="s">
        <v>48</v>
      </c>
      <c r="S10" s="40" t="s">
        <v>48</v>
      </c>
      <c r="T10" s="40" t="s">
        <v>48</v>
      </c>
      <c r="V10" s="33"/>
      <c r="W10" s="38" t="str">
        <f>Notes!U11</f>
        <v xml:space="preserve">               Crops</v>
      </c>
      <c r="X10" s="4" t="s">
        <v>696</v>
      </c>
      <c r="Y10" s="44">
        <v>7.6660947893823721</v>
      </c>
      <c r="Z10" s="42" t="s">
        <v>48</v>
      </c>
      <c r="AA10" s="40" t="s">
        <v>48</v>
      </c>
      <c r="AB10" s="40" t="s">
        <v>48</v>
      </c>
      <c r="AC10" s="40" t="s">
        <v>48</v>
      </c>
      <c r="AD10" s="40" t="s">
        <v>48</v>
      </c>
      <c r="AE10" s="40" t="s">
        <v>48</v>
      </c>
      <c r="AF10" s="40" t="s">
        <v>48</v>
      </c>
      <c r="AG10" s="40" t="s">
        <v>48</v>
      </c>
      <c r="AH10" s="40" t="s">
        <v>48</v>
      </c>
      <c r="AI10" s="40" t="s">
        <v>48</v>
      </c>
      <c r="AJ10" s="40" t="s">
        <v>48</v>
      </c>
      <c r="AK10" s="40" t="s">
        <v>48</v>
      </c>
      <c r="AL10" s="40" t="s">
        <v>48</v>
      </c>
      <c r="AM10" s="40" t="s">
        <v>48</v>
      </c>
      <c r="AN10" s="40" t="s">
        <v>48</v>
      </c>
      <c r="AP10" s="33"/>
      <c r="AQ10" s="38" t="str">
        <f>Notes!U11</f>
        <v xml:space="preserve">               Crops</v>
      </c>
      <c r="AR10" s="4" t="s">
        <v>696</v>
      </c>
      <c r="AS10" s="44">
        <v>12.797618778408548</v>
      </c>
      <c r="AT10" s="42" t="s">
        <v>48</v>
      </c>
      <c r="AU10" s="40" t="s">
        <v>48</v>
      </c>
      <c r="AV10" s="40" t="s">
        <v>48</v>
      </c>
      <c r="AW10" s="40" t="s">
        <v>48</v>
      </c>
      <c r="AX10" s="40" t="s">
        <v>48</v>
      </c>
      <c r="AY10" s="40" t="s">
        <v>48</v>
      </c>
      <c r="AZ10" s="40" t="s">
        <v>48</v>
      </c>
      <c r="BA10" s="40" t="s">
        <v>48</v>
      </c>
      <c r="BB10" s="40" t="s">
        <v>48</v>
      </c>
      <c r="BC10" s="40" t="s">
        <v>48</v>
      </c>
      <c r="BD10" s="40" t="s">
        <v>48</v>
      </c>
      <c r="BE10" s="40" t="s">
        <v>48</v>
      </c>
      <c r="BF10" s="40" t="s">
        <v>48</v>
      </c>
      <c r="BG10" s="40" t="s">
        <v>48</v>
      </c>
      <c r="BH10" s="40" t="s">
        <v>48</v>
      </c>
      <c r="BJ10" s="33"/>
      <c r="BK10" s="38" t="str">
        <f>Notes!U11</f>
        <v xml:space="preserve">               Crops</v>
      </c>
      <c r="BL10" s="4" t="s">
        <v>696</v>
      </c>
      <c r="BM10" s="44">
        <v>5.0540494115580747</v>
      </c>
      <c r="BN10" s="42" t="s">
        <v>48</v>
      </c>
      <c r="BO10" s="40" t="s">
        <v>48</v>
      </c>
      <c r="BP10" s="40" t="s">
        <v>48</v>
      </c>
      <c r="BQ10" s="40" t="s">
        <v>48</v>
      </c>
      <c r="BR10" s="40" t="s">
        <v>48</v>
      </c>
      <c r="BS10" s="40" t="s">
        <v>48</v>
      </c>
      <c r="BT10" s="40" t="s">
        <v>48</v>
      </c>
      <c r="BU10" s="40" t="s">
        <v>48</v>
      </c>
      <c r="BV10" s="40" t="s">
        <v>48</v>
      </c>
      <c r="BW10" s="40" t="s">
        <v>48</v>
      </c>
      <c r="BX10" s="40" t="s">
        <v>48</v>
      </c>
      <c r="BY10" s="40" t="s">
        <v>48</v>
      </c>
      <c r="BZ10" s="40" t="s">
        <v>48</v>
      </c>
      <c r="CA10" s="40" t="s">
        <v>48</v>
      </c>
      <c r="CB10" s="40" t="s">
        <v>48</v>
      </c>
      <c r="CD10" s="33"/>
      <c r="CE10" s="38" t="str">
        <f>Notes!U11</f>
        <v xml:space="preserve">               Crops</v>
      </c>
      <c r="CF10" s="4" t="s">
        <v>696</v>
      </c>
      <c r="CG10" s="44">
        <v>11.429266130145423</v>
      </c>
      <c r="CH10" s="42" t="s">
        <v>48</v>
      </c>
      <c r="CI10" s="40" t="s">
        <v>48</v>
      </c>
      <c r="CJ10" s="40" t="s">
        <v>48</v>
      </c>
      <c r="CK10" s="40" t="s">
        <v>48</v>
      </c>
      <c r="CL10" s="40" t="s">
        <v>48</v>
      </c>
      <c r="CM10" s="40" t="s">
        <v>48</v>
      </c>
      <c r="CN10" s="40" t="s">
        <v>48</v>
      </c>
      <c r="CO10" s="40" t="s">
        <v>48</v>
      </c>
      <c r="CP10" s="40" t="s">
        <v>48</v>
      </c>
      <c r="CQ10" s="40" t="s">
        <v>48</v>
      </c>
      <c r="CR10" s="40" t="s">
        <v>48</v>
      </c>
      <c r="CS10" s="40" t="s">
        <v>48</v>
      </c>
      <c r="CT10" s="40" t="s">
        <v>48</v>
      </c>
      <c r="CU10" s="40" t="s">
        <v>48</v>
      </c>
      <c r="CV10" s="40" t="s">
        <v>48</v>
      </c>
      <c r="CX10" s="33"/>
      <c r="CY10" s="38" t="str">
        <f>Notes!U11</f>
        <v xml:space="preserve">               Crops</v>
      </c>
      <c r="CZ10" s="4" t="s">
        <v>696</v>
      </c>
      <c r="DA10" s="44">
        <v>6.3426825483608908</v>
      </c>
      <c r="DB10" s="42" t="s">
        <v>48</v>
      </c>
      <c r="DC10" s="40" t="s">
        <v>48</v>
      </c>
      <c r="DD10" s="40" t="s">
        <v>48</v>
      </c>
      <c r="DE10" s="40" t="s">
        <v>48</v>
      </c>
      <c r="DF10" s="40" t="s">
        <v>48</v>
      </c>
      <c r="DG10" s="40" t="s">
        <v>48</v>
      </c>
      <c r="DH10" s="40" t="s">
        <v>48</v>
      </c>
      <c r="DI10" s="40" t="s">
        <v>48</v>
      </c>
      <c r="DJ10" s="40" t="s">
        <v>48</v>
      </c>
      <c r="DK10" s="40" t="s">
        <v>48</v>
      </c>
      <c r="DL10" s="40" t="s">
        <v>48</v>
      </c>
      <c r="DM10" s="40" t="s">
        <v>48</v>
      </c>
      <c r="DN10" s="40" t="s">
        <v>48</v>
      </c>
      <c r="DO10" s="40" t="s">
        <v>48</v>
      </c>
      <c r="DP10" s="40" t="s">
        <v>48</v>
      </c>
    </row>
    <row r="11" spans="1:120" x14ac:dyDescent="0.35">
      <c r="A11" s="12">
        <v>4</v>
      </c>
      <c r="B11" s="33"/>
      <c r="C11" s="38" t="str">
        <f>Notes!U12</f>
        <v xml:space="preserve">               Maize</v>
      </c>
      <c r="D11" s="4" t="s">
        <v>466</v>
      </c>
      <c r="E11" s="44">
        <v>7.4582498475162646</v>
      </c>
      <c r="F11" s="42" t="s">
        <v>48</v>
      </c>
      <c r="G11" s="40" t="s">
        <v>48</v>
      </c>
      <c r="H11" s="40" t="s">
        <v>48</v>
      </c>
      <c r="I11" s="40" t="s">
        <v>48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48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V11" s="33"/>
      <c r="W11" s="38" t="str">
        <f>Notes!U12</f>
        <v xml:space="preserve">               Maize</v>
      </c>
      <c r="X11" s="4" t="s">
        <v>466</v>
      </c>
      <c r="Y11" s="44">
        <v>7.0886405008836819</v>
      </c>
      <c r="Z11" s="42" t="s">
        <v>48</v>
      </c>
      <c r="AA11" s="40" t="s">
        <v>48</v>
      </c>
      <c r="AB11" s="40" t="s">
        <v>48</v>
      </c>
      <c r="AC11" s="40" t="s">
        <v>48</v>
      </c>
      <c r="AD11" s="40" t="s">
        <v>48</v>
      </c>
      <c r="AE11" s="40" t="s">
        <v>48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40" t="s">
        <v>48</v>
      </c>
      <c r="AK11" s="40" t="s">
        <v>48</v>
      </c>
      <c r="AL11" s="40" t="s">
        <v>48</v>
      </c>
      <c r="AM11" s="40" t="s">
        <v>48</v>
      </c>
      <c r="AN11" s="40" t="s">
        <v>48</v>
      </c>
      <c r="AP11" s="33"/>
      <c r="AQ11" s="38" t="str">
        <f>Notes!U12</f>
        <v xml:space="preserve">               Maize</v>
      </c>
      <c r="AR11" s="4" t="s">
        <v>466</v>
      </c>
      <c r="AS11" s="44">
        <v>4.119794336237435</v>
      </c>
      <c r="AT11" s="42" t="s">
        <v>48</v>
      </c>
      <c r="AU11" s="40" t="s">
        <v>48</v>
      </c>
      <c r="AV11" s="40" t="s">
        <v>48</v>
      </c>
      <c r="AW11" s="40" t="s">
        <v>48</v>
      </c>
      <c r="AX11" s="40" t="s">
        <v>48</v>
      </c>
      <c r="AY11" s="40" t="s">
        <v>48</v>
      </c>
      <c r="AZ11" s="40" t="s">
        <v>48</v>
      </c>
      <c r="BA11" s="40" t="s">
        <v>48</v>
      </c>
      <c r="BB11" s="40" t="s">
        <v>48</v>
      </c>
      <c r="BC11" s="40" t="s">
        <v>48</v>
      </c>
      <c r="BD11" s="40" t="s">
        <v>48</v>
      </c>
      <c r="BE11" s="40" t="s">
        <v>48</v>
      </c>
      <c r="BF11" s="40" t="s">
        <v>48</v>
      </c>
      <c r="BG11" s="40" t="s">
        <v>48</v>
      </c>
      <c r="BH11" s="40" t="s">
        <v>48</v>
      </c>
      <c r="BJ11" s="33"/>
      <c r="BK11" s="38" t="str">
        <f>Notes!U12</f>
        <v xml:space="preserve">               Maize</v>
      </c>
      <c r="BL11" s="4" t="s">
        <v>466</v>
      </c>
      <c r="BM11" s="44">
        <v>4.9871865355280276</v>
      </c>
      <c r="BN11" s="42" t="s">
        <v>48</v>
      </c>
      <c r="BO11" s="40" t="s">
        <v>48</v>
      </c>
      <c r="BP11" s="40" t="s">
        <v>48</v>
      </c>
      <c r="BQ11" s="40" t="s">
        <v>48</v>
      </c>
      <c r="BR11" s="40" t="s">
        <v>48</v>
      </c>
      <c r="BS11" s="40" t="s">
        <v>48</v>
      </c>
      <c r="BT11" s="40" t="s">
        <v>48</v>
      </c>
      <c r="BU11" s="40" t="s">
        <v>48</v>
      </c>
      <c r="BV11" s="40" t="s">
        <v>48</v>
      </c>
      <c r="BW11" s="40" t="s">
        <v>48</v>
      </c>
      <c r="BX11" s="40" t="s">
        <v>48</v>
      </c>
      <c r="BY11" s="40" t="s">
        <v>48</v>
      </c>
      <c r="BZ11" s="40" t="s">
        <v>48</v>
      </c>
      <c r="CA11" s="40" t="s">
        <v>48</v>
      </c>
      <c r="CB11" s="40" t="s">
        <v>48</v>
      </c>
      <c r="CD11" s="33"/>
      <c r="CE11" s="38" t="str">
        <f>Notes!U12</f>
        <v xml:space="preserve">               Maize</v>
      </c>
      <c r="CF11" s="4" t="s">
        <v>466</v>
      </c>
      <c r="CG11" s="44">
        <v>3.8150325490222849</v>
      </c>
      <c r="CH11" s="42" t="s">
        <v>48</v>
      </c>
      <c r="CI11" s="40" t="s">
        <v>48</v>
      </c>
      <c r="CJ11" s="40" t="s">
        <v>48</v>
      </c>
      <c r="CK11" s="40" t="s">
        <v>48</v>
      </c>
      <c r="CL11" s="40" t="s">
        <v>48</v>
      </c>
      <c r="CM11" s="40" t="s">
        <v>48</v>
      </c>
      <c r="CN11" s="40" t="s">
        <v>48</v>
      </c>
      <c r="CO11" s="40" t="s">
        <v>48</v>
      </c>
      <c r="CP11" s="40" t="s">
        <v>48</v>
      </c>
      <c r="CQ11" s="40" t="s">
        <v>48</v>
      </c>
      <c r="CR11" s="40" t="s">
        <v>48</v>
      </c>
      <c r="CS11" s="40" t="s">
        <v>48</v>
      </c>
      <c r="CT11" s="40" t="s">
        <v>48</v>
      </c>
      <c r="CU11" s="40" t="s">
        <v>48</v>
      </c>
      <c r="CV11" s="40" t="s">
        <v>48</v>
      </c>
      <c r="CX11" s="33"/>
      <c r="CY11" s="38" t="str">
        <f>Notes!U12</f>
        <v xml:space="preserve">               Maize</v>
      </c>
      <c r="CZ11" s="4" t="s">
        <v>466</v>
      </c>
      <c r="DA11" s="44">
        <v>6.2575572221643547</v>
      </c>
      <c r="DB11" s="42" t="s">
        <v>48</v>
      </c>
      <c r="DC11" s="40" t="s">
        <v>48</v>
      </c>
      <c r="DD11" s="40" t="s">
        <v>48</v>
      </c>
      <c r="DE11" s="40" t="s">
        <v>48</v>
      </c>
      <c r="DF11" s="40" t="s">
        <v>48</v>
      </c>
      <c r="DG11" s="40" t="s">
        <v>48</v>
      </c>
      <c r="DH11" s="40" t="s">
        <v>48</v>
      </c>
      <c r="DI11" s="40" t="s">
        <v>48</v>
      </c>
      <c r="DJ11" s="40" t="s">
        <v>48</v>
      </c>
      <c r="DK11" s="40" t="s">
        <v>48</v>
      </c>
      <c r="DL11" s="40" t="s">
        <v>48</v>
      </c>
      <c r="DM11" s="40" t="s">
        <v>48</v>
      </c>
      <c r="DN11" s="40" t="s">
        <v>48</v>
      </c>
      <c r="DO11" s="40" t="s">
        <v>48</v>
      </c>
      <c r="DP11" s="40" t="s">
        <v>48</v>
      </c>
    </row>
    <row r="12" spans="1:120" x14ac:dyDescent="0.35">
      <c r="A12" s="12">
        <v>5</v>
      </c>
      <c r="B12" s="33"/>
      <c r="C12" s="38" t="str">
        <f>Notes!U13</f>
        <v xml:space="preserve">               Sorghum and millet</v>
      </c>
      <c r="D12" s="4" t="s">
        <v>314</v>
      </c>
      <c r="E12" s="44">
        <v>1.4511184769216552</v>
      </c>
      <c r="F12" s="42" t="s">
        <v>48</v>
      </c>
      <c r="G12" s="40" t="s">
        <v>48</v>
      </c>
      <c r="H12" s="40" t="s">
        <v>48</v>
      </c>
      <c r="I12" s="40" t="s">
        <v>48</v>
      </c>
      <c r="J12" s="40" t="s">
        <v>48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V12" s="33"/>
      <c r="W12" s="38" t="str">
        <f>Notes!U13</f>
        <v xml:space="preserve">               Sorghum and millet</v>
      </c>
      <c r="X12" s="4" t="s">
        <v>314</v>
      </c>
      <c r="Y12" s="44">
        <v>0.57745428849869107</v>
      </c>
      <c r="Z12" s="42" t="s">
        <v>48</v>
      </c>
      <c r="AA12" s="40" t="s">
        <v>48</v>
      </c>
      <c r="AB12" s="40" t="s">
        <v>48</v>
      </c>
      <c r="AC12" s="40" t="s">
        <v>48</v>
      </c>
      <c r="AD12" s="40" t="s">
        <v>48</v>
      </c>
      <c r="AE12" s="40" t="s">
        <v>48</v>
      </c>
      <c r="AF12" s="40" t="s">
        <v>48</v>
      </c>
      <c r="AG12" s="40" t="s">
        <v>48</v>
      </c>
      <c r="AH12" s="40" t="s">
        <v>48</v>
      </c>
      <c r="AI12" s="40" t="s">
        <v>48</v>
      </c>
      <c r="AJ12" s="40" t="s">
        <v>48</v>
      </c>
      <c r="AK12" s="40" t="s">
        <v>48</v>
      </c>
      <c r="AL12" s="40" t="s">
        <v>48</v>
      </c>
      <c r="AM12" s="40" t="s">
        <v>48</v>
      </c>
      <c r="AN12" s="40" t="s">
        <v>48</v>
      </c>
      <c r="AP12" s="33"/>
      <c r="AQ12" s="38" t="str">
        <f>Notes!U13</f>
        <v xml:space="preserve">               Sorghum and millet</v>
      </c>
      <c r="AR12" s="4" t="s">
        <v>314</v>
      </c>
      <c r="AS12" s="44">
        <v>8.6778244421711133</v>
      </c>
      <c r="AT12" s="42" t="s">
        <v>48</v>
      </c>
      <c r="AU12" s="40" t="s">
        <v>48</v>
      </c>
      <c r="AV12" s="40" t="s">
        <v>48</v>
      </c>
      <c r="AW12" s="40" t="s">
        <v>48</v>
      </c>
      <c r="AX12" s="40" t="s">
        <v>48</v>
      </c>
      <c r="AY12" s="40" t="s">
        <v>48</v>
      </c>
      <c r="AZ12" s="40" t="s">
        <v>48</v>
      </c>
      <c r="BA12" s="40" t="s">
        <v>48</v>
      </c>
      <c r="BB12" s="40" t="s">
        <v>48</v>
      </c>
      <c r="BC12" s="40" t="s">
        <v>48</v>
      </c>
      <c r="BD12" s="40" t="s">
        <v>48</v>
      </c>
      <c r="BE12" s="40" t="s">
        <v>48</v>
      </c>
      <c r="BF12" s="40" t="s">
        <v>48</v>
      </c>
      <c r="BG12" s="40" t="s">
        <v>48</v>
      </c>
      <c r="BH12" s="40" t="s">
        <v>48</v>
      </c>
      <c r="BJ12" s="33"/>
      <c r="BK12" s="38" t="str">
        <f>Notes!U13</f>
        <v xml:space="preserve">               Sorghum and millet</v>
      </c>
      <c r="BL12" s="4" t="s">
        <v>314</v>
      </c>
      <c r="BM12" s="44">
        <v>6.6862876030047341E-2</v>
      </c>
      <c r="BN12" s="42" t="s">
        <v>48</v>
      </c>
      <c r="BO12" s="40" t="s">
        <v>48</v>
      </c>
      <c r="BP12" s="40" t="s">
        <v>48</v>
      </c>
      <c r="BQ12" s="40" t="s">
        <v>48</v>
      </c>
      <c r="BR12" s="40" t="s">
        <v>48</v>
      </c>
      <c r="BS12" s="40" t="s">
        <v>48</v>
      </c>
      <c r="BT12" s="40" t="s">
        <v>48</v>
      </c>
      <c r="BU12" s="40" t="s">
        <v>48</v>
      </c>
      <c r="BV12" s="40" t="s">
        <v>48</v>
      </c>
      <c r="BW12" s="40" t="s">
        <v>48</v>
      </c>
      <c r="BX12" s="40" t="s">
        <v>48</v>
      </c>
      <c r="BY12" s="40" t="s">
        <v>48</v>
      </c>
      <c r="BZ12" s="40" t="s">
        <v>48</v>
      </c>
      <c r="CA12" s="40" t="s">
        <v>48</v>
      </c>
      <c r="CB12" s="40" t="s">
        <v>48</v>
      </c>
      <c r="CD12" s="33"/>
      <c r="CE12" s="38" t="str">
        <f>Notes!U13</f>
        <v xml:space="preserve">               Sorghum and millet</v>
      </c>
      <c r="CF12" s="4" t="s">
        <v>314</v>
      </c>
      <c r="CG12" s="44">
        <v>7.6142335811231394</v>
      </c>
      <c r="CH12" s="42" t="s">
        <v>48</v>
      </c>
      <c r="CI12" s="40" t="s">
        <v>48</v>
      </c>
      <c r="CJ12" s="40" t="s">
        <v>48</v>
      </c>
      <c r="CK12" s="40" t="s">
        <v>48</v>
      </c>
      <c r="CL12" s="40" t="s">
        <v>48</v>
      </c>
      <c r="CM12" s="40" t="s">
        <v>48</v>
      </c>
      <c r="CN12" s="40" t="s">
        <v>48</v>
      </c>
      <c r="CO12" s="40" t="s">
        <v>48</v>
      </c>
      <c r="CP12" s="40" t="s">
        <v>48</v>
      </c>
      <c r="CQ12" s="40" t="s">
        <v>48</v>
      </c>
      <c r="CR12" s="40" t="s">
        <v>48</v>
      </c>
      <c r="CS12" s="40" t="s">
        <v>48</v>
      </c>
      <c r="CT12" s="40" t="s">
        <v>48</v>
      </c>
      <c r="CU12" s="40" t="s">
        <v>48</v>
      </c>
      <c r="CV12" s="40" t="s">
        <v>48</v>
      </c>
      <c r="CX12" s="33"/>
      <c r="CY12" s="38" t="str">
        <f>Notes!U13</f>
        <v xml:space="preserve">               Sorghum and millet</v>
      </c>
      <c r="CZ12" s="4" t="s">
        <v>314</v>
      </c>
      <c r="DA12" s="44">
        <v>8.5125326196536025E-2</v>
      </c>
      <c r="DB12" s="42" t="s">
        <v>48</v>
      </c>
      <c r="DC12" s="40" t="s">
        <v>48</v>
      </c>
      <c r="DD12" s="40" t="s">
        <v>48</v>
      </c>
      <c r="DE12" s="40" t="s">
        <v>48</v>
      </c>
      <c r="DF12" s="40" t="s">
        <v>48</v>
      </c>
      <c r="DG12" s="40" t="s">
        <v>48</v>
      </c>
      <c r="DH12" s="40" t="s">
        <v>48</v>
      </c>
      <c r="DI12" s="40" t="s">
        <v>48</v>
      </c>
      <c r="DJ12" s="40" t="s">
        <v>48</v>
      </c>
      <c r="DK12" s="40" t="s">
        <v>48</v>
      </c>
      <c r="DL12" s="40" t="s">
        <v>48</v>
      </c>
      <c r="DM12" s="40" t="s">
        <v>48</v>
      </c>
      <c r="DN12" s="40" t="s">
        <v>48</v>
      </c>
      <c r="DO12" s="40" t="s">
        <v>48</v>
      </c>
      <c r="DP12" s="40" t="s">
        <v>48</v>
      </c>
    </row>
    <row r="13" spans="1:120" x14ac:dyDescent="0.35">
      <c r="A13" s="12">
        <v>6</v>
      </c>
      <c r="B13" s="33"/>
      <c r="C13" s="38" t="str">
        <f>Notes!U14</f>
        <v xml:space="preserve">               Rice paddy (Aman)</v>
      </c>
      <c r="D13" s="4" t="s">
        <v>468</v>
      </c>
      <c r="E13" s="44">
        <v>0.42992576023363865</v>
      </c>
      <c r="F13" s="42" t="s">
        <v>48</v>
      </c>
      <c r="G13" s="40" t="s">
        <v>48</v>
      </c>
      <c r="H13" s="40" t="s">
        <v>48</v>
      </c>
      <c r="I13" s="40" t="s">
        <v>48</v>
      </c>
      <c r="J13" s="40" t="s">
        <v>48</v>
      </c>
      <c r="K13" s="40" t="s">
        <v>48</v>
      </c>
      <c r="L13" s="40" t="s">
        <v>48</v>
      </c>
      <c r="M13" s="40" t="s">
        <v>48</v>
      </c>
      <c r="N13" s="40" t="s">
        <v>48</v>
      </c>
      <c r="O13" s="40" t="s">
        <v>48</v>
      </c>
      <c r="P13" s="40" t="s">
        <v>48</v>
      </c>
      <c r="Q13" s="40" t="s">
        <v>48</v>
      </c>
      <c r="R13" s="40" t="s">
        <v>48</v>
      </c>
      <c r="S13" s="40" t="s">
        <v>48</v>
      </c>
      <c r="T13" s="40" t="s">
        <v>48</v>
      </c>
      <c r="V13" s="33"/>
      <c r="W13" s="38" t="str">
        <f>Notes!U14</f>
        <v xml:space="preserve">               Rice paddy (Aman)</v>
      </c>
      <c r="X13" s="4" t="s">
        <v>468</v>
      </c>
      <c r="Y13" s="44">
        <v>0.33594636551934359</v>
      </c>
      <c r="Z13" s="42" t="s">
        <v>48</v>
      </c>
      <c r="AA13" s="40" t="s">
        <v>48</v>
      </c>
      <c r="AB13" s="40" t="s">
        <v>48</v>
      </c>
      <c r="AC13" s="40" t="s">
        <v>48</v>
      </c>
      <c r="AD13" s="40" t="s">
        <v>48</v>
      </c>
      <c r="AE13" s="40" t="s">
        <v>48</v>
      </c>
      <c r="AF13" s="40" t="s">
        <v>48</v>
      </c>
      <c r="AG13" s="40" t="s">
        <v>48</v>
      </c>
      <c r="AH13" s="40" t="s">
        <v>48</v>
      </c>
      <c r="AI13" s="40" t="s">
        <v>48</v>
      </c>
      <c r="AJ13" s="40" t="s">
        <v>48</v>
      </c>
      <c r="AK13" s="40" t="s">
        <v>48</v>
      </c>
      <c r="AL13" s="40" t="s">
        <v>48</v>
      </c>
      <c r="AM13" s="40" t="s">
        <v>48</v>
      </c>
      <c r="AN13" s="40" t="s">
        <v>48</v>
      </c>
      <c r="AP13" s="33"/>
      <c r="AQ13" s="38" t="str">
        <f>Notes!U14</f>
        <v xml:space="preserve">               Rice paddy (Aman)</v>
      </c>
      <c r="AR13" s="4" t="s">
        <v>468</v>
      </c>
      <c r="AS13" s="44">
        <v>0.17476104445204874</v>
      </c>
      <c r="AT13" s="42" t="s">
        <v>48</v>
      </c>
      <c r="AU13" s="40" t="s">
        <v>48</v>
      </c>
      <c r="AV13" s="40" t="s">
        <v>48</v>
      </c>
      <c r="AW13" s="40" t="s">
        <v>48</v>
      </c>
      <c r="AX13" s="40" t="s">
        <v>48</v>
      </c>
      <c r="AY13" s="40" t="s">
        <v>48</v>
      </c>
      <c r="AZ13" s="40" t="s">
        <v>48</v>
      </c>
      <c r="BA13" s="40" t="s">
        <v>48</v>
      </c>
      <c r="BB13" s="40" t="s">
        <v>48</v>
      </c>
      <c r="BC13" s="40" t="s">
        <v>48</v>
      </c>
      <c r="BD13" s="40" t="s">
        <v>48</v>
      </c>
      <c r="BE13" s="40" t="s">
        <v>48</v>
      </c>
      <c r="BF13" s="40" t="s">
        <v>48</v>
      </c>
      <c r="BG13" s="40" t="s">
        <v>48</v>
      </c>
      <c r="BH13" s="40" t="s">
        <v>48</v>
      </c>
      <c r="BJ13" s="33"/>
      <c r="BK13" s="38" t="str">
        <f>Notes!U14</f>
        <v xml:space="preserve">               Rice paddy (Aman)</v>
      </c>
      <c r="BL13" s="4" t="s">
        <v>468</v>
      </c>
      <c r="BM13" s="44">
        <v>3.8025760175384581E-2</v>
      </c>
      <c r="BN13" s="42" t="s">
        <v>48</v>
      </c>
      <c r="BO13" s="40" t="s">
        <v>48</v>
      </c>
      <c r="BP13" s="40" t="s">
        <v>48</v>
      </c>
      <c r="BQ13" s="40" t="s">
        <v>48</v>
      </c>
      <c r="BR13" s="40" t="s">
        <v>48</v>
      </c>
      <c r="BS13" s="40" t="s">
        <v>48</v>
      </c>
      <c r="BT13" s="40" t="s">
        <v>48</v>
      </c>
      <c r="BU13" s="40" t="s">
        <v>48</v>
      </c>
      <c r="BV13" s="40" t="s">
        <v>48</v>
      </c>
      <c r="BW13" s="40" t="s">
        <v>48</v>
      </c>
      <c r="BX13" s="40" t="s">
        <v>48</v>
      </c>
      <c r="BY13" s="40" t="s">
        <v>48</v>
      </c>
      <c r="BZ13" s="40" t="s">
        <v>48</v>
      </c>
      <c r="CA13" s="40" t="s">
        <v>48</v>
      </c>
      <c r="CB13" s="40" t="s">
        <v>48</v>
      </c>
      <c r="CD13" s="33"/>
      <c r="CE13" s="38" t="str">
        <f>Notes!U14</f>
        <v xml:space="preserve">               Rice paddy (Aman)</v>
      </c>
      <c r="CF13" s="4" t="s">
        <v>468</v>
      </c>
      <c r="CG13" s="44">
        <v>0.15421335525016147</v>
      </c>
      <c r="CH13" s="42" t="s">
        <v>48</v>
      </c>
      <c r="CI13" s="40" t="s">
        <v>48</v>
      </c>
      <c r="CJ13" s="40" t="s">
        <v>48</v>
      </c>
      <c r="CK13" s="40" t="s">
        <v>48</v>
      </c>
      <c r="CL13" s="40" t="s">
        <v>48</v>
      </c>
      <c r="CM13" s="40" t="s">
        <v>48</v>
      </c>
      <c r="CN13" s="40" t="s">
        <v>48</v>
      </c>
      <c r="CO13" s="40" t="s">
        <v>48</v>
      </c>
      <c r="CP13" s="40" t="s">
        <v>48</v>
      </c>
      <c r="CQ13" s="40" t="s">
        <v>48</v>
      </c>
      <c r="CR13" s="40" t="s">
        <v>48</v>
      </c>
      <c r="CS13" s="40" t="s">
        <v>48</v>
      </c>
      <c r="CT13" s="40" t="s">
        <v>48</v>
      </c>
      <c r="CU13" s="40" t="s">
        <v>48</v>
      </c>
      <c r="CV13" s="40" t="s">
        <v>48</v>
      </c>
      <c r="CX13" s="33"/>
      <c r="CY13" s="38" t="str">
        <f>Notes!U14</f>
        <v xml:space="preserve">               Rice paddy (Aman)</v>
      </c>
      <c r="CZ13" s="4" t="s">
        <v>468</v>
      </c>
      <c r="DA13" s="44">
        <v>4.8500045887116719E-2</v>
      </c>
      <c r="DB13" s="42" t="s">
        <v>48</v>
      </c>
      <c r="DC13" s="40" t="s">
        <v>48</v>
      </c>
      <c r="DD13" s="40" t="s">
        <v>48</v>
      </c>
      <c r="DE13" s="40" t="s">
        <v>48</v>
      </c>
      <c r="DF13" s="40" t="s">
        <v>48</v>
      </c>
      <c r="DG13" s="40" t="s">
        <v>48</v>
      </c>
      <c r="DH13" s="40" t="s">
        <v>48</v>
      </c>
      <c r="DI13" s="40" t="s">
        <v>48</v>
      </c>
      <c r="DJ13" s="40" t="s">
        <v>48</v>
      </c>
      <c r="DK13" s="40" t="s">
        <v>48</v>
      </c>
      <c r="DL13" s="40" t="s">
        <v>48</v>
      </c>
      <c r="DM13" s="40" t="s">
        <v>48</v>
      </c>
      <c r="DN13" s="40" t="s">
        <v>48</v>
      </c>
      <c r="DO13" s="40" t="s">
        <v>48</v>
      </c>
      <c r="DP13" s="40" t="s">
        <v>48</v>
      </c>
    </row>
    <row r="14" spans="1:120" x14ac:dyDescent="0.35">
      <c r="A14" s="12">
        <v>7</v>
      </c>
      <c r="B14" s="33"/>
      <c r="C14" s="38" t="str">
        <f>Notes!U15</f>
        <v xml:space="preserve">               Rice paddy (Boro)</v>
      </c>
      <c r="D14" s="4" t="s">
        <v>697</v>
      </c>
      <c r="E14" s="44">
        <v>0.79970024074755752</v>
      </c>
      <c r="F14" s="42" t="s">
        <v>48</v>
      </c>
      <c r="G14" s="40" t="s">
        <v>48</v>
      </c>
      <c r="H14" s="40" t="s">
        <v>48</v>
      </c>
      <c r="I14" s="40" t="s">
        <v>48</v>
      </c>
      <c r="J14" s="40" t="s">
        <v>48</v>
      </c>
      <c r="K14" s="40" t="s">
        <v>48</v>
      </c>
      <c r="L14" s="40" t="s">
        <v>48</v>
      </c>
      <c r="M14" s="40" t="s">
        <v>48</v>
      </c>
      <c r="N14" s="40" t="s">
        <v>48</v>
      </c>
      <c r="O14" s="40" t="s">
        <v>48</v>
      </c>
      <c r="P14" s="40" t="s">
        <v>48</v>
      </c>
      <c r="Q14" s="40" t="s">
        <v>48</v>
      </c>
      <c r="R14" s="40" t="s">
        <v>48</v>
      </c>
      <c r="S14" s="40" t="s">
        <v>48</v>
      </c>
      <c r="T14" s="40" t="s">
        <v>48</v>
      </c>
      <c r="V14" s="33"/>
      <c r="W14" s="38" t="str">
        <f>Notes!U15</f>
        <v xml:space="preserve">               Rice paddy (Boro)</v>
      </c>
      <c r="X14" s="4" t="s">
        <v>697</v>
      </c>
      <c r="Y14" s="44">
        <v>0.7604529758216807</v>
      </c>
      <c r="Z14" s="42" t="s">
        <v>48</v>
      </c>
      <c r="AA14" s="40" t="s">
        <v>48</v>
      </c>
      <c r="AB14" s="40" t="s">
        <v>48</v>
      </c>
      <c r="AC14" s="40" t="s">
        <v>48</v>
      </c>
      <c r="AD14" s="40" t="s">
        <v>48</v>
      </c>
      <c r="AE14" s="40" t="s">
        <v>48</v>
      </c>
      <c r="AF14" s="40" t="s">
        <v>48</v>
      </c>
      <c r="AG14" s="40" t="s">
        <v>48</v>
      </c>
      <c r="AH14" s="40" t="s">
        <v>48</v>
      </c>
      <c r="AI14" s="40" t="s">
        <v>48</v>
      </c>
      <c r="AJ14" s="40" t="s">
        <v>48</v>
      </c>
      <c r="AK14" s="40" t="s">
        <v>48</v>
      </c>
      <c r="AL14" s="40" t="s">
        <v>48</v>
      </c>
      <c r="AM14" s="40" t="s">
        <v>48</v>
      </c>
      <c r="AN14" s="40" t="s">
        <v>48</v>
      </c>
      <c r="AP14" s="33"/>
      <c r="AQ14" s="38" t="str">
        <f>Notes!U15</f>
        <v xml:space="preserve">               Rice paddy (Boro)</v>
      </c>
      <c r="AR14" s="4" t="s">
        <v>697</v>
      </c>
      <c r="AS14" s="44">
        <v>1.0440070266781261</v>
      </c>
      <c r="AT14" s="42" t="s">
        <v>48</v>
      </c>
      <c r="AU14" s="40" t="s">
        <v>48</v>
      </c>
      <c r="AV14" s="40" t="s">
        <v>48</v>
      </c>
      <c r="AW14" s="40" t="s">
        <v>48</v>
      </c>
      <c r="AX14" s="40" t="s">
        <v>48</v>
      </c>
      <c r="AY14" s="40" t="s">
        <v>48</v>
      </c>
      <c r="AZ14" s="40" t="s">
        <v>48</v>
      </c>
      <c r="BA14" s="40" t="s">
        <v>48</v>
      </c>
      <c r="BB14" s="40" t="s">
        <v>48</v>
      </c>
      <c r="BC14" s="40" t="s">
        <v>48</v>
      </c>
      <c r="BD14" s="40" t="s">
        <v>48</v>
      </c>
      <c r="BE14" s="40" t="s">
        <v>48</v>
      </c>
      <c r="BF14" s="40" t="s">
        <v>48</v>
      </c>
      <c r="BG14" s="40" t="s">
        <v>48</v>
      </c>
      <c r="BH14" s="40" t="s">
        <v>48</v>
      </c>
      <c r="BJ14" s="33"/>
      <c r="BK14" s="38" t="str">
        <f>Notes!U15</f>
        <v xml:space="preserve">               Rice paddy (Boro)</v>
      </c>
      <c r="BL14" s="4" t="s">
        <v>697</v>
      </c>
      <c r="BM14" s="44">
        <v>0.92322444230997602</v>
      </c>
      <c r="BN14" s="42" t="s">
        <v>48</v>
      </c>
      <c r="BO14" s="40" t="s">
        <v>48</v>
      </c>
      <c r="BP14" s="40" t="s">
        <v>48</v>
      </c>
      <c r="BQ14" s="40" t="s">
        <v>48</v>
      </c>
      <c r="BR14" s="40" t="s">
        <v>48</v>
      </c>
      <c r="BS14" s="40" t="s">
        <v>48</v>
      </c>
      <c r="BT14" s="40" t="s">
        <v>48</v>
      </c>
      <c r="BU14" s="40" t="s">
        <v>48</v>
      </c>
      <c r="BV14" s="40" t="s">
        <v>48</v>
      </c>
      <c r="BW14" s="40" t="s">
        <v>48</v>
      </c>
      <c r="BX14" s="40" t="s">
        <v>48</v>
      </c>
      <c r="BY14" s="40" t="s">
        <v>48</v>
      </c>
      <c r="BZ14" s="40" t="s">
        <v>48</v>
      </c>
      <c r="CA14" s="40" t="s">
        <v>48</v>
      </c>
      <c r="CB14" s="40" t="s">
        <v>48</v>
      </c>
      <c r="CD14" s="33"/>
      <c r="CE14" s="38" t="str">
        <f>Notes!U15</f>
        <v xml:space="preserve">               Rice paddy (Boro)</v>
      </c>
      <c r="CF14" s="4" t="s">
        <v>697</v>
      </c>
      <c r="CG14" s="44">
        <v>0.92053372958724522</v>
      </c>
      <c r="CH14" s="42" t="s">
        <v>48</v>
      </c>
      <c r="CI14" s="40" t="s">
        <v>48</v>
      </c>
      <c r="CJ14" s="40" t="s">
        <v>48</v>
      </c>
      <c r="CK14" s="40" t="s">
        <v>48</v>
      </c>
      <c r="CL14" s="40" t="s">
        <v>48</v>
      </c>
      <c r="CM14" s="40" t="s">
        <v>48</v>
      </c>
      <c r="CN14" s="40" t="s">
        <v>48</v>
      </c>
      <c r="CO14" s="40" t="s">
        <v>48</v>
      </c>
      <c r="CP14" s="40" t="s">
        <v>48</v>
      </c>
      <c r="CQ14" s="40" t="s">
        <v>48</v>
      </c>
      <c r="CR14" s="40" t="s">
        <v>48</v>
      </c>
      <c r="CS14" s="40" t="s">
        <v>48</v>
      </c>
      <c r="CT14" s="40" t="s">
        <v>48</v>
      </c>
      <c r="CU14" s="40" t="s">
        <v>48</v>
      </c>
      <c r="CV14" s="40" t="s">
        <v>48</v>
      </c>
      <c r="CX14" s="33"/>
      <c r="CY14" s="38" t="str">
        <f>Notes!U15</f>
        <v xml:space="preserve">               Rice paddy (Boro)</v>
      </c>
      <c r="CZ14" s="4" t="s">
        <v>697</v>
      </c>
      <c r="DA14" s="44">
        <v>1.1784539290246006</v>
      </c>
      <c r="DB14" s="42" t="s">
        <v>48</v>
      </c>
      <c r="DC14" s="40" t="s">
        <v>48</v>
      </c>
      <c r="DD14" s="40" t="s">
        <v>48</v>
      </c>
      <c r="DE14" s="40" t="s">
        <v>48</v>
      </c>
      <c r="DF14" s="40" t="s">
        <v>48</v>
      </c>
      <c r="DG14" s="40" t="s">
        <v>48</v>
      </c>
      <c r="DH14" s="40" t="s">
        <v>48</v>
      </c>
      <c r="DI14" s="40" t="s">
        <v>48</v>
      </c>
      <c r="DJ14" s="40" t="s">
        <v>48</v>
      </c>
      <c r="DK14" s="40" t="s">
        <v>48</v>
      </c>
      <c r="DL14" s="40" t="s">
        <v>48</v>
      </c>
      <c r="DM14" s="40" t="s">
        <v>48</v>
      </c>
      <c r="DN14" s="40" t="s">
        <v>48</v>
      </c>
      <c r="DO14" s="40" t="s">
        <v>48</v>
      </c>
      <c r="DP14" s="40" t="s">
        <v>48</v>
      </c>
    </row>
    <row r="15" spans="1:120" x14ac:dyDescent="0.35">
      <c r="A15" s="12">
        <v>8</v>
      </c>
      <c r="B15" s="33"/>
      <c r="C15" s="38" t="str">
        <f>Notes!U16</f>
        <v xml:space="preserve">               Wheat and barley</v>
      </c>
      <c r="D15" s="4" t="s">
        <v>316</v>
      </c>
      <c r="E15" s="44">
        <v>3.0592470399231166E-2</v>
      </c>
      <c r="F15" s="42" t="s">
        <v>48</v>
      </c>
      <c r="G15" s="40" t="s">
        <v>48</v>
      </c>
      <c r="H15" s="40" t="s">
        <v>48</v>
      </c>
      <c r="I15" s="40" t="s">
        <v>48</v>
      </c>
      <c r="J15" s="40" t="s">
        <v>48</v>
      </c>
      <c r="K15" s="4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      <c r="V15" s="33"/>
      <c r="W15" s="38" t="str">
        <f>Notes!U16</f>
        <v xml:space="preserve">               Wheat and barley</v>
      </c>
      <c r="X15" s="4" t="s">
        <v>316</v>
      </c>
      <c r="Y15" s="44">
        <v>0.45030950218135585</v>
      </c>
      <c r="Z15" s="42" t="s">
        <v>48</v>
      </c>
      <c r="AA15" s="40" t="s">
        <v>48</v>
      </c>
      <c r="AB15" s="40" t="s">
        <v>48</v>
      </c>
      <c r="AC15" s="40" t="s">
        <v>48</v>
      </c>
      <c r="AD15" s="40" t="s">
        <v>48</v>
      </c>
      <c r="AE15" s="40" t="s">
        <v>48</v>
      </c>
      <c r="AF15" s="40" t="s">
        <v>48</v>
      </c>
      <c r="AG15" s="40" t="s">
        <v>48</v>
      </c>
      <c r="AH15" s="40" t="s">
        <v>48</v>
      </c>
      <c r="AI15" s="40" t="s">
        <v>48</v>
      </c>
      <c r="AJ15" s="40" t="s">
        <v>48</v>
      </c>
      <c r="AK15" s="40" t="s">
        <v>48</v>
      </c>
      <c r="AL15" s="40" t="s">
        <v>48</v>
      </c>
      <c r="AM15" s="40" t="s">
        <v>48</v>
      </c>
      <c r="AN15" s="40" t="s">
        <v>48</v>
      </c>
      <c r="AP15" s="33"/>
      <c r="AQ15" s="38" t="str">
        <f>Notes!U16</f>
        <v xml:space="preserve">               Wheat and barley</v>
      </c>
      <c r="AR15" s="4" t="s">
        <v>316</v>
      </c>
      <c r="AS15" s="44">
        <v>3.0971795927519447E-2</v>
      </c>
      <c r="AT15" s="42" t="s">
        <v>48</v>
      </c>
      <c r="AU15" s="40" t="s">
        <v>48</v>
      </c>
      <c r="AV15" s="40" t="s">
        <v>48</v>
      </c>
      <c r="AW15" s="40" t="s">
        <v>48</v>
      </c>
      <c r="AX15" s="40" t="s">
        <v>48</v>
      </c>
      <c r="AY15" s="40" t="s">
        <v>48</v>
      </c>
      <c r="AZ15" s="40" t="s">
        <v>48</v>
      </c>
      <c r="BA15" s="40" t="s">
        <v>48</v>
      </c>
      <c r="BB15" s="40" t="s">
        <v>48</v>
      </c>
      <c r="BC15" s="40" t="s">
        <v>48</v>
      </c>
      <c r="BD15" s="40" t="s">
        <v>48</v>
      </c>
      <c r="BE15" s="40" t="s">
        <v>48</v>
      </c>
      <c r="BF15" s="40" t="s">
        <v>48</v>
      </c>
      <c r="BG15" s="40" t="s">
        <v>48</v>
      </c>
      <c r="BH15" s="40" t="s">
        <v>48</v>
      </c>
      <c r="BJ15" s="33"/>
      <c r="BK15" s="38" t="str">
        <f>Notes!U16</f>
        <v xml:space="preserve">               Wheat and barley</v>
      </c>
      <c r="BL15" s="4" t="s">
        <v>316</v>
      </c>
      <c r="BM15" s="44">
        <v>2.0285764523118832</v>
      </c>
      <c r="BN15" s="42" t="s">
        <v>48</v>
      </c>
      <c r="BO15" s="40" t="s">
        <v>48</v>
      </c>
      <c r="BP15" s="40" t="s">
        <v>48</v>
      </c>
      <c r="BQ15" s="40" t="s">
        <v>48</v>
      </c>
      <c r="BR15" s="40" t="s">
        <v>48</v>
      </c>
      <c r="BS15" s="40" t="s">
        <v>48</v>
      </c>
      <c r="BT15" s="40" t="s">
        <v>48</v>
      </c>
      <c r="BU15" s="40" t="s">
        <v>48</v>
      </c>
      <c r="BV15" s="40" t="s">
        <v>48</v>
      </c>
      <c r="BW15" s="40" t="s">
        <v>48</v>
      </c>
      <c r="BX15" s="40" t="s">
        <v>48</v>
      </c>
      <c r="BY15" s="40" t="s">
        <v>48</v>
      </c>
      <c r="BZ15" s="40" t="s">
        <v>48</v>
      </c>
      <c r="CA15" s="40" t="s">
        <v>48</v>
      </c>
      <c r="CB15" s="40" t="s">
        <v>48</v>
      </c>
      <c r="CD15" s="33"/>
      <c r="CE15" s="38" t="str">
        <f>Notes!U16</f>
        <v xml:space="preserve">               Wheat and barley</v>
      </c>
      <c r="CF15" s="4" t="s">
        <v>316</v>
      </c>
      <c r="CG15" s="44">
        <v>2.7349862799360646E-2</v>
      </c>
      <c r="CH15" s="42" t="s">
        <v>48</v>
      </c>
      <c r="CI15" s="40" t="s">
        <v>48</v>
      </c>
      <c r="CJ15" s="40" t="s">
        <v>48</v>
      </c>
      <c r="CK15" s="40" t="s">
        <v>48</v>
      </c>
      <c r="CL15" s="40" t="s">
        <v>48</v>
      </c>
      <c r="CM15" s="40" t="s">
        <v>48</v>
      </c>
      <c r="CN15" s="40" t="s">
        <v>48</v>
      </c>
      <c r="CO15" s="40" t="s">
        <v>48</v>
      </c>
      <c r="CP15" s="40" t="s">
        <v>48</v>
      </c>
      <c r="CQ15" s="40" t="s">
        <v>48</v>
      </c>
      <c r="CR15" s="40" t="s">
        <v>48</v>
      </c>
      <c r="CS15" s="40" t="s">
        <v>48</v>
      </c>
      <c r="CT15" s="40" t="s">
        <v>48</v>
      </c>
      <c r="CU15" s="40" t="s">
        <v>48</v>
      </c>
      <c r="CV15" s="40" t="s">
        <v>48</v>
      </c>
      <c r="CX15" s="33"/>
      <c r="CY15" s="38" t="str">
        <f>Notes!U16</f>
        <v xml:space="preserve">               Wheat and barley</v>
      </c>
      <c r="CZ15" s="4" t="s">
        <v>316</v>
      </c>
      <c r="DA15" s="44">
        <v>2.5854980603054312</v>
      </c>
      <c r="DB15" s="42" t="s">
        <v>48</v>
      </c>
      <c r="DC15" s="40" t="s">
        <v>48</v>
      </c>
      <c r="DD15" s="40" t="s">
        <v>48</v>
      </c>
      <c r="DE15" s="40" t="s">
        <v>48</v>
      </c>
      <c r="DF15" s="40" t="s">
        <v>48</v>
      </c>
      <c r="DG15" s="40" t="s">
        <v>48</v>
      </c>
      <c r="DH15" s="40" t="s">
        <v>48</v>
      </c>
      <c r="DI15" s="40" t="s">
        <v>48</v>
      </c>
      <c r="DJ15" s="40" t="s">
        <v>48</v>
      </c>
      <c r="DK15" s="40" t="s">
        <v>48</v>
      </c>
      <c r="DL15" s="40" t="s">
        <v>48</v>
      </c>
      <c r="DM15" s="40" t="s">
        <v>48</v>
      </c>
      <c r="DN15" s="40" t="s">
        <v>48</v>
      </c>
      <c r="DO15" s="40" t="s">
        <v>48</v>
      </c>
      <c r="DP15" s="40" t="s">
        <v>48</v>
      </c>
    </row>
    <row r="16" spans="1:120" x14ac:dyDescent="0.35">
      <c r="A16" s="12">
        <v>9</v>
      </c>
      <c r="B16" s="33"/>
      <c r="C16" s="38" t="str">
        <f>Notes!U17</f>
        <v xml:space="preserve">               Other cereals</v>
      </c>
      <c r="D16" s="4" t="s">
        <v>475</v>
      </c>
      <c r="E16" s="44">
        <v>0.53032582191790867</v>
      </c>
      <c r="F16" s="42" t="s">
        <v>48</v>
      </c>
      <c r="G16" s="40" t="s">
        <v>48</v>
      </c>
      <c r="H16" s="40" t="s">
        <v>48</v>
      </c>
      <c r="I16" s="40" t="s">
        <v>48</v>
      </c>
      <c r="J16" s="40" t="s">
        <v>48</v>
      </c>
      <c r="K16" s="4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0" t="s">
        <v>48</v>
      </c>
      <c r="Q16" s="40" t="s">
        <v>48</v>
      </c>
      <c r="R16" s="40" t="s">
        <v>48</v>
      </c>
      <c r="S16" s="40" t="s">
        <v>48</v>
      </c>
      <c r="T16" s="40" t="s">
        <v>48</v>
      </c>
      <c r="V16" s="33"/>
      <c r="W16" s="38" t="str">
        <f>Notes!U17</f>
        <v xml:space="preserve">               Other cereals</v>
      </c>
      <c r="X16" s="4" t="s">
        <v>475</v>
      </c>
      <c r="Y16" s="44">
        <v>0.58218893447908993</v>
      </c>
      <c r="Z16" s="42" t="s">
        <v>48</v>
      </c>
      <c r="AA16" s="40" t="s">
        <v>48</v>
      </c>
      <c r="AB16" s="40" t="s">
        <v>48</v>
      </c>
      <c r="AC16" s="40" t="s">
        <v>48</v>
      </c>
      <c r="AD16" s="40" t="s">
        <v>48</v>
      </c>
      <c r="AE16" s="40" t="s">
        <v>48</v>
      </c>
      <c r="AF16" s="40" t="s">
        <v>48</v>
      </c>
      <c r="AG16" s="40" t="s">
        <v>48</v>
      </c>
      <c r="AH16" s="40" t="s">
        <v>48</v>
      </c>
      <c r="AI16" s="40" t="s">
        <v>48</v>
      </c>
      <c r="AJ16" s="40" t="s">
        <v>48</v>
      </c>
      <c r="AK16" s="40" t="s">
        <v>48</v>
      </c>
      <c r="AL16" s="40" t="s">
        <v>48</v>
      </c>
      <c r="AM16" s="40" t="s">
        <v>48</v>
      </c>
      <c r="AN16" s="40" t="s">
        <v>48</v>
      </c>
      <c r="AP16" s="33"/>
      <c r="AQ16" s="38" t="str">
        <f>Notes!U17</f>
        <v xml:space="preserve">               Other cereals</v>
      </c>
      <c r="AR16" s="4" t="s">
        <v>475</v>
      </c>
      <c r="AS16" s="44">
        <v>0.52696148240975216</v>
      </c>
      <c r="AT16" s="42" t="s">
        <v>48</v>
      </c>
      <c r="AU16" s="40" t="s">
        <v>48</v>
      </c>
      <c r="AV16" s="40" t="s">
        <v>48</v>
      </c>
      <c r="AW16" s="40" t="s">
        <v>48</v>
      </c>
      <c r="AX16" s="40" t="s">
        <v>48</v>
      </c>
      <c r="AY16" s="40" t="s">
        <v>48</v>
      </c>
      <c r="AZ16" s="40" t="s">
        <v>48</v>
      </c>
      <c r="BA16" s="40" t="s">
        <v>48</v>
      </c>
      <c r="BB16" s="40" t="s">
        <v>48</v>
      </c>
      <c r="BC16" s="40" t="s">
        <v>48</v>
      </c>
      <c r="BD16" s="40" t="s">
        <v>48</v>
      </c>
      <c r="BE16" s="40" t="s">
        <v>48</v>
      </c>
      <c r="BF16" s="40" t="s">
        <v>48</v>
      </c>
      <c r="BG16" s="40" t="s">
        <v>48</v>
      </c>
      <c r="BH16" s="40" t="s">
        <v>48</v>
      </c>
      <c r="BJ16" s="33"/>
      <c r="BK16" s="38" t="str">
        <f>Notes!U17</f>
        <v xml:space="preserve">               Other cereals</v>
      </c>
      <c r="BL16" s="4" t="s">
        <v>475</v>
      </c>
      <c r="BM16" s="44">
        <v>0.62933321657762153</v>
      </c>
      <c r="BN16" s="42" t="s">
        <v>48</v>
      </c>
      <c r="BO16" s="40" t="s">
        <v>48</v>
      </c>
      <c r="BP16" s="40" t="s">
        <v>48</v>
      </c>
      <c r="BQ16" s="40" t="s">
        <v>48</v>
      </c>
      <c r="BR16" s="40" t="s">
        <v>48</v>
      </c>
      <c r="BS16" s="40" t="s">
        <v>48</v>
      </c>
      <c r="BT16" s="40" t="s">
        <v>48</v>
      </c>
      <c r="BU16" s="40" t="s">
        <v>48</v>
      </c>
      <c r="BV16" s="40" t="s">
        <v>48</v>
      </c>
      <c r="BW16" s="40" t="s">
        <v>48</v>
      </c>
      <c r="BX16" s="40" t="s">
        <v>48</v>
      </c>
      <c r="BY16" s="40" t="s">
        <v>48</v>
      </c>
      <c r="BZ16" s="40" t="s">
        <v>48</v>
      </c>
      <c r="CA16" s="40" t="s">
        <v>48</v>
      </c>
      <c r="CB16" s="40" t="s">
        <v>48</v>
      </c>
      <c r="CD16" s="33"/>
      <c r="CE16" s="38" t="str">
        <f>Notes!U17</f>
        <v xml:space="preserve">               Other cereals</v>
      </c>
      <c r="CF16" s="4" t="s">
        <v>475</v>
      </c>
      <c r="CG16" s="44">
        <v>0.46496594396582913</v>
      </c>
      <c r="CH16" s="42" t="s">
        <v>48</v>
      </c>
      <c r="CI16" s="40" t="s">
        <v>48</v>
      </c>
      <c r="CJ16" s="40" t="s">
        <v>48</v>
      </c>
      <c r="CK16" s="40" t="s">
        <v>48</v>
      </c>
      <c r="CL16" s="40" t="s">
        <v>48</v>
      </c>
      <c r="CM16" s="40" t="s">
        <v>48</v>
      </c>
      <c r="CN16" s="40" t="s">
        <v>48</v>
      </c>
      <c r="CO16" s="40" t="s">
        <v>48</v>
      </c>
      <c r="CP16" s="40" t="s">
        <v>48</v>
      </c>
      <c r="CQ16" s="40" t="s">
        <v>48</v>
      </c>
      <c r="CR16" s="40" t="s">
        <v>48</v>
      </c>
      <c r="CS16" s="40" t="s">
        <v>48</v>
      </c>
      <c r="CT16" s="40" t="s">
        <v>48</v>
      </c>
      <c r="CU16" s="40" t="s">
        <v>48</v>
      </c>
      <c r="CV16" s="40" t="s">
        <v>48</v>
      </c>
      <c r="CX16" s="33"/>
      <c r="CY16" s="38" t="str">
        <f>Notes!U17</f>
        <v xml:space="preserve">               Other cereals</v>
      </c>
      <c r="CZ16" s="4" t="s">
        <v>475</v>
      </c>
      <c r="DA16" s="44">
        <v>0.80274938532641404</v>
      </c>
      <c r="DB16" s="42" t="s">
        <v>48</v>
      </c>
      <c r="DC16" s="40" t="s">
        <v>48</v>
      </c>
      <c r="DD16" s="40" t="s">
        <v>48</v>
      </c>
      <c r="DE16" s="40" t="s">
        <v>48</v>
      </c>
      <c r="DF16" s="40" t="s">
        <v>48</v>
      </c>
      <c r="DG16" s="40" t="s">
        <v>48</v>
      </c>
      <c r="DH16" s="40" t="s">
        <v>48</v>
      </c>
      <c r="DI16" s="40" t="s">
        <v>48</v>
      </c>
      <c r="DJ16" s="40" t="s">
        <v>48</v>
      </c>
      <c r="DK16" s="40" t="s">
        <v>48</v>
      </c>
      <c r="DL16" s="40" t="s">
        <v>48</v>
      </c>
      <c r="DM16" s="40" t="s">
        <v>48</v>
      </c>
      <c r="DN16" s="40" t="s">
        <v>48</v>
      </c>
      <c r="DO16" s="40" t="s">
        <v>48</v>
      </c>
      <c r="DP16" s="40" t="s">
        <v>48</v>
      </c>
    </row>
    <row r="17" spans="1:120" x14ac:dyDescent="0.35">
      <c r="A17" s="12">
        <v>10</v>
      </c>
      <c r="B17" s="33"/>
      <c r="C17" s="38" t="str">
        <f>Notes!U18</f>
        <v xml:space="preserve">               Pulses</v>
      </c>
      <c r="D17" s="4" t="s">
        <v>477</v>
      </c>
      <c r="E17" s="44">
        <v>2.7604638226146963E-3</v>
      </c>
      <c r="F17" s="42" t="s">
        <v>48</v>
      </c>
      <c r="G17" s="40" t="s">
        <v>48</v>
      </c>
      <c r="H17" s="40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V17" s="33"/>
      <c r="W17" s="38" t="str">
        <f>Notes!U18</f>
        <v xml:space="preserve">               Pulses</v>
      </c>
      <c r="X17" s="4" t="s">
        <v>477</v>
      </c>
      <c r="Y17" s="44">
        <v>3.1808876537332297E-2</v>
      </c>
      <c r="Z17" s="42" t="s">
        <v>48</v>
      </c>
      <c r="AA17" s="40" t="s">
        <v>48</v>
      </c>
      <c r="AB17" s="40" t="s">
        <v>48</v>
      </c>
      <c r="AC17" s="40" t="s">
        <v>48</v>
      </c>
      <c r="AD17" s="40" t="s">
        <v>48</v>
      </c>
      <c r="AE17" s="40" t="s">
        <v>48</v>
      </c>
      <c r="AF17" s="40" t="s">
        <v>48</v>
      </c>
      <c r="AG17" s="40" t="s">
        <v>48</v>
      </c>
      <c r="AH17" s="40" t="s">
        <v>48</v>
      </c>
      <c r="AI17" s="40" t="s">
        <v>48</v>
      </c>
      <c r="AJ17" s="40" t="s">
        <v>48</v>
      </c>
      <c r="AK17" s="40" t="s">
        <v>48</v>
      </c>
      <c r="AL17" s="40" t="s">
        <v>48</v>
      </c>
      <c r="AM17" s="40" t="s">
        <v>48</v>
      </c>
      <c r="AN17" s="40" t="s">
        <v>48</v>
      </c>
      <c r="AP17" s="33"/>
      <c r="AQ17" s="38" t="str">
        <f>Notes!U18</f>
        <v xml:space="preserve">               Pulses</v>
      </c>
      <c r="AR17" s="4" t="s">
        <v>477</v>
      </c>
      <c r="AS17" s="44">
        <v>2.3860802062970365E-2</v>
      </c>
      <c r="AT17" s="42" t="s">
        <v>48</v>
      </c>
      <c r="AU17" s="40" t="s">
        <v>48</v>
      </c>
      <c r="AV17" s="40" t="s">
        <v>48</v>
      </c>
      <c r="AW17" s="40" t="s">
        <v>48</v>
      </c>
      <c r="AX17" s="40" t="s">
        <v>48</v>
      </c>
      <c r="AY17" s="40" t="s">
        <v>48</v>
      </c>
      <c r="AZ17" s="40" t="s">
        <v>48</v>
      </c>
      <c r="BA17" s="40" t="s">
        <v>48</v>
      </c>
      <c r="BB17" s="40" t="s">
        <v>48</v>
      </c>
      <c r="BC17" s="40" t="s">
        <v>48</v>
      </c>
      <c r="BD17" s="40" t="s">
        <v>48</v>
      </c>
      <c r="BE17" s="40" t="s">
        <v>48</v>
      </c>
      <c r="BF17" s="40" t="s">
        <v>48</v>
      </c>
      <c r="BG17" s="40" t="s">
        <v>48</v>
      </c>
      <c r="BH17" s="40" t="s">
        <v>48</v>
      </c>
      <c r="BJ17" s="33"/>
      <c r="BK17" s="38" t="str">
        <f>Notes!U18</f>
        <v xml:space="preserve">               Pulses</v>
      </c>
      <c r="BL17" s="4" t="s">
        <v>477</v>
      </c>
      <c r="BM17" s="44">
        <v>0.14626427809643128</v>
      </c>
      <c r="BN17" s="42" t="s">
        <v>48</v>
      </c>
      <c r="BO17" s="40" t="s">
        <v>48</v>
      </c>
      <c r="BP17" s="40" t="s">
        <v>48</v>
      </c>
      <c r="BQ17" s="40" t="s">
        <v>48</v>
      </c>
      <c r="BR17" s="40" t="s">
        <v>48</v>
      </c>
      <c r="BS17" s="40" t="s">
        <v>48</v>
      </c>
      <c r="BT17" s="40" t="s">
        <v>48</v>
      </c>
      <c r="BU17" s="40" t="s">
        <v>48</v>
      </c>
      <c r="BV17" s="40" t="s">
        <v>48</v>
      </c>
      <c r="BW17" s="40" t="s">
        <v>48</v>
      </c>
      <c r="BX17" s="40" t="s">
        <v>48</v>
      </c>
      <c r="BY17" s="40" t="s">
        <v>48</v>
      </c>
      <c r="BZ17" s="40" t="s">
        <v>48</v>
      </c>
      <c r="CA17" s="40" t="s">
        <v>48</v>
      </c>
      <c r="CB17" s="40" t="s">
        <v>48</v>
      </c>
      <c r="CD17" s="33"/>
      <c r="CE17" s="38" t="str">
        <f>Notes!U18</f>
        <v xml:space="preserve">               Pulses</v>
      </c>
      <c r="CF17" s="4" t="s">
        <v>477</v>
      </c>
      <c r="CG17" s="44">
        <v>2.104120382238947E-2</v>
      </c>
      <c r="CH17" s="42" t="s">
        <v>48</v>
      </c>
      <c r="CI17" s="40" t="s">
        <v>48</v>
      </c>
      <c r="CJ17" s="40" t="s">
        <v>48</v>
      </c>
      <c r="CK17" s="40" t="s">
        <v>48</v>
      </c>
      <c r="CL17" s="40" t="s">
        <v>48</v>
      </c>
      <c r="CM17" s="40" t="s">
        <v>48</v>
      </c>
      <c r="CN17" s="40" t="s">
        <v>48</v>
      </c>
      <c r="CO17" s="40" t="s">
        <v>48</v>
      </c>
      <c r="CP17" s="40" t="s">
        <v>48</v>
      </c>
      <c r="CQ17" s="40" t="s">
        <v>48</v>
      </c>
      <c r="CR17" s="40" t="s">
        <v>48</v>
      </c>
      <c r="CS17" s="40" t="s">
        <v>48</v>
      </c>
      <c r="CT17" s="40" t="s">
        <v>48</v>
      </c>
      <c r="CU17" s="40" t="s">
        <v>48</v>
      </c>
      <c r="CV17" s="40" t="s">
        <v>48</v>
      </c>
      <c r="CX17" s="33"/>
      <c r="CY17" s="38" t="str">
        <f>Notes!U18</f>
        <v xml:space="preserve">               Pulses</v>
      </c>
      <c r="CZ17" s="4" t="s">
        <v>477</v>
      </c>
      <c r="DA17" s="44">
        <v>0.18667851011984052</v>
      </c>
      <c r="DB17" s="42" t="s">
        <v>48</v>
      </c>
      <c r="DC17" s="40" t="s">
        <v>48</v>
      </c>
      <c r="DD17" s="40" t="s">
        <v>48</v>
      </c>
      <c r="DE17" s="40" t="s">
        <v>48</v>
      </c>
      <c r="DF17" s="40" t="s">
        <v>48</v>
      </c>
      <c r="DG17" s="40" t="s">
        <v>48</v>
      </c>
      <c r="DH17" s="40" t="s">
        <v>48</v>
      </c>
      <c r="DI17" s="40" t="s">
        <v>48</v>
      </c>
      <c r="DJ17" s="40" t="s">
        <v>48</v>
      </c>
      <c r="DK17" s="40" t="s">
        <v>48</v>
      </c>
      <c r="DL17" s="40" t="s">
        <v>48</v>
      </c>
      <c r="DM17" s="40" t="s">
        <v>48</v>
      </c>
      <c r="DN17" s="40" t="s">
        <v>48</v>
      </c>
      <c r="DO17" s="40" t="s">
        <v>48</v>
      </c>
      <c r="DP17" s="40" t="s">
        <v>48</v>
      </c>
    </row>
    <row r="18" spans="1:120" x14ac:dyDescent="0.35">
      <c r="A18" s="12">
        <v>11</v>
      </c>
      <c r="B18" s="33"/>
      <c r="C18" s="38" t="str">
        <f>Notes!U19</f>
        <v xml:space="preserve">               Groundnuts</v>
      </c>
      <c r="D18" s="4" t="s">
        <v>473</v>
      </c>
      <c r="E18" s="44">
        <v>0.35603657342392758</v>
      </c>
      <c r="F18" s="42" t="s">
        <v>48</v>
      </c>
      <c r="G18" s="40" t="s">
        <v>48</v>
      </c>
      <c r="H18" s="40" t="s">
        <v>48</v>
      </c>
      <c r="I18" s="40" t="s">
        <v>48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0" t="s">
        <v>48</v>
      </c>
      <c r="Q18" s="40" t="s">
        <v>48</v>
      </c>
      <c r="R18" s="40" t="s">
        <v>48</v>
      </c>
      <c r="S18" s="40" t="s">
        <v>48</v>
      </c>
      <c r="T18" s="40" t="s">
        <v>48</v>
      </c>
      <c r="V18" s="33"/>
      <c r="W18" s="38" t="str">
        <f>Notes!U19</f>
        <v xml:space="preserve">               Groundnuts</v>
      </c>
      <c r="X18" s="4" t="s">
        <v>473</v>
      </c>
      <c r="Y18" s="44">
        <v>0.34790582067819814</v>
      </c>
      <c r="Z18" s="42" t="s">
        <v>48</v>
      </c>
      <c r="AA18" s="40" t="s">
        <v>48</v>
      </c>
      <c r="AB18" s="40" t="s">
        <v>48</v>
      </c>
      <c r="AC18" s="40" t="s">
        <v>48</v>
      </c>
      <c r="AD18" s="40" t="s">
        <v>48</v>
      </c>
      <c r="AE18" s="40" t="s">
        <v>48</v>
      </c>
      <c r="AF18" s="40" t="s">
        <v>48</v>
      </c>
      <c r="AG18" s="40" t="s">
        <v>48</v>
      </c>
      <c r="AH18" s="40" t="s">
        <v>48</v>
      </c>
      <c r="AI18" s="40" t="s">
        <v>48</v>
      </c>
      <c r="AJ18" s="40" t="s">
        <v>48</v>
      </c>
      <c r="AK18" s="40" t="s">
        <v>48</v>
      </c>
      <c r="AL18" s="40" t="s">
        <v>48</v>
      </c>
      <c r="AM18" s="40" t="s">
        <v>48</v>
      </c>
      <c r="AN18" s="40" t="s">
        <v>48</v>
      </c>
      <c r="AP18" s="33"/>
      <c r="AQ18" s="38" t="str">
        <f>Notes!U19</f>
        <v xml:space="preserve">               Groundnuts</v>
      </c>
      <c r="AR18" s="4" t="s">
        <v>473</v>
      </c>
      <c r="AS18" s="44">
        <v>0.47510245801966194</v>
      </c>
      <c r="AT18" s="42" t="s">
        <v>48</v>
      </c>
      <c r="AU18" s="40" t="s">
        <v>48</v>
      </c>
      <c r="AV18" s="40" t="s">
        <v>48</v>
      </c>
      <c r="AW18" s="40" t="s">
        <v>48</v>
      </c>
      <c r="AX18" s="40" t="s">
        <v>48</v>
      </c>
      <c r="AY18" s="40" t="s">
        <v>48</v>
      </c>
      <c r="AZ18" s="40" t="s">
        <v>48</v>
      </c>
      <c r="BA18" s="40" t="s">
        <v>48</v>
      </c>
      <c r="BB18" s="40" t="s">
        <v>48</v>
      </c>
      <c r="BC18" s="40" t="s">
        <v>48</v>
      </c>
      <c r="BD18" s="40" t="s">
        <v>48</v>
      </c>
      <c r="BE18" s="40" t="s">
        <v>48</v>
      </c>
      <c r="BF18" s="40" t="s">
        <v>48</v>
      </c>
      <c r="BG18" s="40" t="s">
        <v>48</v>
      </c>
      <c r="BH18" s="40" t="s">
        <v>48</v>
      </c>
      <c r="BJ18" s="33"/>
      <c r="BK18" s="38" t="str">
        <f>Notes!U19</f>
        <v xml:space="preserve">               Groundnuts</v>
      </c>
      <c r="BL18" s="4" t="s">
        <v>473</v>
      </c>
      <c r="BM18" s="44">
        <v>0.20781840805422624</v>
      </c>
      <c r="BN18" s="42" t="s">
        <v>48</v>
      </c>
      <c r="BO18" s="40" t="s">
        <v>48</v>
      </c>
      <c r="BP18" s="40" t="s">
        <v>48</v>
      </c>
      <c r="BQ18" s="40" t="s">
        <v>48</v>
      </c>
      <c r="BR18" s="40" t="s">
        <v>48</v>
      </c>
      <c r="BS18" s="40" t="s">
        <v>48</v>
      </c>
      <c r="BT18" s="40" t="s">
        <v>48</v>
      </c>
      <c r="BU18" s="40" t="s">
        <v>48</v>
      </c>
      <c r="BV18" s="40" t="s">
        <v>48</v>
      </c>
      <c r="BW18" s="40" t="s">
        <v>48</v>
      </c>
      <c r="BX18" s="40" t="s">
        <v>48</v>
      </c>
      <c r="BY18" s="40" t="s">
        <v>48</v>
      </c>
      <c r="BZ18" s="40" t="s">
        <v>48</v>
      </c>
      <c r="CA18" s="40" t="s">
        <v>48</v>
      </c>
      <c r="CB18" s="40" t="s">
        <v>48</v>
      </c>
      <c r="CD18" s="33"/>
      <c r="CE18" s="38" t="str">
        <f>Notes!U19</f>
        <v xml:space="preserve">               Groundnuts</v>
      </c>
      <c r="CF18" s="4" t="s">
        <v>473</v>
      </c>
      <c r="CG18" s="44">
        <v>0.50796721078502105</v>
      </c>
      <c r="CH18" s="42" t="s">
        <v>48</v>
      </c>
      <c r="CI18" s="40" t="s">
        <v>48</v>
      </c>
      <c r="CJ18" s="40" t="s">
        <v>48</v>
      </c>
      <c r="CK18" s="40" t="s">
        <v>48</v>
      </c>
      <c r="CL18" s="40" t="s">
        <v>48</v>
      </c>
      <c r="CM18" s="40" t="s">
        <v>48</v>
      </c>
      <c r="CN18" s="40" t="s">
        <v>48</v>
      </c>
      <c r="CO18" s="40" t="s">
        <v>48</v>
      </c>
      <c r="CP18" s="40" t="s">
        <v>48</v>
      </c>
      <c r="CQ18" s="40" t="s">
        <v>48</v>
      </c>
      <c r="CR18" s="40" t="s">
        <v>48</v>
      </c>
      <c r="CS18" s="40" t="s">
        <v>48</v>
      </c>
      <c r="CT18" s="40" t="s">
        <v>48</v>
      </c>
      <c r="CU18" s="40" t="s">
        <v>48</v>
      </c>
      <c r="CV18" s="40" t="s">
        <v>48</v>
      </c>
      <c r="CX18" s="33"/>
      <c r="CY18" s="38" t="str">
        <f>Notes!U19</f>
        <v xml:space="preserve">               Groundnuts</v>
      </c>
      <c r="CZ18" s="4" t="s">
        <v>473</v>
      </c>
      <c r="DA18" s="44">
        <v>0.21876468264673937</v>
      </c>
      <c r="DB18" s="42" t="s">
        <v>48</v>
      </c>
      <c r="DC18" s="40" t="s">
        <v>48</v>
      </c>
      <c r="DD18" s="40" t="s">
        <v>48</v>
      </c>
      <c r="DE18" s="40" t="s">
        <v>48</v>
      </c>
      <c r="DF18" s="40" t="s">
        <v>48</v>
      </c>
      <c r="DG18" s="40" t="s">
        <v>48</v>
      </c>
      <c r="DH18" s="40" t="s">
        <v>48</v>
      </c>
      <c r="DI18" s="40" t="s">
        <v>48</v>
      </c>
      <c r="DJ18" s="40" t="s">
        <v>48</v>
      </c>
      <c r="DK18" s="40" t="s">
        <v>48</v>
      </c>
      <c r="DL18" s="40" t="s">
        <v>48</v>
      </c>
      <c r="DM18" s="40" t="s">
        <v>48</v>
      </c>
      <c r="DN18" s="40" t="s">
        <v>48</v>
      </c>
      <c r="DO18" s="40" t="s">
        <v>48</v>
      </c>
      <c r="DP18" s="40" t="s">
        <v>48</v>
      </c>
    </row>
    <row r="19" spans="1:120" x14ac:dyDescent="0.35">
      <c r="A19" s="12">
        <v>12</v>
      </c>
      <c r="B19" s="33"/>
      <c r="C19" s="38" t="str">
        <f>Notes!U20</f>
        <v xml:space="preserve">               Other oilseeds</v>
      </c>
      <c r="D19" s="4" t="s">
        <v>319</v>
      </c>
      <c r="E19" s="44">
        <v>9.3055658125407739E-2</v>
      </c>
      <c r="F19" s="42" t="s">
        <v>48</v>
      </c>
      <c r="G19" s="40" t="s">
        <v>48</v>
      </c>
      <c r="H19" s="40" t="s">
        <v>48</v>
      </c>
      <c r="I19" s="40" t="s">
        <v>48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0" t="s">
        <v>48</v>
      </c>
      <c r="P19" s="40" t="s">
        <v>48</v>
      </c>
      <c r="Q19" s="40" t="s">
        <v>48</v>
      </c>
      <c r="R19" s="40" t="s">
        <v>48</v>
      </c>
      <c r="S19" s="40" t="s">
        <v>48</v>
      </c>
      <c r="T19" s="40" t="s">
        <v>48</v>
      </c>
      <c r="V19" s="33"/>
      <c r="W19" s="38" t="str">
        <f>Notes!U20</f>
        <v xml:space="preserve">               Other oilseeds</v>
      </c>
      <c r="X19" s="4" t="s">
        <v>319</v>
      </c>
      <c r="Y19" s="44">
        <v>0.10818744464592457</v>
      </c>
      <c r="Z19" s="42" t="s">
        <v>48</v>
      </c>
      <c r="AA19" s="40" t="s">
        <v>48</v>
      </c>
      <c r="AB19" s="40" t="s">
        <v>48</v>
      </c>
      <c r="AC19" s="40" t="s">
        <v>48</v>
      </c>
      <c r="AD19" s="40" t="s">
        <v>48</v>
      </c>
      <c r="AE19" s="40" t="s">
        <v>48</v>
      </c>
      <c r="AF19" s="40" t="s">
        <v>48</v>
      </c>
      <c r="AG19" s="40" t="s">
        <v>48</v>
      </c>
      <c r="AH19" s="40" t="s">
        <v>48</v>
      </c>
      <c r="AI19" s="40" t="s">
        <v>48</v>
      </c>
      <c r="AJ19" s="40" t="s">
        <v>48</v>
      </c>
      <c r="AK19" s="40" t="s">
        <v>48</v>
      </c>
      <c r="AL19" s="40" t="s">
        <v>48</v>
      </c>
      <c r="AM19" s="40" t="s">
        <v>48</v>
      </c>
      <c r="AN19" s="40" t="s">
        <v>48</v>
      </c>
      <c r="AP19" s="33"/>
      <c r="AQ19" s="38" t="str">
        <f>Notes!U20</f>
        <v xml:space="preserve">               Other oilseeds</v>
      </c>
      <c r="AR19" s="4" t="s">
        <v>319</v>
      </c>
      <c r="AS19" s="44" t="s">
        <v>48</v>
      </c>
      <c r="AT19" s="42" t="s">
        <v>48</v>
      </c>
      <c r="AU19" s="40" t="s">
        <v>48</v>
      </c>
      <c r="AV19" s="40" t="s">
        <v>48</v>
      </c>
      <c r="AW19" s="40" t="s">
        <v>48</v>
      </c>
      <c r="AX19" s="40" t="s">
        <v>48</v>
      </c>
      <c r="AY19" s="40" t="s">
        <v>48</v>
      </c>
      <c r="AZ19" s="40" t="s">
        <v>48</v>
      </c>
      <c r="BA19" s="40" t="s">
        <v>48</v>
      </c>
      <c r="BB19" s="40" t="s">
        <v>48</v>
      </c>
      <c r="BC19" s="40" t="s">
        <v>48</v>
      </c>
      <c r="BD19" s="40" t="s">
        <v>48</v>
      </c>
      <c r="BE19" s="40" t="s">
        <v>48</v>
      </c>
      <c r="BF19" s="40" t="s">
        <v>48</v>
      </c>
      <c r="BG19" s="40" t="s">
        <v>48</v>
      </c>
      <c r="BH19" s="40" t="s">
        <v>48</v>
      </c>
      <c r="BJ19" s="33"/>
      <c r="BK19" s="38" t="str">
        <f>Notes!U20</f>
        <v xml:space="preserve">               Other oilseeds</v>
      </c>
      <c r="BL19" s="4" t="s">
        <v>319</v>
      </c>
      <c r="BM19" s="44" t="s">
        <v>48</v>
      </c>
      <c r="BN19" s="42" t="s">
        <v>48</v>
      </c>
      <c r="BO19" s="40" t="s">
        <v>48</v>
      </c>
      <c r="BP19" s="40" t="s">
        <v>48</v>
      </c>
      <c r="BQ19" s="40" t="s">
        <v>48</v>
      </c>
      <c r="BR19" s="40" t="s">
        <v>48</v>
      </c>
      <c r="BS19" s="40" t="s">
        <v>48</v>
      </c>
      <c r="BT19" s="40" t="s">
        <v>48</v>
      </c>
      <c r="BU19" s="40" t="s">
        <v>48</v>
      </c>
      <c r="BV19" s="40" t="s">
        <v>48</v>
      </c>
      <c r="BW19" s="40" t="s">
        <v>48</v>
      </c>
      <c r="BX19" s="40" t="s">
        <v>48</v>
      </c>
      <c r="BY19" s="40" t="s">
        <v>48</v>
      </c>
      <c r="BZ19" s="40" t="s">
        <v>48</v>
      </c>
      <c r="CA19" s="40" t="s">
        <v>48</v>
      </c>
      <c r="CB19" s="40" t="s">
        <v>48</v>
      </c>
      <c r="CD19" s="33"/>
      <c r="CE19" s="38" t="str">
        <f>Notes!U20</f>
        <v xml:space="preserve">               Other oilseeds</v>
      </c>
      <c r="CF19" s="4" t="s">
        <v>319</v>
      </c>
      <c r="CG19" s="44" t="s">
        <v>48</v>
      </c>
      <c r="CH19" s="42" t="s">
        <v>48</v>
      </c>
      <c r="CI19" s="40" t="s">
        <v>48</v>
      </c>
      <c r="CJ19" s="40" t="s">
        <v>48</v>
      </c>
      <c r="CK19" s="40" t="s">
        <v>48</v>
      </c>
      <c r="CL19" s="40" t="s">
        <v>48</v>
      </c>
      <c r="CM19" s="40" t="s">
        <v>48</v>
      </c>
      <c r="CN19" s="40" t="s">
        <v>48</v>
      </c>
      <c r="CO19" s="40" t="s">
        <v>48</v>
      </c>
      <c r="CP19" s="40" t="s">
        <v>48</v>
      </c>
      <c r="CQ19" s="40" t="s">
        <v>48</v>
      </c>
      <c r="CR19" s="40" t="s">
        <v>48</v>
      </c>
      <c r="CS19" s="40" t="s">
        <v>48</v>
      </c>
      <c r="CT19" s="40" t="s">
        <v>48</v>
      </c>
      <c r="CU19" s="40" t="s">
        <v>48</v>
      </c>
      <c r="CV19" s="40" t="s">
        <v>48</v>
      </c>
      <c r="CX19" s="33"/>
      <c r="CY19" s="38" t="str">
        <f>Notes!U20</f>
        <v xml:space="preserve">               Other oilseeds</v>
      </c>
      <c r="CZ19" s="4" t="s">
        <v>319</v>
      </c>
      <c r="DA19" s="44" t="s">
        <v>48</v>
      </c>
      <c r="DB19" s="42" t="s">
        <v>48</v>
      </c>
      <c r="DC19" s="40" t="s">
        <v>48</v>
      </c>
      <c r="DD19" s="40" t="s">
        <v>48</v>
      </c>
      <c r="DE19" s="40" t="s">
        <v>48</v>
      </c>
      <c r="DF19" s="40" t="s">
        <v>48</v>
      </c>
      <c r="DG19" s="40" t="s">
        <v>48</v>
      </c>
      <c r="DH19" s="40" t="s">
        <v>48</v>
      </c>
      <c r="DI19" s="40" t="s">
        <v>48</v>
      </c>
      <c r="DJ19" s="40" t="s">
        <v>48</v>
      </c>
      <c r="DK19" s="40" t="s">
        <v>48</v>
      </c>
      <c r="DL19" s="40" t="s">
        <v>48</v>
      </c>
      <c r="DM19" s="40" t="s">
        <v>48</v>
      </c>
      <c r="DN19" s="40" t="s">
        <v>48</v>
      </c>
      <c r="DO19" s="40" t="s">
        <v>48</v>
      </c>
      <c r="DP19" s="40" t="s">
        <v>48</v>
      </c>
    </row>
    <row r="20" spans="1:120" x14ac:dyDescent="0.35">
      <c r="A20" s="12">
        <v>13</v>
      </c>
      <c r="B20" s="33"/>
      <c r="C20" s="38" t="str">
        <f>Notes!U21</f>
        <v xml:space="preserve">               Cassava</v>
      </c>
      <c r="D20" s="4" t="s">
        <v>698</v>
      </c>
      <c r="E20" s="44">
        <v>1.0352026733855624</v>
      </c>
      <c r="F20" s="42" t="s">
        <v>48</v>
      </c>
      <c r="G20" s="40" t="s">
        <v>48</v>
      </c>
      <c r="H20" s="40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V20" s="33"/>
      <c r="W20" s="38" t="str">
        <f>Notes!U21</f>
        <v xml:space="preserve">               Cassava</v>
      </c>
      <c r="X20" s="4" t="s">
        <v>698</v>
      </c>
      <c r="Y20" s="44">
        <v>0.9531495447064513</v>
      </c>
      <c r="Z20" s="42" t="s">
        <v>48</v>
      </c>
      <c r="AA20" s="40" t="s">
        <v>48</v>
      </c>
      <c r="AB20" s="40" t="s">
        <v>48</v>
      </c>
      <c r="AC20" s="40" t="s">
        <v>48</v>
      </c>
      <c r="AD20" s="40" t="s">
        <v>48</v>
      </c>
      <c r="AE20" s="40" t="s">
        <v>48</v>
      </c>
      <c r="AF20" s="40" t="s">
        <v>48</v>
      </c>
      <c r="AG20" s="40" t="s">
        <v>48</v>
      </c>
      <c r="AH20" s="40" t="s">
        <v>48</v>
      </c>
      <c r="AI20" s="40" t="s">
        <v>48</v>
      </c>
      <c r="AJ20" s="40" t="s">
        <v>48</v>
      </c>
      <c r="AK20" s="40" t="s">
        <v>48</v>
      </c>
      <c r="AL20" s="40" t="s">
        <v>48</v>
      </c>
      <c r="AM20" s="40" t="s">
        <v>48</v>
      </c>
      <c r="AN20" s="40" t="s">
        <v>48</v>
      </c>
      <c r="AP20" s="33"/>
      <c r="AQ20" s="38" t="str">
        <f>Notes!U21</f>
        <v xml:space="preserve">               Cassava</v>
      </c>
      <c r="AR20" s="4" t="s">
        <v>698</v>
      </c>
      <c r="AS20" s="44" t="s">
        <v>48</v>
      </c>
      <c r="AT20" s="42" t="s">
        <v>48</v>
      </c>
      <c r="AU20" s="40" t="s">
        <v>48</v>
      </c>
      <c r="AV20" s="40" t="s">
        <v>48</v>
      </c>
      <c r="AW20" s="40" t="s">
        <v>48</v>
      </c>
      <c r="AX20" s="40" t="s">
        <v>48</v>
      </c>
      <c r="AY20" s="40" t="s">
        <v>48</v>
      </c>
      <c r="AZ20" s="40" t="s">
        <v>48</v>
      </c>
      <c r="BA20" s="40" t="s">
        <v>48</v>
      </c>
      <c r="BB20" s="40" t="s">
        <v>48</v>
      </c>
      <c r="BC20" s="40" t="s">
        <v>48</v>
      </c>
      <c r="BD20" s="40" t="s">
        <v>48</v>
      </c>
      <c r="BE20" s="40" t="s">
        <v>48</v>
      </c>
      <c r="BF20" s="40" t="s">
        <v>48</v>
      </c>
      <c r="BG20" s="40" t="s">
        <v>48</v>
      </c>
      <c r="BH20" s="40" t="s">
        <v>48</v>
      </c>
      <c r="BJ20" s="33"/>
      <c r="BK20" s="38" t="str">
        <f>Notes!U21</f>
        <v xml:space="preserve">               Cassava</v>
      </c>
      <c r="BL20" s="4" t="s">
        <v>698</v>
      </c>
      <c r="BM20" s="44">
        <v>0.40157883218505913</v>
      </c>
      <c r="BN20" s="42" t="s">
        <v>48</v>
      </c>
      <c r="BO20" s="40" t="s">
        <v>48</v>
      </c>
      <c r="BP20" s="40" t="s">
        <v>48</v>
      </c>
      <c r="BQ20" s="40" t="s">
        <v>48</v>
      </c>
      <c r="BR20" s="40" t="s">
        <v>48</v>
      </c>
      <c r="BS20" s="40" t="s">
        <v>48</v>
      </c>
      <c r="BT20" s="40" t="s">
        <v>48</v>
      </c>
      <c r="BU20" s="40" t="s">
        <v>48</v>
      </c>
      <c r="BV20" s="40" t="s">
        <v>48</v>
      </c>
      <c r="BW20" s="40" t="s">
        <v>48</v>
      </c>
      <c r="BX20" s="40" t="s">
        <v>48</v>
      </c>
      <c r="BY20" s="40" t="s">
        <v>48</v>
      </c>
      <c r="BZ20" s="40" t="s">
        <v>48</v>
      </c>
      <c r="CA20" s="40" t="s">
        <v>48</v>
      </c>
      <c r="CB20" s="40" t="s">
        <v>48</v>
      </c>
      <c r="CD20" s="33"/>
      <c r="CE20" s="38" t="str">
        <f>Notes!U21</f>
        <v xml:space="preserve">               Cassava</v>
      </c>
      <c r="CF20" s="4" t="s">
        <v>698</v>
      </c>
      <c r="CG20" s="44" t="s">
        <v>48</v>
      </c>
      <c r="CH20" s="42" t="s">
        <v>48</v>
      </c>
      <c r="CI20" s="40" t="s">
        <v>48</v>
      </c>
      <c r="CJ20" s="40" t="s">
        <v>48</v>
      </c>
      <c r="CK20" s="40" t="s">
        <v>48</v>
      </c>
      <c r="CL20" s="40" t="s">
        <v>48</v>
      </c>
      <c r="CM20" s="40" t="s">
        <v>48</v>
      </c>
      <c r="CN20" s="40" t="s">
        <v>48</v>
      </c>
      <c r="CO20" s="40" t="s">
        <v>48</v>
      </c>
      <c r="CP20" s="40" t="s">
        <v>48</v>
      </c>
      <c r="CQ20" s="40" t="s">
        <v>48</v>
      </c>
      <c r="CR20" s="40" t="s">
        <v>48</v>
      </c>
      <c r="CS20" s="40" t="s">
        <v>48</v>
      </c>
      <c r="CT20" s="40" t="s">
        <v>48</v>
      </c>
      <c r="CU20" s="40" t="s">
        <v>48</v>
      </c>
      <c r="CV20" s="40" t="s">
        <v>48</v>
      </c>
      <c r="CX20" s="33"/>
      <c r="CY20" s="38" t="str">
        <f>Notes!U21</f>
        <v xml:space="preserve">               Cassava</v>
      </c>
      <c r="CZ20" s="4" t="s">
        <v>698</v>
      </c>
      <c r="DA20" s="44">
        <v>0.48239055724621177</v>
      </c>
      <c r="DB20" s="42" t="s">
        <v>48</v>
      </c>
      <c r="DC20" s="40" t="s">
        <v>48</v>
      </c>
      <c r="DD20" s="40" t="s">
        <v>48</v>
      </c>
      <c r="DE20" s="40" t="s">
        <v>48</v>
      </c>
      <c r="DF20" s="40" t="s">
        <v>48</v>
      </c>
      <c r="DG20" s="40" t="s">
        <v>48</v>
      </c>
      <c r="DH20" s="40" t="s">
        <v>48</v>
      </c>
      <c r="DI20" s="40" t="s">
        <v>48</v>
      </c>
      <c r="DJ20" s="40" t="s">
        <v>48</v>
      </c>
      <c r="DK20" s="40" t="s">
        <v>48</v>
      </c>
      <c r="DL20" s="40" t="s">
        <v>48</v>
      </c>
      <c r="DM20" s="40" t="s">
        <v>48</v>
      </c>
      <c r="DN20" s="40" t="s">
        <v>48</v>
      </c>
      <c r="DO20" s="40" t="s">
        <v>48</v>
      </c>
      <c r="DP20" s="40" t="s">
        <v>48</v>
      </c>
    </row>
    <row r="21" spans="1:120" x14ac:dyDescent="0.35">
      <c r="A21" s="12">
        <v>14</v>
      </c>
      <c r="B21" s="33"/>
      <c r="C21" s="38" t="str">
        <f>Notes!U22</f>
        <v xml:space="preserve">               Irish potatoes</v>
      </c>
      <c r="D21" s="4" t="s">
        <v>699</v>
      </c>
      <c r="E21" s="44">
        <v>7.6007960896058963E-2</v>
      </c>
      <c r="F21" s="42" t="s">
        <v>48</v>
      </c>
      <c r="G21" s="40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V21" s="33"/>
      <c r="W21" s="38" t="str">
        <f>Notes!U22</f>
        <v xml:space="preserve">               Irish potatoes</v>
      </c>
      <c r="X21" s="4" t="s">
        <v>699</v>
      </c>
      <c r="Y21" s="44">
        <v>6.3740569239573261E-2</v>
      </c>
      <c r="Z21" s="42" t="s">
        <v>48</v>
      </c>
      <c r="AA21" s="40" t="s">
        <v>48</v>
      </c>
      <c r="AB21" s="40" t="s">
        <v>48</v>
      </c>
      <c r="AC21" s="40" t="s">
        <v>48</v>
      </c>
      <c r="AD21" s="40" t="s">
        <v>48</v>
      </c>
      <c r="AE21" s="40" t="s">
        <v>48</v>
      </c>
      <c r="AF21" s="40" t="s">
        <v>48</v>
      </c>
      <c r="AG21" s="40" t="s">
        <v>48</v>
      </c>
      <c r="AH21" s="40" t="s">
        <v>48</v>
      </c>
      <c r="AI21" s="40" t="s">
        <v>48</v>
      </c>
      <c r="AJ21" s="40" t="s">
        <v>48</v>
      </c>
      <c r="AK21" s="40" t="s">
        <v>48</v>
      </c>
      <c r="AL21" s="40" t="s">
        <v>48</v>
      </c>
      <c r="AM21" s="40" t="s">
        <v>48</v>
      </c>
      <c r="AN21" s="40" t="s">
        <v>48</v>
      </c>
      <c r="AP21" s="33"/>
      <c r="AQ21" s="38" t="str">
        <f>Notes!U22</f>
        <v xml:space="preserve">               Irish potatoes</v>
      </c>
      <c r="AR21" s="4" t="s">
        <v>699</v>
      </c>
      <c r="AS21" s="44" t="s">
        <v>48</v>
      </c>
      <c r="AT21" s="42" t="s">
        <v>48</v>
      </c>
      <c r="AU21" s="40" t="s">
        <v>48</v>
      </c>
      <c r="AV21" s="40" t="s">
        <v>48</v>
      </c>
      <c r="AW21" s="40" t="s">
        <v>48</v>
      </c>
      <c r="AX21" s="40" t="s">
        <v>48</v>
      </c>
      <c r="AY21" s="40" t="s">
        <v>48</v>
      </c>
      <c r="AZ21" s="40" t="s">
        <v>48</v>
      </c>
      <c r="BA21" s="40" t="s">
        <v>48</v>
      </c>
      <c r="BB21" s="40" t="s">
        <v>48</v>
      </c>
      <c r="BC21" s="40" t="s">
        <v>48</v>
      </c>
      <c r="BD21" s="40" t="s">
        <v>48</v>
      </c>
      <c r="BE21" s="40" t="s">
        <v>48</v>
      </c>
      <c r="BF21" s="40" t="s">
        <v>48</v>
      </c>
      <c r="BG21" s="40" t="s">
        <v>48</v>
      </c>
      <c r="BH21" s="40" t="s">
        <v>48</v>
      </c>
      <c r="BJ21" s="33"/>
      <c r="BK21" s="38" t="str">
        <f>Notes!U22</f>
        <v xml:space="preserve">               Irish potatoes</v>
      </c>
      <c r="BL21" s="4" t="s">
        <v>699</v>
      </c>
      <c r="BM21" s="44" t="s">
        <v>48</v>
      </c>
      <c r="BN21" s="42" t="s">
        <v>48</v>
      </c>
      <c r="BO21" s="40" t="s">
        <v>48</v>
      </c>
      <c r="BP21" s="40" t="s">
        <v>48</v>
      </c>
      <c r="BQ21" s="40" t="s">
        <v>48</v>
      </c>
      <c r="BR21" s="40" t="s">
        <v>48</v>
      </c>
      <c r="BS21" s="40" t="s">
        <v>48</v>
      </c>
      <c r="BT21" s="40" t="s">
        <v>48</v>
      </c>
      <c r="BU21" s="40" t="s">
        <v>48</v>
      </c>
      <c r="BV21" s="40" t="s">
        <v>48</v>
      </c>
      <c r="BW21" s="40" t="s">
        <v>48</v>
      </c>
      <c r="BX21" s="40" t="s">
        <v>48</v>
      </c>
      <c r="BY21" s="40" t="s">
        <v>48</v>
      </c>
      <c r="BZ21" s="40" t="s">
        <v>48</v>
      </c>
      <c r="CA21" s="40" t="s">
        <v>48</v>
      </c>
      <c r="CB21" s="40" t="s">
        <v>48</v>
      </c>
      <c r="CD21" s="33"/>
      <c r="CE21" s="38" t="str">
        <f>Notes!U22</f>
        <v xml:space="preserve">               Irish potatoes</v>
      </c>
      <c r="CF21" s="4" t="s">
        <v>699</v>
      </c>
      <c r="CG21" s="44" t="s">
        <v>48</v>
      </c>
      <c r="CH21" s="42" t="s">
        <v>48</v>
      </c>
      <c r="CI21" s="40" t="s">
        <v>48</v>
      </c>
      <c r="CJ21" s="40" t="s">
        <v>48</v>
      </c>
      <c r="CK21" s="40" t="s">
        <v>48</v>
      </c>
      <c r="CL21" s="40" t="s">
        <v>48</v>
      </c>
      <c r="CM21" s="40" t="s">
        <v>48</v>
      </c>
      <c r="CN21" s="40" t="s">
        <v>48</v>
      </c>
      <c r="CO21" s="40" t="s">
        <v>48</v>
      </c>
      <c r="CP21" s="40" t="s">
        <v>48</v>
      </c>
      <c r="CQ21" s="40" t="s">
        <v>48</v>
      </c>
      <c r="CR21" s="40" t="s">
        <v>48</v>
      </c>
      <c r="CS21" s="40" t="s">
        <v>48</v>
      </c>
      <c r="CT21" s="40" t="s">
        <v>48</v>
      </c>
      <c r="CU21" s="40" t="s">
        <v>48</v>
      </c>
      <c r="CV21" s="40" t="s">
        <v>48</v>
      </c>
      <c r="CX21" s="33"/>
      <c r="CY21" s="38" t="str">
        <f>Notes!U22</f>
        <v xml:space="preserve">               Irish potatoes</v>
      </c>
      <c r="CZ21" s="4" t="s">
        <v>699</v>
      </c>
      <c r="DA21" s="44" t="s">
        <v>48</v>
      </c>
      <c r="DB21" s="42" t="s">
        <v>48</v>
      </c>
      <c r="DC21" s="40" t="s">
        <v>48</v>
      </c>
      <c r="DD21" s="40" t="s">
        <v>48</v>
      </c>
      <c r="DE21" s="40" t="s">
        <v>48</v>
      </c>
      <c r="DF21" s="40" t="s">
        <v>48</v>
      </c>
      <c r="DG21" s="40" t="s">
        <v>48</v>
      </c>
      <c r="DH21" s="40" t="s">
        <v>48</v>
      </c>
      <c r="DI21" s="40" t="s">
        <v>48</v>
      </c>
      <c r="DJ21" s="40" t="s">
        <v>48</v>
      </c>
      <c r="DK21" s="40" t="s">
        <v>48</v>
      </c>
      <c r="DL21" s="40" t="s">
        <v>48</v>
      </c>
      <c r="DM21" s="40" t="s">
        <v>48</v>
      </c>
      <c r="DN21" s="40" t="s">
        <v>48</v>
      </c>
      <c r="DO21" s="40" t="s">
        <v>48</v>
      </c>
      <c r="DP21" s="40" t="s">
        <v>48</v>
      </c>
    </row>
    <row r="22" spans="1:120" x14ac:dyDescent="0.35">
      <c r="A22" s="12">
        <v>15</v>
      </c>
      <c r="B22" s="33"/>
      <c r="C22" s="38" t="str">
        <f>Notes!U23</f>
        <v xml:space="preserve">               Sweet potatoes</v>
      </c>
      <c r="D22" s="4" t="s">
        <v>320</v>
      </c>
      <c r="E22" s="44">
        <v>1.3144628647992536</v>
      </c>
      <c r="F22" s="42" t="s">
        <v>48</v>
      </c>
      <c r="G22" s="40" t="s">
        <v>48</v>
      </c>
      <c r="H22" s="40" t="s">
        <v>48</v>
      </c>
      <c r="I22" s="40" t="s">
        <v>48</v>
      </c>
      <c r="J22" s="40" t="s">
        <v>48</v>
      </c>
      <c r="K22" s="4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0" t="s">
        <v>48</v>
      </c>
      <c r="Q22" s="40" t="s">
        <v>48</v>
      </c>
      <c r="R22" s="40" t="s">
        <v>48</v>
      </c>
      <c r="S22" s="40" t="s">
        <v>48</v>
      </c>
      <c r="T22" s="40" t="s">
        <v>48</v>
      </c>
      <c r="V22" s="33"/>
      <c r="W22" s="38" t="str">
        <f>Notes!U23</f>
        <v xml:space="preserve">               Sweet potatoes</v>
      </c>
      <c r="X22" s="4" t="s">
        <v>320</v>
      </c>
      <c r="Y22" s="44">
        <v>1.0068752892465371</v>
      </c>
      <c r="Z22" s="42" t="s">
        <v>48</v>
      </c>
      <c r="AA22" s="40" t="s">
        <v>48</v>
      </c>
      <c r="AB22" s="40" t="s">
        <v>48</v>
      </c>
      <c r="AC22" s="40" t="s">
        <v>48</v>
      </c>
      <c r="AD22" s="40" t="s">
        <v>48</v>
      </c>
      <c r="AE22" s="40" t="s">
        <v>48</v>
      </c>
      <c r="AF22" s="40" t="s">
        <v>48</v>
      </c>
      <c r="AG22" s="40" t="s">
        <v>48</v>
      </c>
      <c r="AH22" s="40" t="s">
        <v>48</v>
      </c>
      <c r="AI22" s="40" t="s">
        <v>48</v>
      </c>
      <c r="AJ22" s="40" t="s">
        <v>48</v>
      </c>
      <c r="AK22" s="40" t="s">
        <v>48</v>
      </c>
      <c r="AL22" s="40" t="s">
        <v>48</v>
      </c>
      <c r="AM22" s="40" t="s">
        <v>48</v>
      </c>
      <c r="AN22" s="40" t="s">
        <v>48</v>
      </c>
      <c r="AP22" s="33"/>
      <c r="AQ22" s="38" t="str">
        <f>Notes!U23</f>
        <v xml:space="preserve">               Sweet potatoes</v>
      </c>
      <c r="AR22" s="4" t="s">
        <v>320</v>
      </c>
      <c r="AS22" s="44">
        <v>1.318284570728669</v>
      </c>
      <c r="AT22" s="42" t="s">
        <v>48</v>
      </c>
      <c r="AU22" s="40" t="s">
        <v>48</v>
      </c>
      <c r="AV22" s="40" t="s">
        <v>48</v>
      </c>
      <c r="AW22" s="40" t="s">
        <v>48</v>
      </c>
      <c r="AX22" s="40" t="s">
        <v>48</v>
      </c>
      <c r="AY22" s="40" t="s">
        <v>48</v>
      </c>
      <c r="AZ22" s="40" t="s">
        <v>48</v>
      </c>
      <c r="BA22" s="40" t="s">
        <v>48</v>
      </c>
      <c r="BB22" s="40" t="s">
        <v>48</v>
      </c>
      <c r="BC22" s="40" t="s">
        <v>48</v>
      </c>
      <c r="BD22" s="40" t="s">
        <v>48</v>
      </c>
      <c r="BE22" s="40" t="s">
        <v>48</v>
      </c>
      <c r="BF22" s="40" t="s">
        <v>48</v>
      </c>
      <c r="BG22" s="40" t="s">
        <v>48</v>
      </c>
      <c r="BH22" s="40" t="s">
        <v>48</v>
      </c>
      <c r="BJ22" s="33"/>
      <c r="BK22" s="38" t="str">
        <f>Notes!U23</f>
        <v xml:space="preserve">               Sweet potatoes</v>
      </c>
      <c r="BL22" s="4" t="s">
        <v>320</v>
      </c>
      <c r="BM22" s="44" t="s">
        <v>48</v>
      </c>
      <c r="BN22" s="42" t="s">
        <v>48</v>
      </c>
      <c r="BO22" s="40" t="s">
        <v>48</v>
      </c>
      <c r="BP22" s="40" t="s">
        <v>48</v>
      </c>
      <c r="BQ22" s="40" t="s">
        <v>48</v>
      </c>
      <c r="BR22" s="40" t="s">
        <v>48</v>
      </c>
      <c r="BS22" s="40" t="s">
        <v>48</v>
      </c>
      <c r="BT22" s="40" t="s">
        <v>48</v>
      </c>
      <c r="BU22" s="40" t="s">
        <v>48</v>
      </c>
      <c r="BV22" s="40" t="s">
        <v>48</v>
      </c>
      <c r="BW22" s="40" t="s">
        <v>48</v>
      </c>
      <c r="BX22" s="40" t="s">
        <v>48</v>
      </c>
      <c r="BY22" s="40" t="s">
        <v>48</v>
      </c>
      <c r="BZ22" s="40" t="s">
        <v>48</v>
      </c>
      <c r="CA22" s="40" t="s">
        <v>48</v>
      </c>
      <c r="CB22" s="40" t="s">
        <v>48</v>
      </c>
      <c r="CD22" s="33"/>
      <c r="CE22" s="38" t="str">
        <f>Notes!U23</f>
        <v xml:space="preserve">               Sweet potatoes</v>
      </c>
      <c r="CF22" s="4" t="s">
        <v>320</v>
      </c>
      <c r="CG22" s="44">
        <v>1.2303419385822583</v>
      </c>
      <c r="CH22" s="42" t="s">
        <v>48</v>
      </c>
      <c r="CI22" s="40" t="s">
        <v>48</v>
      </c>
      <c r="CJ22" s="40" t="s">
        <v>48</v>
      </c>
      <c r="CK22" s="40" t="s">
        <v>48</v>
      </c>
      <c r="CL22" s="40" t="s">
        <v>48</v>
      </c>
      <c r="CM22" s="40" t="s">
        <v>48</v>
      </c>
      <c r="CN22" s="40" t="s">
        <v>48</v>
      </c>
      <c r="CO22" s="40" t="s">
        <v>48</v>
      </c>
      <c r="CP22" s="40" t="s">
        <v>48</v>
      </c>
      <c r="CQ22" s="40" t="s">
        <v>48</v>
      </c>
      <c r="CR22" s="40" t="s">
        <v>48</v>
      </c>
      <c r="CS22" s="40" t="s">
        <v>48</v>
      </c>
      <c r="CT22" s="40" t="s">
        <v>48</v>
      </c>
      <c r="CU22" s="40" t="s">
        <v>48</v>
      </c>
      <c r="CV22" s="40" t="s">
        <v>48</v>
      </c>
      <c r="CX22" s="33"/>
      <c r="CY22" s="38" t="str">
        <f>Notes!U23</f>
        <v xml:space="preserve">               Sweet potatoes</v>
      </c>
      <c r="CZ22" s="4" t="s">
        <v>320</v>
      </c>
      <c r="DA22" s="44" t="s">
        <v>48</v>
      </c>
      <c r="DB22" s="42" t="s">
        <v>48</v>
      </c>
      <c r="DC22" s="40" t="s">
        <v>48</v>
      </c>
      <c r="DD22" s="40" t="s">
        <v>48</v>
      </c>
      <c r="DE22" s="40" t="s">
        <v>48</v>
      </c>
      <c r="DF22" s="40" t="s">
        <v>48</v>
      </c>
      <c r="DG22" s="40" t="s">
        <v>48</v>
      </c>
      <c r="DH22" s="40" t="s">
        <v>48</v>
      </c>
      <c r="DI22" s="40" t="s">
        <v>48</v>
      </c>
      <c r="DJ22" s="40" t="s">
        <v>48</v>
      </c>
      <c r="DK22" s="40" t="s">
        <v>48</v>
      </c>
      <c r="DL22" s="40" t="s">
        <v>48</v>
      </c>
      <c r="DM22" s="40" t="s">
        <v>48</v>
      </c>
      <c r="DN22" s="40" t="s">
        <v>48</v>
      </c>
      <c r="DO22" s="40" t="s">
        <v>48</v>
      </c>
      <c r="DP22" s="40" t="s">
        <v>48</v>
      </c>
    </row>
    <row r="23" spans="1:120" x14ac:dyDescent="0.35">
      <c r="A23" s="12">
        <v>16</v>
      </c>
      <c r="B23" s="33"/>
      <c r="C23" s="38" t="str">
        <f>Notes!U24</f>
        <v xml:space="preserve">               Other roots</v>
      </c>
      <c r="D23" s="4" t="s">
        <v>700</v>
      </c>
      <c r="E23" s="44">
        <v>0.18955575037586633</v>
      </c>
      <c r="F23" s="42" t="s">
        <v>48</v>
      </c>
      <c r="G23" s="40" t="s">
        <v>48</v>
      </c>
      <c r="H23" s="40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V23" s="33"/>
      <c r="W23" s="38" t="str">
        <f>Notes!U24</f>
        <v xml:space="preserve">               Other roots</v>
      </c>
      <c r="X23" s="4" t="s">
        <v>700</v>
      </c>
      <c r="Y23" s="44">
        <v>0.15653610765580037</v>
      </c>
      <c r="Z23" s="42" t="s">
        <v>48</v>
      </c>
      <c r="AA23" s="40" t="s">
        <v>48</v>
      </c>
      <c r="AB23" s="40" t="s">
        <v>48</v>
      </c>
      <c r="AC23" s="40" t="s">
        <v>48</v>
      </c>
      <c r="AD23" s="40" t="s">
        <v>48</v>
      </c>
      <c r="AE23" s="40" t="s">
        <v>48</v>
      </c>
      <c r="AF23" s="40" t="s">
        <v>48</v>
      </c>
      <c r="AG23" s="40" t="s">
        <v>48</v>
      </c>
      <c r="AH23" s="40" t="s">
        <v>48</v>
      </c>
      <c r="AI23" s="40" t="s">
        <v>48</v>
      </c>
      <c r="AJ23" s="40" t="s">
        <v>48</v>
      </c>
      <c r="AK23" s="40" t="s">
        <v>48</v>
      </c>
      <c r="AL23" s="40" t="s">
        <v>48</v>
      </c>
      <c r="AM23" s="40" t="s">
        <v>48</v>
      </c>
      <c r="AN23" s="40" t="s">
        <v>48</v>
      </c>
      <c r="AP23" s="33"/>
      <c r="AQ23" s="38" t="str">
        <f>Notes!U24</f>
        <v xml:space="preserve">               Other roots</v>
      </c>
      <c r="AR23" s="4" t="s">
        <v>700</v>
      </c>
      <c r="AS23" s="44" t="s">
        <v>48</v>
      </c>
      <c r="AT23" s="42" t="s">
        <v>48</v>
      </c>
      <c r="AU23" s="40" t="s">
        <v>48</v>
      </c>
      <c r="AV23" s="40" t="s">
        <v>48</v>
      </c>
      <c r="AW23" s="40" t="s">
        <v>48</v>
      </c>
      <c r="AX23" s="40" t="s">
        <v>48</v>
      </c>
      <c r="AY23" s="40" t="s">
        <v>48</v>
      </c>
      <c r="AZ23" s="40" t="s">
        <v>48</v>
      </c>
      <c r="BA23" s="40" t="s">
        <v>48</v>
      </c>
      <c r="BB23" s="40" t="s">
        <v>48</v>
      </c>
      <c r="BC23" s="40" t="s">
        <v>48</v>
      </c>
      <c r="BD23" s="40" t="s">
        <v>48</v>
      </c>
      <c r="BE23" s="40" t="s">
        <v>48</v>
      </c>
      <c r="BF23" s="40" t="s">
        <v>48</v>
      </c>
      <c r="BG23" s="40" t="s">
        <v>48</v>
      </c>
      <c r="BH23" s="40" t="s">
        <v>48</v>
      </c>
      <c r="BJ23" s="33"/>
      <c r="BK23" s="38" t="str">
        <f>Notes!U24</f>
        <v xml:space="preserve">               Other roots</v>
      </c>
      <c r="BL23" s="4" t="s">
        <v>700</v>
      </c>
      <c r="BM23" s="44" t="s">
        <v>48</v>
      </c>
      <c r="BN23" s="42" t="s">
        <v>48</v>
      </c>
      <c r="BO23" s="40" t="s">
        <v>48</v>
      </c>
      <c r="BP23" s="40" t="s">
        <v>48</v>
      </c>
      <c r="BQ23" s="40" t="s">
        <v>48</v>
      </c>
      <c r="BR23" s="40" t="s">
        <v>48</v>
      </c>
      <c r="BS23" s="40" t="s">
        <v>48</v>
      </c>
      <c r="BT23" s="40" t="s">
        <v>48</v>
      </c>
      <c r="BU23" s="40" t="s">
        <v>48</v>
      </c>
      <c r="BV23" s="40" t="s">
        <v>48</v>
      </c>
      <c r="BW23" s="40" t="s">
        <v>48</v>
      </c>
      <c r="BX23" s="40" t="s">
        <v>48</v>
      </c>
      <c r="BY23" s="40" t="s">
        <v>48</v>
      </c>
      <c r="BZ23" s="40" t="s">
        <v>48</v>
      </c>
      <c r="CA23" s="40" t="s">
        <v>48</v>
      </c>
      <c r="CB23" s="40" t="s">
        <v>48</v>
      </c>
      <c r="CD23" s="33"/>
      <c r="CE23" s="38" t="str">
        <f>Notes!U24</f>
        <v xml:space="preserve">               Other roots</v>
      </c>
      <c r="CF23" s="4" t="s">
        <v>700</v>
      </c>
      <c r="CG23" s="44" t="s">
        <v>48</v>
      </c>
      <c r="CH23" s="42" t="s">
        <v>48</v>
      </c>
      <c r="CI23" s="40" t="s">
        <v>48</v>
      </c>
      <c r="CJ23" s="40" t="s">
        <v>48</v>
      </c>
      <c r="CK23" s="40" t="s">
        <v>48</v>
      </c>
      <c r="CL23" s="40" t="s">
        <v>48</v>
      </c>
      <c r="CM23" s="40" t="s">
        <v>48</v>
      </c>
      <c r="CN23" s="40" t="s">
        <v>48</v>
      </c>
      <c r="CO23" s="40" t="s">
        <v>48</v>
      </c>
      <c r="CP23" s="40" t="s">
        <v>48</v>
      </c>
      <c r="CQ23" s="40" t="s">
        <v>48</v>
      </c>
      <c r="CR23" s="40" t="s">
        <v>48</v>
      </c>
      <c r="CS23" s="40" t="s">
        <v>48</v>
      </c>
      <c r="CT23" s="40" t="s">
        <v>48</v>
      </c>
      <c r="CU23" s="40" t="s">
        <v>48</v>
      </c>
      <c r="CV23" s="40" t="s">
        <v>48</v>
      </c>
      <c r="CX23" s="33"/>
      <c r="CY23" s="38" t="str">
        <f>Notes!U24</f>
        <v xml:space="preserve">               Other roots</v>
      </c>
      <c r="CZ23" s="4" t="s">
        <v>700</v>
      </c>
      <c r="DA23" s="44" t="s">
        <v>48</v>
      </c>
      <c r="DB23" s="42" t="s">
        <v>48</v>
      </c>
      <c r="DC23" s="40" t="s">
        <v>48</v>
      </c>
      <c r="DD23" s="40" t="s">
        <v>48</v>
      </c>
      <c r="DE23" s="40" t="s">
        <v>48</v>
      </c>
      <c r="DF23" s="40" t="s">
        <v>48</v>
      </c>
      <c r="DG23" s="40" t="s">
        <v>48</v>
      </c>
      <c r="DH23" s="40" t="s">
        <v>48</v>
      </c>
      <c r="DI23" s="40" t="s">
        <v>48</v>
      </c>
      <c r="DJ23" s="40" t="s">
        <v>48</v>
      </c>
      <c r="DK23" s="40" t="s">
        <v>48</v>
      </c>
      <c r="DL23" s="40" t="s">
        <v>48</v>
      </c>
      <c r="DM23" s="40" t="s">
        <v>48</v>
      </c>
      <c r="DN23" s="40" t="s">
        <v>48</v>
      </c>
      <c r="DO23" s="40" t="s">
        <v>48</v>
      </c>
      <c r="DP23" s="40" t="s">
        <v>48</v>
      </c>
    </row>
    <row r="24" spans="1:120" x14ac:dyDescent="0.35">
      <c r="A24" s="12">
        <v>17</v>
      </c>
      <c r="B24" s="33"/>
      <c r="C24" s="38" t="str">
        <f>Notes!U25</f>
        <v xml:space="preserve">               Leafy vegetables</v>
      </c>
      <c r="D24" s="4" t="s">
        <v>701</v>
      </c>
      <c r="E24" s="44">
        <v>1.2732875959362893</v>
      </c>
      <c r="F24" s="42" t="s">
        <v>48</v>
      </c>
      <c r="G24" s="40" t="s">
        <v>48</v>
      </c>
      <c r="H24" s="40" t="s">
        <v>48</v>
      </c>
      <c r="I24" s="40" t="s">
        <v>48</v>
      </c>
      <c r="J24" s="40" t="s">
        <v>48</v>
      </c>
      <c r="K24" s="40" t="s">
        <v>48</v>
      </c>
      <c r="L24" s="40" t="s">
        <v>48</v>
      </c>
      <c r="M24" s="40" t="s">
        <v>48</v>
      </c>
      <c r="N24" s="40" t="s">
        <v>48</v>
      </c>
      <c r="O24" s="40" t="s">
        <v>48</v>
      </c>
      <c r="P24" s="40" t="s">
        <v>48</v>
      </c>
      <c r="Q24" s="40" t="s">
        <v>48</v>
      </c>
      <c r="R24" s="40" t="s">
        <v>48</v>
      </c>
      <c r="S24" s="40" t="s">
        <v>48</v>
      </c>
      <c r="T24" s="40" t="s">
        <v>48</v>
      </c>
      <c r="V24" s="33"/>
      <c r="W24" s="38" t="str">
        <f>Notes!U25</f>
        <v xml:space="preserve">               Leafy vegetables</v>
      </c>
      <c r="X24" s="4" t="s">
        <v>701</v>
      </c>
      <c r="Y24" s="44">
        <v>1.0540271014721183</v>
      </c>
      <c r="Z24" s="42" t="s">
        <v>48</v>
      </c>
      <c r="AA24" s="40" t="s">
        <v>48</v>
      </c>
      <c r="AB24" s="40" t="s">
        <v>48</v>
      </c>
      <c r="AC24" s="40" t="s">
        <v>48</v>
      </c>
      <c r="AD24" s="40" t="s">
        <v>48</v>
      </c>
      <c r="AE24" s="40" t="s">
        <v>48</v>
      </c>
      <c r="AF24" s="40" t="s">
        <v>48</v>
      </c>
      <c r="AG24" s="40" t="s">
        <v>48</v>
      </c>
      <c r="AH24" s="40" t="s">
        <v>48</v>
      </c>
      <c r="AI24" s="40" t="s">
        <v>48</v>
      </c>
      <c r="AJ24" s="40" t="s">
        <v>48</v>
      </c>
      <c r="AK24" s="40" t="s">
        <v>48</v>
      </c>
      <c r="AL24" s="40" t="s">
        <v>48</v>
      </c>
      <c r="AM24" s="40" t="s">
        <v>48</v>
      </c>
      <c r="AN24" s="40" t="s">
        <v>48</v>
      </c>
      <c r="AP24" s="33"/>
      <c r="AQ24" s="38" t="str">
        <f>Notes!U25</f>
        <v xml:space="preserve">               Leafy vegetables</v>
      </c>
      <c r="AR24" s="4" t="s">
        <v>701</v>
      </c>
      <c r="AS24" s="44">
        <v>0.32912712138891803</v>
      </c>
      <c r="AT24" s="42" t="s">
        <v>48</v>
      </c>
      <c r="AU24" s="40" t="s">
        <v>48</v>
      </c>
      <c r="AV24" s="40" t="s">
        <v>48</v>
      </c>
      <c r="AW24" s="40" t="s">
        <v>48</v>
      </c>
      <c r="AX24" s="40" t="s">
        <v>48</v>
      </c>
      <c r="AY24" s="40" t="s">
        <v>48</v>
      </c>
      <c r="AZ24" s="40" t="s">
        <v>48</v>
      </c>
      <c r="BA24" s="40" t="s">
        <v>48</v>
      </c>
      <c r="BB24" s="40" t="s">
        <v>48</v>
      </c>
      <c r="BC24" s="40" t="s">
        <v>48</v>
      </c>
      <c r="BD24" s="40" t="s">
        <v>48</v>
      </c>
      <c r="BE24" s="40" t="s">
        <v>48</v>
      </c>
      <c r="BF24" s="40" t="s">
        <v>48</v>
      </c>
      <c r="BG24" s="40" t="s">
        <v>48</v>
      </c>
      <c r="BH24" s="40" t="s">
        <v>48</v>
      </c>
      <c r="BJ24" s="33"/>
      <c r="BK24" s="38" t="str">
        <f>Notes!U25</f>
        <v xml:space="preserve">               Leafy vegetables</v>
      </c>
      <c r="BL24" s="4" t="s">
        <v>701</v>
      </c>
      <c r="BM24" s="44">
        <v>7.8837948744910277E-2</v>
      </c>
      <c r="BN24" s="42" t="s">
        <v>48</v>
      </c>
      <c r="BO24" s="40" t="s">
        <v>48</v>
      </c>
      <c r="BP24" s="40" t="s">
        <v>48</v>
      </c>
      <c r="BQ24" s="40" t="s">
        <v>48</v>
      </c>
      <c r="BR24" s="40" t="s">
        <v>48</v>
      </c>
      <c r="BS24" s="40" t="s">
        <v>48</v>
      </c>
      <c r="BT24" s="40" t="s">
        <v>48</v>
      </c>
      <c r="BU24" s="40" t="s">
        <v>48</v>
      </c>
      <c r="BV24" s="40" t="s">
        <v>48</v>
      </c>
      <c r="BW24" s="40" t="s">
        <v>48</v>
      </c>
      <c r="BX24" s="40" t="s">
        <v>48</v>
      </c>
      <c r="BY24" s="40" t="s">
        <v>48</v>
      </c>
      <c r="BZ24" s="40" t="s">
        <v>48</v>
      </c>
      <c r="CA24" s="40" t="s">
        <v>48</v>
      </c>
      <c r="CB24" s="40" t="s">
        <v>48</v>
      </c>
      <c r="CD24" s="33"/>
      <c r="CE24" s="38" t="str">
        <f>Notes!U25</f>
        <v xml:space="preserve">               Leafy vegetables</v>
      </c>
      <c r="CF24" s="4" t="s">
        <v>701</v>
      </c>
      <c r="CG24" s="44">
        <v>0.30573635601842652</v>
      </c>
      <c r="CH24" s="42" t="s">
        <v>48</v>
      </c>
      <c r="CI24" s="40" t="s">
        <v>48</v>
      </c>
      <c r="CJ24" s="40" t="s">
        <v>48</v>
      </c>
      <c r="CK24" s="40" t="s">
        <v>48</v>
      </c>
      <c r="CL24" s="40" t="s">
        <v>48</v>
      </c>
      <c r="CM24" s="40" t="s">
        <v>48</v>
      </c>
      <c r="CN24" s="40" t="s">
        <v>48</v>
      </c>
      <c r="CO24" s="40" t="s">
        <v>48</v>
      </c>
      <c r="CP24" s="40" t="s">
        <v>48</v>
      </c>
      <c r="CQ24" s="40" t="s">
        <v>48</v>
      </c>
      <c r="CR24" s="40" t="s">
        <v>48</v>
      </c>
      <c r="CS24" s="40" t="s">
        <v>48</v>
      </c>
      <c r="CT24" s="40" t="s">
        <v>48</v>
      </c>
      <c r="CU24" s="40" t="s">
        <v>48</v>
      </c>
      <c r="CV24" s="40" t="s">
        <v>48</v>
      </c>
      <c r="CX24" s="33"/>
      <c r="CY24" s="38" t="str">
        <f>Notes!U25</f>
        <v xml:space="preserve">               Leafy vegetables</v>
      </c>
      <c r="CZ24" s="4" t="s">
        <v>701</v>
      </c>
      <c r="DA24" s="44">
        <v>9.551982139259213E-2</v>
      </c>
      <c r="DB24" s="42" t="s">
        <v>48</v>
      </c>
      <c r="DC24" s="40" t="s">
        <v>48</v>
      </c>
      <c r="DD24" s="40" t="s">
        <v>48</v>
      </c>
      <c r="DE24" s="40" t="s">
        <v>48</v>
      </c>
      <c r="DF24" s="40" t="s">
        <v>48</v>
      </c>
      <c r="DG24" s="40" t="s">
        <v>48</v>
      </c>
      <c r="DH24" s="40" t="s">
        <v>48</v>
      </c>
      <c r="DI24" s="40" t="s">
        <v>48</v>
      </c>
      <c r="DJ24" s="40" t="s">
        <v>48</v>
      </c>
      <c r="DK24" s="40" t="s">
        <v>48</v>
      </c>
      <c r="DL24" s="40" t="s">
        <v>48</v>
      </c>
      <c r="DM24" s="40" t="s">
        <v>48</v>
      </c>
      <c r="DN24" s="40" t="s">
        <v>48</v>
      </c>
      <c r="DO24" s="40" t="s">
        <v>48</v>
      </c>
      <c r="DP24" s="40" t="s">
        <v>48</v>
      </c>
    </row>
    <row r="25" spans="1:120" x14ac:dyDescent="0.35">
      <c r="A25" s="12">
        <v>18</v>
      </c>
      <c r="B25" s="33"/>
      <c r="C25" s="38" t="str">
        <f>Notes!U26</f>
        <v xml:space="preserve">               Other vegetables</v>
      </c>
      <c r="D25" s="4" t="s">
        <v>702</v>
      </c>
      <c r="E25" s="44">
        <v>0.73249964414634272</v>
      </c>
      <c r="F25" s="42" t="s">
        <v>48</v>
      </c>
      <c r="G25" s="40" t="s">
        <v>48</v>
      </c>
      <c r="H25" s="40" t="s">
        <v>48</v>
      </c>
      <c r="I25" s="40" t="s">
        <v>48</v>
      </c>
      <c r="J25" s="40" t="s">
        <v>48</v>
      </c>
      <c r="K25" s="40" t="s">
        <v>48</v>
      </c>
      <c r="L25" s="40" t="s">
        <v>48</v>
      </c>
      <c r="M25" s="40" t="s">
        <v>48</v>
      </c>
      <c r="N25" s="40" t="s">
        <v>48</v>
      </c>
      <c r="O25" s="40" t="s">
        <v>48</v>
      </c>
      <c r="P25" s="40" t="s">
        <v>48</v>
      </c>
      <c r="Q25" s="40" t="s">
        <v>48</v>
      </c>
      <c r="R25" s="40" t="s">
        <v>48</v>
      </c>
      <c r="S25" s="40" t="s">
        <v>48</v>
      </c>
      <c r="T25" s="40" t="s">
        <v>48</v>
      </c>
      <c r="V25" s="33"/>
      <c r="W25" s="38" t="str">
        <f>Notes!U26</f>
        <v xml:space="preserve">               Other vegetables</v>
      </c>
      <c r="X25" s="4" t="s">
        <v>702</v>
      </c>
      <c r="Y25" s="44">
        <v>0.58043618542794839</v>
      </c>
      <c r="Z25" s="42" t="s">
        <v>48</v>
      </c>
      <c r="AA25" s="40" t="s">
        <v>48</v>
      </c>
      <c r="AB25" s="40" t="s">
        <v>48</v>
      </c>
      <c r="AC25" s="40" t="s">
        <v>48</v>
      </c>
      <c r="AD25" s="40" t="s">
        <v>48</v>
      </c>
      <c r="AE25" s="40" t="s">
        <v>48</v>
      </c>
      <c r="AF25" s="40" t="s">
        <v>48</v>
      </c>
      <c r="AG25" s="40" t="s">
        <v>48</v>
      </c>
      <c r="AH25" s="40" t="s">
        <v>48</v>
      </c>
      <c r="AI25" s="40" t="s">
        <v>48</v>
      </c>
      <c r="AJ25" s="40" t="s">
        <v>48</v>
      </c>
      <c r="AK25" s="40" t="s">
        <v>48</v>
      </c>
      <c r="AL25" s="40" t="s">
        <v>48</v>
      </c>
      <c r="AM25" s="40" t="s">
        <v>48</v>
      </c>
      <c r="AN25" s="40" t="s">
        <v>48</v>
      </c>
      <c r="AP25" s="33"/>
      <c r="AQ25" s="38" t="str">
        <f>Notes!U26</f>
        <v xml:space="preserve">               Other vegetables</v>
      </c>
      <c r="AR25" s="4" t="s">
        <v>702</v>
      </c>
      <c r="AS25" s="44" t="s">
        <v>48</v>
      </c>
      <c r="AT25" s="42" t="s">
        <v>48</v>
      </c>
      <c r="AU25" s="40" t="s">
        <v>48</v>
      </c>
      <c r="AV25" s="40" t="s">
        <v>48</v>
      </c>
      <c r="AW25" s="40" t="s">
        <v>48</v>
      </c>
      <c r="AX25" s="40" t="s">
        <v>48</v>
      </c>
      <c r="AY25" s="40" t="s">
        <v>48</v>
      </c>
      <c r="AZ25" s="40" t="s">
        <v>48</v>
      </c>
      <c r="BA25" s="40" t="s">
        <v>48</v>
      </c>
      <c r="BB25" s="40" t="s">
        <v>48</v>
      </c>
      <c r="BC25" s="40" t="s">
        <v>48</v>
      </c>
      <c r="BD25" s="40" t="s">
        <v>48</v>
      </c>
      <c r="BE25" s="40" t="s">
        <v>48</v>
      </c>
      <c r="BF25" s="40" t="s">
        <v>48</v>
      </c>
      <c r="BG25" s="40" t="s">
        <v>48</v>
      </c>
      <c r="BH25" s="40" t="s">
        <v>48</v>
      </c>
      <c r="BJ25" s="33"/>
      <c r="BK25" s="38" t="str">
        <f>Notes!U26</f>
        <v xml:space="preserve">               Other vegetables</v>
      </c>
      <c r="BL25" s="4" t="s">
        <v>702</v>
      </c>
      <c r="BM25" s="44" t="s">
        <v>48</v>
      </c>
      <c r="BN25" s="42" t="s">
        <v>48</v>
      </c>
      <c r="BO25" s="40" t="s">
        <v>48</v>
      </c>
      <c r="BP25" s="40" t="s">
        <v>48</v>
      </c>
      <c r="BQ25" s="40" t="s">
        <v>48</v>
      </c>
      <c r="BR25" s="40" t="s">
        <v>48</v>
      </c>
      <c r="BS25" s="40" t="s">
        <v>48</v>
      </c>
      <c r="BT25" s="40" t="s">
        <v>48</v>
      </c>
      <c r="BU25" s="40" t="s">
        <v>48</v>
      </c>
      <c r="BV25" s="40" t="s">
        <v>48</v>
      </c>
      <c r="BW25" s="40" t="s">
        <v>48</v>
      </c>
      <c r="BX25" s="40" t="s">
        <v>48</v>
      </c>
      <c r="BY25" s="40" t="s">
        <v>48</v>
      </c>
      <c r="BZ25" s="40" t="s">
        <v>48</v>
      </c>
      <c r="CA25" s="40" t="s">
        <v>48</v>
      </c>
      <c r="CB25" s="40" t="s">
        <v>48</v>
      </c>
      <c r="CD25" s="33"/>
      <c r="CE25" s="38" t="str">
        <f>Notes!U26</f>
        <v xml:space="preserve">               Other vegetables</v>
      </c>
      <c r="CF25" s="4" t="s">
        <v>702</v>
      </c>
      <c r="CG25" s="44" t="s">
        <v>48</v>
      </c>
      <c r="CH25" s="42" t="s">
        <v>48</v>
      </c>
      <c r="CI25" s="40" t="s">
        <v>48</v>
      </c>
      <c r="CJ25" s="40" t="s">
        <v>48</v>
      </c>
      <c r="CK25" s="40" t="s">
        <v>48</v>
      </c>
      <c r="CL25" s="40" t="s">
        <v>48</v>
      </c>
      <c r="CM25" s="40" t="s">
        <v>48</v>
      </c>
      <c r="CN25" s="40" t="s">
        <v>48</v>
      </c>
      <c r="CO25" s="40" t="s">
        <v>48</v>
      </c>
      <c r="CP25" s="40" t="s">
        <v>48</v>
      </c>
      <c r="CQ25" s="40" t="s">
        <v>48</v>
      </c>
      <c r="CR25" s="40" t="s">
        <v>48</v>
      </c>
      <c r="CS25" s="40" t="s">
        <v>48</v>
      </c>
      <c r="CT25" s="40" t="s">
        <v>48</v>
      </c>
      <c r="CU25" s="40" t="s">
        <v>48</v>
      </c>
      <c r="CV25" s="40" t="s">
        <v>48</v>
      </c>
      <c r="CX25" s="33"/>
      <c r="CY25" s="38" t="str">
        <f>Notes!U26</f>
        <v xml:space="preserve">               Other vegetables</v>
      </c>
      <c r="CZ25" s="4" t="s">
        <v>702</v>
      </c>
      <c r="DA25" s="44" t="s">
        <v>48</v>
      </c>
      <c r="DB25" s="42" t="s">
        <v>48</v>
      </c>
      <c r="DC25" s="40" t="s">
        <v>48</v>
      </c>
      <c r="DD25" s="40" t="s">
        <v>48</v>
      </c>
      <c r="DE25" s="40" t="s">
        <v>48</v>
      </c>
      <c r="DF25" s="40" t="s">
        <v>48</v>
      </c>
      <c r="DG25" s="40" t="s">
        <v>48</v>
      </c>
      <c r="DH25" s="40" t="s">
        <v>48</v>
      </c>
      <c r="DI25" s="40" t="s">
        <v>48</v>
      </c>
      <c r="DJ25" s="40" t="s">
        <v>48</v>
      </c>
      <c r="DK25" s="40" t="s">
        <v>48</v>
      </c>
      <c r="DL25" s="40" t="s">
        <v>48</v>
      </c>
      <c r="DM25" s="40" t="s">
        <v>48</v>
      </c>
      <c r="DN25" s="40" t="s">
        <v>48</v>
      </c>
      <c r="DO25" s="40" t="s">
        <v>48</v>
      </c>
      <c r="DP25" s="40" t="s">
        <v>48</v>
      </c>
    </row>
    <row r="26" spans="1:120" x14ac:dyDescent="0.35">
      <c r="A26" s="12">
        <v>19</v>
      </c>
      <c r="B26" s="33"/>
      <c r="C26" s="38" t="str">
        <f>Notes!U27</f>
        <v xml:space="preserve">               Sugarcane</v>
      </c>
      <c r="D26" s="4" t="s">
        <v>326</v>
      </c>
      <c r="E26" s="44">
        <v>7.4159109779118959E-3</v>
      </c>
      <c r="F26" s="42" t="s">
        <v>48</v>
      </c>
      <c r="G26" s="40" t="s">
        <v>48</v>
      </c>
      <c r="H26" s="40" t="s">
        <v>48</v>
      </c>
      <c r="I26" s="40" t="s">
        <v>48</v>
      </c>
      <c r="J26" s="40" t="s">
        <v>48</v>
      </c>
      <c r="K26" s="40" t="s">
        <v>48</v>
      </c>
      <c r="L26" s="40" t="s">
        <v>48</v>
      </c>
      <c r="M26" s="40" t="s">
        <v>48</v>
      </c>
      <c r="N26" s="40" t="s">
        <v>48</v>
      </c>
      <c r="O26" s="40" t="s">
        <v>48</v>
      </c>
      <c r="P26" s="40" t="s">
        <v>48</v>
      </c>
      <c r="Q26" s="40" t="s">
        <v>48</v>
      </c>
      <c r="R26" s="40" t="s">
        <v>48</v>
      </c>
      <c r="S26" s="40" t="s">
        <v>48</v>
      </c>
      <c r="T26" s="40" t="s">
        <v>48</v>
      </c>
      <c r="V26" s="33"/>
      <c r="W26" s="38" t="str">
        <f>Notes!U27</f>
        <v xml:space="preserve">               Sugarcane</v>
      </c>
      <c r="X26" s="4" t="s">
        <v>326</v>
      </c>
      <c r="Y26" s="44">
        <v>6.3979935734711016E-2</v>
      </c>
      <c r="Z26" s="42" t="s">
        <v>48</v>
      </c>
      <c r="AA26" s="40" t="s">
        <v>48</v>
      </c>
      <c r="AB26" s="40" t="s">
        <v>48</v>
      </c>
      <c r="AC26" s="40" t="s">
        <v>48</v>
      </c>
      <c r="AD26" s="40" t="s">
        <v>48</v>
      </c>
      <c r="AE26" s="40" t="s">
        <v>48</v>
      </c>
      <c r="AF26" s="40" t="s">
        <v>48</v>
      </c>
      <c r="AG26" s="40" t="s">
        <v>48</v>
      </c>
      <c r="AH26" s="40" t="s">
        <v>48</v>
      </c>
      <c r="AI26" s="40" t="s">
        <v>48</v>
      </c>
      <c r="AJ26" s="40" t="s">
        <v>48</v>
      </c>
      <c r="AK26" s="40" t="s">
        <v>48</v>
      </c>
      <c r="AL26" s="40" t="s">
        <v>48</v>
      </c>
      <c r="AM26" s="40" t="s">
        <v>48</v>
      </c>
      <c r="AN26" s="40" t="s">
        <v>48</v>
      </c>
      <c r="AP26" s="33"/>
      <c r="AQ26" s="38" t="str">
        <f>Notes!U27</f>
        <v xml:space="preserve">               Sugarcane</v>
      </c>
      <c r="AR26" s="4" t="s">
        <v>326</v>
      </c>
      <c r="AS26" s="44" t="s">
        <v>48</v>
      </c>
      <c r="AT26" s="42" t="s">
        <v>48</v>
      </c>
      <c r="AU26" s="40" t="s">
        <v>48</v>
      </c>
      <c r="AV26" s="40" t="s">
        <v>48</v>
      </c>
      <c r="AW26" s="40" t="s">
        <v>48</v>
      </c>
      <c r="AX26" s="40" t="s">
        <v>48</v>
      </c>
      <c r="AY26" s="40" t="s">
        <v>48</v>
      </c>
      <c r="AZ26" s="40" t="s">
        <v>48</v>
      </c>
      <c r="BA26" s="40" t="s">
        <v>48</v>
      </c>
      <c r="BB26" s="40" t="s">
        <v>48</v>
      </c>
      <c r="BC26" s="40" t="s">
        <v>48</v>
      </c>
      <c r="BD26" s="40" t="s">
        <v>48</v>
      </c>
      <c r="BE26" s="40" t="s">
        <v>48</v>
      </c>
      <c r="BF26" s="40" t="s">
        <v>48</v>
      </c>
      <c r="BG26" s="40" t="s">
        <v>48</v>
      </c>
      <c r="BH26" s="40" t="s">
        <v>48</v>
      </c>
      <c r="BJ26" s="33"/>
      <c r="BK26" s="38" t="str">
        <f>Notes!U27</f>
        <v xml:space="preserve">               Sugarcane</v>
      </c>
      <c r="BL26" s="4" t="s">
        <v>326</v>
      </c>
      <c r="BM26" s="44" t="s">
        <v>48</v>
      </c>
      <c r="BN26" s="42" t="s">
        <v>48</v>
      </c>
      <c r="BO26" s="40" t="s">
        <v>48</v>
      </c>
      <c r="BP26" s="40" t="s">
        <v>48</v>
      </c>
      <c r="BQ26" s="40" t="s">
        <v>48</v>
      </c>
      <c r="BR26" s="40" t="s">
        <v>48</v>
      </c>
      <c r="BS26" s="40" t="s">
        <v>48</v>
      </c>
      <c r="BT26" s="40" t="s">
        <v>48</v>
      </c>
      <c r="BU26" s="40" t="s">
        <v>48</v>
      </c>
      <c r="BV26" s="40" t="s">
        <v>48</v>
      </c>
      <c r="BW26" s="40" t="s">
        <v>48</v>
      </c>
      <c r="BX26" s="40" t="s">
        <v>48</v>
      </c>
      <c r="BY26" s="40" t="s">
        <v>48</v>
      </c>
      <c r="BZ26" s="40" t="s">
        <v>48</v>
      </c>
      <c r="CA26" s="40" t="s">
        <v>48</v>
      </c>
      <c r="CB26" s="40" t="s">
        <v>48</v>
      </c>
      <c r="CD26" s="33"/>
      <c r="CE26" s="38" t="str">
        <f>Notes!U27</f>
        <v xml:space="preserve">               Sugarcane</v>
      </c>
      <c r="CF26" s="4" t="s">
        <v>326</v>
      </c>
      <c r="CG26" s="44" t="s">
        <v>48</v>
      </c>
      <c r="CH26" s="42" t="s">
        <v>48</v>
      </c>
      <c r="CI26" s="40" t="s">
        <v>48</v>
      </c>
      <c r="CJ26" s="40" t="s">
        <v>48</v>
      </c>
      <c r="CK26" s="40" t="s">
        <v>48</v>
      </c>
      <c r="CL26" s="40" t="s">
        <v>48</v>
      </c>
      <c r="CM26" s="40" t="s">
        <v>48</v>
      </c>
      <c r="CN26" s="40" t="s">
        <v>48</v>
      </c>
      <c r="CO26" s="40" t="s">
        <v>48</v>
      </c>
      <c r="CP26" s="40" t="s">
        <v>48</v>
      </c>
      <c r="CQ26" s="40" t="s">
        <v>48</v>
      </c>
      <c r="CR26" s="40" t="s">
        <v>48</v>
      </c>
      <c r="CS26" s="40" t="s">
        <v>48</v>
      </c>
      <c r="CT26" s="40" t="s">
        <v>48</v>
      </c>
      <c r="CU26" s="40" t="s">
        <v>48</v>
      </c>
      <c r="CV26" s="40" t="s">
        <v>48</v>
      </c>
      <c r="CX26" s="33"/>
      <c r="CY26" s="38" t="str">
        <f>Notes!U27</f>
        <v xml:space="preserve">               Sugarcane</v>
      </c>
      <c r="CZ26" s="4" t="s">
        <v>326</v>
      </c>
      <c r="DA26" s="44" t="s">
        <v>48</v>
      </c>
      <c r="DB26" s="42" t="s">
        <v>48</v>
      </c>
      <c r="DC26" s="40" t="s">
        <v>48</v>
      </c>
      <c r="DD26" s="40" t="s">
        <v>48</v>
      </c>
      <c r="DE26" s="40" t="s">
        <v>48</v>
      </c>
      <c r="DF26" s="40" t="s">
        <v>48</v>
      </c>
      <c r="DG26" s="40" t="s">
        <v>48</v>
      </c>
      <c r="DH26" s="40" t="s">
        <v>48</v>
      </c>
      <c r="DI26" s="40" t="s">
        <v>48</v>
      </c>
      <c r="DJ26" s="40" t="s">
        <v>48</v>
      </c>
      <c r="DK26" s="40" t="s">
        <v>48</v>
      </c>
      <c r="DL26" s="40" t="s">
        <v>48</v>
      </c>
      <c r="DM26" s="40" t="s">
        <v>48</v>
      </c>
      <c r="DN26" s="40" t="s">
        <v>48</v>
      </c>
      <c r="DO26" s="40" t="s">
        <v>48</v>
      </c>
      <c r="DP26" s="40" t="s">
        <v>48</v>
      </c>
    </row>
    <row r="27" spans="1:120" x14ac:dyDescent="0.35">
      <c r="A27" s="12">
        <v>20</v>
      </c>
      <c r="B27" s="33"/>
      <c r="C27" s="38" t="str">
        <f>Notes!U28</f>
        <v xml:space="preserve">               Tobacco</v>
      </c>
      <c r="D27" s="4" t="s">
        <v>470</v>
      </c>
      <c r="E27" s="44">
        <v>0.23978085522789475</v>
      </c>
      <c r="F27" s="42" t="s">
        <v>48</v>
      </c>
      <c r="G27" s="40" t="s">
        <v>48</v>
      </c>
      <c r="H27" s="40" t="s">
        <v>48</v>
      </c>
      <c r="I27" s="40" t="s">
        <v>48</v>
      </c>
      <c r="J27" s="40" t="s">
        <v>48</v>
      </c>
      <c r="K27" s="40" t="s">
        <v>48</v>
      </c>
      <c r="L27" s="40" t="s">
        <v>48</v>
      </c>
      <c r="M27" s="40" t="s">
        <v>48</v>
      </c>
      <c r="N27" s="40" t="s">
        <v>48</v>
      </c>
      <c r="O27" s="40" t="s">
        <v>48</v>
      </c>
      <c r="P27" s="40" t="s">
        <v>48</v>
      </c>
      <c r="Q27" s="40" t="s">
        <v>48</v>
      </c>
      <c r="R27" s="40" t="s">
        <v>48</v>
      </c>
      <c r="S27" s="40" t="s">
        <v>48</v>
      </c>
      <c r="T27" s="40" t="s">
        <v>48</v>
      </c>
      <c r="V27" s="33"/>
      <c r="W27" s="38" t="str">
        <f>Notes!U28</f>
        <v xml:space="preserve">               Tobacco</v>
      </c>
      <c r="X27" s="4" t="s">
        <v>470</v>
      </c>
      <c r="Y27" s="44">
        <v>0.20114843937219234</v>
      </c>
      <c r="Z27" s="42" t="s">
        <v>48</v>
      </c>
      <c r="AA27" s="40" t="s">
        <v>48</v>
      </c>
      <c r="AB27" s="40" t="s">
        <v>48</v>
      </c>
      <c r="AC27" s="40" t="s">
        <v>48</v>
      </c>
      <c r="AD27" s="40" t="s">
        <v>48</v>
      </c>
      <c r="AE27" s="40" t="s">
        <v>48</v>
      </c>
      <c r="AF27" s="40" t="s">
        <v>48</v>
      </c>
      <c r="AG27" s="40" t="s">
        <v>48</v>
      </c>
      <c r="AH27" s="40" t="s">
        <v>48</v>
      </c>
      <c r="AI27" s="40" t="s">
        <v>48</v>
      </c>
      <c r="AJ27" s="40" t="s">
        <v>48</v>
      </c>
      <c r="AK27" s="40" t="s">
        <v>48</v>
      </c>
      <c r="AL27" s="40" t="s">
        <v>48</v>
      </c>
      <c r="AM27" s="40" t="s">
        <v>48</v>
      </c>
      <c r="AN27" s="40" t="s">
        <v>48</v>
      </c>
      <c r="AP27" s="33"/>
      <c r="AQ27" s="38" t="str">
        <f>Notes!U28</f>
        <v xml:space="preserve">               Tobacco</v>
      </c>
      <c r="AR27" s="4" t="s">
        <v>470</v>
      </c>
      <c r="AS27" s="44" t="s">
        <v>48</v>
      </c>
      <c r="AT27" s="42" t="s">
        <v>48</v>
      </c>
      <c r="AU27" s="40" t="s">
        <v>48</v>
      </c>
      <c r="AV27" s="40" t="s">
        <v>48</v>
      </c>
      <c r="AW27" s="40" t="s">
        <v>48</v>
      </c>
      <c r="AX27" s="40" t="s">
        <v>48</v>
      </c>
      <c r="AY27" s="40" t="s">
        <v>48</v>
      </c>
      <c r="AZ27" s="40" t="s">
        <v>48</v>
      </c>
      <c r="BA27" s="40" t="s">
        <v>48</v>
      </c>
      <c r="BB27" s="40" t="s">
        <v>48</v>
      </c>
      <c r="BC27" s="40" t="s">
        <v>48</v>
      </c>
      <c r="BD27" s="40" t="s">
        <v>48</v>
      </c>
      <c r="BE27" s="40" t="s">
        <v>48</v>
      </c>
      <c r="BF27" s="40" t="s">
        <v>48</v>
      </c>
      <c r="BG27" s="40" t="s">
        <v>48</v>
      </c>
      <c r="BH27" s="40" t="s">
        <v>48</v>
      </c>
      <c r="BJ27" s="33"/>
      <c r="BK27" s="38" t="str">
        <f>Notes!U28</f>
        <v xml:space="preserve">               Tobacco</v>
      </c>
      <c r="BL27" s="4" t="s">
        <v>470</v>
      </c>
      <c r="BM27" s="44" t="s">
        <v>48</v>
      </c>
      <c r="BN27" s="42" t="s">
        <v>48</v>
      </c>
      <c r="BO27" s="40" t="s">
        <v>48</v>
      </c>
      <c r="BP27" s="40" t="s">
        <v>48</v>
      </c>
      <c r="BQ27" s="40" t="s">
        <v>48</v>
      </c>
      <c r="BR27" s="40" t="s">
        <v>48</v>
      </c>
      <c r="BS27" s="40" t="s">
        <v>48</v>
      </c>
      <c r="BT27" s="40" t="s">
        <v>48</v>
      </c>
      <c r="BU27" s="40" t="s">
        <v>48</v>
      </c>
      <c r="BV27" s="40" t="s">
        <v>48</v>
      </c>
      <c r="BW27" s="40" t="s">
        <v>48</v>
      </c>
      <c r="BX27" s="40" t="s">
        <v>48</v>
      </c>
      <c r="BY27" s="40" t="s">
        <v>48</v>
      </c>
      <c r="BZ27" s="40" t="s">
        <v>48</v>
      </c>
      <c r="CA27" s="40" t="s">
        <v>48</v>
      </c>
      <c r="CB27" s="40" t="s">
        <v>48</v>
      </c>
      <c r="CD27" s="33"/>
      <c r="CE27" s="38" t="str">
        <f>Notes!U28</f>
        <v xml:space="preserve">               Tobacco</v>
      </c>
      <c r="CF27" s="4" t="s">
        <v>470</v>
      </c>
      <c r="CG27" s="44" t="s">
        <v>48</v>
      </c>
      <c r="CH27" s="42" t="s">
        <v>48</v>
      </c>
      <c r="CI27" s="40" t="s">
        <v>48</v>
      </c>
      <c r="CJ27" s="40" t="s">
        <v>48</v>
      </c>
      <c r="CK27" s="40" t="s">
        <v>48</v>
      </c>
      <c r="CL27" s="40" t="s">
        <v>48</v>
      </c>
      <c r="CM27" s="40" t="s">
        <v>48</v>
      </c>
      <c r="CN27" s="40" t="s">
        <v>48</v>
      </c>
      <c r="CO27" s="40" t="s">
        <v>48</v>
      </c>
      <c r="CP27" s="40" t="s">
        <v>48</v>
      </c>
      <c r="CQ27" s="40" t="s">
        <v>48</v>
      </c>
      <c r="CR27" s="40" t="s">
        <v>48</v>
      </c>
      <c r="CS27" s="40" t="s">
        <v>48</v>
      </c>
      <c r="CT27" s="40" t="s">
        <v>48</v>
      </c>
      <c r="CU27" s="40" t="s">
        <v>48</v>
      </c>
      <c r="CV27" s="40" t="s">
        <v>48</v>
      </c>
      <c r="CX27" s="33"/>
      <c r="CY27" s="38" t="str">
        <f>Notes!U28</f>
        <v xml:space="preserve">               Tobacco</v>
      </c>
      <c r="CZ27" s="4" t="s">
        <v>470</v>
      </c>
      <c r="DA27" s="44" t="s">
        <v>48</v>
      </c>
      <c r="DB27" s="42" t="s">
        <v>48</v>
      </c>
      <c r="DC27" s="40" t="s">
        <v>48</v>
      </c>
      <c r="DD27" s="40" t="s">
        <v>48</v>
      </c>
      <c r="DE27" s="40" t="s">
        <v>48</v>
      </c>
      <c r="DF27" s="40" t="s">
        <v>48</v>
      </c>
      <c r="DG27" s="40" t="s">
        <v>48</v>
      </c>
      <c r="DH27" s="40" t="s">
        <v>48</v>
      </c>
      <c r="DI27" s="40" t="s">
        <v>48</v>
      </c>
      <c r="DJ27" s="40" t="s">
        <v>48</v>
      </c>
      <c r="DK27" s="40" t="s">
        <v>48</v>
      </c>
      <c r="DL27" s="40" t="s">
        <v>48</v>
      </c>
      <c r="DM27" s="40" t="s">
        <v>48</v>
      </c>
      <c r="DN27" s="40" t="s">
        <v>48</v>
      </c>
      <c r="DO27" s="40" t="s">
        <v>48</v>
      </c>
      <c r="DP27" s="40" t="s">
        <v>48</v>
      </c>
    </row>
    <row r="28" spans="1:120" x14ac:dyDescent="0.35">
      <c r="A28" s="12">
        <v>21</v>
      </c>
      <c r="B28" s="33"/>
      <c r="C28" s="38" t="str">
        <f>Notes!U29</f>
        <v xml:space="preserve">               Cotton and fibres</v>
      </c>
      <c r="D28" s="4" t="s">
        <v>703</v>
      </c>
      <c r="E28" s="44">
        <v>0.20739767071222068</v>
      </c>
      <c r="F28" s="42" t="s">
        <v>48</v>
      </c>
      <c r="G28" s="40" t="s">
        <v>48</v>
      </c>
      <c r="H28" s="40" t="s">
        <v>48</v>
      </c>
      <c r="I28" s="40" t="s">
        <v>48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0" t="s">
        <v>48</v>
      </c>
      <c r="Q28" s="40" t="s">
        <v>48</v>
      </c>
      <c r="R28" s="40" t="s">
        <v>48</v>
      </c>
      <c r="S28" s="40" t="s">
        <v>48</v>
      </c>
      <c r="T28" s="40" t="s">
        <v>48</v>
      </c>
      <c r="V28" s="33"/>
      <c r="W28" s="38" t="str">
        <f>Notes!U29</f>
        <v xml:space="preserve">               Cotton and fibres</v>
      </c>
      <c r="X28" s="4" t="s">
        <v>703</v>
      </c>
      <c r="Y28" s="44">
        <v>0.21250390777468736</v>
      </c>
      <c r="Z28" s="42" t="s">
        <v>48</v>
      </c>
      <c r="AA28" s="40" t="s">
        <v>48</v>
      </c>
      <c r="AB28" s="40" t="s">
        <v>48</v>
      </c>
      <c r="AC28" s="40" t="s">
        <v>48</v>
      </c>
      <c r="AD28" s="40" t="s">
        <v>48</v>
      </c>
      <c r="AE28" s="40" t="s">
        <v>48</v>
      </c>
      <c r="AF28" s="40" t="s">
        <v>48</v>
      </c>
      <c r="AG28" s="40" t="s">
        <v>48</v>
      </c>
      <c r="AH28" s="40" t="s">
        <v>48</v>
      </c>
      <c r="AI28" s="40" t="s">
        <v>48</v>
      </c>
      <c r="AJ28" s="40" t="s">
        <v>48</v>
      </c>
      <c r="AK28" s="40" t="s">
        <v>48</v>
      </c>
      <c r="AL28" s="40" t="s">
        <v>48</v>
      </c>
      <c r="AM28" s="40" t="s">
        <v>48</v>
      </c>
      <c r="AN28" s="40" t="s">
        <v>48</v>
      </c>
      <c r="AP28" s="33"/>
      <c r="AQ28" s="38" t="str">
        <f>Notes!U29</f>
        <v xml:space="preserve">               Cotton and fibres</v>
      </c>
      <c r="AR28" s="4" t="s">
        <v>703</v>
      </c>
      <c r="AS28" s="44">
        <v>0.14649568857162984</v>
      </c>
      <c r="AT28" s="42" t="s">
        <v>48</v>
      </c>
      <c r="AU28" s="40" t="s">
        <v>48</v>
      </c>
      <c r="AV28" s="40" t="s">
        <v>48</v>
      </c>
      <c r="AW28" s="40" t="s">
        <v>48</v>
      </c>
      <c r="AX28" s="40" t="s">
        <v>48</v>
      </c>
      <c r="AY28" s="40" t="s">
        <v>48</v>
      </c>
      <c r="AZ28" s="40" t="s">
        <v>48</v>
      </c>
      <c r="BA28" s="40" t="s">
        <v>48</v>
      </c>
      <c r="BB28" s="40" t="s">
        <v>48</v>
      </c>
      <c r="BC28" s="40" t="s">
        <v>48</v>
      </c>
      <c r="BD28" s="40" t="s">
        <v>48</v>
      </c>
      <c r="BE28" s="40" t="s">
        <v>48</v>
      </c>
      <c r="BF28" s="40" t="s">
        <v>48</v>
      </c>
      <c r="BG28" s="40" t="s">
        <v>48</v>
      </c>
      <c r="BH28" s="40" t="s">
        <v>48</v>
      </c>
      <c r="BJ28" s="33"/>
      <c r="BK28" s="38" t="str">
        <f>Notes!U29</f>
        <v xml:space="preserve">               Cotton and fibres</v>
      </c>
      <c r="BL28" s="4" t="s">
        <v>703</v>
      </c>
      <c r="BM28" s="44">
        <v>0.22717974414398992</v>
      </c>
      <c r="BN28" s="42" t="s">
        <v>48</v>
      </c>
      <c r="BO28" s="40" t="s">
        <v>48</v>
      </c>
      <c r="BP28" s="40" t="s">
        <v>48</v>
      </c>
      <c r="BQ28" s="40" t="s">
        <v>48</v>
      </c>
      <c r="BR28" s="40" t="s">
        <v>48</v>
      </c>
      <c r="BS28" s="40" t="s">
        <v>48</v>
      </c>
      <c r="BT28" s="40" t="s">
        <v>48</v>
      </c>
      <c r="BU28" s="40" t="s">
        <v>48</v>
      </c>
      <c r="BV28" s="40" t="s">
        <v>48</v>
      </c>
      <c r="BW28" s="40" t="s">
        <v>48</v>
      </c>
      <c r="BX28" s="40" t="s">
        <v>48</v>
      </c>
      <c r="BY28" s="40" t="s">
        <v>48</v>
      </c>
      <c r="BZ28" s="40" t="s">
        <v>48</v>
      </c>
      <c r="CA28" s="40" t="s">
        <v>48</v>
      </c>
      <c r="CB28" s="40" t="s">
        <v>48</v>
      </c>
      <c r="CD28" s="33"/>
      <c r="CE28" s="38" t="str">
        <f>Notes!U29</f>
        <v xml:space="preserve">               Cotton and fibres</v>
      </c>
      <c r="CF28" s="4" t="s">
        <v>703</v>
      </c>
      <c r="CG28" s="44">
        <v>0.13591056988698977</v>
      </c>
      <c r="CH28" s="42" t="s">
        <v>48</v>
      </c>
      <c r="CI28" s="40" t="s">
        <v>48</v>
      </c>
      <c r="CJ28" s="40" t="s">
        <v>48</v>
      </c>
      <c r="CK28" s="40" t="s">
        <v>48</v>
      </c>
      <c r="CL28" s="40" t="s">
        <v>48</v>
      </c>
      <c r="CM28" s="40" t="s">
        <v>48</v>
      </c>
      <c r="CN28" s="40" t="s">
        <v>48</v>
      </c>
      <c r="CO28" s="40" t="s">
        <v>48</v>
      </c>
      <c r="CP28" s="40" t="s">
        <v>48</v>
      </c>
      <c r="CQ28" s="40" t="s">
        <v>48</v>
      </c>
      <c r="CR28" s="40" t="s">
        <v>48</v>
      </c>
      <c r="CS28" s="40" t="s">
        <v>48</v>
      </c>
      <c r="CT28" s="40" t="s">
        <v>48</v>
      </c>
      <c r="CU28" s="40" t="s">
        <v>48</v>
      </c>
      <c r="CV28" s="40" t="s">
        <v>48</v>
      </c>
      <c r="CX28" s="33"/>
      <c r="CY28" s="38" t="str">
        <f>Notes!U29</f>
        <v xml:space="preserve">               Cotton and fibres</v>
      </c>
      <c r="CZ28" s="4" t="s">
        <v>703</v>
      </c>
      <c r="DA28" s="44">
        <v>0.27560228590219077</v>
      </c>
      <c r="DB28" s="42" t="s">
        <v>48</v>
      </c>
      <c r="DC28" s="40" t="s">
        <v>48</v>
      </c>
      <c r="DD28" s="40" t="s">
        <v>48</v>
      </c>
      <c r="DE28" s="40" t="s">
        <v>48</v>
      </c>
      <c r="DF28" s="40" t="s">
        <v>48</v>
      </c>
      <c r="DG28" s="40" t="s">
        <v>48</v>
      </c>
      <c r="DH28" s="40" t="s">
        <v>48</v>
      </c>
      <c r="DI28" s="40" t="s">
        <v>48</v>
      </c>
      <c r="DJ28" s="40" t="s">
        <v>48</v>
      </c>
      <c r="DK28" s="40" t="s">
        <v>48</v>
      </c>
      <c r="DL28" s="40" t="s">
        <v>48</v>
      </c>
      <c r="DM28" s="40" t="s">
        <v>48</v>
      </c>
      <c r="DN28" s="40" t="s">
        <v>48</v>
      </c>
      <c r="DO28" s="40" t="s">
        <v>48</v>
      </c>
      <c r="DP28" s="40" t="s">
        <v>48</v>
      </c>
    </row>
    <row r="29" spans="1:120" x14ac:dyDescent="0.35">
      <c r="A29" s="12">
        <v>22</v>
      </c>
      <c r="B29" s="33"/>
      <c r="C29" s="38" t="str">
        <f>Notes!U30</f>
        <v xml:space="preserve">               Jute</v>
      </c>
      <c r="D29" s="4" t="s">
        <v>765</v>
      </c>
      <c r="E29" s="44">
        <v>0.10623497916661226</v>
      </c>
      <c r="F29" s="42" t="s">
        <v>48</v>
      </c>
      <c r="G29" s="40" t="s">
        <v>48</v>
      </c>
      <c r="H29" s="40" t="s">
        <v>48</v>
      </c>
      <c r="I29" s="40" t="s">
        <v>48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V29" s="33"/>
      <c r="W29" s="38" t="str">
        <f>Notes!U30</f>
        <v xml:space="preserve">               Jute</v>
      </c>
      <c r="X29" s="4" t="s">
        <v>765</v>
      </c>
      <c r="Y29" s="44">
        <v>0.10732390300069014</v>
      </c>
      <c r="Z29" s="42" t="s">
        <v>48</v>
      </c>
      <c r="AA29" s="40" t="s">
        <v>48</v>
      </c>
      <c r="AB29" s="40" t="s">
        <v>48</v>
      </c>
      <c r="AC29" s="40" t="s">
        <v>48</v>
      </c>
      <c r="AD29" s="40" t="s">
        <v>48</v>
      </c>
      <c r="AE29" s="40" t="s">
        <v>48</v>
      </c>
      <c r="AF29" s="40" t="s">
        <v>48</v>
      </c>
      <c r="AG29" s="40" t="s">
        <v>48</v>
      </c>
      <c r="AH29" s="40" t="s">
        <v>48</v>
      </c>
      <c r="AI29" s="40" t="s">
        <v>48</v>
      </c>
      <c r="AJ29" s="40" t="s">
        <v>48</v>
      </c>
      <c r="AK29" s="40" t="s">
        <v>48</v>
      </c>
      <c r="AL29" s="40" t="s">
        <v>48</v>
      </c>
      <c r="AM29" s="40" t="s">
        <v>48</v>
      </c>
      <c r="AN29" s="40" t="s">
        <v>48</v>
      </c>
      <c r="AP29" s="33"/>
      <c r="AQ29" s="38" t="str">
        <f>Notes!U30</f>
        <v xml:space="preserve">               Jute</v>
      </c>
      <c r="AR29" s="4" t="s">
        <v>765</v>
      </c>
      <c r="AS29" s="44">
        <v>5.0222345998139531E-2</v>
      </c>
      <c r="AT29" s="42" t="s">
        <v>48</v>
      </c>
      <c r="AU29" s="40" t="s">
        <v>48</v>
      </c>
      <c r="AV29" s="40" t="s">
        <v>48</v>
      </c>
      <c r="AW29" s="40" t="s">
        <v>48</v>
      </c>
      <c r="AX29" s="40" t="s">
        <v>48</v>
      </c>
      <c r="AY29" s="40" t="s">
        <v>48</v>
      </c>
      <c r="AZ29" s="40" t="s">
        <v>48</v>
      </c>
      <c r="BA29" s="40" t="s">
        <v>48</v>
      </c>
      <c r="BB29" s="40" t="s">
        <v>48</v>
      </c>
      <c r="BC29" s="40" t="s">
        <v>48</v>
      </c>
      <c r="BD29" s="40" t="s">
        <v>48</v>
      </c>
      <c r="BE29" s="40" t="s">
        <v>48</v>
      </c>
      <c r="BF29" s="40" t="s">
        <v>48</v>
      </c>
      <c r="BG29" s="40" t="s">
        <v>48</v>
      </c>
      <c r="BH29" s="40" t="s">
        <v>48</v>
      </c>
      <c r="BJ29" s="33"/>
      <c r="BK29" s="38" t="str">
        <f>Notes!U30</f>
        <v xml:space="preserve">               Jute</v>
      </c>
      <c r="BL29" s="4" t="s">
        <v>765</v>
      </c>
      <c r="BM29" s="44">
        <v>0.10203900006039986</v>
      </c>
      <c r="BN29" s="42" t="s">
        <v>48</v>
      </c>
      <c r="BO29" s="40" t="s">
        <v>48</v>
      </c>
      <c r="BP29" s="40" t="s">
        <v>48</v>
      </c>
      <c r="BQ29" s="40" t="s">
        <v>48</v>
      </c>
      <c r="BR29" s="40" t="s">
        <v>48</v>
      </c>
      <c r="BS29" s="40" t="s">
        <v>48</v>
      </c>
      <c r="BT29" s="40" t="s">
        <v>48</v>
      </c>
      <c r="BU29" s="40" t="s">
        <v>48</v>
      </c>
      <c r="BV29" s="40" t="s">
        <v>48</v>
      </c>
      <c r="BW29" s="40" t="s">
        <v>48</v>
      </c>
      <c r="BX29" s="40" t="s">
        <v>48</v>
      </c>
      <c r="BY29" s="40" t="s">
        <v>48</v>
      </c>
      <c r="BZ29" s="40" t="s">
        <v>48</v>
      </c>
      <c r="CA29" s="40" t="s">
        <v>48</v>
      </c>
      <c r="CB29" s="40" t="s">
        <v>48</v>
      </c>
      <c r="CD29" s="33"/>
      <c r="CE29" s="38" t="str">
        <f>Notes!U30</f>
        <v xml:space="preserve">               Jute</v>
      </c>
      <c r="CF29" s="4" t="s">
        <v>765</v>
      </c>
      <c r="CG29" s="44">
        <v>4.6972378324602007E-2</v>
      </c>
      <c r="CH29" s="42" t="s">
        <v>48</v>
      </c>
      <c r="CI29" s="40" t="s">
        <v>48</v>
      </c>
      <c r="CJ29" s="40" t="s">
        <v>48</v>
      </c>
      <c r="CK29" s="40" t="s">
        <v>48</v>
      </c>
      <c r="CL29" s="40" t="s">
        <v>48</v>
      </c>
      <c r="CM29" s="40" t="s">
        <v>48</v>
      </c>
      <c r="CN29" s="40" t="s">
        <v>48</v>
      </c>
      <c r="CO29" s="40" t="s">
        <v>48</v>
      </c>
      <c r="CP29" s="40" t="s">
        <v>48</v>
      </c>
      <c r="CQ29" s="40" t="s">
        <v>48</v>
      </c>
      <c r="CR29" s="40" t="s">
        <v>48</v>
      </c>
      <c r="CS29" s="40" t="s">
        <v>48</v>
      </c>
      <c r="CT29" s="40" t="s">
        <v>48</v>
      </c>
      <c r="CU29" s="40" t="s">
        <v>48</v>
      </c>
      <c r="CV29" s="40" t="s">
        <v>48</v>
      </c>
      <c r="CX29" s="33"/>
      <c r="CY29" s="38" t="str">
        <f>Notes!U30</f>
        <v xml:space="preserve">               Jute</v>
      </c>
      <c r="CZ29" s="4" t="s">
        <v>765</v>
      </c>
      <c r="DA29" s="44">
        <v>0.12278978503167035</v>
      </c>
      <c r="DB29" s="42" t="s">
        <v>48</v>
      </c>
      <c r="DC29" s="40" t="s">
        <v>48</v>
      </c>
      <c r="DD29" s="40" t="s">
        <v>48</v>
      </c>
      <c r="DE29" s="40" t="s">
        <v>48</v>
      </c>
      <c r="DF29" s="40" t="s">
        <v>48</v>
      </c>
      <c r="DG29" s="40" t="s">
        <v>48</v>
      </c>
      <c r="DH29" s="40" t="s">
        <v>48</v>
      </c>
      <c r="DI29" s="40" t="s">
        <v>48</v>
      </c>
      <c r="DJ29" s="40" t="s">
        <v>48</v>
      </c>
      <c r="DK29" s="40" t="s">
        <v>48</v>
      </c>
      <c r="DL29" s="40" t="s">
        <v>48</v>
      </c>
      <c r="DM29" s="40" t="s">
        <v>48</v>
      </c>
      <c r="DN29" s="40" t="s">
        <v>48</v>
      </c>
      <c r="DO29" s="40" t="s">
        <v>48</v>
      </c>
      <c r="DP29" s="40" t="s">
        <v>48</v>
      </c>
    </row>
    <row r="30" spans="1:120" x14ac:dyDescent="0.35">
      <c r="A30" s="12">
        <v>23</v>
      </c>
      <c r="B30" s="33"/>
      <c r="C30" s="38" t="str">
        <f>Notes!U31</f>
        <v xml:space="preserve">               Nuts</v>
      </c>
      <c r="D30" s="4" t="s">
        <v>327</v>
      </c>
      <c r="E30" s="44">
        <v>3.4006953221965085E-2</v>
      </c>
      <c r="F30" s="42" t="s">
        <v>48</v>
      </c>
      <c r="G30" s="40" t="s">
        <v>48</v>
      </c>
      <c r="H30" s="40" t="s">
        <v>48</v>
      </c>
      <c r="I30" s="40" t="s">
        <v>48</v>
      </c>
      <c r="J30" s="40" t="s">
        <v>48</v>
      </c>
      <c r="K30" s="40" t="s">
        <v>48</v>
      </c>
      <c r="L30" s="40" t="s">
        <v>48</v>
      </c>
      <c r="M30" s="40" t="s">
        <v>48</v>
      </c>
      <c r="N30" s="40" t="s">
        <v>48</v>
      </c>
      <c r="O30" s="40" t="s">
        <v>48</v>
      </c>
      <c r="P30" s="40" t="s">
        <v>48</v>
      </c>
      <c r="Q30" s="40" t="s">
        <v>48</v>
      </c>
      <c r="R30" s="40" t="s">
        <v>48</v>
      </c>
      <c r="S30" s="40" t="s">
        <v>48</v>
      </c>
      <c r="T30" s="40" t="s">
        <v>48</v>
      </c>
      <c r="V30" s="33"/>
      <c r="W30" s="38" t="str">
        <f>Notes!U31</f>
        <v xml:space="preserve">               Nuts</v>
      </c>
      <c r="X30" s="4" t="s">
        <v>327</v>
      </c>
      <c r="Y30" s="44">
        <v>2.8633256551955637E-2</v>
      </c>
      <c r="Z30" s="42" t="s">
        <v>48</v>
      </c>
      <c r="AA30" s="40" t="s">
        <v>48</v>
      </c>
      <c r="AB30" s="40" t="s">
        <v>48</v>
      </c>
      <c r="AC30" s="40" t="s">
        <v>48</v>
      </c>
      <c r="AD30" s="40" t="s">
        <v>48</v>
      </c>
      <c r="AE30" s="40" t="s">
        <v>48</v>
      </c>
      <c r="AF30" s="40" t="s">
        <v>48</v>
      </c>
      <c r="AG30" s="40" t="s">
        <v>48</v>
      </c>
      <c r="AH30" s="40" t="s">
        <v>48</v>
      </c>
      <c r="AI30" s="40" t="s">
        <v>48</v>
      </c>
      <c r="AJ30" s="40" t="s">
        <v>48</v>
      </c>
      <c r="AK30" s="40" t="s">
        <v>48</v>
      </c>
      <c r="AL30" s="40" t="s">
        <v>48</v>
      </c>
      <c r="AM30" s="40" t="s">
        <v>48</v>
      </c>
      <c r="AN30" s="40" t="s">
        <v>48</v>
      </c>
      <c r="AP30" s="33"/>
      <c r="AQ30" s="38" t="str">
        <f>Notes!U31</f>
        <v xml:space="preserve">               Nuts</v>
      </c>
      <c r="AR30" s="4" t="s">
        <v>327</v>
      </c>
      <c r="AS30" s="44" t="s">
        <v>48</v>
      </c>
      <c r="AT30" s="42" t="s">
        <v>48</v>
      </c>
      <c r="AU30" s="40" t="s">
        <v>48</v>
      </c>
      <c r="AV30" s="40" t="s">
        <v>48</v>
      </c>
      <c r="AW30" s="40" t="s">
        <v>48</v>
      </c>
      <c r="AX30" s="40" t="s">
        <v>48</v>
      </c>
      <c r="AY30" s="40" t="s">
        <v>48</v>
      </c>
      <c r="AZ30" s="40" t="s">
        <v>48</v>
      </c>
      <c r="BA30" s="40" t="s">
        <v>48</v>
      </c>
      <c r="BB30" s="40" t="s">
        <v>48</v>
      </c>
      <c r="BC30" s="40" t="s">
        <v>48</v>
      </c>
      <c r="BD30" s="40" t="s">
        <v>48</v>
      </c>
      <c r="BE30" s="40" t="s">
        <v>48</v>
      </c>
      <c r="BF30" s="40" t="s">
        <v>48</v>
      </c>
      <c r="BG30" s="40" t="s">
        <v>48</v>
      </c>
      <c r="BH30" s="40" t="s">
        <v>48</v>
      </c>
      <c r="BJ30" s="33"/>
      <c r="BK30" s="38" t="str">
        <f>Notes!U31</f>
        <v xml:space="preserve">               Nuts</v>
      </c>
      <c r="BL30" s="4" t="s">
        <v>327</v>
      </c>
      <c r="BM30" s="44" t="s">
        <v>48</v>
      </c>
      <c r="BN30" s="42" t="s">
        <v>48</v>
      </c>
      <c r="BO30" s="40" t="s">
        <v>48</v>
      </c>
      <c r="BP30" s="40" t="s">
        <v>48</v>
      </c>
      <c r="BQ30" s="40" t="s">
        <v>48</v>
      </c>
      <c r="BR30" s="40" t="s">
        <v>48</v>
      </c>
      <c r="BS30" s="40" t="s">
        <v>48</v>
      </c>
      <c r="BT30" s="40" t="s">
        <v>48</v>
      </c>
      <c r="BU30" s="40" t="s">
        <v>48</v>
      </c>
      <c r="BV30" s="40" t="s">
        <v>48</v>
      </c>
      <c r="BW30" s="40" t="s">
        <v>48</v>
      </c>
      <c r="BX30" s="40" t="s">
        <v>48</v>
      </c>
      <c r="BY30" s="40" t="s">
        <v>48</v>
      </c>
      <c r="BZ30" s="40" t="s">
        <v>48</v>
      </c>
      <c r="CA30" s="40" t="s">
        <v>48</v>
      </c>
      <c r="CB30" s="40" t="s">
        <v>48</v>
      </c>
      <c r="CD30" s="33"/>
      <c r="CE30" s="38" t="str">
        <f>Notes!U31</f>
        <v xml:space="preserve">               Nuts</v>
      </c>
      <c r="CF30" s="4" t="s">
        <v>327</v>
      </c>
      <c r="CG30" s="44" t="s">
        <v>48</v>
      </c>
      <c r="CH30" s="42" t="s">
        <v>48</v>
      </c>
      <c r="CI30" s="40" t="s">
        <v>48</v>
      </c>
      <c r="CJ30" s="40" t="s">
        <v>48</v>
      </c>
      <c r="CK30" s="40" t="s">
        <v>48</v>
      </c>
      <c r="CL30" s="40" t="s">
        <v>48</v>
      </c>
      <c r="CM30" s="40" t="s">
        <v>48</v>
      </c>
      <c r="CN30" s="40" t="s">
        <v>48</v>
      </c>
      <c r="CO30" s="40" t="s">
        <v>48</v>
      </c>
      <c r="CP30" s="40" t="s">
        <v>48</v>
      </c>
      <c r="CQ30" s="40" t="s">
        <v>48</v>
      </c>
      <c r="CR30" s="40" t="s">
        <v>48</v>
      </c>
      <c r="CS30" s="40" t="s">
        <v>48</v>
      </c>
      <c r="CT30" s="40" t="s">
        <v>48</v>
      </c>
      <c r="CU30" s="40" t="s">
        <v>48</v>
      </c>
      <c r="CV30" s="40" t="s">
        <v>48</v>
      </c>
      <c r="CX30" s="33"/>
      <c r="CY30" s="38" t="str">
        <f>Notes!U31</f>
        <v xml:space="preserve">               Nuts</v>
      </c>
      <c r="CZ30" s="4" t="s">
        <v>327</v>
      </c>
      <c r="DA30" s="44" t="s">
        <v>48</v>
      </c>
      <c r="DB30" s="42" t="s">
        <v>48</v>
      </c>
      <c r="DC30" s="40" t="s">
        <v>48</v>
      </c>
      <c r="DD30" s="40" t="s">
        <v>48</v>
      </c>
      <c r="DE30" s="40" t="s">
        <v>48</v>
      </c>
      <c r="DF30" s="40" t="s">
        <v>48</v>
      </c>
      <c r="DG30" s="40" t="s">
        <v>48</v>
      </c>
      <c r="DH30" s="40" t="s">
        <v>48</v>
      </c>
      <c r="DI30" s="40" t="s">
        <v>48</v>
      </c>
      <c r="DJ30" s="40" t="s">
        <v>48</v>
      </c>
      <c r="DK30" s="40" t="s">
        <v>48</v>
      </c>
      <c r="DL30" s="40" t="s">
        <v>48</v>
      </c>
      <c r="DM30" s="40" t="s">
        <v>48</v>
      </c>
      <c r="DN30" s="40" t="s">
        <v>48</v>
      </c>
      <c r="DO30" s="40" t="s">
        <v>48</v>
      </c>
      <c r="DP30" s="40" t="s">
        <v>48</v>
      </c>
    </row>
    <row r="31" spans="1:120" x14ac:dyDescent="0.35">
      <c r="A31" s="12">
        <v>24</v>
      </c>
      <c r="B31" s="33"/>
      <c r="C31" s="38" t="str">
        <f>Notes!U32</f>
        <v xml:space="preserve">               Bananas and plantains</v>
      </c>
      <c r="D31" s="4" t="s">
        <v>481</v>
      </c>
      <c r="E31" s="44" t="s">
        <v>48</v>
      </c>
      <c r="F31" s="42" t="s">
        <v>48</v>
      </c>
      <c r="G31" s="40" t="s">
        <v>48</v>
      </c>
      <c r="H31" s="40" t="s">
        <v>48</v>
      </c>
      <c r="I31" s="40" t="s">
        <v>48</v>
      </c>
      <c r="J31" s="40" t="s">
        <v>48</v>
      </c>
      <c r="K31" s="40" t="s">
        <v>48</v>
      </c>
      <c r="L31" s="40" t="s">
        <v>48</v>
      </c>
      <c r="M31" s="40" t="s">
        <v>48</v>
      </c>
      <c r="N31" s="40" t="s">
        <v>48</v>
      </c>
      <c r="O31" s="40" t="s">
        <v>48</v>
      </c>
      <c r="P31" s="40" t="s">
        <v>48</v>
      </c>
      <c r="Q31" s="40" t="s">
        <v>48</v>
      </c>
      <c r="R31" s="40" t="s">
        <v>48</v>
      </c>
      <c r="S31" s="40" t="s">
        <v>48</v>
      </c>
      <c r="T31" s="40" t="s">
        <v>48</v>
      </c>
      <c r="V31" s="33"/>
      <c r="W31" s="38" t="str">
        <f>Notes!U32</f>
        <v xml:space="preserve">               Bananas and plantains</v>
      </c>
      <c r="X31" s="4" t="s">
        <v>481</v>
      </c>
      <c r="Y31" s="44">
        <v>4.3486340838090151E-2</v>
      </c>
      <c r="Z31" s="42" t="s">
        <v>48</v>
      </c>
      <c r="AA31" s="40" t="s">
        <v>48</v>
      </c>
      <c r="AB31" s="40" t="s">
        <v>48</v>
      </c>
      <c r="AC31" s="40" t="s">
        <v>48</v>
      </c>
      <c r="AD31" s="40" t="s">
        <v>48</v>
      </c>
      <c r="AE31" s="40" t="s">
        <v>48</v>
      </c>
      <c r="AF31" s="40" t="s">
        <v>48</v>
      </c>
      <c r="AG31" s="40" t="s">
        <v>48</v>
      </c>
      <c r="AH31" s="40" t="s">
        <v>48</v>
      </c>
      <c r="AI31" s="40" t="s">
        <v>48</v>
      </c>
      <c r="AJ31" s="40" t="s">
        <v>48</v>
      </c>
      <c r="AK31" s="40" t="s">
        <v>48</v>
      </c>
      <c r="AL31" s="40" t="s">
        <v>48</v>
      </c>
      <c r="AM31" s="40" t="s">
        <v>48</v>
      </c>
      <c r="AN31" s="40" t="s">
        <v>48</v>
      </c>
      <c r="AP31" s="33"/>
      <c r="AQ31" s="38" t="str">
        <f>Notes!U32</f>
        <v xml:space="preserve">               Bananas and plantains</v>
      </c>
      <c r="AR31" s="4" t="s">
        <v>481</v>
      </c>
      <c r="AS31" s="44" t="s">
        <v>48</v>
      </c>
      <c r="AT31" s="42" t="s">
        <v>48</v>
      </c>
      <c r="AU31" s="40" t="s">
        <v>48</v>
      </c>
      <c r="AV31" s="40" t="s">
        <v>48</v>
      </c>
      <c r="AW31" s="40" t="s">
        <v>48</v>
      </c>
      <c r="AX31" s="40" t="s">
        <v>48</v>
      </c>
      <c r="AY31" s="40" t="s">
        <v>48</v>
      </c>
      <c r="AZ31" s="40" t="s">
        <v>48</v>
      </c>
      <c r="BA31" s="40" t="s">
        <v>48</v>
      </c>
      <c r="BB31" s="40" t="s">
        <v>48</v>
      </c>
      <c r="BC31" s="40" t="s">
        <v>48</v>
      </c>
      <c r="BD31" s="40" t="s">
        <v>48</v>
      </c>
      <c r="BE31" s="40" t="s">
        <v>48</v>
      </c>
      <c r="BF31" s="40" t="s">
        <v>48</v>
      </c>
      <c r="BG31" s="40" t="s">
        <v>48</v>
      </c>
      <c r="BH31" s="40" t="s">
        <v>48</v>
      </c>
      <c r="BJ31" s="33"/>
      <c r="BK31" s="38" t="str">
        <f>Notes!U32</f>
        <v xml:space="preserve">               Bananas and plantains</v>
      </c>
      <c r="BL31" s="4" t="s">
        <v>481</v>
      </c>
      <c r="BM31" s="44">
        <v>0.20430845286814456</v>
      </c>
      <c r="BN31" s="42" t="s">
        <v>48</v>
      </c>
      <c r="BO31" s="40" t="s">
        <v>48</v>
      </c>
      <c r="BP31" s="40" t="s">
        <v>48</v>
      </c>
      <c r="BQ31" s="40" t="s">
        <v>48</v>
      </c>
      <c r="BR31" s="40" t="s">
        <v>48</v>
      </c>
      <c r="BS31" s="40" t="s">
        <v>48</v>
      </c>
      <c r="BT31" s="40" t="s">
        <v>48</v>
      </c>
      <c r="BU31" s="40" t="s">
        <v>48</v>
      </c>
      <c r="BV31" s="40" t="s">
        <v>48</v>
      </c>
      <c r="BW31" s="40" t="s">
        <v>48</v>
      </c>
      <c r="BX31" s="40" t="s">
        <v>48</v>
      </c>
      <c r="BY31" s="40" t="s">
        <v>48</v>
      </c>
      <c r="BZ31" s="40" t="s">
        <v>48</v>
      </c>
      <c r="CA31" s="40" t="s">
        <v>48</v>
      </c>
      <c r="CB31" s="40" t="s">
        <v>48</v>
      </c>
      <c r="CD31" s="33"/>
      <c r="CE31" s="38" t="str">
        <f>Notes!U32</f>
        <v xml:space="preserve">               Bananas and plantains</v>
      </c>
      <c r="CF31" s="4" t="s">
        <v>481</v>
      </c>
      <c r="CG31" s="44" t="s">
        <v>48</v>
      </c>
      <c r="CH31" s="42" t="s">
        <v>48</v>
      </c>
      <c r="CI31" s="40" t="s">
        <v>48</v>
      </c>
      <c r="CJ31" s="40" t="s">
        <v>48</v>
      </c>
      <c r="CK31" s="40" t="s">
        <v>48</v>
      </c>
      <c r="CL31" s="40" t="s">
        <v>48</v>
      </c>
      <c r="CM31" s="40" t="s">
        <v>48</v>
      </c>
      <c r="CN31" s="40" t="s">
        <v>48</v>
      </c>
      <c r="CO31" s="40" t="s">
        <v>48</v>
      </c>
      <c r="CP31" s="40" t="s">
        <v>48</v>
      </c>
      <c r="CQ31" s="40" t="s">
        <v>48</v>
      </c>
      <c r="CR31" s="40" t="s">
        <v>48</v>
      </c>
      <c r="CS31" s="40" t="s">
        <v>48</v>
      </c>
      <c r="CT31" s="40" t="s">
        <v>48</v>
      </c>
      <c r="CU31" s="40" t="s">
        <v>48</v>
      </c>
      <c r="CV31" s="40" t="s">
        <v>48</v>
      </c>
      <c r="CX31" s="33"/>
      <c r="CY31" s="38" t="str">
        <f>Notes!U32</f>
        <v xml:space="preserve">               Bananas and plantains</v>
      </c>
      <c r="CZ31" s="4" t="s">
        <v>481</v>
      </c>
      <c r="DA31" s="44">
        <v>0.26061015928154718</v>
      </c>
      <c r="DB31" s="42" t="s">
        <v>48</v>
      </c>
      <c r="DC31" s="40" t="s">
        <v>48</v>
      </c>
      <c r="DD31" s="40" t="s">
        <v>48</v>
      </c>
      <c r="DE31" s="40" t="s">
        <v>48</v>
      </c>
      <c r="DF31" s="40" t="s">
        <v>48</v>
      </c>
      <c r="DG31" s="40" t="s">
        <v>48</v>
      </c>
      <c r="DH31" s="40" t="s">
        <v>48</v>
      </c>
      <c r="DI31" s="40" t="s">
        <v>48</v>
      </c>
      <c r="DJ31" s="40" t="s">
        <v>48</v>
      </c>
      <c r="DK31" s="40" t="s">
        <v>48</v>
      </c>
      <c r="DL31" s="40" t="s">
        <v>48</v>
      </c>
      <c r="DM31" s="40" t="s">
        <v>48</v>
      </c>
      <c r="DN31" s="40" t="s">
        <v>48</v>
      </c>
      <c r="DO31" s="40" t="s">
        <v>48</v>
      </c>
      <c r="DP31" s="40" t="s">
        <v>48</v>
      </c>
    </row>
    <row r="32" spans="1:120" x14ac:dyDescent="0.35">
      <c r="A32" s="12">
        <v>25</v>
      </c>
      <c r="B32" s="33"/>
      <c r="C32" s="38" t="str">
        <f>Notes!U33</f>
        <v xml:space="preserve">               Bananas and plantains</v>
      </c>
      <c r="D32" s="4" t="s">
        <v>323</v>
      </c>
      <c r="E32" s="44">
        <v>0.76575389660990156</v>
      </c>
      <c r="F32" s="42" t="s">
        <v>48</v>
      </c>
      <c r="G32" s="40" t="s">
        <v>48</v>
      </c>
      <c r="H32" s="40" t="s">
        <v>48</v>
      </c>
      <c r="I32" s="40" t="s">
        <v>48</v>
      </c>
      <c r="J32" s="40" t="s">
        <v>48</v>
      </c>
      <c r="K32" s="40" t="s">
        <v>48</v>
      </c>
      <c r="L32" s="40" t="s">
        <v>48</v>
      </c>
      <c r="M32" s="40" t="s">
        <v>48</v>
      </c>
      <c r="N32" s="40" t="s">
        <v>48</v>
      </c>
      <c r="O32" s="40" t="s">
        <v>48</v>
      </c>
      <c r="P32" s="40" t="s">
        <v>48</v>
      </c>
      <c r="Q32" s="40" t="s">
        <v>48</v>
      </c>
      <c r="R32" s="40" t="s">
        <v>48</v>
      </c>
      <c r="S32" s="40" t="s">
        <v>48</v>
      </c>
      <c r="T32" s="40" t="s">
        <v>48</v>
      </c>
      <c r="V32" s="33"/>
      <c r="W32" s="38" t="str">
        <f>Notes!U33</f>
        <v xml:space="preserve">               Bananas and plantains</v>
      </c>
      <c r="X32" s="4" t="s">
        <v>323</v>
      </c>
      <c r="Y32" s="44">
        <v>0.23952894305166533</v>
      </c>
      <c r="Z32" s="42" t="s">
        <v>48</v>
      </c>
      <c r="AA32" s="40" t="s">
        <v>48</v>
      </c>
      <c r="AB32" s="40" t="s">
        <v>48</v>
      </c>
      <c r="AC32" s="40" t="s">
        <v>48</v>
      </c>
      <c r="AD32" s="40" t="s">
        <v>48</v>
      </c>
      <c r="AE32" s="40" t="s">
        <v>48</v>
      </c>
      <c r="AF32" s="40" t="s">
        <v>48</v>
      </c>
      <c r="AG32" s="40" t="s">
        <v>48</v>
      </c>
      <c r="AH32" s="40" t="s">
        <v>48</v>
      </c>
      <c r="AI32" s="40" t="s">
        <v>48</v>
      </c>
      <c r="AJ32" s="40" t="s">
        <v>48</v>
      </c>
      <c r="AK32" s="40" t="s">
        <v>48</v>
      </c>
      <c r="AL32" s="40" t="s">
        <v>48</v>
      </c>
      <c r="AM32" s="40" t="s">
        <v>48</v>
      </c>
      <c r="AN32" s="40" t="s">
        <v>48</v>
      </c>
      <c r="AP32" s="33"/>
      <c r="AQ32" s="38" t="str">
        <f>Notes!U33</f>
        <v xml:space="preserve">               Bananas and plantains</v>
      </c>
      <c r="AR32" s="4" t="s">
        <v>323</v>
      </c>
      <c r="AS32" s="44">
        <v>5.419672120598328</v>
      </c>
      <c r="AT32" s="42" t="s">
        <v>48</v>
      </c>
      <c r="AU32" s="40" t="s">
        <v>48</v>
      </c>
      <c r="AV32" s="40" t="s">
        <v>48</v>
      </c>
      <c r="AW32" s="40" t="s">
        <v>48</v>
      </c>
      <c r="AX32" s="40" t="s">
        <v>48</v>
      </c>
      <c r="AY32" s="40" t="s">
        <v>48</v>
      </c>
      <c r="AZ32" s="40" t="s">
        <v>48</v>
      </c>
      <c r="BA32" s="40" t="s">
        <v>48</v>
      </c>
      <c r="BB32" s="40" t="s">
        <v>48</v>
      </c>
      <c r="BC32" s="40" t="s">
        <v>48</v>
      </c>
      <c r="BD32" s="40" t="s">
        <v>48</v>
      </c>
      <c r="BE32" s="40" t="s">
        <v>48</v>
      </c>
      <c r="BF32" s="40" t="s">
        <v>48</v>
      </c>
      <c r="BG32" s="40" t="s">
        <v>48</v>
      </c>
      <c r="BH32" s="40" t="s">
        <v>48</v>
      </c>
      <c r="BJ32" s="33"/>
      <c r="BK32" s="38" t="str">
        <f>Notes!U33</f>
        <v xml:space="preserve">               Bananas and plantains</v>
      </c>
      <c r="BL32" s="4" t="s">
        <v>323</v>
      </c>
      <c r="BM32" s="44" t="s">
        <v>48</v>
      </c>
      <c r="BN32" s="42" t="s">
        <v>48</v>
      </c>
      <c r="BO32" s="40" t="s">
        <v>48</v>
      </c>
      <c r="BP32" s="40" t="s">
        <v>48</v>
      </c>
      <c r="BQ32" s="40" t="s">
        <v>48</v>
      </c>
      <c r="BR32" s="40" t="s">
        <v>48</v>
      </c>
      <c r="BS32" s="40" t="s">
        <v>48</v>
      </c>
      <c r="BT32" s="40" t="s">
        <v>48</v>
      </c>
      <c r="BU32" s="40" t="s">
        <v>48</v>
      </c>
      <c r="BV32" s="40" t="s">
        <v>48</v>
      </c>
      <c r="BW32" s="40" t="s">
        <v>48</v>
      </c>
      <c r="BX32" s="40" t="s">
        <v>48</v>
      </c>
      <c r="BY32" s="40" t="s">
        <v>48</v>
      </c>
      <c r="BZ32" s="40" t="s">
        <v>48</v>
      </c>
      <c r="CA32" s="40" t="s">
        <v>48</v>
      </c>
      <c r="CB32" s="40" t="s">
        <v>48</v>
      </c>
      <c r="CD32" s="33"/>
      <c r="CE32" s="38" t="str">
        <f>Notes!U33</f>
        <v xml:space="preserve">               Bananas and plantains</v>
      </c>
      <c r="CF32" s="4" t="s">
        <v>323</v>
      </c>
      <c r="CG32" s="44">
        <v>4.7376882069299011</v>
      </c>
      <c r="CH32" s="42" t="s">
        <v>48</v>
      </c>
      <c r="CI32" s="40" t="s">
        <v>48</v>
      </c>
      <c r="CJ32" s="40" t="s">
        <v>48</v>
      </c>
      <c r="CK32" s="40" t="s">
        <v>48</v>
      </c>
      <c r="CL32" s="40" t="s">
        <v>48</v>
      </c>
      <c r="CM32" s="40" t="s">
        <v>48</v>
      </c>
      <c r="CN32" s="40" t="s">
        <v>48</v>
      </c>
      <c r="CO32" s="40" t="s">
        <v>48</v>
      </c>
      <c r="CP32" s="40" t="s">
        <v>48</v>
      </c>
      <c r="CQ32" s="40" t="s">
        <v>48</v>
      </c>
      <c r="CR32" s="40" t="s">
        <v>48</v>
      </c>
      <c r="CS32" s="40" t="s">
        <v>48</v>
      </c>
      <c r="CT32" s="40" t="s">
        <v>48</v>
      </c>
      <c r="CU32" s="40" t="s">
        <v>48</v>
      </c>
      <c r="CV32" s="40" t="s">
        <v>48</v>
      </c>
      <c r="CX32" s="33"/>
      <c r="CY32" s="38" t="str">
        <f>Notes!U33</f>
        <v xml:space="preserve">               Bananas and plantains</v>
      </c>
      <c r="CZ32" s="4" t="s">
        <v>323</v>
      </c>
      <c r="DA32" s="44" t="s">
        <v>48</v>
      </c>
      <c r="DB32" s="42" t="s">
        <v>48</v>
      </c>
      <c r="DC32" s="40" t="s">
        <v>48</v>
      </c>
      <c r="DD32" s="40" t="s">
        <v>48</v>
      </c>
      <c r="DE32" s="40" t="s">
        <v>48</v>
      </c>
      <c r="DF32" s="40" t="s">
        <v>48</v>
      </c>
      <c r="DG32" s="40" t="s">
        <v>48</v>
      </c>
      <c r="DH32" s="40" t="s">
        <v>48</v>
      </c>
      <c r="DI32" s="40" t="s">
        <v>48</v>
      </c>
      <c r="DJ32" s="40" t="s">
        <v>48</v>
      </c>
      <c r="DK32" s="40" t="s">
        <v>48</v>
      </c>
      <c r="DL32" s="40" t="s">
        <v>48</v>
      </c>
      <c r="DM32" s="40" t="s">
        <v>48</v>
      </c>
      <c r="DN32" s="40" t="s">
        <v>48</v>
      </c>
      <c r="DO32" s="40" t="s">
        <v>48</v>
      </c>
      <c r="DP32" s="40" t="s">
        <v>48</v>
      </c>
    </row>
    <row r="33" spans="1:120" x14ac:dyDescent="0.35">
      <c r="A33" s="12">
        <v>26</v>
      </c>
      <c r="B33" s="33"/>
      <c r="C33" s="38" t="str">
        <f>Notes!U34</f>
        <v xml:space="preserve">               Other fruits</v>
      </c>
      <c r="D33" s="4" t="s">
        <v>321</v>
      </c>
      <c r="E33" s="44">
        <v>0.23523228552281952</v>
      </c>
      <c r="F33" s="42" t="s">
        <v>48</v>
      </c>
      <c r="G33" s="40" t="s">
        <v>48</v>
      </c>
      <c r="H33" s="40" t="s">
        <v>48</v>
      </c>
      <c r="I33" s="40" t="s">
        <v>48</v>
      </c>
      <c r="J33" s="40" t="s">
        <v>48</v>
      </c>
      <c r="K33" s="40" t="s">
        <v>48</v>
      </c>
      <c r="L33" s="40" t="s">
        <v>48</v>
      </c>
      <c r="M33" s="40" t="s">
        <v>48</v>
      </c>
      <c r="N33" s="40" t="s">
        <v>48</v>
      </c>
      <c r="O33" s="40" t="s">
        <v>48</v>
      </c>
      <c r="P33" s="40" t="s">
        <v>48</v>
      </c>
      <c r="Q33" s="40" t="s">
        <v>48</v>
      </c>
      <c r="R33" s="40" t="s">
        <v>48</v>
      </c>
      <c r="S33" s="40" t="s">
        <v>48</v>
      </c>
      <c r="T33" s="40" t="s">
        <v>48</v>
      </c>
      <c r="V33" s="33"/>
      <c r="W33" s="38" t="str">
        <f>Notes!U34</f>
        <v xml:space="preserve">               Other fruits</v>
      </c>
      <c r="X33" s="4" t="s">
        <v>321</v>
      </c>
      <c r="Y33" s="44">
        <v>3.3278036829704163E-2</v>
      </c>
      <c r="Z33" s="42" t="s">
        <v>48</v>
      </c>
      <c r="AA33" s="40" t="s">
        <v>48</v>
      </c>
      <c r="AB33" s="40" t="s">
        <v>48</v>
      </c>
      <c r="AC33" s="40" t="s">
        <v>48</v>
      </c>
      <c r="AD33" s="40" t="s">
        <v>48</v>
      </c>
      <c r="AE33" s="40" t="s">
        <v>48</v>
      </c>
      <c r="AF33" s="40" t="s">
        <v>48</v>
      </c>
      <c r="AG33" s="40" t="s">
        <v>48</v>
      </c>
      <c r="AH33" s="40" t="s">
        <v>48</v>
      </c>
      <c r="AI33" s="40" t="s">
        <v>48</v>
      </c>
      <c r="AJ33" s="40" t="s">
        <v>48</v>
      </c>
      <c r="AK33" s="40" t="s">
        <v>48</v>
      </c>
      <c r="AL33" s="40" t="s">
        <v>48</v>
      </c>
      <c r="AM33" s="40" t="s">
        <v>48</v>
      </c>
      <c r="AN33" s="40" t="s">
        <v>48</v>
      </c>
      <c r="AP33" s="33"/>
      <c r="AQ33" s="38" t="str">
        <f>Notes!U34</f>
        <v xml:space="preserve">               Other fruits</v>
      </c>
      <c r="AR33" s="4" t="s">
        <v>321</v>
      </c>
      <c r="AS33" s="44">
        <v>2.2814696055514503</v>
      </c>
      <c r="AT33" s="42" t="s">
        <v>48</v>
      </c>
      <c r="AU33" s="40" t="s">
        <v>48</v>
      </c>
      <c r="AV33" s="40" t="s">
        <v>48</v>
      </c>
      <c r="AW33" s="40" t="s">
        <v>48</v>
      </c>
      <c r="AX33" s="40" t="s">
        <v>48</v>
      </c>
      <c r="AY33" s="40" t="s">
        <v>48</v>
      </c>
      <c r="AZ33" s="40" t="s">
        <v>48</v>
      </c>
      <c r="BA33" s="40" t="s">
        <v>48</v>
      </c>
      <c r="BB33" s="40" t="s">
        <v>48</v>
      </c>
      <c r="BC33" s="40" t="s">
        <v>48</v>
      </c>
      <c r="BD33" s="40" t="s">
        <v>48</v>
      </c>
      <c r="BE33" s="40" t="s">
        <v>48</v>
      </c>
      <c r="BF33" s="40" t="s">
        <v>48</v>
      </c>
      <c r="BG33" s="40" t="s">
        <v>48</v>
      </c>
      <c r="BH33" s="40" t="s">
        <v>48</v>
      </c>
      <c r="BJ33" s="33"/>
      <c r="BK33" s="38" t="str">
        <f>Notes!U34</f>
        <v xml:space="preserve">               Other fruits</v>
      </c>
      <c r="BL33" s="4" t="s">
        <v>321</v>
      </c>
      <c r="BM33" s="44" t="s">
        <v>48</v>
      </c>
      <c r="BN33" s="42" t="s">
        <v>48</v>
      </c>
      <c r="BO33" s="40" t="s">
        <v>48</v>
      </c>
      <c r="BP33" s="40" t="s">
        <v>48</v>
      </c>
      <c r="BQ33" s="40" t="s">
        <v>48</v>
      </c>
      <c r="BR33" s="40" t="s">
        <v>48</v>
      </c>
      <c r="BS33" s="40" t="s">
        <v>48</v>
      </c>
      <c r="BT33" s="40" t="s">
        <v>48</v>
      </c>
      <c r="BU33" s="40" t="s">
        <v>48</v>
      </c>
      <c r="BV33" s="40" t="s">
        <v>48</v>
      </c>
      <c r="BW33" s="40" t="s">
        <v>48</v>
      </c>
      <c r="BX33" s="40" t="s">
        <v>48</v>
      </c>
      <c r="BY33" s="40" t="s">
        <v>48</v>
      </c>
      <c r="BZ33" s="40" t="s">
        <v>48</v>
      </c>
      <c r="CA33" s="40" t="s">
        <v>48</v>
      </c>
      <c r="CB33" s="40" t="s">
        <v>48</v>
      </c>
      <c r="CD33" s="33"/>
      <c r="CE33" s="38" t="str">
        <f>Notes!U34</f>
        <v xml:space="preserve">               Other fruits</v>
      </c>
      <c r="CF33" s="4" t="s">
        <v>321</v>
      </c>
      <c r="CG33" s="44">
        <v>2.0145637546668054</v>
      </c>
      <c r="CH33" s="42" t="s">
        <v>48</v>
      </c>
      <c r="CI33" s="40" t="s">
        <v>48</v>
      </c>
      <c r="CJ33" s="40" t="s">
        <v>48</v>
      </c>
      <c r="CK33" s="40" t="s">
        <v>48</v>
      </c>
      <c r="CL33" s="40" t="s">
        <v>48</v>
      </c>
      <c r="CM33" s="40" t="s">
        <v>48</v>
      </c>
      <c r="CN33" s="40" t="s">
        <v>48</v>
      </c>
      <c r="CO33" s="40" t="s">
        <v>48</v>
      </c>
      <c r="CP33" s="40" t="s">
        <v>48</v>
      </c>
      <c r="CQ33" s="40" t="s">
        <v>48</v>
      </c>
      <c r="CR33" s="40" t="s">
        <v>48</v>
      </c>
      <c r="CS33" s="40" t="s">
        <v>48</v>
      </c>
      <c r="CT33" s="40" t="s">
        <v>48</v>
      </c>
      <c r="CU33" s="40" t="s">
        <v>48</v>
      </c>
      <c r="CV33" s="40" t="s">
        <v>48</v>
      </c>
      <c r="CX33" s="33"/>
      <c r="CY33" s="38" t="str">
        <f>Notes!U34</f>
        <v xml:space="preserve">               Other fruits</v>
      </c>
      <c r="CZ33" s="4" t="s">
        <v>321</v>
      </c>
      <c r="DA33" s="44" t="s">
        <v>48</v>
      </c>
      <c r="DB33" s="42" t="s">
        <v>48</v>
      </c>
      <c r="DC33" s="40" t="s">
        <v>48</v>
      </c>
      <c r="DD33" s="40" t="s">
        <v>48</v>
      </c>
      <c r="DE33" s="40" t="s">
        <v>48</v>
      </c>
      <c r="DF33" s="40" t="s">
        <v>48</v>
      </c>
      <c r="DG33" s="40" t="s">
        <v>48</v>
      </c>
      <c r="DH33" s="40" t="s">
        <v>48</v>
      </c>
      <c r="DI33" s="40" t="s">
        <v>48</v>
      </c>
      <c r="DJ33" s="40" t="s">
        <v>48</v>
      </c>
      <c r="DK33" s="40" t="s">
        <v>48</v>
      </c>
      <c r="DL33" s="40" t="s">
        <v>48</v>
      </c>
      <c r="DM33" s="40" t="s">
        <v>48</v>
      </c>
      <c r="DN33" s="40" t="s">
        <v>48</v>
      </c>
      <c r="DO33" s="40" t="s">
        <v>48</v>
      </c>
      <c r="DP33" s="40" t="s">
        <v>48</v>
      </c>
    </row>
    <row r="34" spans="1:120" x14ac:dyDescent="0.35">
      <c r="A34" s="12">
        <v>27</v>
      </c>
      <c r="B34" s="33"/>
      <c r="C34" s="38" t="str">
        <f>Notes!U35</f>
        <v xml:space="preserve">               Leaf tea</v>
      </c>
      <c r="D34" s="4" t="s">
        <v>704</v>
      </c>
      <c r="E34" s="44">
        <v>3.979589106775086E-2</v>
      </c>
      <c r="F34" s="42" t="s">
        <v>48</v>
      </c>
      <c r="G34" s="40" t="s">
        <v>48</v>
      </c>
      <c r="H34" s="40" t="s">
        <v>48</v>
      </c>
      <c r="I34" s="40" t="s">
        <v>48</v>
      </c>
      <c r="J34" s="40" t="s">
        <v>48</v>
      </c>
      <c r="K34" s="40" t="s">
        <v>48</v>
      </c>
      <c r="L34" s="40" t="s">
        <v>48</v>
      </c>
      <c r="M34" s="40" t="s">
        <v>48</v>
      </c>
      <c r="N34" s="40" t="s">
        <v>48</v>
      </c>
      <c r="O34" s="40" t="s">
        <v>48</v>
      </c>
      <c r="P34" s="40" t="s">
        <v>48</v>
      </c>
      <c r="Q34" s="40" t="s">
        <v>48</v>
      </c>
      <c r="R34" s="40" t="s">
        <v>48</v>
      </c>
      <c r="S34" s="40" t="s">
        <v>48</v>
      </c>
      <c r="T34" s="40" t="s">
        <v>48</v>
      </c>
      <c r="V34" s="33"/>
      <c r="W34" s="38" t="str">
        <f>Notes!U35</f>
        <v xml:space="preserve">               Leaf tea</v>
      </c>
      <c r="X34" s="4" t="s">
        <v>704</v>
      </c>
      <c r="Y34" s="44">
        <v>3.1490227464372238E-2</v>
      </c>
      <c r="Z34" s="42" t="s">
        <v>48</v>
      </c>
      <c r="AA34" s="40" t="s">
        <v>48</v>
      </c>
      <c r="AB34" s="40" t="s">
        <v>48</v>
      </c>
      <c r="AC34" s="40" t="s">
        <v>48</v>
      </c>
      <c r="AD34" s="40" t="s">
        <v>48</v>
      </c>
      <c r="AE34" s="40" t="s">
        <v>48</v>
      </c>
      <c r="AF34" s="40" t="s">
        <v>48</v>
      </c>
      <c r="AG34" s="40" t="s">
        <v>48</v>
      </c>
      <c r="AH34" s="40" t="s">
        <v>48</v>
      </c>
      <c r="AI34" s="40" t="s">
        <v>48</v>
      </c>
      <c r="AJ34" s="40" t="s">
        <v>48</v>
      </c>
      <c r="AK34" s="40" t="s">
        <v>48</v>
      </c>
      <c r="AL34" s="40" t="s">
        <v>48</v>
      </c>
      <c r="AM34" s="40" t="s">
        <v>48</v>
      </c>
      <c r="AN34" s="40" t="s">
        <v>48</v>
      </c>
      <c r="AP34" s="33"/>
      <c r="AQ34" s="38" t="str">
        <f>Notes!U35</f>
        <v xml:space="preserve">               Leaf tea</v>
      </c>
      <c r="AR34" s="4" t="s">
        <v>704</v>
      </c>
      <c r="AS34" s="44" t="s">
        <v>48</v>
      </c>
      <c r="AT34" s="42" t="s">
        <v>48</v>
      </c>
      <c r="AU34" s="40" t="s">
        <v>48</v>
      </c>
      <c r="AV34" s="40" t="s">
        <v>48</v>
      </c>
      <c r="AW34" s="40" t="s">
        <v>48</v>
      </c>
      <c r="AX34" s="40" t="s">
        <v>48</v>
      </c>
      <c r="AY34" s="40" t="s">
        <v>48</v>
      </c>
      <c r="AZ34" s="40" t="s">
        <v>48</v>
      </c>
      <c r="BA34" s="40" t="s">
        <v>48</v>
      </c>
      <c r="BB34" s="40" t="s">
        <v>48</v>
      </c>
      <c r="BC34" s="40" t="s">
        <v>48</v>
      </c>
      <c r="BD34" s="40" t="s">
        <v>48</v>
      </c>
      <c r="BE34" s="40" t="s">
        <v>48</v>
      </c>
      <c r="BF34" s="40" t="s">
        <v>48</v>
      </c>
      <c r="BG34" s="40" t="s">
        <v>48</v>
      </c>
      <c r="BH34" s="40" t="s">
        <v>48</v>
      </c>
      <c r="BJ34" s="33"/>
      <c r="BK34" s="38" t="str">
        <f>Notes!U35</f>
        <v xml:space="preserve">               Leaf tea</v>
      </c>
      <c r="BL34" s="4" t="s">
        <v>704</v>
      </c>
      <c r="BM34" s="44" t="s">
        <v>48</v>
      </c>
      <c r="BN34" s="42" t="s">
        <v>48</v>
      </c>
      <c r="BO34" s="40" t="s">
        <v>48</v>
      </c>
      <c r="BP34" s="40" t="s">
        <v>48</v>
      </c>
      <c r="BQ34" s="40" t="s">
        <v>48</v>
      </c>
      <c r="BR34" s="40" t="s">
        <v>48</v>
      </c>
      <c r="BS34" s="40" t="s">
        <v>48</v>
      </c>
      <c r="BT34" s="40" t="s">
        <v>48</v>
      </c>
      <c r="BU34" s="40" t="s">
        <v>48</v>
      </c>
      <c r="BV34" s="40" t="s">
        <v>48</v>
      </c>
      <c r="BW34" s="40" t="s">
        <v>48</v>
      </c>
      <c r="BX34" s="40" t="s">
        <v>48</v>
      </c>
      <c r="BY34" s="40" t="s">
        <v>48</v>
      </c>
      <c r="BZ34" s="40" t="s">
        <v>48</v>
      </c>
      <c r="CA34" s="40" t="s">
        <v>48</v>
      </c>
      <c r="CB34" s="40" t="s">
        <v>48</v>
      </c>
      <c r="CD34" s="33"/>
      <c r="CE34" s="38" t="str">
        <f>Notes!U35</f>
        <v xml:space="preserve">               Leaf tea</v>
      </c>
      <c r="CF34" s="4" t="s">
        <v>704</v>
      </c>
      <c r="CG34" s="44" t="s">
        <v>48</v>
      </c>
      <c r="CH34" s="42" t="s">
        <v>48</v>
      </c>
      <c r="CI34" s="40" t="s">
        <v>48</v>
      </c>
      <c r="CJ34" s="40" t="s">
        <v>48</v>
      </c>
      <c r="CK34" s="40" t="s">
        <v>48</v>
      </c>
      <c r="CL34" s="40" t="s">
        <v>48</v>
      </c>
      <c r="CM34" s="40" t="s">
        <v>48</v>
      </c>
      <c r="CN34" s="40" t="s">
        <v>48</v>
      </c>
      <c r="CO34" s="40" t="s">
        <v>48</v>
      </c>
      <c r="CP34" s="40" t="s">
        <v>48</v>
      </c>
      <c r="CQ34" s="40" t="s">
        <v>48</v>
      </c>
      <c r="CR34" s="40" t="s">
        <v>48</v>
      </c>
      <c r="CS34" s="40" t="s">
        <v>48</v>
      </c>
      <c r="CT34" s="40" t="s">
        <v>48</v>
      </c>
      <c r="CU34" s="40" t="s">
        <v>48</v>
      </c>
      <c r="CV34" s="40" t="s">
        <v>48</v>
      </c>
      <c r="CX34" s="33"/>
      <c r="CY34" s="38" t="str">
        <f>Notes!U35</f>
        <v xml:space="preserve">               Leaf tea</v>
      </c>
      <c r="CZ34" s="4" t="s">
        <v>704</v>
      </c>
      <c r="DA34" s="44" t="s">
        <v>48</v>
      </c>
      <c r="DB34" s="42" t="s">
        <v>48</v>
      </c>
      <c r="DC34" s="40" t="s">
        <v>48</v>
      </c>
      <c r="DD34" s="40" t="s">
        <v>48</v>
      </c>
      <c r="DE34" s="40" t="s">
        <v>48</v>
      </c>
      <c r="DF34" s="40" t="s">
        <v>48</v>
      </c>
      <c r="DG34" s="40" t="s">
        <v>48</v>
      </c>
      <c r="DH34" s="40" t="s">
        <v>48</v>
      </c>
      <c r="DI34" s="40" t="s">
        <v>48</v>
      </c>
      <c r="DJ34" s="40" t="s">
        <v>48</v>
      </c>
      <c r="DK34" s="40" t="s">
        <v>48</v>
      </c>
      <c r="DL34" s="40" t="s">
        <v>48</v>
      </c>
      <c r="DM34" s="40" t="s">
        <v>48</v>
      </c>
      <c r="DN34" s="40" t="s">
        <v>48</v>
      </c>
      <c r="DO34" s="40" t="s">
        <v>48</v>
      </c>
      <c r="DP34" s="40" t="s">
        <v>48</v>
      </c>
    </row>
    <row r="35" spans="1:120" x14ac:dyDescent="0.35">
      <c r="A35" s="12">
        <v>28</v>
      </c>
      <c r="B35" s="33"/>
      <c r="C35" s="38" t="str">
        <f>Notes!U36</f>
        <v xml:space="preserve">               Coffee</v>
      </c>
      <c r="D35" s="4" t="s">
        <v>328</v>
      </c>
      <c r="E35" s="44">
        <v>7.1116960149449113E-2</v>
      </c>
      <c r="F35" s="42" t="s">
        <v>48</v>
      </c>
      <c r="G35" s="40" t="s">
        <v>48</v>
      </c>
      <c r="H35" s="40" t="s">
        <v>48</v>
      </c>
      <c r="I35" s="40" t="s">
        <v>48</v>
      </c>
      <c r="J35" s="40" t="s">
        <v>48</v>
      </c>
      <c r="K35" s="40" t="s">
        <v>48</v>
      </c>
      <c r="L35" s="40" t="s">
        <v>48</v>
      </c>
      <c r="M35" s="40" t="s">
        <v>48</v>
      </c>
      <c r="N35" s="40" t="s">
        <v>48</v>
      </c>
      <c r="O35" s="40" t="s">
        <v>48</v>
      </c>
      <c r="P35" s="40" t="s">
        <v>48</v>
      </c>
      <c r="Q35" s="40" t="s">
        <v>48</v>
      </c>
      <c r="R35" s="40" t="s">
        <v>48</v>
      </c>
      <c r="S35" s="40" t="s">
        <v>48</v>
      </c>
      <c r="T35" s="40" t="s">
        <v>48</v>
      </c>
      <c r="V35" s="33"/>
      <c r="W35" s="38" t="str">
        <f>Notes!U36</f>
        <v xml:space="preserve">               Coffee</v>
      </c>
      <c r="X35" s="4" t="s">
        <v>328</v>
      </c>
      <c r="Y35" s="44">
        <v>4.698710851975673E-2</v>
      </c>
      <c r="Z35" s="42" t="s">
        <v>48</v>
      </c>
      <c r="AA35" s="40" t="s">
        <v>48</v>
      </c>
      <c r="AB35" s="40" t="s">
        <v>48</v>
      </c>
      <c r="AC35" s="40" t="s">
        <v>48</v>
      </c>
      <c r="AD35" s="40" t="s">
        <v>48</v>
      </c>
      <c r="AE35" s="40" t="s">
        <v>48</v>
      </c>
      <c r="AF35" s="40" t="s">
        <v>48</v>
      </c>
      <c r="AG35" s="40" t="s">
        <v>48</v>
      </c>
      <c r="AH35" s="40" t="s">
        <v>48</v>
      </c>
      <c r="AI35" s="40" t="s">
        <v>48</v>
      </c>
      <c r="AJ35" s="40" t="s">
        <v>48</v>
      </c>
      <c r="AK35" s="40" t="s">
        <v>48</v>
      </c>
      <c r="AL35" s="40" t="s">
        <v>48</v>
      </c>
      <c r="AM35" s="40" t="s">
        <v>48</v>
      </c>
      <c r="AN35" s="40" t="s">
        <v>48</v>
      </c>
      <c r="AP35" s="33"/>
      <c r="AQ35" s="38" t="str">
        <f>Notes!U36</f>
        <v xml:space="preserve">               Coffee</v>
      </c>
      <c r="AR35" s="4" t="s">
        <v>328</v>
      </c>
      <c r="AS35" s="44">
        <v>0.13533696269830661</v>
      </c>
      <c r="AT35" s="42" t="s">
        <v>48</v>
      </c>
      <c r="AU35" s="40" t="s">
        <v>48</v>
      </c>
      <c r="AV35" s="40" t="s">
        <v>48</v>
      </c>
      <c r="AW35" s="40" t="s">
        <v>48</v>
      </c>
      <c r="AX35" s="40" t="s">
        <v>48</v>
      </c>
      <c r="AY35" s="40" t="s">
        <v>48</v>
      </c>
      <c r="AZ35" s="40" t="s">
        <v>48</v>
      </c>
      <c r="BA35" s="40" t="s">
        <v>48</v>
      </c>
      <c r="BB35" s="40" t="s">
        <v>48</v>
      </c>
      <c r="BC35" s="40" t="s">
        <v>48</v>
      </c>
      <c r="BD35" s="40" t="s">
        <v>48</v>
      </c>
      <c r="BE35" s="40" t="s">
        <v>48</v>
      </c>
      <c r="BF35" s="40" t="s">
        <v>48</v>
      </c>
      <c r="BG35" s="40" t="s">
        <v>48</v>
      </c>
      <c r="BH35" s="40" t="s">
        <v>48</v>
      </c>
      <c r="BJ35" s="33"/>
      <c r="BK35" s="38" t="str">
        <f>Notes!U36</f>
        <v xml:space="preserve">               Coffee</v>
      </c>
      <c r="BL35" s="4" t="s">
        <v>328</v>
      </c>
      <c r="BM35" s="44" t="s">
        <v>48</v>
      </c>
      <c r="BN35" s="42" t="s">
        <v>48</v>
      </c>
      <c r="BO35" s="40" t="s">
        <v>48</v>
      </c>
      <c r="BP35" s="40" t="s">
        <v>48</v>
      </c>
      <c r="BQ35" s="40" t="s">
        <v>48</v>
      </c>
      <c r="BR35" s="40" t="s">
        <v>48</v>
      </c>
      <c r="BS35" s="40" t="s">
        <v>48</v>
      </c>
      <c r="BT35" s="40" t="s">
        <v>48</v>
      </c>
      <c r="BU35" s="40" t="s">
        <v>48</v>
      </c>
      <c r="BV35" s="40" t="s">
        <v>48</v>
      </c>
      <c r="BW35" s="40" t="s">
        <v>48</v>
      </c>
      <c r="BX35" s="40" t="s">
        <v>48</v>
      </c>
      <c r="BY35" s="40" t="s">
        <v>48</v>
      </c>
      <c r="BZ35" s="40" t="s">
        <v>48</v>
      </c>
      <c r="CA35" s="40" t="s">
        <v>48</v>
      </c>
      <c r="CB35" s="40" t="s">
        <v>48</v>
      </c>
      <c r="CD35" s="33"/>
      <c r="CE35" s="38" t="str">
        <f>Notes!U36</f>
        <v xml:space="preserve">               Coffee</v>
      </c>
      <c r="CF35" s="4" t="s">
        <v>328</v>
      </c>
      <c r="CG35" s="44">
        <v>0.11905941314970493</v>
      </c>
      <c r="CH35" s="42" t="s">
        <v>48</v>
      </c>
      <c r="CI35" s="40" t="s">
        <v>48</v>
      </c>
      <c r="CJ35" s="40" t="s">
        <v>48</v>
      </c>
      <c r="CK35" s="40" t="s">
        <v>48</v>
      </c>
      <c r="CL35" s="40" t="s">
        <v>48</v>
      </c>
      <c r="CM35" s="40" t="s">
        <v>48</v>
      </c>
      <c r="CN35" s="40" t="s">
        <v>48</v>
      </c>
      <c r="CO35" s="40" t="s">
        <v>48</v>
      </c>
      <c r="CP35" s="40" t="s">
        <v>48</v>
      </c>
      <c r="CQ35" s="40" t="s">
        <v>48</v>
      </c>
      <c r="CR35" s="40" t="s">
        <v>48</v>
      </c>
      <c r="CS35" s="40" t="s">
        <v>48</v>
      </c>
      <c r="CT35" s="40" t="s">
        <v>48</v>
      </c>
      <c r="CU35" s="40" t="s">
        <v>48</v>
      </c>
      <c r="CV35" s="40" t="s">
        <v>48</v>
      </c>
      <c r="CX35" s="33"/>
      <c r="CY35" s="38" t="str">
        <f>Notes!U36</f>
        <v xml:space="preserve">               Coffee</v>
      </c>
      <c r="CZ35" s="4" t="s">
        <v>328</v>
      </c>
      <c r="DA35" s="44" t="s">
        <v>48</v>
      </c>
      <c r="DB35" s="42" t="s">
        <v>48</v>
      </c>
      <c r="DC35" s="40" t="s">
        <v>48</v>
      </c>
      <c r="DD35" s="40" t="s">
        <v>48</v>
      </c>
      <c r="DE35" s="40" t="s">
        <v>48</v>
      </c>
      <c r="DF35" s="40" t="s">
        <v>48</v>
      </c>
      <c r="DG35" s="40" t="s">
        <v>48</v>
      </c>
      <c r="DH35" s="40" t="s">
        <v>48</v>
      </c>
      <c r="DI35" s="40" t="s">
        <v>48</v>
      </c>
      <c r="DJ35" s="40" t="s">
        <v>48</v>
      </c>
      <c r="DK35" s="40" t="s">
        <v>48</v>
      </c>
      <c r="DL35" s="40" t="s">
        <v>48</v>
      </c>
      <c r="DM35" s="40" t="s">
        <v>48</v>
      </c>
      <c r="DN35" s="40" t="s">
        <v>48</v>
      </c>
      <c r="DO35" s="40" t="s">
        <v>48</v>
      </c>
      <c r="DP35" s="40" t="s">
        <v>48</v>
      </c>
    </row>
    <row r="36" spans="1:120" x14ac:dyDescent="0.35">
      <c r="A36" s="12">
        <v>29</v>
      </c>
      <c r="B36" s="33"/>
      <c r="C36" s="38" t="str">
        <f>Notes!U37</f>
        <v xml:space="preserve">               Cocoa</v>
      </c>
      <c r="D36" s="4" t="s">
        <v>705</v>
      </c>
      <c r="E36" s="44">
        <v>5.3122786174326558E-2</v>
      </c>
      <c r="F36" s="42" t="s">
        <v>48</v>
      </c>
      <c r="G36" s="40" t="s">
        <v>48</v>
      </c>
      <c r="H36" s="40" t="s">
        <v>48</v>
      </c>
      <c r="I36" s="40" t="s">
        <v>48</v>
      </c>
      <c r="J36" s="40" t="s">
        <v>48</v>
      </c>
      <c r="K36" s="40" t="s">
        <v>48</v>
      </c>
      <c r="L36" s="40" t="s">
        <v>48</v>
      </c>
      <c r="M36" s="40" t="s">
        <v>48</v>
      </c>
      <c r="N36" s="40" t="s">
        <v>48</v>
      </c>
      <c r="O36" s="40" t="s">
        <v>48</v>
      </c>
      <c r="P36" s="40" t="s">
        <v>48</v>
      </c>
      <c r="Q36" s="40" t="s">
        <v>48</v>
      </c>
      <c r="R36" s="40" t="s">
        <v>48</v>
      </c>
      <c r="S36" s="40" t="s">
        <v>48</v>
      </c>
      <c r="T36" s="40" t="s">
        <v>48</v>
      </c>
      <c r="V36" s="33"/>
      <c r="W36" s="38" t="str">
        <f>Notes!U37</f>
        <v xml:space="preserve">               Cocoa</v>
      </c>
      <c r="X36" s="4" t="s">
        <v>705</v>
      </c>
      <c r="Y36" s="44">
        <v>3.9351967829508481E-4</v>
      </c>
      <c r="Z36" s="42" t="s">
        <v>48</v>
      </c>
      <c r="AA36" s="40" t="s">
        <v>48</v>
      </c>
      <c r="AB36" s="40" t="s">
        <v>48</v>
      </c>
      <c r="AC36" s="40" t="s">
        <v>48</v>
      </c>
      <c r="AD36" s="40" t="s">
        <v>48</v>
      </c>
      <c r="AE36" s="40" t="s">
        <v>48</v>
      </c>
      <c r="AF36" s="40" t="s">
        <v>48</v>
      </c>
      <c r="AG36" s="40" t="s">
        <v>48</v>
      </c>
      <c r="AH36" s="40" t="s">
        <v>48</v>
      </c>
      <c r="AI36" s="40" t="s">
        <v>48</v>
      </c>
      <c r="AJ36" s="40" t="s">
        <v>48</v>
      </c>
      <c r="AK36" s="40" t="s">
        <v>48</v>
      </c>
      <c r="AL36" s="40" t="s">
        <v>48</v>
      </c>
      <c r="AM36" s="40" t="s">
        <v>48</v>
      </c>
      <c r="AN36" s="40" t="s">
        <v>48</v>
      </c>
      <c r="AP36" s="33"/>
      <c r="AQ36" s="38" t="str">
        <f>Notes!U37</f>
        <v xml:space="preserve">               Cocoa</v>
      </c>
      <c r="AR36" s="4" t="s">
        <v>705</v>
      </c>
      <c r="AS36" s="44">
        <v>0.62057949547225377</v>
      </c>
      <c r="AT36" s="42" t="s">
        <v>48</v>
      </c>
      <c r="AU36" s="40" t="s">
        <v>48</v>
      </c>
      <c r="AV36" s="40" t="s">
        <v>48</v>
      </c>
      <c r="AW36" s="40" t="s">
        <v>48</v>
      </c>
      <c r="AX36" s="40" t="s">
        <v>48</v>
      </c>
      <c r="AY36" s="40" t="s">
        <v>48</v>
      </c>
      <c r="AZ36" s="40" t="s">
        <v>48</v>
      </c>
      <c r="BA36" s="40" t="s">
        <v>48</v>
      </c>
      <c r="BB36" s="40" t="s">
        <v>48</v>
      </c>
      <c r="BC36" s="40" t="s">
        <v>48</v>
      </c>
      <c r="BD36" s="40" t="s">
        <v>48</v>
      </c>
      <c r="BE36" s="40" t="s">
        <v>48</v>
      </c>
      <c r="BF36" s="40" t="s">
        <v>48</v>
      </c>
      <c r="BG36" s="40" t="s">
        <v>48</v>
      </c>
      <c r="BH36" s="40" t="s">
        <v>48</v>
      </c>
      <c r="BJ36" s="33"/>
      <c r="BK36" s="38" t="str">
        <f>Notes!U37</f>
        <v xml:space="preserve">               Cocoa</v>
      </c>
      <c r="BL36" s="4" t="s">
        <v>705</v>
      </c>
      <c r="BM36" s="44" t="s">
        <v>48</v>
      </c>
      <c r="BN36" s="42" t="s">
        <v>48</v>
      </c>
      <c r="BO36" s="40" t="s">
        <v>48</v>
      </c>
      <c r="BP36" s="40" t="s">
        <v>48</v>
      </c>
      <c r="BQ36" s="40" t="s">
        <v>48</v>
      </c>
      <c r="BR36" s="40" t="s">
        <v>48</v>
      </c>
      <c r="BS36" s="40" t="s">
        <v>48</v>
      </c>
      <c r="BT36" s="40" t="s">
        <v>48</v>
      </c>
      <c r="BU36" s="40" t="s">
        <v>48</v>
      </c>
      <c r="BV36" s="40" t="s">
        <v>48</v>
      </c>
      <c r="BW36" s="40" t="s">
        <v>48</v>
      </c>
      <c r="BX36" s="40" t="s">
        <v>48</v>
      </c>
      <c r="BY36" s="40" t="s">
        <v>48</v>
      </c>
      <c r="BZ36" s="40" t="s">
        <v>48</v>
      </c>
      <c r="CA36" s="40" t="s">
        <v>48</v>
      </c>
      <c r="CB36" s="40" t="s">
        <v>48</v>
      </c>
      <c r="CD36" s="33"/>
      <c r="CE36" s="38" t="str">
        <f>Notes!U37</f>
        <v xml:space="preserve">               Cocoa</v>
      </c>
      <c r="CF36" s="4" t="s">
        <v>705</v>
      </c>
      <c r="CG36" s="44">
        <v>0.54775782482656343</v>
      </c>
      <c r="CH36" s="42" t="s">
        <v>48</v>
      </c>
      <c r="CI36" s="40" t="s">
        <v>48</v>
      </c>
      <c r="CJ36" s="40" t="s">
        <v>48</v>
      </c>
      <c r="CK36" s="40" t="s">
        <v>48</v>
      </c>
      <c r="CL36" s="40" t="s">
        <v>48</v>
      </c>
      <c r="CM36" s="40" t="s">
        <v>48</v>
      </c>
      <c r="CN36" s="40" t="s">
        <v>48</v>
      </c>
      <c r="CO36" s="40" t="s">
        <v>48</v>
      </c>
      <c r="CP36" s="40" t="s">
        <v>48</v>
      </c>
      <c r="CQ36" s="40" t="s">
        <v>48</v>
      </c>
      <c r="CR36" s="40" t="s">
        <v>48</v>
      </c>
      <c r="CS36" s="40" t="s">
        <v>48</v>
      </c>
      <c r="CT36" s="40" t="s">
        <v>48</v>
      </c>
      <c r="CU36" s="40" t="s">
        <v>48</v>
      </c>
      <c r="CV36" s="40" t="s">
        <v>48</v>
      </c>
      <c r="CX36" s="33"/>
      <c r="CY36" s="38" t="str">
        <f>Notes!U37</f>
        <v xml:space="preserve">               Cocoa</v>
      </c>
      <c r="CZ36" s="4" t="s">
        <v>705</v>
      </c>
      <c r="DA36" s="44" t="s">
        <v>48</v>
      </c>
      <c r="DB36" s="42" t="s">
        <v>48</v>
      </c>
      <c r="DC36" s="40" t="s">
        <v>48</v>
      </c>
      <c r="DD36" s="40" t="s">
        <v>48</v>
      </c>
      <c r="DE36" s="40" t="s">
        <v>48</v>
      </c>
      <c r="DF36" s="40" t="s">
        <v>48</v>
      </c>
      <c r="DG36" s="40" t="s">
        <v>48</v>
      </c>
      <c r="DH36" s="40" t="s">
        <v>48</v>
      </c>
      <c r="DI36" s="40" t="s">
        <v>48</v>
      </c>
      <c r="DJ36" s="40" t="s">
        <v>48</v>
      </c>
      <c r="DK36" s="40" t="s">
        <v>48</v>
      </c>
      <c r="DL36" s="40" t="s">
        <v>48</v>
      </c>
      <c r="DM36" s="40" t="s">
        <v>48</v>
      </c>
      <c r="DN36" s="40" t="s">
        <v>48</v>
      </c>
      <c r="DO36" s="40" t="s">
        <v>48</v>
      </c>
      <c r="DP36" s="40" t="s">
        <v>48</v>
      </c>
    </row>
    <row r="37" spans="1:120" x14ac:dyDescent="0.35">
      <c r="A37" s="12">
        <v>30</v>
      </c>
      <c r="B37" s="33"/>
      <c r="C37" s="38" t="str">
        <f>Notes!U38</f>
        <v xml:space="preserve">               Cut flowers</v>
      </c>
      <c r="D37" s="4" t="s">
        <v>331</v>
      </c>
      <c r="E37" s="44">
        <v>0.28609665739740758</v>
      </c>
      <c r="F37" s="42" t="s">
        <v>48</v>
      </c>
      <c r="G37" s="40" t="s">
        <v>48</v>
      </c>
      <c r="H37" s="40" t="s">
        <v>48</v>
      </c>
      <c r="I37" s="40" t="s">
        <v>48</v>
      </c>
      <c r="J37" s="40" t="s">
        <v>48</v>
      </c>
      <c r="K37" s="40" t="s">
        <v>48</v>
      </c>
      <c r="L37" s="40" t="s">
        <v>48</v>
      </c>
      <c r="M37" s="40" t="s">
        <v>48</v>
      </c>
      <c r="N37" s="40" t="s">
        <v>48</v>
      </c>
      <c r="O37" s="40" t="s">
        <v>48</v>
      </c>
      <c r="P37" s="40" t="s">
        <v>48</v>
      </c>
      <c r="Q37" s="40" t="s">
        <v>48</v>
      </c>
      <c r="R37" s="40" t="s">
        <v>48</v>
      </c>
      <c r="S37" s="40" t="s">
        <v>48</v>
      </c>
      <c r="T37" s="40" t="s">
        <v>48</v>
      </c>
      <c r="V37" s="33"/>
      <c r="W37" s="38" t="str">
        <f>Notes!U38</f>
        <v xml:space="preserve">               Cut flowers</v>
      </c>
      <c r="X37" s="4" t="s">
        <v>331</v>
      </c>
      <c r="Y37" s="44">
        <v>0.22577645295489757</v>
      </c>
      <c r="Z37" s="42" t="s">
        <v>48</v>
      </c>
      <c r="AA37" s="40" t="s">
        <v>48</v>
      </c>
      <c r="AB37" s="40" t="s">
        <v>48</v>
      </c>
      <c r="AC37" s="40" t="s">
        <v>48</v>
      </c>
      <c r="AD37" s="40" t="s">
        <v>48</v>
      </c>
      <c r="AE37" s="40" t="s">
        <v>48</v>
      </c>
      <c r="AF37" s="40" t="s">
        <v>48</v>
      </c>
      <c r="AG37" s="40" t="s">
        <v>48</v>
      </c>
      <c r="AH37" s="40" t="s">
        <v>48</v>
      </c>
      <c r="AI37" s="40" t="s">
        <v>48</v>
      </c>
      <c r="AJ37" s="40" t="s">
        <v>48</v>
      </c>
      <c r="AK37" s="40" t="s">
        <v>48</v>
      </c>
      <c r="AL37" s="40" t="s">
        <v>48</v>
      </c>
      <c r="AM37" s="40" t="s">
        <v>48</v>
      </c>
      <c r="AN37" s="40" t="s">
        <v>48</v>
      </c>
      <c r="AP37" s="33"/>
      <c r="AQ37" s="38" t="str">
        <f>Notes!U38</f>
        <v xml:space="preserve">               Cut flowers</v>
      </c>
      <c r="AR37" s="4" t="s">
        <v>331</v>
      </c>
      <c r="AS37" s="44">
        <v>0.22076625785077392</v>
      </c>
      <c r="AT37" s="42" t="s">
        <v>48</v>
      </c>
      <c r="AU37" s="40" t="s">
        <v>48</v>
      </c>
      <c r="AV37" s="40" t="s">
        <v>48</v>
      </c>
      <c r="AW37" s="40" t="s">
        <v>48</v>
      </c>
      <c r="AX37" s="40" t="s">
        <v>48</v>
      </c>
      <c r="AY37" s="40" t="s">
        <v>48</v>
      </c>
      <c r="AZ37" s="40" t="s">
        <v>48</v>
      </c>
      <c r="BA37" s="40" t="s">
        <v>48</v>
      </c>
      <c r="BB37" s="40" t="s">
        <v>48</v>
      </c>
      <c r="BC37" s="40" t="s">
        <v>48</v>
      </c>
      <c r="BD37" s="40" t="s">
        <v>48</v>
      </c>
      <c r="BE37" s="40" t="s">
        <v>48</v>
      </c>
      <c r="BF37" s="40" t="s">
        <v>48</v>
      </c>
      <c r="BG37" s="40" t="s">
        <v>48</v>
      </c>
      <c r="BH37" s="40" t="s">
        <v>48</v>
      </c>
      <c r="BJ37" s="33"/>
      <c r="BK37" s="38" t="str">
        <f>Notes!U38</f>
        <v xml:space="preserve">               Cut flowers</v>
      </c>
      <c r="BL37" s="4" t="s">
        <v>331</v>
      </c>
      <c r="BM37" s="44">
        <v>6.6862876030047341E-2</v>
      </c>
      <c r="BN37" s="42" t="s">
        <v>48</v>
      </c>
      <c r="BO37" s="40" t="s">
        <v>48</v>
      </c>
      <c r="BP37" s="40" t="s">
        <v>48</v>
      </c>
      <c r="BQ37" s="40" t="s">
        <v>48</v>
      </c>
      <c r="BR37" s="40" t="s">
        <v>48</v>
      </c>
      <c r="BS37" s="40" t="s">
        <v>48</v>
      </c>
      <c r="BT37" s="40" t="s">
        <v>48</v>
      </c>
      <c r="BU37" s="40" t="s">
        <v>48</v>
      </c>
      <c r="BV37" s="40" t="s">
        <v>48</v>
      </c>
      <c r="BW37" s="40" t="s">
        <v>48</v>
      </c>
      <c r="BX37" s="40" t="s">
        <v>48</v>
      </c>
      <c r="BY37" s="40" t="s">
        <v>48</v>
      </c>
      <c r="BZ37" s="40" t="s">
        <v>48</v>
      </c>
      <c r="CA37" s="40" t="s">
        <v>48</v>
      </c>
      <c r="CB37" s="40" t="s">
        <v>48</v>
      </c>
      <c r="CD37" s="33"/>
      <c r="CE37" s="38" t="str">
        <f>Notes!U38</f>
        <v xml:space="preserve">               Cut flowers</v>
      </c>
      <c r="CF37" s="4" t="s">
        <v>331</v>
      </c>
      <c r="CG37" s="44">
        <v>0.19516438155016447</v>
      </c>
      <c r="CH37" s="42" t="s">
        <v>48</v>
      </c>
      <c r="CI37" s="40" t="s">
        <v>48</v>
      </c>
      <c r="CJ37" s="40" t="s">
        <v>48</v>
      </c>
      <c r="CK37" s="40" t="s">
        <v>48</v>
      </c>
      <c r="CL37" s="40" t="s">
        <v>48</v>
      </c>
      <c r="CM37" s="40" t="s">
        <v>48</v>
      </c>
      <c r="CN37" s="40" t="s">
        <v>48</v>
      </c>
      <c r="CO37" s="40" t="s">
        <v>48</v>
      </c>
      <c r="CP37" s="40" t="s">
        <v>48</v>
      </c>
      <c r="CQ37" s="40" t="s">
        <v>48</v>
      </c>
      <c r="CR37" s="40" t="s">
        <v>48</v>
      </c>
      <c r="CS37" s="40" t="s">
        <v>48</v>
      </c>
      <c r="CT37" s="40" t="s">
        <v>48</v>
      </c>
      <c r="CU37" s="40" t="s">
        <v>48</v>
      </c>
      <c r="CV37" s="40" t="s">
        <v>48</v>
      </c>
      <c r="CX37" s="33"/>
      <c r="CY37" s="38" t="str">
        <f>Notes!U38</f>
        <v xml:space="preserve">               Cut flowers</v>
      </c>
      <c r="CZ37" s="4" t="s">
        <v>331</v>
      </c>
      <c r="DA37" s="44">
        <v>8.5125326196536025E-2</v>
      </c>
      <c r="DB37" s="42" t="s">
        <v>48</v>
      </c>
      <c r="DC37" s="40" t="s">
        <v>48</v>
      </c>
      <c r="DD37" s="40" t="s">
        <v>48</v>
      </c>
      <c r="DE37" s="40" t="s">
        <v>48</v>
      </c>
      <c r="DF37" s="40" t="s">
        <v>48</v>
      </c>
      <c r="DG37" s="40" t="s">
        <v>48</v>
      </c>
      <c r="DH37" s="40" t="s">
        <v>48</v>
      </c>
      <c r="DI37" s="40" t="s">
        <v>48</v>
      </c>
      <c r="DJ37" s="40" t="s">
        <v>48</v>
      </c>
      <c r="DK37" s="40" t="s">
        <v>48</v>
      </c>
      <c r="DL37" s="40" t="s">
        <v>48</v>
      </c>
      <c r="DM37" s="40" t="s">
        <v>48</v>
      </c>
      <c r="DN37" s="40" t="s">
        <v>48</v>
      </c>
      <c r="DO37" s="40" t="s">
        <v>48</v>
      </c>
      <c r="DP37" s="40" t="s">
        <v>48</v>
      </c>
    </row>
    <row r="38" spans="1:120" x14ac:dyDescent="0.35">
      <c r="A38" s="12">
        <v>31</v>
      </c>
      <c r="B38" s="33"/>
      <c r="C38" s="38" t="str">
        <f>Notes!U39</f>
        <v xml:space="preserve">               Rubber</v>
      </c>
      <c r="D38" s="4" t="s">
        <v>493</v>
      </c>
      <c r="E38" s="44">
        <v>1.7585016687597637</v>
      </c>
      <c r="F38" s="42" t="s">
        <v>48</v>
      </c>
      <c r="G38" s="40" t="s">
        <v>48</v>
      </c>
      <c r="H38" s="40" t="s">
        <v>48</v>
      </c>
      <c r="I38" s="40" t="s">
        <v>48</v>
      </c>
      <c r="J38" s="40" t="s">
        <v>48</v>
      </c>
      <c r="K38" s="40" t="s">
        <v>48</v>
      </c>
      <c r="L38" s="40" t="s">
        <v>48</v>
      </c>
      <c r="M38" s="40" t="s">
        <v>48</v>
      </c>
      <c r="N38" s="40" t="s">
        <v>48</v>
      </c>
      <c r="O38" s="40" t="s">
        <v>48</v>
      </c>
      <c r="P38" s="40" t="s">
        <v>48</v>
      </c>
      <c r="Q38" s="40" t="s">
        <v>48</v>
      </c>
      <c r="R38" s="40" t="s">
        <v>48</v>
      </c>
      <c r="S38" s="40" t="s">
        <v>48</v>
      </c>
      <c r="T38" s="40" t="s">
        <v>48</v>
      </c>
      <c r="V38" s="33"/>
      <c r="W38" s="38" t="str">
        <f>Notes!U39</f>
        <v xml:space="preserve">               Rubber</v>
      </c>
      <c r="X38" s="4" t="s">
        <v>493</v>
      </c>
      <c r="Y38" s="44">
        <v>1.3902311655776334</v>
      </c>
      <c r="Z38" s="42" t="s">
        <v>48</v>
      </c>
      <c r="AA38" s="40" t="s">
        <v>48</v>
      </c>
      <c r="AB38" s="40" t="s">
        <v>48</v>
      </c>
      <c r="AC38" s="40" t="s">
        <v>48</v>
      </c>
      <c r="AD38" s="40" t="s">
        <v>48</v>
      </c>
      <c r="AE38" s="40" t="s">
        <v>48</v>
      </c>
      <c r="AF38" s="40" t="s">
        <v>48</v>
      </c>
      <c r="AG38" s="40" t="s">
        <v>48</v>
      </c>
      <c r="AH38" s="40" t="s">
        <v>48</v>
      </c>
      <c r="AI38" s="40" t="s">
        <v>48</v>
      </c>
      <c r="AJ38" s="40" t="s">
        <v>48</v>
      </c>
      <c r="AK38" s="40" t="s">
        <v>48</v>
      </c>
      <c r="AL38" s="40" t="s">
        <v>48</v>
      </c>
      <c r="AM38" s="40" t="s">
        <v>48</v>
      </c>
      <c r="AN38" s="40" t="s">
        <v>48</v>
      </c>
      <c r="AP38" s="33"/>
      <c r="AQ38" s="38" t="str">
        <f>Notes!U39</f>
        <v xml:space="preserve">               Rubber</v>
      </c>
      <c r="AR38" s="4" t="s">
        <v>493</v>
      </c>
      <c r="AS38" s="44">
        <v>0.29608094769710891</v>
      </c>
      <c r="AT38" s="42" t="s">
        <v>48</v>
      </c>
      <c r="AU38" s="40" t="s">
        <v>48</v>
      </c>
      <c r="AV38" s="40" t="s">
        <v>48</v>
      </c>
      <c r="AW38" s="40" t="s">
        <v>48</v>
      </c>
      <c r="AX38" s="40" t="s">
        <v>48</v>
      </c>
      <c r="AY38" s="40" t="s">
        <v>48</v>
      </c>
      <c r="AZ38" s="40" t="s">
        <v>48</v>
      </c>
      <c r="BA38" s="40" t="s">
        <v>48</v>
      </c>
      <c r="BB38" s="40" t="s">
        <v>48</v>
      </c>
      <c r="BC38" s="40" t="s">
        <v>48</v>
      </c>
      <c r="BD38" s="40" t="s">
        <v>48</v>
      </c>
      <c r="BE38" s="40" t="s">
        <v>48</v>
      </c>
      <c r="BF38" s="40" t="s">
        <v>48</v>
      </c>
      <c r="BG38" s="40" t="s">
        <v>48</v>
      </c>
      <c r="BH38" s="40" t="s">
        <v>48</v>
      </c>
      <c r="BJ38" s="33"/>
      <c r="BK38" s="38" t="str">
        <f>Notes!U39</f>
        <v xml:space="preserve">               Rubber</v>
      </c>
      <c r="BL38" s="4" t="s">
        <v>493</v>
      </c>
      <c r="BM38" s="44">
        <v>4.9391278972466056E-2</v>
      </c>
      <c r="BN38" s="42" t="s">
        <v>48</v>
      </c>
      <c r="BO38" s="40" t="s">
        <v>48</v>
      </c>
      <c r="BP38" s="40" t="s">
        <v>48</v>
      </c>
      <c r="BQ38" s="40" t="s">
        <v>48</v>
      </c>
      <c r="BR38" s="40" t="s">
        <v>48</v>
      </c>
      <c r="BS38" s="40" t="s">
        <v>48</v>
      </c>
      <c r="BT38" s="40" t="s">
        <v>48</v>
      </c>
      <c r="BU38" s="40" t="s">
        <v>48</v>
      </c>
      <c r="BV38" s="40" t="s">
        <v>48</v>
      </c>
      <c r="BW38" s="40" t="s">
        <v>48</v>
      </c>
      <c r="BX38" s="40" t="s">
        <v>48</v>
      </c>
      <c r="BY38" s="40" t="s">
        <v>48</v>
      </c>
      <c r="BZ38" s="40" t="s">
        <v>48</v>
      </c>
      <c r="CA38" s="40" t="s">
        <v>48</v>
      </c>
      <c r="CB38" s="40" t="s">
        <v>48</v>
      </c>
      <c r="CD38" s="33"/>
      <c r="CE38" s="38" t="str">
        <f>Notes!U39</f>
        <v xml:space="preserve">               Rubber</v>
      </c>
      <c r="CF38" s="4" t="s">
        <v>493</v>
      </c>
      <c r="CG38" s="44">
        <v>0.267336951593242</v>
      </c>
      <c r="CH38" s="42" t="s">
        <v>48</v>
      </c>
      <c r="CI38" s="40" t="s">
        <v>48</v>
      </c>
      <c r="CJ38" s="40" t="s">
        <v>48</v>
      </c>
      <c r="CK38" s="40" t="s">
        <v>48</v>
      </c>
      <c r="CL38" s="40" t="s">
        <v>48</v>
      </c>
      <c r="CM38" s="40" t="s">
        <v>48</v>
      </c>
      <c r="CN38" s="40" t="s">
        <v>48</v>
      </c>
      <c r="CO38" s="40" t="s">
        <v>48</v>
      </c>
      <c r="CP38" s="40" t="s">
        <v>48</v>
      </c>
      <c r="CQ38" s="40" t="s">
        <v>48</v>
      </c>
      <c r="CR38" s="40" t="s">
        <v>48</v>
      </c>
      <c r="CS38" s="40" t="s">
        <v>48</v>
      </c>
      <c r="CT38" s="40" t="s">
        <v>48</v>
      </c>
      <c r="CU38" s="40" t="s">
        <v>48</v>
      </c>
      <c r="CV38" s="40" t="s">
        <v>48</v>
      </c>
      <c r="CX38" s="33"/>
      <c r="CY38" s="38" t="str">
        <f>Notes!U39</f>
        <v xml:space="preserve">               Rubber</v>
      </c>
      <c r="CZ38" s="4" t="s">
        <v>493</v>
      </c>
      <c r="DA38" s="44">
        <v>6.1222118920647786E-2</v>
      </c>
      <c r="DB38" s="42" t="s">
        <v>48</v>
      </c>
      <c r="DC38" s="40" t="s">
        <v>48</v>
      </c>
      <c r="DD38" s="40" t="s">
        <v>48</v>
      </c>
      <c r="DE38" s="40" t="s">
        <v>48</v>
      </c>
      <c r="DF38" s="40" t="s">
        <v>48</v>
      </c>
      <c r="DG38" s="40" t="s">
        <v>48</v>
      </c>
      <c r="DH38" s="40" t="s">
        <v>48</v>
      </c>
      <c r="DI38" s="40" t="s">
        <v>48</v>
      </c>
      <c r="DJ38" s="40" t="s">
        <v>48</v>
      </c>
      <c r="DK38" s="40" t="s">
        <v>48</v>
      </c>
      <c r="DL38" s="40" t="s">
        <v>48</v>
      </c>
      <c r="DM38" s="40" t="s">
        <v>48</v>
      </c>
      <c r="DN38" s="40" t="s">
        <v>48</v>
      </c>
      <c r="DO38" s="40" t="s">
        <v>48</v>
      </c>
      <c r="DP38" s="40" t="s">
        <v>48</v>
      </c>
    </row>
    <row r="39" spans="1:120" x14ac:dyDescent="0.35">
      <c r="A39" s="12">
        <v>32</v>
      </c>
      <c r="B39" s="33"/>
      <c r="C39" s="38" t="str">
        <f>Notes!U40</f>
        <v xml:space="preserve">               Other crops</v>
      </c>
      <c r="D39" s="4" t="s">
        <v>332</v>
      </c>
      <c r="E39" s="44">
        <v>0.83500137524794971</v>
      </c>
      <c r="F39" s="42" t="s">
        <v>48</v>
      </c>
      <c r="G39" s="40" t="s">
        <v>48</v>
      </c>
      <c r="H39" s="40" t="s">
        <v>48</v>
      </c>
      <c r="I39" s="40" t="s">
        <v>48</v>
      </c>
      <c r="J39" s="40" t="s">
        <v>48</v>
      </c>
      <c r="K39" s="40" t="s">
        <v>48</v>
      </c>
      <c r="L39" s="40" t="s">
        <v>48</v>
      </c>
      <c r="M39" s="40" t="s">
        <v>48</v>
      </c>
      <c r="N39" s="40" t="s">
        <v>48</v>
      </c>
      <c r="O39" s="40" t="s">
        <v>48</v>
      </c>
      <c r="P39" s="40" t="s">
        <v>48</v>
      </c>
      <c r="Q39" s="40" t="s">
        <v>48</v>
      </c>
      <c r="R39" s="40" t="s">
        <v>48</v>
      </c>
      <c r="S39" s="40" t="s">
        <v>48</v>
      </c>
      <c r="T39" s="40" t="s">
        <v>48</v>
      </c>
      <c r="V39" s="33"/>
      <c r="W39" s="38" t="str">
        <f>Notes!U40</f>
        <v xml:space="preserve">               Other crops</v>
      </c>
      <c r="X39" s="4" t="s">
        <v>332</v>
      </c>
      <c r="Y39" s="44">
        <v>0.66032620389001695</v>
      </c>
      <c r="Z39" s="42" t="s">
        <v>48</v>
      </c>
      <c r="AA39" s="40" t="s">
        <v>48</v>
      </c>
      <c r="AB39" s="40" t="s">
        <v>48</v>
      </c>
      <c r="AC39" s="40" t="s">
        <v>48</v>
      </c>
      <c r="AD39" s="40" t="s">
        <v>48</v>
      </c>
      <c r="AE39" s="40" t="s">
        <v>48</v>
      </c>
      <c r="AF39" s="40" t="s">
        <v>48</v>
      </c>
      <c r="AG39" s="40" t="s">
        <v>48</v>
      </c>
      <c r="AH39" s="40" t="s">
        <v>48</v>
      </c>
      <c r="AI39" s="40" t="s">
        <v>48</v>
      </c>
      <c r="AJ39" s="40" t="s">
        <v>48</v>
      </c>
      <c r="AK39" s="40" t="s">
        <v>48</v>
      </c>
      <c r="AL39" s="40" t="s">
        <v>48</v>
      </c>
      <c r="AM39" s="40" t="s">
        <v>48</v>
      </c>
      <c r="AN39" s="40" t="s">
        <v>48</v>
      </c>
      <c r="AP39" s="33"/>
      <c r="AQ39" s="38" t="str">
        <f>Notes!U40</f>
        <v xml:space="preserve">               Other crops</v>
      </c>
      <c r="AR39" s="4" t="s">
        <v>332</v>
      </c>
      <c r="AS39" s="44" t="s">
        <v>48</v>
      </c>
      <c r="AT39" s="42" t="s">
        <v>48</v>
      </c>
      <c r="AU39" s="40" t="s">
        <v>48</v>
      </c>
      <c r="AV39" s="40" t="s">
        <v>48</v>
      </c>
      <c r="AW39" s="40" t="s">
        <v>48</v>
      </c>
      <c r="AX39" s="40" t="s">
        <v>48</v>
      </c>
      <c r="AY39" s="40" t="s">
        <v>48</v>
      </c>
      <c r="AZ39" s="40" t="s">
        <v>48</v>
      </c>
      <c r="BA39" s="40" t="s">
        <v>48</v>
      </c>
      <c r="BB39" s="40" t="s">
        <v>48</v>
      </c>
      <c r="BC39" s="40" t="s">
        <v>48</v>
      </c>
      <c r="BD39" s="40" t="s">
        <v>48</v>
      </c>
      <c r="BE39" s="40" t="s">
        <v>48</v>
      </c>
      <c r="BF39" s="40" t="s">
        <v>48</v>
      </c>
      <c r="BG39" s="40" t="s">
        <v>48</v>
      </c>
      <c r="BH39" s="40" t="s">
        <v>48</v>
      </c>
      <c r="BJ39" s="33"/>
      <c r="BK39" s="38" t="str">
        <f>Notes!U40</f>
        <v xml:space="preserve">               Other crops</v>
      </c>
      <c r="BL39" s="4" t="s">
        <v>332</v>
      </c>
      <c r="BM39" s="44" t="s">
        <v>48</v>
      </c>
      <c r="BN39" s="42" t="s">
        <v>48</v>
      </c>
      <c r="BO39" s="40" t="s">
        <v>48</v>
      </c>
      <c r="BP39" s="40" t="s">
        <v>48</v>
      </c>
      <c r="BQ39" s="40" t="s">
        <v>48</v>
      </c>
      <c r="BR39" s="40" t="s">
        <v>48</v>
      </c>
      <c r="BS39" s="40" t="s">
        <v>48</v>
      </c>
      <c r="BT39" s="40" t="s">
        <v>48</v>
      </c>
      <c r="BU39" s="40" t="s">
        <v>48</v>
      </c>
      <c r="BV39" s="40" t="s">
        <v>48</v>
      </c>
      <c r="BW39" s="40" t="s">
        <v>48</v>
      </c>
      <c r="BX39" s="40" t="s">
        <v>48</v>
      </c>
      <c r="BY39" s="40" t="s">
        <v>48</v>
      </c>
      <c r="BZ39" s="40" t="s">
        <v>48</v>
      </c>
      <c r="CA39" s="40" t="s">
        <v>48</v>
      </c>
      <c r="CB39" s="40" t="s">
        <v>48</v>
      </c>
      <c r="CD39" s="33"/>
      <c r="CE39" s="38" t="str">
        <f>Notes!U40</f>
        <v xml:space="preserve">               Other crops</v>
      </c>
      <c r="CF39" s="4" t="s">
        <v>332</v>
      </c>
      <c r="CG39" s="44" t="s">
        <v>48</v>
      </c>
      <c r="CH39" s="42" t="s">
        <v>48</v>
      </c>
      <c r="CI39" s="40" t="s">
        <v>48</v>
      </c>
      <c r="CJ39" s="40" t="s">
        <v>48</v>
      </c>
      <c r="CK39" s="40" t="s">
        <v>48</v>
      </c>
      <c r="CL39" s="40" t="s">
        <v>48</v>
      </c>
      <c r="CM39" s="40" t="s">
        <v>48</v>
      </c>
      <c r="CN39" s="40" t="s">
        <v>48</v>
      </c>
      <c r="CO39" s="40" t="s">
        <v>48</v>
      </c>
      <c r="CP39" s="40" t="s">
        <v>48</v>
      </c>
      <c r="CQ39" s="40" t="s">
        <v>48</v>
      </c>
      <c r="CR39" s="40" t="s">
        <v>48</v>
      </c>
      <c r="CS39" s="40" t="s">
        <v>48</v>
      </c>
      <c r="CT39" s="40" t="s">
        <v>48</v>
      </c>
      <c r="CU39" s="40" t="s">
        <v>48</v>
      </c>
      <c r="CV39" s="40" t="s">
        <v>48</v>
      </c>
      <c r="CX39" s="33"/>
      <c r="CY39" s="38" t="str">
        <f>Notes!U40</f>
        <v xml:space="preserve">               Other crops</v>
      </c>
      <c r="CZ39" s="4" t="s">
        <v>332</v>
      </c>
      <c r="DA39" s="44" t="s">
        <v>48</v>
      </c>
      <c r="DB39" s="42" t="s">
        <v>48</v>
      </c>
      <c r="DC39" s="40" t="s">
        <v>48</v>
      </c>
      <c r="DD39" s="40" t="s">
        <v>48</v>
      </c>
      <c r="DE39" s="40" t="s">
        <v>48</v>
      </c>
      <c r="DF39" s="40" t="s">
        <v>48</v>
      </c>
      <c r="DG39" s="40" t="s">
        <v>48</v>
      </c>
      <c r="DH39" s="40" t="s">
        <v>48</v>
      </c>
      <c r="DI39" s="40" t="s">
        <v>48</v>
      </c>
      <c r="DJ39" s="40" t="s">
        <v>48</v>
      </c>
      <c r="DK39" s="40" t="s">
        <v>48</v>
      </c>
      <c r="DL39" s="40" t="s">
        <v>48</v>
      </c>
      <c r="DM39" s="40" t="s">
        <v>48</v>
      </c>
      <c r="DN39" s="40" t="s">
        <v>48</v>
      </c>
      <c r="DO39" s="40" t="s">
        <v>48</v>
      </c>
      <c r="DP39" s="40" t="s">
        <v>48</v>
      </c>
    </row>
    <row r="40" spans="1:120" x14ac:dyDescent="0.35">
      <c r="A40" s="12">
        <v>33</v>
      </c>
      <c r="B40" s="33"/>
      <c r="C40" s="38" t="str">
        <f>Notes!U41</f>
        <v xml:space="preserve">               Livestock</v>
      </c>
      <c r="D40" s="4" t="s">
        <v>333</v>
      </c>
      <c r="E40" s="44">
        <v>0.35748931263030082</v>
      </c>
      <c r="F40" s="42" t="s">
        <v>48</v>
      </c>
      <c r="G40" s="40" t="s">
        <v>48</v>
      </c>
      <c r="H40" s="40" t="s">
        <v>48</v>
      </c>
      <c r="I40" s="40" t="s">
        <v>48</v>
      </c>
      <c r="J40" s="40" t="s">
        <v>48</v>
      </c>
      <c r="K40" s="40" t="s">
        <v>48</v>
      </c>
      <c r="L40" s="40" t="s">
        <v>48</v>
      </c>
      <c r="M40" s="40" t="s">
        <v>48</v>
      </c>
      <c r="N40" s="40" t="s">
        <v>48</v>
      </c>
      <c r="O40" s="40" t="s">
        <v>48</v>
      </c>
      <c r="P40" s="40" t="s">
        <v>48</v>
      </c>
      <c r="Q40" s="40" t="s">
        <v>48</v>
      </c>
      <c r="R40" s="40" t="s">
        <v>48</v>
      </c>
      <c r="S40" s="40" t="s">
        <v>48</v>
      </c>
      <c r="T40" s="40" t="s">
        <v>48</v>
      </c>
      <c r="V40" s="33"/>
      <c r="W40" s="38" t="str">
        <f>Notes!U41</f>
        <v xml:space="preserve">               Livestock</v>
      </c>
      <c r="X40" s="4" t="s">
        <v>333</v>
      </c>
      <c r="Y40" s="44">
        <v>0.28215013880318623</v>
      </c>
      <c r="Z40" s="42" t="s">
        <v>48</v>
      </c>
      <c r="AA40" s="40" t="s">
        <v>48</v>
      </c>
      <c r="AB40" s="40" t="s">
        <v>48</v>
      </c>
      <c r="AC40" s="40" t="s">
        <v>48</v>
      </c>
      <c r="AD40" s="40" t="s">
        <v>48</v>
      </c>
      <c r="AE40" s="40" t="s">
        <v>48</v>
      </c>
      <c r="AF40" s="40" t="s">
        <v>48</v>
      </c>
      <c r="AG40" s="40" t="s">
        <v>48</v>
      </c>
      <c r="AH40" s="40" t="s">
        <v>48</v>
      </c>
      <c r="AI40" s="40" t="s">
        <v>48</v>
      </c>
      <c r="AJ40" s="40" t="s">
        <v>48</v>
      </c>
      <c r="AK40" s="40" t="s">
        <v>48</v>
      </c>
      <c r="AL40" s="40" t="s">
        <v>48</v>
      </c>
      <c r="AM40" s="40" t="s">
        <v>48</v>
      </c>
      <c r="AN40" s="40" t="s">
        <v>48</v>
      </c>
      <c r="AP40" s="33"/>
      <c r="AQ40" s="38" t="str">
        <f>Notes!U41</f>
        <v xml:space="preserve">               Livestock</v>
      </c>
      <c r="AR40" s="4" t="s">
        <v>333</v>
      </c>
      <c r="AS40" s="44" t="s">
        <v>48</v>
      </c>
      <c r="AT40" s="42" t="s">
        <v>48</v>
      </c>
      <c r="AU40" s="40" t="s">
        <v>48</v>
      </c>
      <c r="AV40" s="40" t="s">
        <v>48</v>
      </c>
      <c r="AW40" s="40" t="s">
        <v>48</v>
      </c>
      <c r="AX40" s="40" t="s">
        <v>48</v>
      </c>
      <c r="AY40" s="40" t="s">
        <v>48</v>
      </c>
      <c r="AZ40" s="40" t="s">
        <v>48</v>
      </c>
      <c r="BA40" s="40" t="s">
        <v>48</v>
      </c>
      <c r="BB40" s="40" t="s">
        <v>48</v>
      </c>
      <c r="BC40" s="40" t="s">
        <v>48</v>
      </c>
      <c r="BD40" s="40" t="s">
        <v>48</v>
      </c>
      <c r="BE40" s="40" t="s">
        <v>48</v>
      </c>
      <c r="BF40" s="40" t="s">
        <v>48</v>
      </c>
      <c r="BG40" s="40" t="s">
        <v>48</v>
      </c>
      <c r="BH40" s="40" t="s">
        <v>48</v>
      </c>
      <c r="BJ40" s="33"/>
      <c r="BK40" s="38" t="str">
        <f>Notes!U41</f>
        <v xml:space="preserve">               Livestock</v>
      </c>
      <c r="BL40" s="4" t="s">
        <v>333</v>
      </c>
      <c r="BM40" s="44" t="s">
        <v>48</v>
      </c>
      <c r="BN40" s="42" t="s">
        <v>48</v>
      </c>
      <c r="BO40" s="40" t="s">
        <v>48</v>
      </c>
      <c r="BP40" s="40" t="s">
        <v>48</v>
      </c>
      <c r="BQ40" s="40" t="s">
        <v>48</v>
      </c>
      <c r="BR40" s="40" t="s">
        <v>48</v>
      </c>
      <c r="BS40" s="40" t="s">
        <v>48</v>
      </c>
      <c r="BT40" s="40" t="s">
        <v>48</v>
      </c>
      <c r="BU40" s="40" t="s">
        <v>48</v>
      </c>
      <c r="BV40" s="40" t="s">
        <v>48</v>
      </c>
      <c r="BW40" s="40" t="s">
        <v>48</v>
      </c>
      <c r="BX40" s="40" t="s">
        <v>48</v>
      </c>
      <c r="BY40" s="40" t="s">
        <v>48</v>
      </c>
      <c r="BZ40" s="40" t="s">
        <v>48</v>
      </c>
      <c r="CA40" s="40" t="s">
        <v>48</v>
      </c>
      <c r="CB40" s="40" t="s">
        <v>48</v>
      </c>
      <c r="CD40" s="33"/>
      <c r="CE40" s="38" t="str">
        <f>Notes!U41</f>
        <v xml:space="preserve">               Livestock</v>
      </c>
      <c r="CF40" s="4" t="s">
        <v>333</v>
      </c>
      <c r="CG40" s="44" t="s">
        <v>48</v>
      </c>
      <c r="CH40" s="42" t="s">
        <v>48</v>
      </c>
      <c r="CI40" s="40" t="s">
        <v>48</v>
      </c>
      <c r="CJ40" s="40" t="s">
        <v>48</v>
      </c>
      <c r="CK40" s="40" t="s">
        <v>48</v>
      </c>
      <c r="CL40" s="40" t="s">
        <v>48</v>
      </c>
      <c r="CM40" s="40" t="s">
        <v>48</v>
      </c>
      <c r="CN40" s="40" t="s">
        <v>48</v>
      </c>
      <c r="CO40" s="40" t="s">
        <v>48</v>
      </c>
      <c r="CP40" s="40" t="s">
        <v>48</v>
      </c>
      <c r="CQ40" s="40" t="s">
        <v>48</v>
      </c>
      <c r="CR40" s="40" t="s">
        <v>48</v>
      </c>
      <c r="CS40" s="40" t="s">
        <v>48</v>
      </c>
      <c r="CT40" s="40" t="s">
        <v>48</v>
      </c>
      <c r="CU40" s="40" t="s">
        <v>48</v>
      </c>
      <c r="CV40" s="40" t="s">
        <v>48</v>
      </c>
      <c r="CX40" s="33"/>
      <c r="CY40" s="38" t="str">
        <f>Notes!U41</f>
        <v xml:space="preserve">               Livestock</v>
      </c>
      <c r="CZ40" s="4" t="s">
        <v>333</v>
      </c>
      <c r="DA40" s="44" t="s">
        <v>48</v>
      </c>
      <c r="DB40" s="42" t="s">
        <v>48</v>
      </c>
      <c r="DC40" s="40" t="s">
        <v>48</v>
      </c>
      <c r="DD40" s="40" t="s">
        <v>48</v>
      </c>
      <c r="DE40" s="40" t="s">
        <v>48</v>
      </c>
      <c r="DF40" s="40" t="s">
        <v>48</v>
      </c>
      <c r="DG40" s="40" t="s">
        <v>48</v>
      </c>
      <c r="DH40" s="40" t="s">
        <v>48</v>
      </c>
      <c r="DI40" s="40" t="s">
        <v>48</v>
      </c>
      <c r="DJ40" s="40" t="s">
        <v>48</v>
      </c>
      <c r="DK40" s="40" t="s">
        <v>48</v>
      </c>
      <c r="DL40" s="40" t="s">
        <v>48</v>
      </c>
      <c r="DM40" s="40" t="s">
        <v>48</v>
      </c>
      <c r="DN40" s="40" t="s">
        <v>48</v>
      </c>
      <c r="DO40" s="40" t="s">
        <v>48</v>
      </c>
      <c r="DP40" s="40" t="s">
        <v>48</v>
      </c>
    </row>
    <row r="41" spans="1:120" x14ac:dyDescent="0.35">
      <c r="A41" s="12">
        <v>34</v>
      </c>
      <c r="B41" s="33"/>
      <c r="C41" s="38" t="str">
        <f>Notes!U42</f>
        <v xml:space="preserve">               Cattle</v>
      </c>
      <c r="D41" s="4" t="s">
        <v>488</v>
      </c>
      <c r="E41" s="44">
        <v>0.12775409462061202</v>
      </c>
      <c r="F41" s="42" t="s">
        <v>48</v>
      </c>
      <c r="G41" s="40" t="s">
        <v>48</v>
      </c>
      <c r="H41" s="40" t="s">
        <v>48</v>
      </c>
      <c r="I41" s="40" t="s">
        <v>48</v>
      </c>
      <c r="J41" s="40" t="s">
        <v>48</v>
      </c>
      <c r="K41" s="40" t="s">
        <v>48</v>
      </c>
      <c r="L41" s="40" t="s">
        <v>48</v>
      </c>
      <c r="M41" s="40" t="s">
        <v>48</v>
      </c>
      <c r="N41" s="40" t="s">
        <v>48</v>
      </c>
      <c r="O41" s="40" t="s">
        <v>48</v>
      </c>
      <c r="P41" s="40" t="s">
        <v>48</v>
      </c>
      <c r="Q41" s="40" t="s">
        <v>48</v>
      </c>
      <c r="R41" s="40" t="s">
        <v>48</v>
      </c>
      <c r="S41" s="40" t="s">
        <v>48</v>
      </c>
      <c r="T41" s="40" t="s">
        <v>48</v>
      </c>
      <c r="V41" s="33"/>
      <c r="W41" s="38" t="str">
        <f>Notes!U42</f>
        <v xml:space="preserve">               Cattle</v>
      </c>
      <c r="X41" s="4" t="s">
        <v>488</v>
      </c>
      <c r="Y41" s="44">
        <v>9.3334261572704094E-2</v>
      </c>
      <c r="Z41" s="42" t="s">
        <v>48</v>
      </c>
      <c r="AA41" s="40" t="s">
        <v>48</v>
      </c>
      <c r="AB41" s="40" t="s">
        <v>48</v>
      </c>
      <c r="AC41" s="40" t="s">
        <v>48</v>
      </c>
      <c r="AD41" s="40" t="s">
        <v>48</v>
      </c>
      <c r="AE41" s="40" t="s">
        <v>48</v>
      </c>
      <c r="AF41" s="40" t="s">
        <v>48</v>
      </c>
      <c r="AG41" s="40" t="s">
        <v>48</v>
      </c>
      <c r="AH41" s="40" t="s">
        <v>48</v>
      </c>
      <c r="AI41" s="40" t="s">
        <v>48</v>
      </c>
      <c r="AJ41" s="40" t="s">
        <v>48</v>
      </c>
      <c r="AK41" s="40" t="s">
        <v>48</v>
      </c>
      <c r="AL41" s="40" t="s">
        <v>48</v>
      </c>
      <c r="AM41" s="40" t="s">
        <v>48</v>
      </c>
      <c r="AN41" s="40" t="s">
        <v>48</v>
      </c>
      <c r="AP41" s="33"/>
      <c r="AQ41" s="38" t="str">
        <f>Notes!U42</f>
        <v xml:space="preserve">               Cattle</v>
      </c>
      <c r="AR41" s="4" t="s">
        <v>488</v>
      </c>
      <c r="AS41" s="44">
        <v>0.21324491304562801</v>
      </c>
      <c r="AT41" s="42" t="s">
        <v>48</v>
      </c>
      <c r="AU41" s="40" t="s">
        <v>48</v>
      </c>
      <c r="AV41" s="40" t="s">
        <v>48</v>
      </c>
      <c r="AW41" s="40" t="s">
        <v>48</v>
      </c>
      <c r="AX41" s="40" t="s">
        <v>48</v>
      </c>
      <c r="AY41" s="40" t="s">
        <v>48</v>
      </c>
      <c r="AZ41" s="40" t="s">
        <v>48</v>
      </c>
      <c r="BA41" s="40" t="s">
        <v>48</v>
      </c>
      <c r="BB41" s="40" t="s">
        <v>48</v>
      </c>
      <c r="BC41" s="40" t="s">
        <v>48</v>
      </c>
      <c r="BD41" s="40" t="s">
        <v>48</v>
      </c>
      <c r="BE41" s="40" t="s">
        <v>48</v>
      </c>
      <c r="BF41" s="40" t="s">
        <v>48</v>
      </c>
      <c r="BG41" s="40" t="s">
        <v>48</v>
      </c>
      <c r="BH41" s="40" t="s">
        <v>48</v>
      </c>
      <c r="BJ41" s="33"/>
      <c r="BK41" s="38" t="str">
        <f>Notes!U42</f>
        <v xml:space="preserve">               Cattle</v>
      </c>
      <c r="BL41" s="4" t="s">
        <v>488</v>
      </c>
      <c r="BM41" s="44">
        <v>3.1055631178268758E-2</v>
      </c>
      <c r="BN41" s="42" t="s">
        <v>48</v>
      </c>
      <c r="BO41" s="40" t="s">
        <v>48</v>
      </c>
      <c r="BP41" s="40" t="s">
        <v>48</v>
      </c>
      <c r="BQ41" s="40" t="s">
        <v>48</v>
      </c>
      <c r="BR41" s="40" t="s">
        <v>48</v>
      </c>
      <c r="BS41" s="40" t="s">
        <v>48</v>
      </c>
      <c r="BT41" s="40" t="s">
        <v>48</v>
      </c>
      <c r="BU41" s="40" t="s">
        <v>48</v>
      </c>
      <c r="BV41" s="40" t="s">
        <v>48</v>
      </c>
      <c r="BW41" s="40" t="s">
        <v>48</v>
      </c>
      <c r="BX41" s="40" t="s">
        <v>48</v>
      </c>
      <c r="BY41" s="40" t="s">
        <v>48</v>
      </c>
      <c r="BZ41" s="40" t="s">
        <v>48</v>
      </c>
      <c r="CA41" s="40" t="s">
        <v>48</v>
      </c>
      <c r="CB41" s="40" t="s">
        <v>48</v>
      </c>
      <c r="CD41" s="33"/>
      <c r="CE41" s="38" t="str">
        <f>Notes!U42</f>
        <v xml:space="preserve">               Cattle</v>
      </c>
      <c r="CF41" s="4" t="s">
        <v>488</v>
      </c>
      <c r="CG41" s="44">
        <v>0.18846270794032013</v>
      </c>
      <c r="CH41" s="42" t="s">
        <v>48</v>
      </c>
      <c r="CI41" s="40" t="s">
        <v>48</v>
      </c>
      <c r="CJ41" s="40" t="s">
        <v>48</v>
      </c>
      <c r="CK41" s="40" t="s">
        <v>48</v>
      </c>
      <c r="CL41" s="40" t="s">
        <v>48</v>
      </c>
      <c r="CM41" s="40" t="s">
        <v>48</v>
      </c>
      <c r="CN41" s="40" t="s">
        <v>48</v>
      </c>
      <c r="CO41" s="40" t="s">
        <v>48</v>
      </c>
      <c r="CP41" s="40" t="s">
        <v>48</v>
      </c>
      <c r="CQ41" s="40" t="s">
        <v>48</v>
      </c>
      <c r="CR41" s="40" t="s">
        <v>48</v>
      </c>
      <c r="CS41" s="40" t="s">
        <v>48</v>
      </c>
      <c r="CT41" s="40" t="s">
        <v>48</v>
      </c>
      <c r="CU41" s="40" t="s">
        <v>48</v>
      </c>
      <c r="CV41" s="40" t="s">
        <v>48</v>
      </c>
      <c r="CX41" s="33"/>
      <c r="CY41" s="38" t="str">
        <f>Notes!U42</f>
        <v xml:space="preserve">               Cattle</v>
      </c>
      <c r="CZ41" s="4" t="s">
        <v>488</v>
      </c>
      <c r="DA41" s="44">
        <v>3.954897320590723E-2</v>
      </c>
      <c r="DB41" s="42" t="s">
        <v>48</v>
      </c>
      <c r="DC41" s="40" t="s">
        <v>48</v>
      </c>
      <c r="DD41" s="40" t="s">
        <v>48</v>
      </c>
      <c r="DE41" s="40" t="s">
        <v>48</v>
      </c>
      <c r="DF41" s="40" t="s">
        <v>48</v>
      </c>
      <c r="DG41" s="40" t="s">
        <v>48</v>
      </c>
      <c r="DH41" s="40" t="s">
        <v>48</v>
      </c>
      <c r="DI41" s="40" t="s">
        <v>48</v>
      </c>
      <c r="DJ41" s="40" t="s">
        <v>48</v>
      </c>
      <c r="DK41" s="40" t="s">
        <v>48</v>
      </c>
      <c r="DL41" s="40" t="s">
        <v>48</v>
      </c>
      <c r="DM41" s="40" t="s">
        <v>48</v>
      </c>
      <c r="DN41" s="40" t="s">
        <v>48</v>
      </c>
      <c r="DO41" s="40" t="s">
        <v>48</v>
      </c>
      <c r="DP41" s="40" t="s">
        <v>48</v>
      </c>
    </row>
    <row r="42" spans="1:120" x14ac:dyDescent="0.35">
      <c r="A42" s="12">
        <v>35</v>
      </c>
      <c r="B42" s="33"/>
      <c r="C42" s="38" t="str">
        <f>Notes!U43</f>
        <v xml:space="preserve">               Raw milk</v>
      </c>
      <c r="D42" s="4" t="s">
        <v>491</v>
      </c>
      <c r="E42" s="44">
        <v>6.2952516459923169E-2</v>
      </c>
      <c r="F42" s="42" t="s">
        <v>48</v>
      </c>
      <c r="G42" s="40" t="s">
        <v>48</v>
      </c>
      <c r="H42" s="40" t="s">
        <v>48</v>
      </c>
      <c r="I42" s="40" t="s">
        <v>48</v>
      </c>
      <c r="J42" s="40" t="s">
        <v>48</v>
      </c>
      <c r="K42" s="40" t="s">
        <v>48</v>
      </c>
      <c r="L42" s="40" t="s">
        <v>48</v>
      </c>
      <c r="M42" s="40" t="s">
        <v>48</v>
      </c>
      <c r="N42" s="40" t="s">
        <v>48</v>
      </c>
      <c r="O42" s="40" t="s">
        <v>48</v>
      </c>
      <c r="P42" s="40" t="s">
        <v>48</v>
      </c>
      <c r="Q42" s="40" t="s">
        <v>48</v>
      </c>
      <c r="R42" s="40" t="s">
        <v>48</v>
      </c>
      <c r="S42" s="40" t="s">
        <v>48</v>
      </c>
      <c r="T42" s="40" t="s">
        <v>48</v>
      </c>
      <c r="V42" s="33"/>
      <c r="W42" s="38" t="str">
        <f>Notes!U43</f>
        <v xml:space="preserve">               Raw milk</v>
      </c>
      <c r="X42" s="4" t="s">
        <v>491</v>
      </c>
      <c r="Y42" s="44">
        <v>5.0830252879443281E-2</v>
      </c>
      <c r="Z42" s="42" t="s">
        <v>48</v>
      </c>
      <c r="AA42" s="40" t="s">
        <v>48</v>
      </c>
      <c r="AB42" s="40" t="s">
        <v>48</v>
      </c>
      <c r="AC42" s="40" t="s">
        <v>48</v>
      </c>
      <c r="AD42" s="40" t="s">
        <v>48</v>
      </c>
      <c r="AE42" s="40" t="s">
        <v>48</v>
      </c>
      <c r="AF42" s="40" t="s">
        <v>48</v>
      </c>
      <c r="AG42" s="40" t="s">
        <v>48</v>
      </c>
      <c r="AH42" s="40" t="s">
        <v>48</v>
      </c>
      <c r="AI42" s="40" t="s">
        <v>48</v>
      </c>
      <c r="AJ42" s="40" t="s">
        <v>48</v>
      </c>
      <c r="AK42" s="40" t="s">
        <v>48</v>
      </c>
      <c r="AL42" s="40" t="s">
        <v>48</v>
      </c>
      <c r="AM42" s="40" t="s">
        <v>48</v>
      </c>
      <c r="AN42" s="40" t="s">
        <v>48</v>
      </c>
      <c r="AP42" s="33"/>
      <c r="AQ42" s="38" t="str">
        <f>Notes!U43</f>
        <v xml:space="preserve">               Raw milk</v>
      </c>
      <c r="AR42" s="4" t="s">
        <v>491</v>
      </c>
      <c r="AS42" s="44" t="s">
        <v>48</v>
      </c>
      <c r="AT42" s="42" t="s">
        <v>48</v>
      </c>
      <c r="AU42" s="40" t="s">
        <v>48</v>
      </c>
      <c r="AV42" s="40" t="s">
        <v>48</v>
      </c>
      <c r="AW42" s="40" t="s">
        <v>48</v>
      </c>
      <c r="AX42" s="40" t="s">
        <v>48</v>
      </c>
      <c r="AY42" s="40" t="s">
        <v>48</v>
      </c>
      <c r="AZ42" s="40" t="s">
        <v>48</v>
      </c>
      <c r="BA42" s="40" t="s">
        <v>48</v>
      </c>
      <c r="BB42" s="40" t="s">
        <v>48</v>
      </c>
      <c r="BC42" s="40" t="s">
        <v>48</v>
      </c>
      <c r="BD42" s="40" t="s">
        <v>48</v>
      </c>
      <c r="BE42" s="40" t="s">
        <v>48</v>
      </c>
      <c r="BF42" s="40" t="s">
        <v>48</v>
      </c>
      <c r="BG42" s="40" t="s">
        <v>48</v>
      </c>
      <c r="BH42" s="40" t="s">
        <v>48</v>
      </c>
      <c r="BJ42" s="33"/>
      <c r="BK42" s="38" t="str">
        <f>Notes!U43</f>
        <v xml:space="preserve">               Raw milk</v>
      </c>
      <c r="BL42" s="4" t="s">
        <v>491</v>
      </c>
      <c r="BM42" s="44" t="s">
        <v>48</v>
      </c>
      <c r="BN42" s="42" t="s">
        <v>48</v>
      </c>
      <c r="BO42" s="40" t="s">
        <v>48</v>
      </c>
      <c r="BP42" s="40" t="s">
        <v>48</v>
      </c>
      <c r="BQ42" s="40" t="s">
        <v>48</v>
      </c>
      <c r="BR42" s="40" t="s">
        <v>48</v>
      </c>
      <c r="BS42" s="40" t="s">
        <v>48</v>
      </c>
      <c r="BT42" s="40" t="s">
        <v>48</v>
      </c>
      <c r="BU42" s="40" t="s">
        <v>48</v>
      </c>
      <c r="BV42" s="40" t="s">
        <v>48</v>
      </c>
      <c r="BW42" s="40" t="s">
        <v>48</v>
      </c>
      <c r="BX42" s="40" t="s">
        <v>48</v>
      </c>
      <c r="BY42" s="40" t="s">
        <v>48</v>
      </c>
      <c r="BZ42" s="40" t="s">
        <v>48</v>
      </c>
      <c r="CA42" s="40" t="s">
        <v>48</v>
      </c>
      <c r="CB42" s="40" t="s">
        <v>48</v>
      </c>
      <c r="CD42" s="33"/>
      <c r="CE42" s="38" t="str">
        <f>Notes!U43</f>
        <v xml:space="preserve">               Raw milk</v>
      </c>
      <c r="CF42" s="4" t="s">
        <v>491</v>
      </c>
      <c r="CG42" s="44" t="s">
        <v>48</v>
      </c>
      <c r="CH42" s="42" t="s">
        <v>48</v>
      </c>
      <c r="CI42" s="40" t="s">
        <v>48</v>
      </c>
      <c r="CJ42" s="40" t="s">
        <v>48</v>
      </c>
      <c r="CK42" s="40" t="s">
        <v>48</v>
      </c>
      <c r="CL42" s="40" t="s">
        <v>48</v>
      </c>
      <c r="CM42" s="40" t="s">
        <v>48</v>
      </c>
      <c r="CN42" s="40" t="s">
        <v>48</v>
      </c>
      <c r="CO42" s="40" t="s">
        <v>48</v>
      </c>
      <c r="CP42" s="40" t="s">
        <v>48</v>
      </c>
      <c r="CQ42" s="40" t="s">
        <v>48</v>
      </c>
      <c r="CR42" s="40" t="s">
        <v>48</v>
      </c>
      <c r="CS42" s="40" t="s">
        <v>48</v>
      </c>
      <c r="CT42" s="40" t="s">
        <v>48</v>
      </c>
      <c r="CU42" s="40" t="s">
        <v>48</v>
      </c>
      <c r="CV42" s="40" t="s">
        <v>48</v>
      </c>
      <c r="CX42" s="33"/>
      <c r="CY42" s="38" t="str">
        <f>Notes!U43</f>
        <v xml:space="preserve">               Raw milk</v>
      </c>
      <c r="CZ42" s="4" t="s">
        <v>491</v>
      </c>
      <c r="DA42" s="44" t="s">
        <v>48</v>
      </c>
      <c r="DB42" s="42" t="s">
        <v>48</v>
      </c>
      <c r="DC42" s="40" t="s">
        <v>48</v>
      </c>
      <c r="DD42" s="40" t="s">
        <v>48</v>
      </c>
      <c r="DE42" s="40" t="s">
        <v>48</v>
      </c>
      <c r="DF42" s="40" t="s">
        <v>48</v>
      </c>
      <c r="DG42" s="40" t="s">
        <v>48</v>
      </c>
      <c r="DH42" s="40" t="s">
        <v>48</v>
      </c>
      <c r="DI42" s="40" t="s">
        <v>48</v>
      </c>
      <c r="DJ42" s="40" t="s">
        <v>48</v>
      </c>
      <c r="DK42" s="40" t="s">
        <v>48</v>
      </c>
      <c r="DL42" s="40" t="s">
        <v>48</v>
      </c>
      <c r="DM42" s="40" t="s">
        <v>48</v>
      </c>
      <c r="DN42" s="40" t="s">
        <v>48</v>
      </c>
      <c r="DO42" s="40" t="s">
        <v>48</v>
      </c>
      <c r="DP42" s="40" t="s">
        <v>48</v>
      </c>
    </row>
    <row r="43" spans="1:120" x14ac:dyDescent="0.35">
      <c r="A43" s="12">
        <v>36</v>
      </c>
      <c r="B43" s="33"/>
      <c r="C43" s="38" t="str">
        <f>Notes!U44</f>
        <v xml:space="preserve">               Poultry</v>
      </c>
      <c r="D43" s="4" t="s">
        <v>706</v>
      </c>
      <c r="E43" s="44">
        <v>0.23575595500379454</v>
      </c>
      <c r="F43" s="42" t="s">
        <v>48</v>
      </c>
      <c r="G43" s="40" t="s">
        <v>48</v>
      </c>
      <c r="H43" s="40" t="s">
        <v>48</v>
      </c>
      <c r="I43" s="40" t="s">
        <v>48</v>
      </c>
      <c r="J43" s="40" t="s">
        <v>48</v>
      </c>
      <c r="K43" s="40" t="s">
        <v>48</v>
      </c>
      <c r="L43" s="40" t="s">
        <v>48</v>
      </c>
      <c r="M43" s="40" t="s">
        <v>48</v>
      </c>
      <c r="N43" s="40" t="s">
        <v>48</v>
      </c>
      <c r="O43" s="40" t="s">
        <v>48</v>
      </c>
      <c r="P43" s="40" t="s">
        <v>48</v>
      </c>
      <c r="Q43" s="40" t="s">
        <v>48</v>
      </c>
      <c r="R43" s="40" t="s">
        <v>48</v>
      </c>
      <c r="S43" s="40" t="s">
        <v>48</v>
      </c>
      <c r="T43" s="40" t="s">
        <v>48</v>
      </c>
      <c r="V43" s="33"/>
      <c r="W43" s="38" t="str">
        <f>Notes!U44</f>
        <v xml:space="preserve">               Poultry</v>
      </c>
      <c r="X43" s="4" t="s">
        <v>706</v>
      </c>
      <c r="Y43" s="44">
        <v>0.18638360107992247</v>
      </c>
      <c r="Z43" s="42" t="s">
        <v>48</v>
      </c>
      <c r="AA43" s="40" t="s">
        <v>48</v>
      </c>
      <c r="AB43" s="40" t="s">
        <v>48</v>
      </c>
      <c r="AC43" s="40" t="s">
        <v>48</v>
      </c>
      <c r="AD43" s="40" t="s">
        <v>48</v>
      </c>
      <c r="AE43" s="40" t="s">
        <v>48</v>
      </c>
      <c r="AF43" s="40" t="s">
        <v>48</v>
      </c>
      <c r="AG43" s="40" t="s">
        <v>48</v>
      </c>
      <c r="AH43" s="40" t="s">
        <v>48</v>
      </c>
      <c r="AI43" s="40" t="s">
        <v>48</v>
      </c>
      <c r="AJ43" s="40" t="s">
        <v>48</v>
      </c>
      <c r="AK43" s="40" t="s">
        <v>48</v>
      </c>
      <c r="AL43" s="40" t="s">
        <v>48</v>
      </c>
      <c r="AM43" s="40" t="s">
        <v>48</v>
      </c>
      <c r="AN43" s="40" t="s">
        <v>48</v>
      </c>
      <c r="AP43" s="33"/>
      <c r="AQ43" s="38" t="str">
        <f>Notes!U44</f>
        <v xml:space="preserve">               Poultry</v>
      </c>
      <c r="AR43" s="4" t="s">
        <v>706</v>
      </c>
      <c r="AS43" s="44" t="s">
        <v>48</v>
      </c>
      <c r="AT43" s="42" t="s">
        <v>48</v>
      </c>
      <c r="AU43" s="40" t="s">
        <v>48</v>
      </c>
      <c r="AV43" s="40" t="s">
        <v>48</v>
      </c>
      <c r="AW43" s="40" t="s">
        <v>48</v>
      </c>
      <c r="AX43" s="40" t="s">
        <v>48</v>
      </c>
      <c r="AY43" s="40" t="s">
        <v>48</v>
      </c>
      <c r="AZ43" s="40" t="s">
        <v>48</v>
      </c>
      <c r="BA43" s="40" t="s">
        <v>48</v>
      </c>
      <c r="BB43" s="40" t="s">
        <v>48</v>
      </c>
      <c r="BC43" s="40" t="s">
        <v>48</v>
      </c>
      <c r="BD43" s="40" t="s">
        <v>48</v>
      </c>
      <c r="BE43" s="40" t="s">
        <v>48</v>
      </c>
      <c r="BF43" s="40" t="s">
        <v>48</v>
      </c>
      <c r="BG43" s="40" t="s">
        <v>48</v>
      </c>
      <c r="BH43" s="40" t="s">
        <v>48</v>
      </c>
      <c r="BJ43" s="33"/>
      <c r="BK43" s="38" t="str">
        <f>Notes!U44</f>
        <v xml:space="preserve">               Poultry</v>
      </c>
      <c r="BL43" s="4" t="s">
        <v>706</v>
      </c>
      <c r="BM43" s="44" t="s">
        <v>48</v>
      </c>
      <c r="BN43" s="42" t="s">
        <v>48</v>
      </c>
      <c r="BO43" s="40" t="s">
        <v>48</v>
      </c>
      <c r="BP43" s="40" t="s">
        <v>48</v>
      </c>
      <c r="BQ43" s="40" t="s">
        <v>48</v>
      </c>
      <c r="BR43" s="40" t="s">
        <v>48</v>
      </c>
      <c r="BS43" s="40" t="s">
        <v>48</v>
      </c>
      <c r="BT43" s="40" t="s">
        <v>48</v>
      </c>
      <c r="BU43" s="40" t="s">
        <v>48</v>
      </c>
      <c r="BV43" s="40" t="s">
        <v>48</v>
      </c>
      <c r="BW43" s="40" t="s">
        <v>48</v>
      </c>
      <c r="BX43" s="40" t="s">
        <v>48</v>
      </c>
      <c r="BY43" s="40" t="s">
        <v>48</v>
      </c>
      <c r="BZ43" s="40" t="s">
        <v>48</v>
      </c>
      <c r="CA43" s="40" t="s">
        <v>48</v>
      </c>
      <c r="CB43" s="40" t="s">
        <v>48</v>
      </c>
      <c r="CD43" s="33"/>
      <c r="CE43" s="38" t="str">
        <f>Notes!U44</f>
        <v xml:space="preserve">               Poultry</v>
      </c>
      <c r="CF43" s="4" t="s">
        <v>706</v>
      </c>
      <c r="CG43" s="44" t="s">
        <v>48</v>
      </c>
      <c r="CH43" s="42" t="s">
        <v>48</v>
      </c>
      <c r="CI43" s="40" t="s">
        <v>48</v>
      </c>
      <c r="CJ43" s="40" t="s">
        <v>48</v>
      </c>
      <c r="CK43" s="40" t="s">
        <v>48</v>
      </c>
      <c r="CL43" s="40" t="s">
        <v>48</v>
      </c>
      <c r="CM43" s="40" t="s">
        <v>48</v>
      </c>
      <c r="CN43" s="40" t="s">
        <v>48</v>
      </c>
      <c r="CO43" s="40" t="s">
        <v>48</v>
      </c>
      <c r="CP43" s="40" t="s">
        <v>48</v>
      </c>
      <c r="CQ43" s="40" t="s">
        <v>48</v>
      </c>
      <c r="CR43" s="40" t="s">
        <v>48</v>
      </c>
      <c r="CS43" s="40" t="s">
        <v>48</v>
      </c>
      <c r="CT43" s="40" t="s">
        <v>48</v>
      </c>
      <c r="CU43" s="40" t="s">
        <v>48</v>
      </c>
      <c r="CV43" s="40" t="s">
        <v>48</v>
      </c>
      <c r="CX43" s="33"/>
      <c r="CY43" s="38" t="str">
        <f>Notes!U44</f>
        <v xml:space="preserve">               Poultry</v>
      </c>
      <c r="CZ43" s="4" t="s">
        <v>706</v>
      </c>
      <c r="DA43" s="44" t="s">
        <v>48</v>
      </c>
      <c r="DB43" s="42" t="s">
        <v>48</v>
      </c>
      <c r="DC43" s="40" t="s">
        <v>48</v>
      </c>
      <c r="DD43" s="40" t="s">
        <v>48</v>
      </c>
      <c r="DE43" s="40" t="s">
        <v>48</v>
      </c>
      <c r="DF43" s="40" t="s">
        <v>48</v>
      </c>
      <c r="DG43" s="40" t="s">
        <v>48</v>
      </c>
      <c r="DH43" s="40" t="s">
        <v>48</v>
      </c>
      <c r="DI43" s="40" t="s">
        <v>48</v>
      </c>
      <c r="DJ43" s="40" t="s">
        <v>48</v>
      </c>
      <c r="DK43" s="40" t="s">
        <v>48</v>
      </c>
      <c r="DL43" s="40" t="s">
        <v>48</v>
      </c>
      <c r="DM43" s="40" t="s">
        <v>48</v>
      </c>
      <c r="DN43" s="40" t="s">
        <v>48</v>
      </c>
      <c r="DO43" s="40" t="s">
        <v>48</v>
      </c>
      <c r="DP43" s="40" t="s">
        <v>48</v>
      </c>
    </row>
    <row r="44" spans="1:120" x14ac:dyDescent="0.35">
      <c r="A44" s="12">
        <v>37</v>
      </c>
      <c r="B44" s="33"/>
      <c r="C44" s="38" t="str">
        <f>Notes!U45</f>
        <v xml:space="preserve">               Eggs</v>
      </c>
      <c r="D44" s="4" t="s">
        <v>336</v>
      </c>
      <c r="E44" s="44">
        <v>0.13954841479718358</v>
      </c>
      <c r="F44" s="42" t="s">
        <v>48</v>
      </c>
      <c r="G44" s="40" t="s">
        <v>48</v>
      </c>
      <c r="H44" s="40" t="s">
        <v>48</v>
      </c>
      <c r="I44" s="40" t="s">
        <v>48</v>
      </c>
      <c r="J44" s="40" t="s">
        <v>48</v>
      </c>
      <c r="K44" s="40" t="s">
        <v>48</v>
      </c>
      <c r="L44" s="40" t="s">
        <v>48</v>
      </c>
      <c r="M44" s="40" t="s">
        <v>48</v>
      </c>
      <c r="N44" s="40" t="s">
        <v>48</v>
      </c>
      <c r="O44" s="40" t="s">
        <v>48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V44" s="33"/>
      <c r="W44" s="38" t="str">
        <f>Notes!U45</f>
        <v xml:space="preserve">               Eggs</v>
      </c>
      <c r="X44" s="4" t="s">
        <v>336</v>
      </c>
      <c r="Y44" s="44">
        <v>0.11720670735236058</v>
      </c>
      <c r="Z44" s="42" t="s">
        <v>48</v>
      </c>
      <c r="AA44" s="40" t="s">
        <v>48</v>
      </c>
      <c r="AB44" s="40" t="s">
        <v>48</v>
      </c>
      <c r="AC44" s="40" t="s">
        <v>48</v>
      </c>
      <c r="AD44" s="40" t="s">
        <v>48</v>
      </c>
      <c r="AE44" s="40" t="s">
        <v>48</v>
      </c>
      <c r="AF44" s="40" t="s">
        <v>48</v>
      </c>
      <c r="AG44" s="40" t="s">
        <v>48</v>
      </c>
      <c r="AH44" s="40" t="s">
        <v>48</v>
      </c>
      <c r="AI44" s="40" t="s">
        <v>48</v>
      </c>
      <c r="AJ44" s="40" t="s">
        <v>48</v>
      </c>
      <c r="AK44" s="40" t="s">
        <v>48</v>
      </c>
      <c r="AL44" s="40" t="s">
        <v>48</v>
      </c>
      <c r="AM44" s="40" t="s">
        <v>48</v>
      </c>
      <c r="AN44" s="40" t="s">
        <v>48</v>
      </c>
      <c r="AP44" s="33"/>
      <c r="AQ44" s="38" t="str">
        <f>Notes!U45</f>
        <v xml:space="preserve">               Eggs</v>
      </c>
      <c r="AR44" s="4" t="s">
        <v>336</v>
      </c>
      <c r="AS44" s="44">
        <v>8.2836034651480872E-2</v>
      </c>
      <c r="AT44" s="42" t="s">
        <v>48</v>
      </c>
      <c r="AU44" s="40" t="s">
        <v>48</v>
      </c>
      <c r="AV44" s="40" t="s">
        <v>48</v>
      </c>
      <c r="AW44" s="40" t="s">
        <v>48</v>
      </c>
      <c r="AX44" s="40" t="s">
        <v>48</v>
      </c>
      <c r="AY44" s="40" t="s">
        <v>48</v>
      </c>
      <c r="AZ44" s="40" t="s">
        <v>48</v>
      </c>
      <c r="BA44" s="40" t="s">
        <v>48</v>
      </c>
      <c r="BB44" s="40" t="s">
        <v>48</v>
      </c>
      <c r="BC44" s="40" t="s">
        <v>48</v>
      </c>
      <c r="BD44" s="40" t="s">
        <v>48</v>
      </c>
      <c r="BE44" s="40" t="s">
        <v>48</v>
      </c>
      <c r="BF44" s="40" t="s">
        <v>48</v>
      </c>
      <c r="BG44" s="40" t="s">
        <v>48</v>
      </c>
      <c r="BH44" s="40" t="s">
        <v>48</v>
      </c>
      <c r="BJ44" s="33"/>
      <c r="BK44" s="38" t="str">
        <f>Notes!U45</f>
        <v xml:space="preserve">               Eggs</v>
      </c>
      <c r="BL44" s="4" t="s">
        <v>336</v>
      </c>
      <c r="BM44" s="44">
        <v>1.8335647794197298E-2</v>
      </c>
      <c r="BN44" s="42" t="s">
        <v>48</v>
      </c>
      <c r="BO44" s="40" t="s">
        <v>48</v>
      </c>
      <c r="BP44" s="40" t="s">
        <v>48</v>
      </c>
      <c r="BQ44" s="40" t="s">
        <v>48</v>
      </c>
      <c r="BR44" s="40" t="s">
        <v>48</v>
      </c>
      <c r="BS44" s="40" t="s">
        <v>48</v>
      </c>
      <c r="BT44" s="40" t="s">
        <v>48</v>
      </c>
      <c r="BU44" s="40" t="s">
        <v>48</v>
      </c>
      <c r="BV44" s="40" t="s">
        <v>48</v>
      </c>
      <c r="BW44" s="40" t="s">
        <v>48</v>
      </c>
      <c r="BX44" s="40" t="s">
        <v>48</v>
      </c>
      <c r="BY44" s="40" t="s">
        <v>48</v>
      </c>
      <c r="BZ44" s="40" t="s">
        <v>48</v>
      </c>
      <c r="CA44" s="40" t="s">
        <v>48</v>
      </c>
      <c r="CB44" s="40" t="s">
        <v>48</v>
      </c>
      <c r="CD44" s="33"/>
      <c r="CE44" s="38" t="str">
        <f>Notes!U45</f>
        <v xml:space="preserve">               Eggs</v>
      </c>
      <c r="CF44" s="4" t="s">
        <v>336</v>
      </c>
      <c r="CG44" s="44">
        <v>7.8874243652921908E-2</v>
      </c>
      <c r="CH44" s="42" t="s">
        <v>48</v>
      </c>
      <c r="CI44" s="40" t="s">
        <v>48</v>
      </c>
      <c r="CJ44" s="40" t="s">
        <v>48</v>
      </c>
      <c r="CK44" s="40" t="s">
        <v>48</v>
      </c>
      <c r="CL44" s="40" t="s">
        <v>48</v>
      </c>
      <c r="CM44" s="40" t="s">
        <v>48</v>
      </c>
      <c r="CN44" s="40" t="s">
        <v>48</v>
      </c>
      <c r="CO44" s="40" t="s">
        <v>48</v>
      </c>
      <c r="CP44" s="40" t="s">
        <v>48</v>
      </c>
      <c r="CQ44" s="40" t="s">
        <v>48</v>
      </c>
      <c r="CR44" s="40" t="s">
        <v>48</v>
      </c>
      <c r="CS44" s="40" t="s">
        <v>48</v>
      </c>
      <c r="CT44" s="40" t="s">
        <v>48</v>
      </c>
      <c r="CU44" s="40" t="s">
        <v>48</v>
      </c>
      <c r="CV44" s="40" t="s">
        <v>48</v>
      </c>
      <c r="CX44" s="33"/>
      <c r="CY44" s="38" t="str">
        <f>Notes!U45</f>
        <v xml:space="preserve">               Eggs</v>
      </c>
      <c r="CZ44" s="4" t="s">
        <v>336</v>
      </c>
      <c r="DA44" s="44">
        <v>2.1673145714740563E-2</v>
      </c>
      <c r="DB44" s="42" t="s">
        <v>48</v>
      </c>
      <c r="DC44" s="40" t="s">
        <v>48</v>
      </c>
      <c r="DD44" s="40" t="s">
        <v>48</v>
      </c>
      <c r="DE44" s="40" t="s">
        <v>48</v>
      </c>
      <c r="DF44" s="40" t="s">
        <v>48</v>
      </c>
      <c r="DG44" s="40" t="s">
        <v>48</v>
      </c>
      <c r="DH44" s="40" t="s">
        <v>48</v>
      </c>
      <c r="DI44" s="40" t="s">
        <v>48</v>
      </c>
      <c r="DJ44" s="40" t="s">
        <v>48</v>
      </c>
      <c r="DK44" s="40" t="s">
        <v>48</v>
      </c>
      <c r="DL44" s="40" t="s">
        <v>48</v>
      </c>
      <c r="DM44" s="40" t="s">
        <v>48</v>
      </c>
      <c r="DN44" s="40" t="s">
        <v>48</v>
      </c>
      <c r="DO44" s="40" t="s">
        <v>48</v>
      </c>
      <c r="DP44" s="40" t="s">
        <v>48</v>
      </c>
    </row>
    <row r="45" spans="1:120" x14ac:dyDescent="0.35">
      <c r="A45" s="12">
        <v>38</v>
      </c>
      <c r="B45" s="33"/>
      <c r="C45" s="38" t="str">
        <f>Notes!U46</f>
        <v xml:space="preserve">               Small ruminants</v>
      </c>
      <c r="D45" s="4" t="s">
        <v>707</v>
      </c>
      <c r="E45" s="44">
        <v>0.8486199587715848</v>
      </c>
      <c r="F45" s="42" t="s">
        <v>48</v>
      </c>
      <c r="G45" s="40" t="s">
        <v>48</v>
      </c>
      <c r="H45" s="40" t="s">
        <v>48</v>
      </c>
      <c r="I45" s="40" t="s">
        <v>48</v>
      </c>
      <c r="J45" s="40" t="s">
        <v>48</v>
      </c>
      <c r="K45" s="40" t="s">
        <v>48</v>
      </c>
      <c r="L45" s="40" t="s">
        <v>48</v>
      </c>
      <c r="M45" s="40" t="s">
        <v>48</v>
      </c>
      <c r="N45" s="40" t="s">
        <v>48</v>
      </c>
      <c r="O45" s="40" t="s">
        <v>48</v>
      </c>
      <c r="P45" s="40" t="s">
        <v>48</v>
      </c>
      <c r="Q45" s="40" t="s">
        <v>48</v>
      </c>
      <c r="R45" s="40" t="s">
        <v>48</v>
      </c>
      <c r="S45" s="40" t="s">
        <v>48</v>
      </c>
      <c r="T45" s="40" t="s">
        <v>48</v>
      </c>
      <c r="V45" s="33"/>
      <c r="W45" s="38" t="str">
        <f>Notes!U46</f>
        <v xml:space="preserve">               Small ruminants</v>
      </c>
      <c r="X45" s="4" t="s">
        <v>707</v>
      </c>
      <c r="Y45" s="44">
        <v>0.85507410267425377</v>
      </c>
      <c r="Z45" s="42" t="s">
        <v>48</v>
      </c>
      <c r="AA45" s="40" t="s">
        <v>48</v>
      </c>
      <c r="AB45" s="40" t="s">
        <v>48</v>
      </c>
      <c r="AC45" s="40" t="s">
        <v>48</v>
      </c>
      <c r="AD45" s="40" t="s">
        <v>48</v>
      </c>
      <c r="AE45" s="40" t="s">
        <v>48</v>
      </c>
      <c r="AF45" s="40" t="s">
        <v>48</v>
      </c>
      <c r="AG45" s="40" t="s">
        <v>48</v>
      </c>
      <c r="AH45" s="40" t="s">
        <v>48</v>
      </c>
      <c r="AI45" s="40" t="s">
        <v>48</v>
      </c>
      <c r="AJ45" s="40" t="s">
        <v>48</v>
      </c>
      <c r="AK45" s="40" t="s">
        <v>48</v>
      </c>
      <c r="AL45" s="40" t="s">
        <v>48</v>
      </c>
      <c r="AM45" s="40" t="s">
        <v>48</v>
      </c>
      <c r="AN45" s="40" t="s">
        <v>48</v>
      </c>
      <c r="AP45" s="33"/>
      <c r="AQ45" s="38" t="str">
        <f>Notes!U46</f>
        <v xml:space="preserve">               Small ruminants</v>
      </c>
      <c r="AR45" s="4" t="s">
        <v>707</v>
      </c>
      <c r="AS45" s="44" t="s">
        <v>48</v>
      </c>
      <c r="AT45" s="42" t="s">
        <v>48</v>
      </c>
      <c r="AU45" s="40" t="s">
        <v>48</v>
      </c>
      <c r="AV45" s="40" t="s">
        <v>48</v>
      </c>
      <c r="AW45" s="40" t="s">
        <v>48</v>
      </c>
      <c r="AX45" s="40" t="s">
        <v>48</v>
      </c>
      <c r="AY45" s="40" t="s">
        <v>48</v>
      </c>
      <c r="AZ45" s="40" t="s">
        <v>48</v>
      </c>
      <c r="BA45" s="40" t="s">
        <v>48</v>
      </c>
      <c r="BB45" s="40" t="s">
        <v>48</v>
      </c>
      <c r="BC45" s="40" t="s">
        <v>48</v>
      </c>
      <c r="BD45" s="40" t="s">
        <v>48</v>
      </c>
      <c r="BE45" s="40" t="s">
        <v>48</v>
      </c>
      <c r="BF45" s="40" t="s">
        <v>48</v>
      </c>
      <c r="BG45" s="40" t="s">
        <v>48</v>
      </c>
      <c r="BH45" s="40" t="s">
        <v>48</v>
      </c>
      <c r="BJ45" s="33"/>
      <c r="BK45" s="38" t="str">
        <f>Notes!U46</f>
        <v xml:space="preserve">               Small ruminants</v>
      </c>
      <c r="BL45" s="4" t="s">
        <v>707</v>
      </c>
      <c r="BM45" s="44" t="s">
        <v>48</v>
      </c>
      <c r="BN45" s="42" t="s">
        <v>48</v>
      </c>
      <c r="BO45" s="40" t="s">
        <v>48</v>
      </c>
      <c r="BP45" s="40" t="s">
        <v>48</v>
      </c>
      <c r="BQ45" s="40" t="s">
        <v>48</v>
      </c>
      <c r="BR45" s="40" t="s">
        <v>48</v>
      </c>
      <c r="BS45" s="40" t="s">
        <v>48</v>
      </c>
      <c r="BT45" s="40" t="s">
        <v>48</v>
      </c>
      <c r="BU45" s="40" t="s">
        <v>48</v>
      </c>
      <c r="BV45" s="40" t="s">
        <v>48</v>
      </c>
      <c r="BW45" s="40" t="s">
        <v>48</v>
      </c>
      <c r="BX45" s="40" t="s">
        <v>48</v>
      </c>
      <c r="BY45" s="40" t="s">
        <v>48</v>
      </c>
      <c r="BZ45" s="40" t="s">
        <v>48</v>
      </c>
      <c r="CA45" s="40" t="s">
        <v>48</v>
      </c>
      <c r="CB45" s="40" t="s">
        <v>48</v>
      </c>
      <c r="CD45" s="33"/>
      <c r="CE45" s="38" t="str">
        <f>Notes!U46</f>
        <v xml:space="preserve">               Small ruminants</v>
      </c>
      <c r="CF45" s="4" t="s">
        <v>707</v>
      </c>
      <c r="CG45" s="44" t="s">
        <v>48</v>
      </c>
      <c r="CH45" s="42" t="s">
        <v>48</v>
      </c>
      <c r="CI45" s="40" t="s">
        <v>48</v>
      </c>
      <c r="CJ45" s="40" t="s">
        <v>48</v>
      </c>
      <c r="CK45" s="40" t="s">
        <v>48</v>
      </c>
      <c r="CL45" s="40" t="s">
        <v>48</v>
      </c>
      <c r="CM45" s="40" t="s">
        <v>48</v>
      </c>
      <c r="CN45" s="40" t="s">
        <v>48</v>
      </c>
      <c r="CO45" s="40" t="s">
        <v>48</v>
      </c>
      <c r="CP45" s="40" t="s">
        <v>48</v>
      </c>
      <c r="CQ45" s="40" t="s">
        <v>48</v>
      </c>
      <c r="CR45" s="40" t="s">
        <v>48</v>
      </c>
      <c r="CS45" s="40" t="s">
        <v>48</v>
      </c>
      <c r="CT45" s="40" t="s">
        <v>48</v>
      </c>
      <c r="CU45" s="40" t="s">
        <v>48</v>
      </c>
      <c r="CV45" s="40" t="s">
        <v>48</v>
      </c>
      <c r="CX45" s="33"/>
      <c r="CY45" s="38" t="str">
        <f>Notes!U46</f>
        <v xml:space="preserve">               Small ruminants</v>
      </c>
      <c r="CZ45" s="4" t="s">
        <v>707</v>
      </c>
      <c r="DA45" s="44" t="s">
        <v>48</v>
      </c>
      <c r="DB45" s="42" t="s">
        <v>48</v>
      </c>
      <c r="DC45" s="40" t="s">
        <v>48</v>
      </c>
      <c r="DD45" s="40" t="s">
        <v>48</v>
      </c>
      <c r="DE45" s="40" t="s">
        <v>48</v>
      </c>
      <c r="DF45" s="40" t="s">
        <v>48</v>
      </c>
      <c r="DG45" s="40" t="s">
        <v>48</v>
      </c>
      <c r="DH45" s="40" t="s">
        <v>48</v>
      </c>
      <c r="DI45" s="40" t="s">
        <v>48</v>
      </c>
      <c r="DJ45" s="40" t="s">
        <v>48</v>
      </c>
      <c r="DK45" s="40" t="s">
        <v>48</v>
      </c>
      <c r="DL45" s="40" t="s">
        <v>48</v>
      </c>
      <c r="DM45" s="40" t="s">
        <v>48</v>
      </c>
      <c r="DN45" s="40" t="s">
        <v>48</v>
      </c>
      <c r="DO45" s="40" t="s">
        <v>48</v>
      </c>
      <c r="DP45" s="40" t="s">
        <v>48</v>
      </c>
    </row>
    <row r="46" spans="1:120" x14ac:dyDescent="0.35">
      <c r="A46" s="12">
        <v>39</v>
      </c>
      <c r="B46" s="33"/>
      <c r="C46" s="38" t="str">
        <f>Notes!U47</f>
        <v xml:space="preserve">               Other livestock</v>
      </c>
      <c r="D46" s="4" t="s">
        <v>338</v>
      </c>
      <c r="E46" s="44">
        <v>0.57047214187127604</v>
      </c>
      <c r="F46" s="42" t="s">
        <v>48</v>
      </c>
      <c r="G46" s="40" t="s">
        <v>48</v>
      </c>
      <c r="H46" s="40" t="s">
        <v>48</v>
      </c>
      <c r="I46" s="40" t="s">
        <v>48</v>
      </c>
      <c r="J46" s="40" t="s">
        <v>48</v>
      </c>
      <c r="K46" s="40" t="s">
        <v>48</v>
      </c>
      <c r="L46" s="40" t="s">
        <v>48</v>
      </c>
      <c r="M46" s="40" t="s">
        <v>48</v>
      </c>
      <c r="N46" s="40" t="s">
        <v>48</v>
      </c>
      <c r="O46" s="40" t="s">
        <v>48</v>
      </c>
      <c r="P46" s="40" t="s">
        <v>48</v>
      </c>
      <c r="Q46" s="40" t="s">
        <v>48</v>
      </c>
      <c r="R46" s="40" t="s">
        <v>48</v>
      </c>
      <c r="S46" s="40" t="s">
        <v>48</v>
      </c>
      <c r="T46" s="40" t="s">
        <v>48</v>
      </c>
      <c r="V46" s="33"/>
      <c r="W46" s="38" t="str">
        <f>Notes!U47</f>
        <v xml:space="preserve">               Other livestock</v>
      </c>
      <c r="X46" s="4" t="s">
        <v>338</v>
      </c>
      <c r="Y46" s="44">
        <v>0.62095138602784494</v>
      </c>
      <c r="Z46" s="42" t="s">
        <v>48</v>
      </c>
      <c r="AA46" s="40" t="s">
        <v>48</v>
      </c>
      <c r="AB46" s="40" t="s">
        <v>48</v>
      </c>
      <c r="AC46" s="40" t="s">
        <v>48</v>
      </c>
      <c r="AD46" s="40" t="s">
        <v>48</v>
      </c>
      <c r="AE46" s="40" t="s">
        <v>48</v>
      </c>
      <c r="AF46" s="40" t="s">
        <v>48</v>
      </c>
      <c r="AG46" s="40" t="s">
        <v>48</v>
      </c>
      <c r="AH46" s="40" t="s">
        <v>48</v>
      </c>
      <c r="AI46" s="40" t="s">
        <v>48</v>
      </c>
      <c r="AJ46" s="40" t="s">
        <v>48</v>
      </c>
      <c r="AK46" s="40" t="s">
        <v>48</v>
      </c>
      <c r="AL46" s="40" t="s">
        <v>48</v>
      </c>
      <c r="AM46" s="40" t="s">
        <v>48</v>
      </c>
      <c r="AN46" s="40" t="s">
        <v>48</v>
      </c>
      <c r="AP46" s="33"/>
      <c r="AQ46" s="38" t="str">
        <f>Notes!U47</f>
        <v xml:space="preserve">               Other livestock</v>
      </c>
      <c r="AR46" s="4" t="s">
        <v>338</v>
      </c>
      <c r="AS46" s="44" t="s">
        <v>48</v>
      </c>
      <c r="AT46" s="42" t="s">
        <v>48</v>
      </c>
      <c r="AU46" s="40" t="s">
        <v>48</v>
      </c>
      <c r="AV46" s="40" t="s">
        <v>48</v>
      </c>
      <c r="AW46" s="40" t="s">
        <v>48</v>
      </c>
      <c r="AX46" s="40" t="s">
        <v>48</v>
      </c>
      <c r="AY46" s="40" t="s">
        <v>48</v>
      </c>
      <c r="AZ46" s="40" t="s">
        <v>48</v>
      </c>
      <c r="BA46" s="40" t="s">
        <v>48</v>
      </c>
      <c r="BB46" s="40" t="s">
        <v>48</v>
      </c>
      <c r="BC46" s="40" t="s">
        <v>48</v>
      </c>
      <c r="BD46" s="40" t="s">
        <v>48</v>
      </c>
      <c r="BE46" s="40" t="s">
        <v>48</v>
      </c>
      <c r="BF46" s="40" t="s">
        <v>48</v>
      </c>
      <c r="BG46" s="40" t="s">
        <v>48</v>
      </c>
      <c r="BH46" s="40" t="s">
        <v>48</v>
      </c>
      <c r="BJ46" s="33"/>
      <c r="BK46" s="38" t="str">
        <f>Notes!U47</f>
        <v xml:space="preserve">               Other livestock</v>
      </c>
      <c r="BL46" s="4" t="s">
        <v>338</v>
      </c>
      <c r="BM46" s="44" t="s">
        <v>48</v>
      </c>
      <c r="BN46" s="42" t="s">
        <v>48</v>
      </c>
      <c r="BO46" s="40" t="s">
        <v>48</v>
      </c>
      <c r="BP46" s="40" t="s">
        <v>48</v>
      </c>
      <c r="BQ46" s="40" t="s">
        <v>48</v>
      </c>
      <c r="BR46" s="40" t="s">
        <v>48</v>
      </c>
      <c r="BS46" s="40" t="s">
        <v>48</v>
      </c>
      <c r="BT46" s="40" t="s">
        <v>48</v>
      </c>
      <c r="BU46" s="40" t="s">
        <v>48</v>
      </c>
      <c r="BV46" s="40" t="s">
        <v>48</v>
      </c>
      <c r="BW46" s="40" t="s">
        <v>48</v>
      </c>
      <c r="BX46" s="40" t="s">
        <v>48</v>
      </c>
      <c r="BY46" s="40" t="s">
        <v>48</v>
      </c>
      <c r="BZ46" s="40" t="s">
        <v>48</v>
      </c>
      <c r="CA46" s="40" t="s">
        <v>48</v>
      </c>
      <c r="CB46" s="40" t="s">
        <v>48</v>
      </c>
      <c r="CD46" s="33"/>
      <c r="CE46" s="38" t="str">
        <f>Notes!U47</f>
        <v xml:space="preserve">               Other livestock</v>
      </c>
      <c r="CF46" s="4" t="s">
        <v>338</v>
      </c>
      <c r="CG46" s="44" t="s">
        <v>48</v>
      </c>
      <c r="CH46" s="42" t="s">
        <v>48</v>
      </c>
      <c r="CI46" s="40" t="s">
        <v>48</v>
      </c>
      <c r="CJ46" s="40" t="s">
        <v>48</v>
      </c>
      <c r="CK46" s="40" t="s">
        <v>48</v>
      </c>
      <c r="CL46" s="40" t="s">
        <v>48</v>
      </c>
      <c r="CM46" s="40" t="s">
        <v>48</v>
      </c>
      <c r="CN46" s="40" t="s">
        <v>48</v>
      </c>
      <c r="CO46" s="40" t="s">
        <v>48</v>
      </c>
      <c r="CP46" s="40" t="s">
        <v>48</v>
      </c>
      <c r="CQ46" s="40" t="s">
        <v>48</v>
      </c>
      <c r="CR46" s="40" t="s">
        <v>48</v>
      </c>
      <c r="CS46" s="40" t="s">
        <v>48</v>
      </c>
      <c r="CT46" s="40" t="s">
        <v>48</v>
      </c>
      <c r="CU46" s="40" t="s">
        <v>48</v>
      </c>
      <c r="CV46" s="40" t="s">
        <v>48</v>
      </c>
      <c r="CX46" s="33"/>
      <c r="CY46" s="38" t="str">
        <f>Notes!U47</f>
        <v xml:space="preserve">               Other livestock</v>
      </c>
      <c r="CZ46" s="4" t="s">
        <v>338</v>
      </c>
      <c r="DA46" s="44" t="s">
        <v>48</v>
      </c>
      <c r="DB46" s="42" t="s">
        <v>48</v>
      </c>
      <c r="DC46" s="40" t="s">
        <v>48</v>
      </c>
      <c r="DD46" s="40" t="s">
        <v>48</v>
      </c>
      <c r="DE46" s="40" t="s">
        <v>48</v>
      </c>
      <c r="DF46" s="40" t="s">
        <v>48</v>
      </c>
      <c r="DG46" s="40" t="s">
        <v>48</v>
      </c>
      <c r="DH46" s="40" t="s">
        <v>48</v>
      </c>
      <c r="DI46" s="40" t="s">
        <v>48</v>
      </c>
      <c r="DJ46" s="40" t="s">
        <v>48</v>
      </c>
      <c r="DK46" s="40" t="s">
        <v>48</v>
      </c>
      <c r="DL46" s="40" t="s">
        <v>48</v>
      </c>
      <c r="DM46" s="40" t="s">
        <v>48</v>
      </c>
      <c r="DN46" s="40" t="s">
        <v>48</v>
      </c>
      <c r="DO46" s="40" t="s">
        <v>48</v>
      </c>
      <c r="DP46" s="40" t="s">
        <v>48</v>
      </c>
    </row>
    <row r="47" spans="1:120" x14ac:dyDescent="0.35">
      <c r="A47" s="12">
        <v>40</v>
      </c>
      <c r="B47" s="33"/>
      <c r="C47" s="38" t="str">
        <f>Notes!U48</f>
        <v xml:space="preserve">               Other agriculture</v>
      </c>
      <c r="D47" s="4" t="s">
        <v>708</v>
      </c>
      <c r="E47" s="44">
        <v>0.27814781690030871</v>
      </c>
      <c r="F47" s="42" t="s">
        <v>48</v>
      </c>
      <c r="G47" s="40" t="s">
        <v>48</v>
      </c>
      <c r="H47" s="40" t="s">
        <v>48</v>
      </c>
      <c r="I47" s="40" t="s">
        <v>48</v>
      </c>
      <c r="J47" s="40" t="s">
        <v>48</v>
      </c>
      <c r="K47" s="40" t="s">
        <v>48</v>
      </c>
      <c r="L47" s="40" t="s">
        <v>48</v>
      </c>
      <c r="M47" s="40" t="s">
        <v>48</v>
      </c>
      <c r="N47" s="40" t="s">
        <v>48</v>
      </c>
      <c r="O47" s="40" t="s">
        <v>48</v>
      </c>
      <c r="P47" s="40" t="s">
        <v>48</v>
      </c>
      <c r="Q47" s="40" t="s">
        <v>48</v>
      </c>
      <c r="R47" s="40" t="s">
        <v>48</v>
      </c>
      <c r="S47" s="40" t="s">
        <v>48</v>
      </c>
      <c r="T47" s="40" t="s">
        <v>48</v>
      </c>
      <c r="V47" s="33"/>
      <c r="W47" s="38" t="str">
        <f>Notes!U48</f>
        <v xml:space="preserve">               Other agriculture</v>
      </c>
      <c r="X47" s="4" t="s">
        <v>708</v>
      </c>
      <c r="Y47" s="44">
        <v>0.23412271664640885</v>
      </c>
      <c r="Z47" s="42" t="s">
        <v>48</v>
      </c>
      <c r="AA47" s="40" t="s">
        <v>48</v>
      </c>
      <c r="AB47" s="40" t="s">
        <v>48</v>
      </c>
      <c r="AC47" s="40" t="s">
        <v>48</v>
      </c>
      <c r="AD47" s="40" t="s">
        <v>48</v>
      </c>
      <c r="AE47" s="40" t="s">
        <v>48</v>
      </c>
      <c r="AF47" s="40" t="s">
        <v>48</v>
      </c>
      <c r="AG47" s="40" t="s">
        <v>48</v>
      </c>
      <c r="AH47" s="40" t="s">
        <v>48</v>
      </c>
      <c r="AI47" s="40" t="s">
        <v>48</v>
      </c>
      <c r="AJ47" s="40" t="s">
        <v>48</v>
      </c>
      <c r="AK47" s="40" t="s">
        <v>48</v>
      </c>
      <c r="AL47" s="40" t="s">
        <v>48</v>
      </c>
      <c r="AM47" s="40" t="s">
        <v>48</v>
      </c>
      <c r="AN47" s="40" t="s">
        <v>48</v>
      </c>
      <c r="AP47" s="33"/>
      <c r="AQ47" s="38" t="str">
        <f>Notes!U48</f>
        <v xml:space="preserve">               Other agriculture</v>
      </c>
      <c r="AR47" s="4" t="s">
        <v>708</v>
      </c>
      <c r="AS47" s="44" t="s">
        <v>48</v>
      </c>
      <c r="AT47" s="42" t="s">
        <v>48</v>
      </c>
      <c r="AU47" s="40" t="s">
        <v>48</v>
      </c>
      <c r="AV47" s="40" t="s">
        <v>48</v>
      </c>
      <c r="AW47" s="40" t="s">
        <v>48</v>
      </c>
      <c r="AX47" s="40" t="s">
        <v>48</v>
      </c>
      <c r="AY47" s="40" t="s">
        <v>48</v>
      </c>
      <c r="AZ47" s="40" t="s">
        <v>48</v>
      </c>
      <c r="BA47" s="40" t="s">
        <v>48</v>
      </c>
      <c r="BB47" s="40" t="s">
        <v>48</v>
      </c>
      <c r="BC47" s="40" t="s">
        <v>48</v>
      </c>
      <c r="BD47" s="40" t="s">
        <v>48</v>
      </c>
      <c r="BE47" s="40" t="s">
        <v>48</v>
      </c>
      <c r="BF47" s="40" t="s">
        <v>48</v>
      </c>
      <c r="BG47" s="40" t="s">
        <v>48</v>
      </c>
      <c r="BH47" s="40" t="s">
        <v>48</v>
      </c>
      <c r="BJ47" s="33"/>
      <c r="BK47" s="38" t="str">
        <f>Notes!U48</f>
        <v xml:space="preserve">               Other agriculture</v>
      </c>
      <c r="BL47" s="4" t="s">
        <v>708</v>
      </c>
      <c r="BM47" s="44" t="s">
        <v>48</v>
      </c>
      <c r="BN47" s="42" t="s">
        <v>48</v>
      </c>
      <c r="BO47" s="40" t="s">
        <v>48</v>
      </c>
      <c r="BP47" s="40" t="s">
        <v>48</v>
      </c>
      <c r="BQ47" s="40" t="s">
        <v>48</v>
      </c>
      <c r="BR47" s="40" t="s">
        <v>48</v>
      </c>
      <c r="BS47" s="40" t="s">
        <v>48</v>
      </c>
      <c r="BT47" s="40" t="s">
        <v>48</v>
      </c>
      <c r="BU47" s="40" t="s">
        <v>48</v>
      </c>
      <c r="BV47" s="40" t="s">
        <v>48</v>
      </c>
      <c r="BW47" s="40" t="s">
        <v>48</v>
      </c>
      <c r="BX47" s="40" t="s">
        <v>48</v>
      </c>
      <c r="BY47" s="40" t="s">
        <v>48</v>
      </c>
      <c r="BZ47" s="40" t="s">
        <v>48</v>
      </c>
      <c r="CA47" s="40" t="s">
        <v>48</v>
      </c>
      <c r="CB47" s="40" t="s">
        <v>48</v>
      </c>
      <c r="CD47" s="33"/>
      <c r="CE47" s="38" t="str">
        <f>Notes!U48</f>
        <v xml:space="preserve">               Other agriculture</v>
      </c>
      <c r="CF47" s="4" t="s">
        <v>708</v>
      </c>
      <c r="CG47" s="44" t="s">
        <v>48</v>
      </c>
      <c r="CH47" s="42" t="s">
        <v>48</v>
      </c>
      <c r="CI47" s="40" t="s">
        <v>48</v>
      </c>
      <c r="CJ47" s="40" t="s">
        <v>48</v>
      </c>
      <c r="CK47" s="40" t="s">
        <v>48</v>
      </c>
      <c r="CL47" s="40" t="s">
        <v>48</v>
      </c>
      <c r="CM47" s="40" t="s">
        <v>48</v>
      </c>
      <c r="CN47" s="40" t="s">
        <v>48</v>
      </c>
      <c r="CO47" s="40" t="s">
        <v>48</v>
      </c>
      <c r="CP47" s="40" t="s">
        <v>48</v>
      </c>
      <c r="CQ47" s="40" t="s">
        <v>48</v>
      </c>
      <c r="CR47" s="40" t="s">
        <v>48</v>
      </c>
      <c r="CS47" s="40" t="s">
        <v>48</v>
      </c>
      <c r="CT47" s="40" t="s">
        <v>48</v>
      </c>
      <c r="CU47" s="40" t="s">
        <v>48</v>
      </c>
      <c r="CV47" s="40" t="s">
        <v>48</v>
      </c>
      <c r="CX47" s="33"/>
      <c r="CY47" s="38" t="str">
        <f>Notes!U48</f>
        <v xml:space="preserve">               Other agriculture</v>
      </c>
      <c r="CZ47" s="4" t="s">
        <v>708</v>
      </c>
      <c r="DA47" s="44" t="s">
        <v>48</v>
      </c>
      <c r="DB47" s="42" t="s">
        <v>48</v>
      </c>
      <c r="DC47" s="40" t="s">
        <v>48</v>
      </c>
      <c r="DD47" s="40" t="s">
        <v>48</v>
      </c>
      <c r="DE47" s="40" t="s">
        <v>48</v>
      </c>
      <c r="DF47" s="40" t="s">
        <v>48</v>
      </c>
      <c r="DG47" s="40" t="s">
        <v>48</v>
      </c>
      <c r="DH47" s="40" t="s">
        <v>48</v>
      </c>
      <c r="DI47" s="40" t="s">
        <v>48</v>
      </c>
      <c r="DJ47" s="40" t="s">
        <v>48</v>
      </c>
      <c r="DK47" s="40" t="s">
        <v>48</v>
      </c>
      <c r="DL47" s="40" t="s">
        <v>48</v>
      </c>
      <c r="DM47" s="40" t="s">
        <v>48</v>
      </c>
      <c r="DN47" s="40" t="s">
        <v>48</v>
      </c>
      <c r="DO47" s="40" t="s">
        <v>48</v>
      </c>
      <c r="DP47" s="40" t="s">
        <v>48</v>
      </c>
    </row>
    <row r="48" spans="1:120" x14ac:dyDescent="0.35">
      <c r="A48" s="12">
        <v>41</v>
      </c>
      <c r="B48" s="33"/>
      <c r="C48" s="38" t="str">
        <f>Notes!U49</f>
        <v xml:space="preserve">               Forestry</v>
      </c>
      <c r="D48" s="4" t="s">
        <v>709</v>
      </c>
      <c r="E48" s="44">
        <v>0.27814781690030871</v>
      </c>
      <c r="F48" s="42" t="s">
        <v>48</v>
      </c>
      <c r="G48" s="40" t="s">
        <v>48</v>
      </c>
      <c r="H48" s="40" t="s">
        <v>48</v>
      </c>
      <c r="I48" s="40" t="s">
        <v>48</v>
      </c>
      <c r="J48" s="40" t="s">
        <v>48</v>
      </c>
      <c r="K48" s="40" t="s">
        <v>48</v>
      </c>
      <c r="L48" s="40" t="s">
        <v>48</v>
      </c>
      <c r="M48" s="40" t="s">
        <v>48</v>
      </c>
      <c r="N48" s="40" t="s">
        <v>48</v>
      </c>
      <c r="O48" s="40" t="s">
        <v>48</v>
      </c>
      <c r="P48" s="40" t="s">
        <v>48</v>
      </c>
      <c r="Q48" s="40" t="s">
        <v>48</v>
      </c>
      <c r="R48" s="40" t="s">
        <v>48</v>
      </c>
      <c r="S48" s="40" t="s">
        <v>48</v>
      </c>
      <c r="T48" s="40" t="s">
        <v>48</v>
      </c>
      <c r="V48" s="33"/>
      <c r="W48" s="38" t="str">
        <f>Notes!U49</f>
        <v xml:space="preserve">               Forestry</v>
      </c>
      <c r="X48" s="4" t="s">
        <v>709</v>
      </c>
      <c r="Y48" s="44">
        <v>0.23412271664640885</v>
      </c>
      <c r="Z48" s="42" t="s">
        <v>48</v>
      </c>
      <c r="AA48" s="40" t="s">
        <v>48</v>
      </c>
      <c r="AB48" s="40" t="s">
        <v>48</v>
      </c>
      <c r="AC48" s="40" t="s">
        <v>48</v>
      </c>
      <c r="AD48" s="40" t="s">
        <v>48</v>
      </c>
      <c r="AE48" s="40" t="s">
        <v>48</v>
      </c>
      <c r="AF48" s="40" t="s">
        <v>48</v>
      </c>
      <c r="AG48" s="40" t="s">
        <v>48</v>
      </c>
      <c r="AH48" s="40" t="s">
        <v>48</v>
      </c>
      <c r="AI48" s="40" t="s">
        <v>48</v>
      </c>
      <c r="AJ48" s="40" t="s">
        <v>48</v>
      </c>
      <c r="AK48" s="40" t="s">
        <v>48</v>
      </c>
      <c r="AL48" s="40" t="s">
        <v>48</v>
      </c>
      <c r="AM48" s="40" t="s">
        <v>48</v>
      </c>
      <c r="AN48" s="40" t="s">
        <v>48</v>
      </c>
      <c r="AP48" s="33"/>
      <c r="AQ48" s="38" t="str">
        <f>Notes!U49</f>
        <v xml:space="preserve">               Forestry</v>
      </c>
      <c r="AR48" s="4" t="s">
        <v>709</v>
      </c>
      <c r="AS48" s="44" t="s">
        <v>48</v>
      </c>
      <c r="AT48" s="42" t="s">
        <v>48</v>
      </c>
      <c r="AU48" s="40" t="s">
        <v>48</v>
      </c>
      <c r="AV48" s="40" t="s">
        <v>48</v>
      </c>
      <c r="AW48" s="40" t="s">
        <v>48</v>
      </c>
      <c r="AX48" s="40" t="s">
        <v>48</v>
      </c>
      <c r="AY48" s="40" t="s">
        <v>48</v>
      </c>
      <c r="AZ48" s="40" t="s">
        <v>48</v>
      </c>
      <c r="BA48" s="40" t="s">
        <v>48</v>
      </c>
      <c r="BB48" s="40" t="s">
        <v>48</v>
      </c>
      <c r="BC48" s="40" t="s">
        <v>48</v>
      </c>
      <c r="BD48" s="40" t="s">
        <v>48</v>
      </c>
      <c r="BE48" s="40" t="s">
        <v>48</v>
      </c>
      <c r="BF48" s="40" t="s">
        <v>48</v>
      </c>
      <c r="BG48" s="40" t="s">
        <v>48</v>
      </c>
      <c r="BH48" s="40" t="s">
        <v>48</v>
      </c>
      <c r="BJ48" s="33"/>
      <c r="BK48" s="38" t="str">
        <f>Notes!U49</f>
        <v xml:space="preserve">               Forestry</v>
      </c>
      <c r="BL48" s="4" t="s">
        <v>709</v>
      </c>
      <c r="BM48" s="44" t="s">
        <v>48</v>
      </c>
      <c r="BN48" s="42" t="s">
        <v>48</v>
      </c>
      <c r="BO48" s="40" t="s">
        <v>48</v>
      </c>
      <c r="BP48" s="40" t="s">
        <v>48</v>
      </c>
      <c r="BQ48" s="40" t="s">
        <v>48</v>
      </c>
      <c r="BR48" s="40" t="s">
        <v>48</v>
      </c>
      <c r="BS48" s="40" t="s">
        <v>48</v>
      </c>
      <c r="BT48" s="40" t="s">
        <v>48</v>
      </c>
      <c r="BU48" s="40" t="s">
        <v>48</v>
      </c>
      <c r="BV48" s="40" t="s">
        <v>48</v>
      </c>
      <c r="BW48" s="40" t="s">
        <v>48</v>
      </c>
      <c r="BX48" s="40" t="s">
        <v>48</v>
      </c>
      <c r="BY48" s="40" t="s">
        <v>48</v>
      </c>
      <c r="BZ48" s="40" t="s">
        <v>48</v>
      </c>
      <c r="CA48" s="40" t="s">
        <v>48</v>
      </c>
      <c r="CB48" s="40" t="s">
        <v>48</v>
      </c>
      <c r="CD48" s="33"/>
      <c r="CE48" s="38" t="str">
        <f>Notes!U49</f>
        <v xml:space="preserve">               Forestry</v>
      </c>
      <c r="CF48" s="4" t="s">
        <v>709</v>
      </c>
      <c r="CG48" s="44" t="s">
        <v>48</v>
      </c>
      <c r="CH48" s="42" t="s">
        <v>48</v>
      </c>
      <c r="CI48" s="40" t="s">
        <v>48</v>
      </c>
      <c r="CJ48" s="40" t="s">
        <v>48</v>
      </c>
      <c r="CK48" s="40" t="s">
        <v>48</v>
      </c>
      <c r="CL48" s="40" t="s">
        <v>48</v>
      </c>
      <c r="CM48" s="40" t="s">
        <v>48</v>
      </c>
      <c r="CN48" s="40" t="s">
        <v>48</v>
      </c>
      <c r="CO48" s="40" t="s">
        <v>48</v>
      </c>
      <c r="CP48" s="40" t="s">
        <v>48</v>
      </c>
      <c r="CQ48" s="40" t="s">
        <v>48</v>
      </c>
      <c r="CR48" s="40" t="s">
        <v>48</v>
      </c>
      <c r="CS48" s="40" t="s">
        <v>48</v>
      </c>
      <c r="CT48" s="40" t="s">
        <v>48</v>
      </c>
      <c r="CU48" s="40" t="s">
        <v>48</v>
      </c>
      <c r="CV48" s="40" t="s">
        <v>48</v>
      </c>
      <c r="CX48" s="33"/>
      <c r="CY48" s="38" t="str">
        <f>Notes!U49</f>
        <v xml:space="preserve">               Forestry</v>
      </c>
      <c r="CZ48" s="4" t="s">
        <v>709</v>
      </c>
      <c r="DA48" s="44" t="s">
        <v>48</v>
      </c>
      <c r="DB48" s="42" t="s">
        <v>48</v>
      </c>
      <c r="DC48" s="40" t="s">
        <v>48</v>
      </c>
      <c r="DD48" s="40" t="s">
        <v>48</v>
      </c>
      <c r="DE48" s="40" t="s">
        <v>48</v>
      </c>
      <c r="DF48" s="40" t="s">
        <v>48</v>
      </c>
      <c r="DG48" s="40" t="s">
        <v>48</v>
      </c>
      <c r="DH48" s="40" t="s">
        <v>48</v>
      </c>
      <c r="DI48" s="40" t="s">
        <v>48</v>
      </c>
      <c r="DJ48" s="40" t="s">
        <v>48</v>
      </c>
      <c r="DK48" s="40" t="s">
        <v>48</v>
      </c>
      <c r="DL48" s="40" t="s">
        <v>48</v>
      </c>
      <c r="DM48" s="40" t="s">
        <v>48</v>
      </c>
      <c r="DN48" s="40" t="s">
        <v>48</v>
      </c>
      <c r="DO48" s="40" t="s">
        <v>48</v>
      </c>
      <c r="DP48" s="40" t="s">
        <v>48</v>
      </c>
    </row>
    <row r="49" spans="1:120" x14ac:dyDescent="0.35">
      <c r="A49" s="12">
        <v>42</v>
      </c>
      <c r="B49" s="33"/>
      <c r="C49" s="38" t="str">
        <f>Notes!U50</f>
        <v xml:space="preserve">               Aquaculture</v>
      </c>
      <c r="D49" s="4" t="s">
        <v>710</v>
      </c>
      <c r="E49" s="44">
        <v>88.483510048030723</v>
      </c>
      <c r="F49" s="42" t="s">
        <v>48</v>
      </c>
      <c r="G49" s="40" t="s">
        <v>48</v>
      </c>
      <c r="H49" s="40" t="s">
        <v>48</v>
      </c>
      <c r="I49" s="40" t="s">
        <v>48</v>
      </c>
      <c r="J49" s="40" t="s">
        <v>48</v>
      </c>
      <c r="K49" s="40" t="s">
        <v>48</v>
      </c>
      <c r="L49" s="40" t="s">
        <v>48</v>
      </c>
      <c r="M49" s="40" t="s">
        <v>48</v>
      </c>
      <c r="N49" s="40" t="s">
        <v>48</v>
      </c>
      <c r="O49" s="40" t="s">
        <v>48</v>
      </c>
      <c r="P49" s="40" t="s">
        <v>48</v>
      </c>
      <c r="Q49" s="40" t="s">
        <v>48</v>
      </c>
      <c r="R49" s="40" t="s">
        <v>48</v>
      </c>
      <c r="S49" s="40" t="s">
        <v>48</v>
      </c>
      <c r="T49" s="40" t="s">
        <v>48</v>
      </c>
      <c r="V49" s="33"/>
      <c r="W49" s="38" t="str">
        <f>Notes!U50</f>
        <v xml:space="preserve">               Aquaculture</v>
      </c>
      <c r="X49" s="4" t="s">
        <v>710</v>
      </c>
      <c r="Y49" s="44">
        <v>90.088599942365732</v>
      </c>
      <c r="Z49" s="42" t="s">
        <v>48</v>
      </c>
      <c r="AA49" s="40" t="s">
        <v>48</v>
      </c>
      <c r="AB49" s="40" t="s">
        <v>48</v>
      </c>
      <c r="AC49" s="40" t="s">
        <v>48</v>
      </c>
      <c r="AD49" s="40" t="s">
        <v>48</v>
      </c>
      <c r="AE49" s="40" t="s">
        <v>48</v>
      </c>
      <c r="AF49" s="40" t="s">
        <v>48</v>
      </c>
      <c r="AG49" s="40" t="s">
        <v>48</v>
      </c>
      <c r="AH49" s="40" t="s">
        <v>48</v>
      </c>
      <c r="AI49" s="40" t="s">
        <v>48</v>
      </c>
      <c r="AJ49" s="40" t="s">
        <v>48</v>
      </c>
      <c r="AK49" s="40" t="s">
        <v>48</v>
      </c>
      <c r="AL49" s="40" t="s">
        <v>48</v>
      </c>
      <c r="AM49" s="40" t="s">
        <v>48</v>
      </c>
      <c r="AN49" s="40" t="s">
        <v>48</v>
      </c>
      <c r="AP49" s="33"/>
      <c r="AQ49" s="38" t="str">
        <f>Notes!U50</f>
        <v xml:space="preserve">               Aquaculture</v>
      </c>
      <c r="AR49" s="4" t="s">
        <v>710</v>
      </c>
      <c r="AS49" s="44">
        <v>86.906300273894317</v>
      </c>
      <c r="AT49" s="42" t="s">
        <v>48</v>
      </c>
      <c r="AU49" s="40" t="s">
        <v>48</v>
      </c>
      <c r="AV49" s="40" t="s">
        <v>48</v>
      </c>
      <c r="AW49" s="40" t="s">
        <v>48</v>
      </c>
      <c r="AX49" s="40" t="s">
        <v>48</v>
      </c>
      <c r="AY49" s="40" t="s">
        <v>48</v>
      </c>
      <c r="AZ49" s="40" t="s">
        <v>48</v>
      </c>
      <c r="BA49" s="40" t="s">
        <v>48</v>
      </c>
      <c r="BB49" s="40" t="s">
        <v>48</v>
      </c>
      <c r="BC49" s="40" t="s">
        <v>48</v>
      </c>
      <c r="BD49" s="40" t="s">
        <v>48</v>
      </c>
      <c r="BE49" s="40" t="s">
        <v>48</v>
      </c>
      <c r="BF49" s="40" t="s">
        <v>48</v>
      </c>
      <c r="BG49" s="40" t="s">
        <v>48</v>
      </c>
      <c r="BH49" s="40" t="s">
        <v>48</v>
      </c>
      <c r="BJ49" s="33"/>
      <c r="BK49" s="38" t="str">
        <f>Notes!U50</f>
        <v xml:space="preserve">               Aquaculture</v>
      </c>
      <c r="BL49" s="4" t="s">
        <v>710</v>
      </c>
      <c r="BM49" s="44">
        <v>94.896559309469453</v>
      </c>
      <c r="BN49" s="42" t="s">
        <v>48</v>
      </c>
      <c r="BO49" s="40" t="s">
        <v>48</v>
      </c>
      <c r="BP49" s="40" t="s">
        <v>48</v>
      </c>
      <c r="BQ49" s="40" t="s">
        <v>48</v>
      </c>
      <c r="BR49" s="40" t="s">
        <v>48</v>
      </c>
      <c r="BS49" s="40" t="s">
        <v>48</v>
      </c>
      <c r="BT49" s="40" t="s">
        <v>48</v>
      </c>
      <c r="BU49" s="40" t="s">
        <v>48</v>
      </c>
      <c r="BV49" s="40" t="s">
        <v>48</v>
      </c>
      <c r="BW49" s="40" t="s">
        <v>48</v>
      </c>
      <c r="BX49" s="40" t="s">
        <v>48</v>
      </c>
      <c r="BY49" s="40" t="s">
        <v>48</v>
      </c>
      <c r="BZ49" s="40" t="s">
        <v>48</v>
      </c>
      <c r="CA49" s="40" t="s">
        <v>48</v>
      </c>
      <c r="CB49" s="40" t="s">
        <v>48</v>
      </c>
      <c r="CD49" s="33"/>
      <c r="CE49" s="38" t="str">
        <f>Notes!U50</f>
        <v xml:space="preserve">               Aquaculture</v>
      </c>
      <c r="CF49" s="4" t="s">
        <v>710</v>
      </c>
      <c r="CG49" s="44">
        <v>88.303396918261356</v>
      </c>
      <c r="CH49" s="42" t="s">
        <v>48</v>
      </c>
      <c r="CI49" s="40" t="s">
        <v>48</v>
      </c>
      <c r="CJ49" s="40" t="s">
        <v>48</v>
      </c>
      <c r="CK49" s="40" t="s">
        <v>48</v>
      </c>
      <c r="CL49" s="40" t="s">
        <v>48</v>
      </c>
      <c r="CM49" s="40" t="s">
        <v>48</v>
      </c>
      <c r="CN49" s="40" t="s">
        <v>48</v>
      </c>
      <c r="CO49" s="40" t="s">
        <v>48</v>
      </c>
      <c r="CP49" s="40" t="s">
        <v>48</v>
      </c>
      <c r="CQ49" s="40" t="s">
        <v>48</v>
      </c>
      <c r="CR49" s="40" t="s">
        <v>48</v>
      </c>
      <c r="CS49" s="40" t="s">
        <v>48</v>
      </c>
      <c r="CT49" s="40" t="s">
        <v>48</v>
      </c>
      <c r="CU49" s="40" t="s">
        <v>48</v>
      </c>
      <c r="CV49" s="40" t="s">
        <v>48</v>
      </c>
      <c r="CX49" s="33"/>
      <c r="CY49" s="38" t="str">
        <f>Notes!U50</f>
        <v xml:space="preserve">               Aquaculture</v>
      </c>
      <c r="CZ49" s="4" t="s">
        <v>710</v>
      </c>
      <c r="DA49" s="44">
        <v>93.596095332718463</v>
      </c>
      <c r="DB49" s="42" t="s">
        <v>48</v>
      </c>
      <c r="DC49" s="40" t="s">
        <v>48</v>
      </c>
      <c r="DD49" s="40" t="s">
        <v>48</v>
      </c>
      <c r="DE49" s="40" t="s">
        <v>48</v>
      </c>
      <c r="DF49" s="40" t="s">
        <v>48</v>
      </c>
      <c r="DG49" s="40" t="s">
        <v>48</v>
      </c>
      <c r="DH49" s="40" t="s">
        <v>48</v>
      </c>
      <c r="DI49" s="40" t="s">
        <v>48</v>
      </c>
      <c r="DJ49" s="40" t="s">
        <v>48</v>
      </c>
      <c r="DK49" s="40" t="s">
        <v>48</v>
      </c>
      <c r="DL49" s="40" t="s">
        <v>48</v>
      </c>
      <c r="DM49" s="40" t="s">
        <v>48</v>
      </c>
      <c r="DN49" s="40" t="s">
        <v>48</v>
      </c>
      <c r="DO49" s="40" t="s">
        <v>48</v>
      </c>
      <c r="DP49" s="40" t="s">
        <v>48</v>
      </c>
    </row>
    <row r="50" spans="1:120" x14ac:dyDescent="0.35">
      <c r="A50" s="12">
        <v>43</v>
      </c>
      <c r="B50" s="33"/>
      <c r="C50" s="38" t="str">
        <f>Notes!U51</f>
        <v xml:space="preserve">               Capture fisheries</v>
      </c>
      <c r="D50" s="4" t="s">
        <v>499</v>
      </c>
      <c r="E50" s="44">
        <v>29.900327371837506</v>
      </c>
      <c r="F50" s="42" t="s">
        <v>48</v>
      </c>
      <c r="G50" s="40" t="s">
        <v>48</v>
      </c>
      <c r="H50" s="40" t="s">
        <v>48</v>
      </c>
      <c r="I50" s="40" t="s">
        <v>48</v>
      </c>
      <c r="J50" s="40" t="s">
        <v>48</v>
      </c>
      <c r="K50" s="40" t="s">
        <v>48</v>
      </c>
      <c r="L50" s="40" t="s">
        <v>48</v>
      </c>
      <c r="M50" s="40" t="s">
        <v>48</v>
      </c>
      <c r="N50" s="40" t="s">
        <v>48</v>
      </c>
      <c r="O50" s="40" t="s">
        <v>48</v>
      </c>
      <c r="P50" s="40" t="s">
        <v>48</v>
      </c>
      <c r="Q50" s="40" t="s">
        <v>48</v>
      </c>
      <c r="R50" s="40" t="s">
        <v>48</v>
      </c>
      <c r="S50" s="40" t="s">
        <v>48</v>
      </c>
      <c r="T50" s="40" t="s">
        <v>48</v>
      </c>
      <c r="V50" s="33"/>
      <c r="W50" s="38" t="str">
        <f>Notes!U51</f>
        <v xml:space="preserve">               Capture fisheries</v>
      </c>
      <c r="X50" s="4" t="s">
        <v>499</v>
      </c>
      <c r="Y50" s="44">
        <v>43.490026180311567</v>
      </c>
      <c r="Z50" s="42" t="s">
        <v>48</v>
      </c>
      <c r="AA50" s="40" t="s">
        <v>48</v>
      </c>
      <c r="AB50" s="40" t="s">
        <v>48</v>
      </c>
      <c r="AC50" s="40" t="s">
        <v>48</v>
      </c>
      <c r="AD50" s="40" t="s">
        <v>48</v>
      </c>
      <c r="AE50" s="40" t="s">
        <v>48</v>
      </c>
      <c r="AF50" s="40" t="s">
        <v>48</v>
      </c>
      <c r="AG50" s="40" t="s">
        <v>48</v>
      </c>
      <c r="AH50" s="40" t="s">
        <v>48</v>
      </c>
      <c r="AI50" s="40" t="s">
        <v>48</v>
      </c>
      <c r="AJ50" s="40" t="s">
        <v>48</v>
      </c>
      <c r="AK50" s="40" t="s">
        <v>48</v>
      </c>
      <c r="AL50" s="40" t="s">
        <v>48</v>
      </c>
      <c r="AM50" s="40" t="s">
        <v>48</v>
      </c>
      <c r="AN50" s="40" t="s">
        <v>48</v>
      </c>
      <c r="AP50" s="33"/>
      <c r="AQ50" s="38" t="str">
        <f>Notes!U51</f>
        <v xml:space="preserve">               Capture fisheries</v>
      </c>
      <c r="AR50" s="4" t="s">
        <v>499</v>
      </c>
      <c r="AS50" s="44">
        <v>49.74332318594255</v>
      </c>
      <c r="AT50" s="42" t="s">
        <v>48</v>
      </c>
      <c r="AU50" s="40" t="s">
        <v>48</v>
      </c>
      <c r="AV50" s="40" t="s">
        <v>48</v>
      </c>
      <c r="AW50" s="40" t="s">
        <v>48</v>
      </c>
      <c r="AX50" s="40" t="s">
        <v>48</v>
      </c>
      <c r="AY50" s="40" t="s">
        <v>48</v>
      </c>
      <c r="AZ50" s="40" t="s">
        <v>48</v>
      </c>
      <c r="BA50" s="40" t="s">
        <v>48</v>
      </c>
      <c r="BB50" s="40" t="s">
        <v>48</v>
      </c>
      <c r="BC50" s="40" t="s">
        <v>48</v>
      </c>
      <c r="BD50" s="40" t="s">
        <v>48</v>
      </c>
      <c r="BE50" s="40" t="s">
        <v>48</v>
      </c>
      <c r="BF50" s="40" t="s">
        <v>48</v>
      </c>
      <c r="BG50" s="40" t="s">
        <v>48</v>
      </c>
      <c r="BH50" s="40" t="s">
        <v>48</v>
      </c>
      <c r="BJ50" s="33"/>
      <c r="BK50" s="38" t="str">
        <f>Notes!U51</f>
        <v xml:space="preserve">               Capture fisheries</v>
      </c>
      <c r="BL50" s="4" t="s">
        <v>499</v>
      </c>
      <c r="BM50" s="44">
        <v>86.551693914049991</v>
      </c>
      <c r="BN50" s="42" t="s">
        <v>48</v>
      </c>
      <c r="BO50" s="40" t="s">
        <v>48</v>
      </c>
      <c r="BP50" s="40" t="s">
        <v>48</v>
      </c>
      <c r="BQ50" s="40" t="s">
        <v>48</v>
      </c>
      <c r="BR50" s="40" t="s">
        <v>48</v>
      </c>
      <c r="BS50" s="40" t="s">
        <v>48</v>
      </c>
      <c r="BT50" s="40" t="s">
        <v>48</v>
      </c>
      <c r="BU50" s="40" t="s">
        <v>48</v>
      </c>
      <c r="BV50" s="40" t="s">
        <v>48</v>
      </c>
      <c r="BW50" s="40" t="s">
        <v>48</v>
      </c>
      <c r="BX50" s="40" t="s">
        <v>48</v>
      </c>
      <c r="BY50" s="40" t="s">
        <v>48</v>
      </c>
      <c r="BZ50" s="40" t="s">
        <v>48</v>
      </c>
      <c r="CA50" s="40" t="s">
        <v>48</v>
      </c>
      <c r="CB50" s="40" t="s">
        <v>48</v>
      </c>
      <c r="CD50" s="33"/>
      <c r="CE50" s="38" t="str">
        <f>Notes!U51</f>
        <v xml:space="preserve">               Capture fisheries</v>
      </c>
      <c r="CF50" s="4" t="s">
        <v>499</v>
      </c>
      <c r="CG50" s="44">
        <v>55.87711120759662</v>
      </c>
      <c r="CH50" s="42" t="s">
        <v>48</v>
      </c>
      <c r="CI50" s="40" t="s">
        <v>48</v>
      </c>
      <c r="CJ50" s="40" t="s">
        <v>48</v>
      </c>
      <c r="CK50" s="40" t="s">
        <v>48</v>
      </c>
      <c r="CL50" s="40" t="s">
        <v>48</v>
      </c>
      <c r="CM50" s="40" t="s">
        <v>48</v>
      </c>
      <c r="CN50" s="40" t="s">
        <v>48</v>
      </c>
      <c r="CO50" s="40" t="s">
        <v>48</v>
      </c>
      <c r="CP50" s="40" t="s">
        <v>48</v>
      </c>
      <c r="CQ50" s="40" t="s">
        <v>48</v>
      </c>
      <c r="CR50" s="40" t="s">
        <v>48</v>
      </c>
      <c r="CS50" s="40" t="s">
        <v>48</v>
      </c>
      <c r="CT50" s="40" t="s">
        <v>48</v>
      </c>
      <c r="CU50" s="40" t="s">
        <v>48</v>
      </c>
      <c r="CV50" s="40" t="s">
        <v>48</v>
      </c>
      <c r="CX50" s="33"/>
      <c r="CY50" s="38" t="str">
        <f>Notes!U51</f>
        <v xml:space="preserve">               Capture fisheries</v>
      </c>
      <c r="CZ50" s="4" t="s">
        <v>499</v>
      </c>
      <c r="DA50" s="44">
        <v>82.832081980677401</v>
      </c>
      <c r="DB50" s="42" t="s">
        <v>48</v>
      </c>
      <c r="DC50" s="40" t="s">
        <v>48</v>
      </c>
      <c r="DD50" s="40" t="s">
        <v>48</v>
      </c>
      <c r="DE50" s="40" t="s">
        <v>48</v>
      </c>
      <c r="DF50" s="40" t="s">
        <v>48</v>
      </c>
      <c r="DG50" s="40" t="s">
        <v>48</v>
      </c>
      <c r="DH50" s="40" t="s">
        <v>48</v>
      </c>
      <c r="DI50" s="40" t="s">
        <v>48</v>
      </c>
      <c r="DJ50" s="40" t="s">
        <v>48</v>
      </c>
      <c r="DK50" s="40" t="s">
        <v>48</v>
      </c>
      <c r="DL50" s="40" t="s">
        <v>48</v>
      </c>
      <c r="DM50" s="40" t="s">
        <v>48</v>
      </c>
      <c r="DN50" s="40" t="s">
        <v>48</v>
      </c>
      <c r="DO50" s="40" t="s">
        <v>48</v>
      </c>
      <c r="DP50" s="40" t="s">
        <v>48</v>
      </c>
    </row>
    <row r="51" spans="1:120" x14ac:dyDescent="0.35">
      <c r="A51" s="12">
        <v>44</v>
      </c>
      <c r="B51" s="33"/>
      <c r="C51" s="38" t="str">
        <f>Notes!U52</f>
        <v xml:space="preserve">               Industry</v>
      </c>
      <c r="D51" s="4" t="s">
        <v>501</v>
      </c>
      <c r="E51" s="44">
        <v>2.3109355730333498</v>
      </c>
      <c r="F51" s="42" t="s">
        <v>48</v>
      </c>
      <c r="G51" s="40" t="s">
        <v>48</v>
      </c>
      <c r="H51" s="40" t="s">
        <v>48</v>
      </c>
      <c r="I51" s="40" t="s">
        <v>48</v>
      </c>
      <c r="J51" s="40" t="s">
        <v>48</v>
      </c>
      <c r="K51" s="40" t="s">
        <v>48</v>
      </c>
      <c r="L51" s="40" t="s">
        <v>48</v>
      </c>
      <c r="M51" s="40" t="s">
        <v>48</v>
      </c>
      <c r="N51" s="40" t="s">
        <v>48</v>
      </c>
      <c r="O51" s="40" t="s">
        <v>48</v>
      </c>
      <c r="P51" s="40" t="s">
        <v>48</v>
      </c>
      <c r="Q51" s="40" t="s">
        <v>48</v>
      </c>
      <c r="R51" s="40" t="s">
        <v>48</v>
      </c>
      <c r="S51" s="40" t="s">
        <v>48</v>
      </c>
      <c r="T51" s="40" t="s">
        <v>48</v>
      </c>
      <c r="V51" s="33"/>
      <c r="W51" s="38" t="str">
        <f>Notes!U52</f>
        <v xml:space="preserve">               Industry</v>
      </c>
      <c r="X51" s="4" t="s">
        <v>501</v>
      </c>
      <c r="Y51" s="44">
        <v>1.1184095740046116</v>
      </c>
      <c r="Z51" s="42" t="s">
        <v>48</v>
      </c>
      <c r="AA51" s="40" t="s">
        <v>48</v>
      </c>
      <c r="AB51" s="40" t="s">
        <v>48</v>
      </c>
      <c r="AC51" s="40" t="s">
        <v>48</v>
      </c>
      <c r="AD51" s="40" t="s">
        <v>48</v>
      </c>
      <c r="AE51" s="40" t="s">
        <v>48</v>
      </c>
      <c r="AF51" s="40" t="s">
        <v>48</v>
      </c>
      <c r="AG51" s="40" t="s">
        <v>48</v>
      </c>
      <c r="AH51" s="40" t="s">
        <v>48</v>
      </c>
      <c r="AI51" s="40" t="s">
        <v>48</v>
      </c>
      <c r="AJ51" s="40" t="s">
        <v>48</v>
      </c>
      <c r="AK51" s="40" t="s">
        <v>48</v>
      </c>
      <c r="AL51" s="40" t="s">
        <v>48</v>
      </c>
      <c r="AM51" s="40" t="s">
        <v>48</v>
      </c>
      <c r="AN51" s="40" t="s">
        <v>48</v>
      </c>
      <c r="AP51" s="33"/>
      <c r="AQ51" s="38" t="str">
        <f>Notes!U52</f>
        <v xml:space="preserve">               Industry</v>
      </c>
      <c r="AR51" s="4" t="s">
        <v>501</v>
      </c>
      <c r="AS51" s="44">
        <v>17.579945016602235</v>
      </c>
      <c r="AT51" s="42" t="s">
        <v>48</v>
      </c>
      <c r="AU51" s="40" t="s">
        <v>48</v>
      </c>
      <c r="AV51" s="40" t="s">
        <v>48</v>
      </c>
      <c r="AW51" s="40" t="s">
        <v>48</v>
      </c>
      <c r="AX51" s="40" t="s">
        <v>48</v>
      </c>
      <c r="AY51" s="40" t="s">
        <v>48</v>
      </c>
      <c r="AZ51" s="40" t="s">
        <v>48</v>
      </c>
      <c r="BA51" s="40" t="s">
        <v>48</v>
      </c>
      <c r="BB51" s="40" t="s">
        <v>48</v>
      </c>
      <c r="BC51" s="40" t="s">
        <v>48</v>
      </c>
      <c r="BD51" s="40" t="s">
        <v>48</v>
      </c>
      <c r="BE51" s="40" t="s">
        <v>48</v>
      </c>
      <c r="BF51" s="40" t="s">
        <v>48</v>
      </c>
      <c r="BG51" s="40" t="s">
        <v>48</v>
      </c>
      <c r="BH51" s="40" t="s">
        <v>48</v>
      </c>
      <c r="BJ51" s="33"/>
      <c r="BK51" s="38" t="str">
        <f>Notes!U52</f>
        <v xml:space="preserve">               Industry</v>
      </c>
      <c r="BL51" s="4" t="s">
        <v>501</v>
      </c>
      <c r="BM51" s="44">
        <v>0.59395753577588617</v>
      </c>
      <c r="BN51" s="42" t="s">
        <v>48</v>
      </c>
      <c r="BO51" s="40" t="s">
        <v>48</v>
      </c>
      <c r="BP51" s="40" t="s">
        <v>48</v>
      </c>
      <c r="BQ51" s="40" t="s">
        <v>48</v>
      </c>
      <c r="BR51" s="40" t="s">
        <v>48</v>
      </c>
      <c r="BS51" s="40" t="s">
        <v>48</v>
      </c>
      <c r="BT51" s="40" t="s">
        <v>48</v>
      </c>
      <c r="BU51" s="40" t="s">
        <v>48</v>
      </c>
      <c r="BV51" s="40" t="s">
        <v>48</v>
      </c>
      <c r="BW51" s="40" t="s">
        <v>48</v>
      </c>
      <c r="BX51" s="40" t="s">
        <v>48</v>
      </c>
      <c r="BY51" s="40" t="s">
        <v>48</v>
      </c>
      <c r="BZ51" s="40" t="s">
        <v>48</v>
      </c>
      <c r="CA51" s="40" t="s">
        <v>48</v>
      </c>
      <c r="CB51" s="40" t="s">
        <v>48</v>
      </c>
      <c r="CD51" s="33"/>
      <c r="CE51" s="38" t="str">
        <f>Notes!U52</f>
        <v xml:space="preserve">               Industry</v>
      </c>
      <c r="CF51" s="4" t="s">
        <v>501</v>
      </c>
      <c r="CG51" s="44">
        <v>23.05519055335829</v>
      </c>
      <c r="CH51" s="42" t="s">
        <v>48</v>
      </c>
      <c r="CI51" s="40" t="s">
        <v>48</v>
      </c>
      <c r="CJ51" s="40" t="s">
        <v>48</v>
      </c>
      <c r="CK51" s="40" t="s">
        <v>48</v>
      </c>
      <c r="CL51" s="40" t="s">
        <v>48</v>
      </c>
      <c r="CM51" s="40" t="s">
        <v>48</v>
      </c>
      <c r="CN51" s="40" t="s">
        <v>48</v>
      </c>
      <c r="CO51" s="40" t="s">
        <v>48</v>
      </c>
      <c r="CP51" s="40" t="s">
        <v>48</v>
      </c>
      <c r="CQ51" s="40" t="s">
        <v>48</v>
      </c>
      <c r="CR51" s="40" t="s">
        <v>48</v>
      </c>
      <c r="CS51" s="40" t="s">
        <v>48</v>
      </c>
      <c r="CT51" s="40" t="s">
        <v>48</v>
      </c>
      <c r="CU51" s="40" t="s">
        <v>48</v>
      </c>
      <c r="CV51" s="40" t="s">
        <v>48</v>
      </c>
      <c r="CX51" s="33"/>
      <c r="CY51" s="38" t="str">
        <f>Notes!U52</f>
        <v xml:space="preserve">               Industry</v>
      </c>
      <c r="CZ51" s="4" t="s">
        <v>501</v>
      </c>
      <c r="DA51" s="44">
        <v>0.55368935251314599</v>
      </c>
      <c r="DB51" s="42" t="s">
        <v>48</v>
      </c>
      <c r="DC51" s="40" t="s">
        <v>48</v>
      </c>
      <c r="DD51" s="40" t="s">
        <v>48</v>
      </c>
      <c r="DE51" s="40" t="s">
        <v>48</v>
      </c>
      <c r="DF51" s="40" t="s">
        <v>48</v>
      </c>
      <c r="DG51" s="40" t="s">
        <v>48</v>
      </c>
      <c r="DH51" s="40" t="s">
        <v>48</v>
      </c>
      <c r="DI51" s="40" t="s">
        <v>48</v>
      </c>
      <c r="DJ51" s="40" t="s">
        <v>48</v>
      </c>
      <c r="DK51" s="40" t="s">
        <v>48</v>
      </c>
      <c r="DL51" s="40" t="s">
        <v>48</v>
      </c>
      <c r="DM51" s="40" t="s">
        <v>48</v>
      </c>
      <c r="DN51" s="40" t="s">
        <v>48</v>
      </c>
      <c r="DO51" s="40" t="s">
        <v>48</v>
      </c>
      <c r="DP51" s="40" t="s">
        <v>48</v>
      </c>
    </row>
    <row r="52" spans="1:120" x14ac:dyDescent="0.35">
      <c r="A52" s="12">
        <v>45</v>
      </c>
      <c r="B52" s="33"/>
      <c r="C52" s="38" t="str">
        <f>Notes!U53</f>
        <v xml:space="preserve">               Mining</v>
      </c>
      <c r="D52" s="4" t="s">
        <v>711</v>
      </c>
      <c r="E52" s="44">
        <v>6.5885974855559081E-4</v>
      </c>
      <c r="F52" s="42" t="s">
        <v>48</v>
      </c>
      <c r="G52" s="40" t="s">
        <v>48</v>
      </c>
      <c r="H52" s="40" t="s">
        <v>48</v>
      </c>
      <c r="I52" s="40" t="s">
        <v>48</v>
      </c>
      <c r="J52" s="40" t="s">
        <v>48</v>
      </c>
      <c r="K52" s="40" t="s">
        <v>48</v>
      </c>
      <c r="L52" s="40" t="s">
        <v>48</v>
      </c>
      <c r="M52" s="40" t="s">
        <v>48</v>
      </c>
      <c r="N52" s="40" t="s">
        <v>48</v>
      </c>
      <c r="O52" s="40" t="s">
        <v>48</v>
      </c>
      <c r="P52" s="40" t="s">
        <v>48</v>
      </c>
      <c r="Q52" s="40" t="s">
        <v>48</v>
      </c>
      <c r="R52" s="40" t="s">
        <v>48</v>
      </c>
      <c r="S52" s="40" t="s">
        <v>48</v>
      </c>
      <c r="T52" s="40" t="s">
        <v>48</v>
      </c>
      <c r="V52" s="33"/>
      <c r="W52" s="38" t="str">
        <f>Notes!U53</f>
        <v xml:space="preserve">               Mining</v>
      </c>
      <c r="X52" s="4" t="s">
        <v>711</v>
      </c>
      <c r="Y52" s="44">
        <v>2.3528620003946774E-2</v>
      </c>
      <c r="Z52" s="42" t="s">
        <v>48</v>
      </c>
      <c r="AA52" s="40" t="s">
        <v>48</v>
      </c>
      <c r="AB52" s="40" t="s">
        <v>48</v>
      </c>
      <c r="AC52" s="40" t="s">
        <v>48</v>
      </c>
      <c r="AD52" s="40" t="s">
        <v>48</v>
      </c>
      <c r="AE52" s="40" t="s">
        <v>48</v>
      </c>
      <c r="AF52" s="40" t="s">
        <v>48</v>
      </c>
      <c r="AG52" s="40" t="s">
        <v>48</v>
      </c>
      <c r="AH52" s="40" t="s">
        <v>48</v>
      </c>
      <c r="AI52" s="40" t="s">
        <v>48</v>
      </c>
      <c r="AJ52" s="40" t="s">
        <v>48</v>
      </c>
      <c r="AK52" s="40" t="s">
        <v>48</v>
      </c>
      <c r="AL52" s="40" t="s">
        <v>48</v>
      </c>
      <c r="AM52" s="40" t="s">
        <v>48</v>
      </c>
      <c r="AN52" s="40" t="s">
        <v>48</v>
      </c>
      <c r="AP52" s="33"/>
      <c r="AQ52" s="38" t="str">
        <f>Notes!U53</f>
        <v xml:space="preserve">               Mining</v>
      </c>
      <c r="AR52" s="4" t="s">
        <v>711</v>
      </c>
      <c r="AS52" s="44" t="s">
        <v>48</v>
      </c>
      <c r="AT52" s="42" t="s">
        <v>48</v>
      </c>
      <c r="AU52" s="40" t="s">
        <v>48</v>
      </c>
      <c r="AV52" s="40" t="s">
        <v>48</v>
      </c>
      <c r="AW52" s="40" t="s">
        <v>48</v>
      </c>
      <c r="AX52" s="40" t="s">
        <v>48</v>
      </c>
      <c r="AY52" s="40" t="s">
        <v>48</v>
      </c>
      <c r="AZ52" s="40" t="s">
        <v>48</v>
      </c>
      <c r="BA52" s="40" t="s">
        <v>48</v>
      </c>
      <c r="BB52" s="40" t="s">
        <v>48</v>
      </c>
      <c r="BC52" s="40" t="s">
        <v>48</v>
      </c>
      <c r="BD52" s="40" t="s">
        <v>48</v>
      </c>
      <c r="BE52" s="40" t="s">
        <v>48</v>
      </c>
      <c r="BF52" s="40" t="s">
        <v>48</v>
      </c>
      <c r="BG52" s="40" t="s">
        <v>48</v>
      </c>
      <c r="BH52" s="40" t="s">
        <v>48</v>
      </c>
      <c r="BJ52" s="33"/>
      <c r="BK52" s="38" t="str">
        <f>Notes!U53</f>
        <v xml:space="preserve">               Mining</v>
      </c>
      <c r="BL52" s="4" t="s">
        <v>711</v>
      </c>
      <c r="BM52" s="44">
        <v>0.10880505799622819</v>
      </c>
      <c r="BN52" s="42" t="s">
        <v>48</v>
      </c>
      <c r="BO52" s="40" t="s">
        <v>48</v>
      </c>
      <c r="BP52" s="40" t="s">
        <v>48</v>
      </c>
      <c r="BQ52" s="40" t="s">
        <v>48</v>
      </c>
      <c r="BR52" s="40" t="s">
        <v>48</v>
      </c>
      <c r="BS52" s="40" t="s">
        <v>48</v>
      </c>
      <c r="BT52" s="40" t="s">
        <v>48</v>
      </c>
      <c r="BU52" s="40" t="s">
        <v>48</v>
      </c>
      <c r="BV52" s="40" t="s">
        <v>48</v>
      </c>
      <c r="BW52" s="40" t="s">
        <v>48</v>
      </c>
      <c r="BX52" s="40" t="s">
        <v>48</v>
      </c>
      <c r="BY52" s="40" t="s">
        <v>48</v>
      </c>
      <c r="BZ52" s="40" t="s">
        <v>48</v>
      </c>
      <c r="CA52" s="40" t="s">
        <v>48</v>
      </c>
      <c r="CB52" s="40" t="s">
        <v>48</v>
      </c>
      <c r="CD52" s="33"/>
      <c r="CE52" s="38" t="str">
        <f>Notes!U53</f>
        <v xml:space="preserve">               Mining</v>
      </c>
      <c r="CF52" s="4" t="s">
        <v>711</v>
      </c>
      <c r="CG52" s="44" t="s">
        <v>48</v>
      </c>
      <c r="CH52" s="42" t="s">
        <v>48</v>
      </c>
      <c r="CI52" s="40" t="s">
        <v>48</v>
      </c>
      <c r="CJ52" s="40" t="s">
        <v>48</v>
      </c>
      <c r="CK52" s="40" t="s">
        <v>48</v>
      </c>
      <c r="CL52" s="40" t="s">
        <v>48</v>
      </c>
      <c r="CM52" s="40" t="s">
        <v>48</v>
      </c>
      <c r="CN52" s="40" t="s">
        <v>48</v>
      </c>
      <c r="CO52" s="40" t="s">
        <v>48</v>
      </c>
      <c r="CP52" s="40" t="s">
        <v>48</v>
      </c>
      <c r="CQ52" s="40" t="s">
        <v>48</v>
      </c>
      <c r="CR52" s="40" t="s">
        <v>48</v>
      </c>
      <c r="CS52" s="40" t="s">
        <v>48</v>
      </c>
      <c r="CT52" s="40" t="s">
        <v>48</v>
      </c>
      <c r="CU52" s="40" t="s">
        <v>48</v>
      </c>
      <c r="CV52" s="40" t="s">
        <v>48</v>
      </c>
      <c r="CX52" s="33"/>
      <c r="CY52" s="38" t="str">
        <f>Notes!U53</f>
        <v xml:space="preserve">               Mining</v>
      </c>
      <c r="CZ52" s="4" t="s">
        <v>711</v>
      </c>
      <c r="DA52" s="44">
        <v>0.13732968838579954</v>
      </c>
      <c r="DB52" s="42" t="s">
        <v>48</v>
      </c>
      <c r="DC52" s="40" t="s">
        <v>48</v>
      </c>
      <c r="DD52" s="40" t="s">
        <v>48</v>
      </c>
      <c r="DE52" s="40" t="s">
        <v>48</v>
      </c>
      <c r="DF52" s="40" t="s">
        <v>48</v>
      </c>
      <c r="DG52" s="40" t="s">
        <v>48</v>
      </c>
      <c r="DH52" s="40" t="s">
        <v>48</v>
      </c>
      <c r="DI52" s="40" t="s">
        <v>48</v>
      </c>
      <c r="DJ52" s="40" t="s">
        <v>48</v>
      </c>
      <c r="DK52" s="40" t="s">
        <v>48</v>
      </c>
      <c r="DL52" s="40" t="s">
        <v>48</v>
      </c>
      <c r="DM52" s="40" t="s">
        <v>48</v>
      </c>
      <c r="DN52" s="40" t="s">
        <v>48</v>
      </c>
      <c r="DO52" s="40" t="s">
        <v>48</v>
      </c>
      <c r="DP52" s="40" t="s">
        <v>48</v>
      </c>
    </row>
    <row r="53" spans="1:120" x14ac:dyDescent="0.35">
      <c r="A53" s="12">
        <v>46</v>
      </c>
      <c r="B53" s="33"/>
      <c r="C53" s="38" t="str">
        <f>Notes!U54</f>
        <v xml:space="preserve">               Coal and lignite</v>
      </c>
      <c r="D53" s="4" t="s">
        <v>712</v>
      </c>
      <c r="E53" s="44">
        <v>2.3102767132847943</v>
      </c>
      <c r="F53" s="42" t="s">
        <v>48</v>
      </c>
      <c r="G53" s="40" t="s">
        <v>48</v>
      </c>
      <c r="H53" s="40" t="s">
        <v>48</v>
      </c>
      <c r="I53" s="40" t="s">
        <v>48</v>
      </c>
      <c r="J53" s="40" t="s">
        <v>48</v>
      </c>
      <c r="K53" s="40" t="s">
        <v>48</v>
      </c>
      <c r="L53" s="40" t="s">
        <v>48</v>
      </c>
      <c r="M53" s="40" t="s">
        <v>48</v>
      </c>
      <c r="N53" s="40" t="s">
        <v>48</v>
      </c>
      <c r="O53" s="40" t="s">
        <v>48</v>
      </c>
      <c r="P53" s="40" t="s">
        <v>48</v>
      </c>
      <c r="Q53" s="40" t="s">
        <v>48</v>
      </c>
      <c r="R53" s="40" t="s">
        <v>48</v>
      </c>
      <c r="S53" s="40" t="s">
        <v>48</v>
      </c>
      <c r="T53" s="40" t="s">
        <v>48</v>
      </c>
      <c r="V53" s="33"/>
      <c r="W53" s="38" t="str">
        <f>Notes!U54</f>
        <v xml:space="preserve">               Coal and lignite</v>
      </c>
      <c r="X53" s="4" t="s">
        <v>712</v>
      </c>
      <c r="Y53" s="44">
        <v>1.094880954000665</v>
      </c>
      <c r="Z53" s="42" t="s">
        <v>48</v>
      </c>
      <c r="AA53" s="40" t="s">
        <v>48</v>
      </c>
      <c r="AB53" s="40" t="s">
        <v>48</v>
      </c>
      <c r="AC53" s="40" t="s">
        <v>48</v>
      </c>
      <c r="AD53" s="40" t="s">
        <v>48</v>
      </c>
      <c r="AE53" s="40" t="s">
        <v>48</v>
      </c>
      <c r="AF53" s="40" t="s">
        <v>48</v>
      </c>
      <c r="AG53" s="40" t="s">
        <v>48</v>
      </c>
      <c r="AH53" s="40" t="s">
        <v>48</v>
      </c>
      <c r="AI53" s="40" t="s">
        <v>48</v>
      </c>
      <c r="AJ53" s="40" t="s">
        <v>48</v>
      </c>
      <c r="AK53" s="40" t="s">
        <v>48</v>
      </c>
      <c r="AL53" s="40" t="s">
        <v>48</v>
      </c>
      <c r="AM53" s="40" t="s">
        <v>48</v>
      </c>
      <c r="AN53" s="40" t="s">
        <v>48</v>
      </c>
      <c r="AP53" s="33"/>
      <c r="AQ53" s="38" t="str">
        <f>Notes!U54</f>
        <v xml:space="preserve">               Coal and lignite</v>
      </c>
      <c r="AR53" s="4" t="s">
        <v>712</v>
      </c>
      <c r="AS53" s="44">
        <v>17.579945016602235</v>
      </c>
      <c r="AT53" s="42" t="s">
        <v>48</v>
      </c>
      <c r="AU53" s="40" t="s">
        <v>48</v>
      </c>
      <c r="AV53" s="40" t="s">
        <v>48</v>
      </c>
      <c r="AW53" s="40" t="s">
        <v>48</v>
      </c>
      <c r="AX53" s="40" t="s">
        <v>48</v>
      </c>
      <c r="AY53" s="40" t="s">
        <v>48</v>
      </c>
      <c r="AZ53" s="40" t="s">
        <v>48</v>
      </c>
      <c r="BA53" s="40" t="s">
        <v>48</v>
      </c>
      <c r="BB53" s="40" t="s">
        <v>48</v>
      </c>
      <c r="BC53" s="40" t="s">
        <v>48</v>
      </c>
      <c r="BD53" s="40" t="s">
        <v>48</v>
      </c>
      <c r="BE53" s="40" t="s">
        <v>48</v>
      </c>
      <c r="BF53" s="40" t="s">
        <v>48</v>
      </c>
      <c r="BG53" s="40" t="s">
        <v>48</v>
      </c>
      <c r="BH53" s="40" t="s">
        <v>48</v>
      </c>
      <c r="BJ53" s="33"/>
      <c r="BK53" s="38" t="str">
        <f>Notes!U54</f>
        <v xml:space="preserve">               Coal and lignite</v>
      </c>
      <c r="BL53" s="4" t="s">
        <v>712</v>
      </c>
      <c r="BM53" s="44">
        <v>0.48515247777965792</v>
      </c>
      <c r="BN53" s="42" t="s">
        <v>48</v>
      </c>
      <c r="BO53" s="40" t="s">
        <v>48</v>
      </c>
      <c r="BP53" s="40" t="s">
        <v>48</v>
      </c>
      <c r="BQ53" s="40" t="s">
        <v>48</v>
      </c>
      <c r="BR53" s="40" t="s">
        <v>48</v>
      </c>
      <c r="BS53" s="40" t="s">
        <v>48</v>
      </c>
      <c r="BT53" s="40" t="s">
        <v>48</v>
      </c>
      <c r="BU53" s="40" t="s">
        <v>48</v>
      </c>
      <c r="BV53" s="40" t="s">
        <v>48</v>
      </c>
      <c r="BW53" s="40" t="s">
        <v>48</v>
      </c>
      <c r="BX53" s="40" t="s">
        <v>48</v>
      </c>
      <c r="BY53" s="40" t="s">
        <v>48</v>
      </c>
      <c r="BZ53" s="40" t="s">
        <v>48</v>
      </c>
      <c r="CA53" s="40" t="s">
        <v>48</v>
      </c>
      <c r="CB53" s="40" t="s">
        <v>48</v>
      </c>
      <c r="CD53" s="33"/>
      <c r="CE53" s="38" t="str">
        <f>Notes!U54</f>
        <v xml:space="preserve">               Coal and lignite</v>
      </c>
      <c r="CF53" s="4" t="s">
        <v>712</v>
      </c>
      <c r="CG53" s="44">
        <v>23.05519055335829</v>
      </c>
      <c r="CH53" s="42" t="s">
        <v>48</v>
      </c>
      <c r="CI53" s="40" t="s">
        <v>48</v>
      </c>
      <c r="CJ53" s="40" t="s">
        <v>48</v>
      </c>
      <c r="CK53" s="40" t="s">
        <v>48</v>
      </c>
      <c r="CL53" s="40" t="s">
        <v>48</v>
      </c>
      <c r="CM53" s="40" t="s">
        <v>48</v>
      </c>
      <c r="CN53" s="40" t="s">
        <v>48</v>
      </c>
      <c r="CO53" s="40" t="s">
        <v>48</v>
      </c>
      <c r="CP53" s="40" t="s">
        <v>48</v>
      </c>
      <c r="CQ53" s="40" t="s">
        <v>48</v>
      </c>
      <c r="CR53" s="40" t="s">
        <v>48</v>
      </c>
      <c r="CS53" s="40" t="s">
        <v>48</v>
      </c>
      <c r="CT53" s="40" t="s">
        <v>48</v>
      </c>
      <c r="CU53" s="40" t="s">
        <v>48</v>
      </c>
      <c r="CV53" s="40" t="s">
        <v>48</v>
      </c>
      <c r="CX53" s="33"/>
      <c r="CY53" s="38" t="str">
        <f>Notes!U54</f>
        <v xml:space="preserve">               Coal and lignite</v>
      </c>
      <c r="CZ53" s="4" t="s">
        <v>712</v>
      </c>
      <c r="DA53" s="44">
        <v>0.41635966412734643</v>
      </c>
      <c r="DB53" s="42" t="s">
        <v>48</v>
      </c>
      <c r="DC53" s="40" t="s">
        <v>48</v>
      </c>
      <c r="DD53" s="40" t="s">
        <v>48</v>
      </c>
      <c r="DE53" s="40" t="s">
        <v>48</v>
      </c>
      <c r="DF53" s="40" t="s">
        <v>48</v>
      </c>
      <c r="DG53" s="40" t="s">
        <v>48</v>
      </c>
      <c r="DH53" s="40" t="s">
        <v>48</v>
      </c>
      <c r="DI53" s="40" t="s">
        <v>48</v>
      </c>
      <c r="DJ53" s="40" t="s">
        <v>48</v>
      </c>
      <c r="DK53" s="40" t="s">
        <v>48</v>
      </c>
      <c r="DL53" s="40" t="s">
        <v>48</v>
      </c>
      <c r="DM53" s="40" t="s">
        <v>48</v>
      </c>
      <c r="DN53" s="40" t="s">
        <v>48</v>
      </c>
      <c r="DO53" s="40" t="s">
        <v>48</v>
      </c>
      <c r="DP53" s="40" t="s">
        <v>48</v>
      </c>
    </row>
    <row r="54" spans="1:120" x14ac:dyDescent="0.35">
      <c r="A54" s="12">
        <v>47</v>
      </c>
      <c r="B54" s="33"/>
      <c r="C54" s="38" t="str">
        <f>Notes!U55</f>
        <v xml:space="preserve">               Crude oil</v>
      </c>
      <c r="D54" s="4" t="s">
        <v>713</v>
      </c>
      <c r="E54" s="44">
        <v>27.589391798804151</v>
      </c>
      <c r="F54" s="42" t="s">
        <v>48</v>
      </c>
      <c r="G54" s="40" t="s">
        <v>48</v>
      </c>
      <c r="H54" s="40" t="s">
        <v>48</v>
      </c>
      <c r="I54" s="40" t="s">
        <v>48</v>
      </c>
      <c r="J54" s="40" t="s">
        <v>48</v>
      </c>
      <c r="K54" s="40" t="s">
        <v>48</v>
      </c>
      <c r="L54" s="40" t="s">
        <v>48</v>
      </c>
      <c r="M54" s="40" t="s">
        <v>48</v>
      </c>
      <c r="N54" s="40" t="s">
        <v>48</v>
      </c>
      <c r="O54" s="40" t="s">
        <v>48</v>
      </c>
      <c r="P54" s="40" t="s">
        <v>48</v>
      </c>
      <c r="Q54" s="40" t="s">
        <v>48</v>
      </c>
      <c r="R54" s="40" t="s">
        <v>48</v>
      </c>
      <c r="S54" s="40" t="s">
        <v>48</v>
      </c>
      <c r="T54" s="40" t="s">
        <v>48</v>
      </c>
      <c r="V54" s="33"/>
      <c r="W54" s="38" t="str">
        <f>Notes!U55</f>
        <v xml:space="preserve">               Crude oil</v>
      </c>
      <c r="X54" s="4" t="s">
        <v>713</v>
      </c>
      <c r="Y54" s="44">
        <v>42.371616606306951</v>
      </c>
      <c r="Z54" s="42" t="s">
        <v>48</v>
      </c>
      <c r="AA54" s="40" t="s">
        <v>48</v>
      </c>
      <c r="AB54" s="40" t="s">
        <v>48</v>
      </c>
      <c r="AC54" s="40" t="s">
        <v>48</v>
      </c>
      <c r="AD54" s="40" t="s">
        <v>48</v>
      </c>
      <c r="AE54" s="40" t="s">
        <v>48</v>
      </c>
      <c r="AF54" s="40" t="s">
        <v>48</v>
      </c>
      <c r="AG54" s="40" t="s">
        <v>48</v>
      </c>
      <c r="AH54" s="40" t="s">
        <v>48</v>
      </c>
      <c r="AI54" s="40" t="s">
        <v>48</v>
      </c>
      <c r="AJ54" s="40" t="s">
        <v>48</v>
      </c>
      <c r="AK54" s="40" t="s">
        <v>48</v>
      </c>
      <c r="AL54" s="40" t="s">
        <v>48</v>
      </c>
      <c r="AM54" s="40" t="s">
        <v>48</v>
      </c>
      <c r="AN54" s="40" t="s">
        <v>48</v>
      </c>
      <c r="AP54" s="33"/>
      <c r="AQ54" s="38" t="str">
        <f>Notes!U55</f>
        <v xml:space="preserve">               Crude oil</v>
      </c>
      <c r="AR54" s="4" t="s">
        <v>713</v>
      </c>
      <c r="AS54" s="44">
        <v>32.163378169340326</v>
      </c>
      <c r="AT54" s="42" t="s">
        <v>48</v>
      </c>
      <c r="AU54" s="40" t="s">
        <v>48</v>
      </c>
      <c r="AV54" s="40" t="s">
        <v>48</v>
      </c>
      <c r="AW54" s="40" t="s">
        <v>48</v>
      </c>
      <c r="AX54" s="40" t="s">
        <v>48</v>
      </c>
      <c r="AY54" s="40" t="s">
        <v>48</v>
      </c>
      <c r="AZ54" s="40" t="s">
        <v>48</v>
      </c>
      <c r="BA54" s="40" t="s">
        <v>48</v>
      </c>
      <c r="BB54" s="40" t="s">
        <v>48</v>
      </c>
      <c r="BC54" s="40" t="s">
        <v>48</v>
      </c>
      <c r="BD54" s="40" t="s">
        <v>48</v>
      </c>
      <c r="BE54" s="40" t="s">
        <v>48</v>
      </c>
      <c r="BF54" s="40" t="s">
        <v>48</v>
      </c>
      <c r="BG54" s="40" t="s">
        <v>48</v>
      </c>
      <c r="BH54" s="40" t="s">
        <v>48</v>
      </c>
      <c r="BJ54" s="33"/>
      <c r="BK54" s="38" t="str">
        <f>Notes!U55</f>
        <v xml:space="preserve">               Crude oil</v>
      </c>
      <c r="BL54" s="4" t="s">
        <v>713</v>
      </c>
      <c r="BM54" s="44">
        <v>85.957736378274106</v>
      </c>
      <c r="BN54" s="42" t="s">
        <v>48</v>
      </c>
      <c r="BO54" s="40" t="s">
        <v>48</v>
      </c>
      <c r="BP54" s="40" t="s">
        <v>48</v>
      </c>
      <c r="BQ54" s="40" t="s">
        <v>48</v>
      </c>
      <c r="BR54" s="40" t="s">
        <v>48</v>
      </c>
      <c r="BS54" s="40" t="s">
        <v>48</v>
      </c>
      <c r="BT54" s="40" t="s">
        <v>48</v>
      </c>
      <c r="BU54" s="40" t="s">
        <v>48</v>
      </c>
      <c r="BV54" s="40" t="s">
        <v>48</v>
      </c>
      <c r="BW54" s="40" t="s">
        <v>48</v>
      </c>
      <c r="BX54" s="40" t="s">
        <v>48</v>
      </c>
      <c r="BY54" s="40" t="s">
        <v>48</v>
      </c>
      <c r="BZ54" s="40" t="s">
        <v>48</v>
      </c>
      <c r="CA54" s="40" t="s">
        <v>48</v>
      </c>
      <c r="CB54" s="40" t="s">
        <v>48</v>
      </c>
      <c r="CD54" s="33"/>
      <c r="CE54" s="38" t="str">
        <f>Notes!U55</f>
        <v xml:space="preserve">               Crude oil</v>
      </c>
      <c r="CF54" s="4" t="s">
        <v>713</v>
      </c>
      <c r="CG54" s="44">
        <v>32.821920654238326</v>
      </c>
      <c r="CH54" s="42" t="s">
        <v>48</v>
      </c>
      <c r="CI54" s="40" t="s">
        <v>48</v>
      </c>
      <c r="CJ54" s="40" t="s">
        <v>48</v>
      </c>
      <c r="CK54" s="40" t="s">
        <v>48</v>
      </c>
      <c r="CL54" s="40" t="s">
        <v>48</v>
      </c>
      <c r="CM54" s="40" t="s">
        <v>48</v>
      </c>
      <c r="CN54" s="40" t="s">
        <v>48</v>
      </c>
      <c r="CO54" s="40" t="s">
        <v>48</v>
      </c>
      <c r="CP54" s="40" t="s">
        <v>48</v>
      </c>
      <c r="CQ54" s="40" t="s">
        <v>48</v>
      </c>
      <c r="CR54" s="40" t="s">
        <v>48</v>
      </c>
      <c r="CS54" s="40" t="s">
        <v>48</v>
      </c>
      <c r="CT54" s="40" t="s">
        <v>48</v>
      </c>
      <c r="CU54" s="40" t="s">
        <v>48</v>
      </c>
      <c r="CV54" s="40" t="s">
        <v>48</v>
      </c>
      <c r="CX54" s="33"/>
      <c r="CY54" s="38" t="str">
        <f>Notes!U55</f>
        <v xml:space="preserve">               Crude oil</v>
      </c>
      <c r="CZ54" s="4" t="s">
        <v>713</v>
      </c>
      <c r="DA54" s="44">
        <v>82.278392628164269</v>
      </c>
      <c r="DB54" s="42" t="s">
        <v>48</v>
      </c>
      <c r="DC54" s="40" t="s">
        <v>48</v>
      </c>
      <c r="DD54" s="40" t="s">
        <v>48</v>
      </c>
      <c r="DE54" s="40" t="s">
        <v>48</v>
      </c>
      <c r="DF54" s="40" t="s">
        <v>48</v>
      </c>
      <c r="DG54" s="40" t="s">
        <v>48</v>
      </c>
      <c r="DH54" s="40" t="s">
        <v>48</v>
      </c>
      <c r="DI54" s="40" t="s">
        <v>48</v>
      </c>
      <c r="DJ54" s="40" t="s">
        <v>48</v>
      </c>
      <c r="DK54" s="40" t="s">
        <v>48</v>
      </c>
      <c r="DL54" s="40" t="s">
        <v>48</v>
      </c>
      <c r="DM54" s="40" t="s">
        <v>48</v>
      </c>
      <c r="DN54" s="40" t="s">
        <v>48</v>
      </c>
      <c r="DO54" s="40" t="s">
        <v>48</v>
      </c>
      <c r="DP54" s="40" t="s">
        <v>48</v>
      </c>
    </row>
    <row r="55" spans="1:120" x14ac:dyDescent="0.35">
      <c r="A55" s="12">
        <v>48</v>
      </c>
      <c r="B55" s="33"/>
      <c r="C55" s="38" t="str">
        <f>Notes!U56</f>
        <v xml:space="preserve">               Natural gas</v>
      </c>
      <c r="D55" s="4" t="s">
        <v>504</v>
      </c>
      <c r="E55" s="44">
        <v>8.6444468278701336</v>
      </c>
      <c r="F55" s="42" t="s">
        <v>48</v>
      </c>
      <c r="G55" s="40" t="s">
        <v>48</v>
      </c>
      <c r="H55" s="40" t="s">
        <v>48</v>
      </c>
      <c r="I55" s="40" t="s">
        <v>48</v>
      </c>
      <c r="J55" s="40" t="s">
        <v>48</v>
      </c>
      <c r="K55" s="40" t="s">
        <v>48</v>
      </c>
      <c r="L55" s="40" t="s">
        <v>48</v>
      </c>
      <c r="M55" s="40" t="s">
        <v>48</v>
      </c>
      <c r="N55" s="40" t="s">
        <v>48</v>
      </c>
      <c r="O55" s="40" t="s">
        <v>48</v>
      </c>
      <c r="P55" s="40" t="s">
        <v>48</v>
      </c>
      <c r="Q55" s="40" t="s">
        <v>48</v>
      </c>
      <c r="R55" s="40" t="s">
        <v>48</v>
      </c>
      <c r="S55" s="40" t="s">
        <v>48</v>
      </c>
      <c r="T55" s="40" t="s">
        <v>48</v>
      </c>
      <c r="V55" s="33"/>
      <c r="W55" s="38" t="str">
        <f>Notes!U56</f>
        <v xml:space="preserve">               Natural gas</v>
      </c>
      <c r="X55" s="4" t="s">
        <v>504</v>
      </c>
      <c r="Y55" s="44">
        <v>10.444595593807909</v>
      </c>
      <c r="Z55" s="42" t="s">
        <v>48</v>
      </c>
      <c r="AA55" s="40" t="s">
        <v>48</v>
      </c>
      <c r="AB55" s="40" t="s">
        <v>48</v>
      </c>
      <c r="AC55" s="40" t="s">
        <v>48</v>
      </c>
      <c r="AD55" s="40" t="s">
        <v>48</v>
      </c>
      <c r="AE55" s="40" t="s">
        <v>48</v>
      </c>
      <c r="AF55" s="40" t="s">
        <v>48</v>
      </c>
      <c r="AG55" s="40" t="s">
        <v>48</v>
      </c>
      <c r="AH55" s="40" t="s">
        <v>48</v>
      </c>
      <c r="AI55" s="40" t="s">
        <v>48</v>
      </c>
      <c r="AJ55" s="40" t="s">
        <v>48</v>
      </c>
      <c r="AK55" s="40" t="s">
        <v>48</v>
      </c>
      <c r="AL55" s="40" t="s">
        <v>48</v>
      </c>
      <c r="AM55" s="40" t="s">
        <v>48</v>
      </c>
      <c r="AN55" s="40" t="s">
        <v>48</v>
      </c>
      <c r="AP55" s="33"/>
      <c r="AQ55" s="38" t="str">
        <f>Notes!U56</f>
        <v xml:space="preserve">               Natural gas</v>
      </c>
      <c r="AR55" s="4" t="s">
        <v>504</v>
      </c>
      <c r="AS55" s="44">
        <v>13.858237552781127</v>
      </c>
      <c r="AT55" s="42" t="s">
        <v>48</v>
      </c>
      <c r="AU55" s="40" t="s">
        <v>48</v>
      </c>
      <c r="AV55" s="40" t="s">
        <v>48</v>
      </c>
      <c r="AW55" s="40" t="s">
        <v>48</v>
      </c>
      <c r="AX55" s="40" t="s">
        <v>48</v>
      </c>
      <c r="AY55" s="40" t="s">
        <v>48</v>
      </c>
      <c r="AZ55" s="40" t="s">
        <v>48</v>
      </c>
      <c r="BA55" s="40" t="s">
        <v>48</v>
      </c>
      <c r="BB55" s="40" t="s">
        <v>48</v>
      </c>
      <c r="BC55" s="40" t="s">
        <v>48</v>
      </c>
      <c r="BD55" s="40" t="s">
        <v>48</v>
      </c>
      <c r="BE55" s="40" t="s">
        <v>48</v>
      </c>
      <c r="BF55" s="40" t="s">
        <v>48</v>
      </c>
      <c r="BG55" s="40" t="s">
        <v>48</v>
      </c>
      <c r="BH55" s="40" t="s">
        <v>48</v>
      </c>
      <c r="BJ55" s="33"/>
      <c r="BK55" s="38" t="str">
        <f>Notes!U56</f>
        <v xml:space="preserve">               Natural gas</v>
      </c>
      <c r="BL55" s="4" t="s">
        <v>504</v>
      </c>
      <c r="BM55" s="44">
        <v>12.695599342963529</v>
      </c>
      <c r="BN55" s="42" t="s">
        <v>48</v>
      </c>
      <c r="BO55" s="40" t="s">
        <v>48</v>
      </c>
      <c r="BP55" s="40" t="s">
        <v>48</v>
      </c>
      <c r="BQ55" s="40" t="s">
        <v>48</v>
      </c>
      <c r="BR55" s="40" t="s">
        <v>48</v>
      </c>
      <c r="BS55" s="40" t="s">
        <v>48</v>
      </c>
      <c r="BT55" s="40" t="s">
        <v>48</v>
      </c>
      <c r="BU55" s="40" t="s">
        <v>48</v>
      </c>
      <c r="BV55" s="40" t="s">
        <v>48</v>
      </c>
      <c r="BW55" s="40" t="s">
        <v>48</v>
      </c>
      <c r="BX55" s="40" t="s">
        <v>48</v>
      </c>
      <c r="BY55" s="40" t="s">
        <v>48</v>
      </c>
      <c r="BZ55" s="40" t="s">
        <v>48</v>
      </c>
      <c r="CA55" s="40" t="s">
        <v>48</v>
      </c>
      <c r="CB55" s="40" t="s">
        <v>48</v>
      </c>
      <c r="CD55" s="33"/>
      <c r="CE55" s="38" t="str">
        <f>Notes!U56</f>
        <v xml:space="preserve">               Natural gas</v>
      </c>
      <c r="CF55" s="4" t="s">
        <v>504</v>
      </c>
      <c r="CG55" s="44">
        <v>13.115291921394141</v>
      </c>
      <c r="CH55" s="42" t="s">
        <v>48</v>
      </c>
      <c r="CI55" s="40" t="s">
        <v>48</v>
      </c>
      <c r="CJ55" s="40" t="s">
        <v>48</v>
      </c>
      <c r="CK55" s="40" t="s">
        <v>48</v>
      </c>
      <c r="CL55" s="40" t="s">
        <v>48</v>
      </c>
      <c r="CM55" s="40" t="s">
        <v>48</v>
      </c>
      <c r="CN55" s="40" t="s">
        <v>48</v>
      </c>
      <c r="CO55" s="40" t="s">
        <v>48</v>
      </c>
      <c r="CP55" s="40" t="s">
        <v>48</v>
      </c>
      <c r="CQ55" s="40" t="s">
        <v>48</v>
      </c>
      <c r="CR55" s="40" t="s">
        <v>48</v>
      </c>
      <c r="CS55" s="40" t="s">
        <v>48</v>
      </c>
      <c r="CT55" s="40" t="s">
        <v>48</v>
      </c>
      <c r="CU55" s="40" t="s">
        <v>48</v>
      </c>
      <c r="CV55" s="40" t="s">
        <v>48</v>
      </c>
      <c r="CX55" s="33"/>
      <c r="CY55" s="38" t="str">
        <f>Notes!U56</f>
        <v xml:space="preserve">               Natural gas</v>
      </c>
      <c r="CZ55" s="4" t="s">
        <v>504</v>
      </c>
      <c r="DA55" s="44">
        <v>14.272701111344494</v>
      </c>
      <c r="DB55" s="42" t="s">
        <v>48</v>
      </c>
      <c r="DC55" s="40" t="s">
        <v>48</v>
      </c>
      <c r="DD55" s="40" t="s">
        <v>48</v>
      </c>
      <c r="DE55" s="40" t="s">
        <v>48</v>
      </c>
      <c r="DF55" s="40" t="s">
        <v>48</v>
      </c>
      <c r="DG55" s="40" t="s">
        <v>48</v>
      </c>
      <c r="DH55" s="40" t="s">
        <v>48</v>
      </c>
      <c r="DI55" s="40" t="s">
        <v>48</v>
      </c>
      <c r="DJ55" s="40" t="s">
        <v>48</v>
      </c>
      <c r="DK55" s="40" t="s">
        <v>48</v>
      </c>
      <c r="DL55" s="40" t="s">
        <v>48</v>
      </c>
      <c r="DM55" s="40" t="s">
        <v>48</v>
      </c>
      <c r="DN55" s="40" t="s">
        <v>48</v>
      </c>
      <c r="DO55" s="40" t="s">
        <v>48</v>
      </c>
      <c r="DP55" s="40" t="s">
        <v>48</v>
      </c>
    </row>
    <row r="56" spans="1:120" x14ac:dyDescent="0.35">
      <c r="A56" s="12">
        <v>49</v>
      </c>
      <c r="B56" s="33"/>
      <c r="C56" s="38" t="str">
        <f>Notes!U57</f>
        <v xml:space="preserve">               Other mining</v>
      </c>
      <c r="D56" s="4" t="s">
        <v>766</v>
      </c>
      <c r="E56" s="44">
        <v>5.7519745264443092</v>
      </c>
      <c r="F56" s="42" t="s">
        <v>48</v>
      </c>
      <c r="G56" s="40" t="s">
        <v>48</v>
      </c>
      <c r="H56" s="40" t="s">
        <v>48</v>
      </c>
      <c r="I56" s="40" t="s">
        <v>48</v>
      </c>
      <c r="J56" s="40" t="s">
        <v>48</v>
      </c>
      <c r="K56" s="40" t="s">
        <v>48</v>
      </c>
      <c r="L56" s="40" t="s">
        <v>48</v>
      </c>
      <c r="M56" s="40" t="s">
        <v>48</v>
      </c>
      <c r="N56" s="40" t="s">
        <v>48</v>
      </c>
      <c r="O56" s="40" t="s">
        <v>48</v>
      </c>
      <c r="P56" s="40" t="s">
        <v>48</v>
      </c>
      <c r="Q56" s="40" t="s">
        <v>48</v>
      </c>
      <c r="R56" s="40" t="s">
        <v>48</v>
      </c>
      <c r="S56" s="40" t="s">
        <v>48</v>
      </c>
      <c r="T56" s="40" t="s">
        <v>48</v>
      </c>
      <c r="V56" s="33"/>
      <c r="W56" s="38" t="str">
        <f>Notes!U57</f>
        <v xml:space="preserve">               Other mining</v>
      </c>
      <c r="X56" s="4" t="s">
        <v>766</v>
      </c>
      <c r="Y56" s="44">
        <v>6.3333233958114272</v>
      </c>
      <c r="Z56" s="42" t="s">
        <v>48</v>
      </c>
      <c r="AA56" s="40" t="s">
        <v>48</v>
      </c>
      <c r="AB56" s="40" t="s">
        <v>48</v>
      </c>
      <c r="AC56" s="40" t="s">
        <v>48</v>
      </c>
      <c r="AD56" s="40" t="s">
        <v>48</v>
      </c>
      <c r="AE56" s="40" t="s">
        <v>48</v>
      </c>
      <c r="AF56" s="40" t="s">
        <v>48</v>
      </c>
      <c r="AG56" s="40" t="s">
        <v>48</v>
      </c>
      <c r="AH56" s="40" t="s">
        <v>48</v>
      </c>
      <c r="AI56" s="40" t="s">
        <v>48</v>
      </c>
      <c r="AJ56" s="40" t="s">
        <v>48</v>
      </c>
      <c r="AK56" s="40" t="s">
        <v>48</v>
      </c>
      <c r="AL56" s="40" t="s">
        <v>48</v>
      </c>
      <c r="AM56" s="40" t="s">
        <v>48</v>
      </c>
      <c r="AN56" s="40" t="s">
        <v>48</v>
      </c>
      <c r="AP56" s="33"/>
      <c r="AQ56" s="38" t="str">
        <f>Notes!U57</f>
        <v xml:space="preserve">               Other mining</v>
      </c>
      <c r="AR56" s="4" t="s">
        <v>766</v>
      </c>
      <c r="AS56" s="44">
        <v>13.131345123517747</v>
      </c>
      <c r="AT56" s="42" t="s">
        <v>48</v>
      </c>
      <c r="AU56" s="40" t="s">
        <v>48</v>
      </c>
      <c r="AV56" s="40" t="s">
        <v>48</v>
      </c>
      <c r="AW56" s="40" t="s">
        <v>48</v>
      </c>
      <c r="AX56" s="40" t="s">
        <v>48</v>
      </c>
      <c r="AY56" s="40" t="s">
        <v>48</v>
      </c>
      <c r="AZ56" s="40" t="s">
        <v>48</v>
      </c>
      <c r="BA56" s="40" t="s">
        <v>48</v>
      </c>
      <c r="BB56" s="40" t="s">
        <v>48</v>
      </c>
      <c r="BC56" s="40" t="s">
        <v>48</v>
      </c>
      <c r="BD56" s="40" t="s">
        <v>48</v>
      </c>
      <c r="BE56" s="40" t="s">
        <v>48</v>
      </c>
      <c r="BF56" s="40" t="s">
        <v>48</v>
      </c>
      <c r="BG56" s="40" t="s">
        <v>48</v>
      </c>
      <c r="BH56" s="40" t="s">
        <v>48</v>
      </c>
      <c r="BJ56" s="33"/>
      <c r="BK56" s="38" t="str">
        <f>Notes!U57</f>
        <v xml:space="preserve">               Other mining</v>
      </c>
      <c r="BL56" s="4" t="s">
        <v>766</v>
      </c>
      <c r="BM56" s="44">
        <v>9.0851961947491091</v>
      </c>
      <c r="BN56" s="42" t="s">
        <v>48</v>
      </c>
      <c r="BO56" s="40" t="s">
        <v>48</v>
      </c>
      <c r="BP56" s="40" t="s">
        <v>48</v>
      </c>
      <c r="BQ56" s="40" t="s">
        <v>48</v>
      </c>
      <c r="BR56" s="40" t="s">
        <v>48</v>
      </c>
      <c r="BS56" s="40" t="s">
        <v>48</v>
      </c>
      <c r="BT56" s="40" t="s">
        <v>48</v>
      </c>
      <c r="BU56" s="40" t="s">
        <v>48</v>
      </c>
      <c r="BV56" s="40" t="s">
        <v>48</v>
      </c>
      <c r="BW56" s="40" t="s">
        <v>48</v>
      </c>
      <c r="BX56" s="40" t="s">
        <v>48</v>
      </c>
      <c r="BY56" s="40" t="s">
        <v>48</v>
      </c>
      <c r="BZ56" s="40" t="s">
        <v>48</v>
      </c>
      <c r="CA56" s="40" t="s">
        <v>48</v>
      </c>
      <c r="CB56" s="40" t="s">
        <v>48</v>
      </c>
      <c r="CD56" s="33"/>
      <c r="CE56" s="38" t="str">
        <f>Notes!U57</f>
        <v xml:space="preserve">               Other mining</v>
      </c>
      <c r="CF56" s="4" t="s">
        <v>766</v>
      </c>
      <c r="CG56" s="44">
        <v>12.391326768043504</v>
      </c>
      <c r="CH56" s="42" t="s">
        <v>48</v>
      </c>
      <c r="CI56" s="40" t="s">
        <v>48</v>
      </c>
      <c r="CJ56" s="40" t="s">
        <v>48</v>
      </c>
      <c r="CK56" s="40" t="s">
        <v>48</v>
      </c>
      <c r="CL56" s="40" t="s">
        <v>48</v>
      </c>
      <c r="CM56" s="40" t="s">
        <v>48</v>
      </c>
      <c r="CN56" s="40" t="s">
        <v>48</v>
      </c>
      <c r="CO56" s="40" t="s">
        <v>48</v>
      </c>
      <c r="CP56" s="40" t="s">
        <v>48</v>
      </c>
      <c r="CQ56" s="40" t="s">
        <v>48</v>
      </c>
      <c r="CR56" s="40" t="s">
        <v>48</v>
      </c>
      <c r="CS56" s="40" t="s">
        <v>48</v>
      </c>
      <c r="CT56" s="40" t="s">
        <v>48</v>
      </c>
      <c r="CU56" s="40" t="s">
        <v>48</v>
      </c>
      <c r="CV56" s="40" t="s">
        <v>48</v>
      </c>
      <c r="CX56" s="33"/>
      <c r="CY56" s="38" t="str">
        <f>Notes!U57</f>
        <v xml:space="preserve">               Other mining</v>
      </c>
      <c r="CZ56" s="4" t="s">
        <v>766</v>
      </c>
      <c r="DA56" s="44">
        <v>10.850915469955321</v>
      </c>
      <c r="DB56" s="42" t="s">
        <v>48</v>
      </c>
      <c r="DC56" s="40" t="s">
        <v>48</v>
      </c>
      <c r="DD56" s="40" t="s">
        <v>48</v>
      </c>
      <c r="DE56" s="40" t="s">
        <v>48</v>
      </c>
      <c r="DF56" s="40" t="s">
        <v>48</v>
      </c>
      <c r="DG56" s="40" t="s">
        <v>48</v>
      </c>
      <c r="DH56" s="40" t="s">
        <v>48</v>
      </c>
      <c r="DI56" s="40" t="s">
        <v>48</v>
      </c>
      <c r="DJ56" s="40" t="s">
        <v>48</v>
      </c>
      <c r="DK56" s="40" t="s">
        <v>48</v>
      </c>
      <c r="DL56" s="40" t="s">
        <v>48</v>
      </c>
      <c r="DM56" s="40" t="s">
        <v>48</v>
      </c>
      <c r="DN56" s="40" t="s">
        <v>48</v>
      </c>
      <c r="DO56" s="40" t="s">
        <v>48</v>
      </c>
      <c r="DP56" s="40" t="s">
        <v>48</v>
      </c>
    </row>
    <row r="57" spans="1:120" x14ac:dyDescent="0.35">
      <c r="A57" s="12">
        <v>50</v>
      </c>
      <c r="B57" s="33"/>
      <c r="C57" s="38" t="str">
        <f>Notes!U58</f>
        <v xml:space="preserve">               Manufacturing</v>
      </c>
      <c r="D57" s="4" t="s">
        <v>508</v>
      </c>
      <c r="E57" s="44">
        <v>0.86086693530397995</v>
      </c>
      <c r="F57" s="42" t="s">
        <v>48</v>
      </c>
      <c r="G57" s="40" t="s">
        <v>48</v>
      </c>
      <c r="H57" s="40" t="s">
        <v>48</v>
      </c>
      <c r="I57" s="40" t="s">
        <v>48</v>
      </c>
      <c r="J57" s="40" t="s">
        <v>48</v>
      </c>
      <c r="K57" s="40" t="s">
        <v>48</v>
      </c>
      <c r="L57" s="40" t="s">
        <v>48</v>
      </c>
      <c r="M57" s="40" t="s">
        <v>48</v>
      </c>
      <c r="N57" s="40" t="s">
        <v>48</v>
      </c>
      <c r="O57" s="40" t="s">
        <v>48</v>
      </c>
      <c r="P57" s="40" t="s">
        <v>48</v>
      </c>
      <c r="Q57" s="40" t="s">
        <v>48</v>
      </c>
      <c r="R57" s="40" t="s">
        <v>48</v>
      </c>
      <c r="S57" s="40" t="s">
        <v>48</v>
      </c>
      <c r="T57" s="40" t="s">
        <v>48</v>
      </c>
      <c r="V57" s="33"/>
      <c r="W57" s="38" t="str">
        <f>Notes!U58</f>
        <v xml:space="preserve">               Manufacturing</v>
      </c>
      <c r="X57" s="4" t="s">
        <v>508</v>
      </c>
      <c r="Y57" s="44">
        <v>0.72309486261898781</v>
      </c>
      <c r="Z57" s="42" t="s">
        <v>48</v>
      </c>
      <c r="AA57" s="40" t="s">
        <v>48</v>
      </c>
      <c r="AB57" s="40" t="s">
        <v>48</v>
      </c>
      <c r="AC57" s="40" t="s">
        <v>48</v>
      </c>
      <c r="AD57" s="40" t="s">
        <v>48</v>
      </c>
      <c r="AE57" s="40" t="s">
        <v>48</v>
      </c>
      <c r="AF57" s="40" t="s">
        <v>48</v>
      </c>
      <c r="AG57" s="40" t="s">
        <v>48</v>
      </c>
      <c r="AH57" s="40" t="s">
        <v>48</v>
      </c>
      <c r="AI57" s="40" t="s">
        <v>48</v>
      </c>
      <c r="AJ57" s="40" t="s">
        <v>48</v>
      </c>
      <c r="AK57" s="40" t="s">
        <v>48</v>
      </c>
      <c r="AL57" s="40" t="s">
        <v>48</v>
      </c>
      <c r="AM57" s="40" t="s">
        <v>48</v>
      </c>
      <c r="AN57" s="40" t="s">
        <v>48</v>
      </c>
      <c r="AP57" s="33"/>
      <c r="AQ57" s="38" t="str">
        <f>Notes!U58</f>
        <v xml:space="preserve">               Manufacturing</v>
      </c>
      <c r="AR57" s="4" t="s">
        <v>508</v>
      </c>
      <c r="AS57" s="44" t="s">
        <v>48</v>
      </c>
      <c r="AT57" s="42" t="s">
        <v>48</v>
      </c>
      <c r="AU57" s="40" t="s">
        <v>48</v>
      </c>
      <c r="AV57" s="40" t="s">
        <v>48</v>
      </c>
      <c r="AW57" s="40" t="s">
        <v>48</v>
      </c>
      <c r="AX57" s="40" t="s">
        <v>48</v>
      </c>
      <c r="AY57" s="40" t="s">
        <v>48</v>
      </c>
      <c r="AZ57" s="40" t="s">
        <v>48</v>
      </c>
      <c r="BA57" s="40" t="s">
        <v>48</v>
      </c>
      <c r="BB57" s="40" t="s">
        <v>48</v>
      </c>
      <c r="BC57" s="40" t="s">
        <v>48</v>
      </c>
      <c r="BD57" s="40" t="s">
        <v>48</v>
      </c>
      <c r="BE57" s="40" t="s">
        <v>48</v>
      </c>
      <c r="BF57" s="40" t="s">
        <v>48</v>
      </c>
      <c r="BG57" s="40" t="s">
        <v>48</v>
      </c>
      <c r="BH57" s="40" t="s">
        <v>48</v>
      </c>
      <c r="BJ57" s="33"/>
      <c r="BK57" s="38" t="str">
        <f>Notes!U58</f>
        <v xml:space="preserve">               Manufacturing</v>
      </c>
      <c r="BL57" s="4" t="s">
        <v>508</v>
      </c>
      <c r="BM57" s="44" t="s">
        <v>48</v>
      </c>
      <c r="BN57" s="42" t="s">
        <v>48</v>
      </c>
      <c r="BO57" s="40" t="s">
        <v>48</v>
      </c>
      <c r="BP57" s="40" t="s">
        <v>48</v>
      </c>
      <c r="BQ57" s="40" t="s">
        <v>48</v>
      </c>
      <c r="BR57" s="40" t="s">
        <v>48</v>
      </c>
      <c r="BS57" s="40" t="s">
        <v>48</v>
      </c>
      <c r="BT57" s="40" t="s">
        <v>48</v>
      </c>
      <c r="BU57" s="40" t="s">
        <v>48</v>
      </c>
      <c r="BV57" s="40" t="s">
        <v>48</v>
      </c>
      <c r="BW57" s="40" t="s">
        <v>48</v>
      </c>
      <c r="BX57" s="40" t="s">
        <v>48</v>
      </c>
      <c r="BY57" s="40" t="s">
        <v>48</v>
      </c>
      <c r="BZ57" s="40" t="s">
        <v>48</v>
      </c>
      <c r="CA57" s="40" t="s">
        <v>48</v>
      </c>
      <c r="CB57" s="40" t="s">
        <v>48</v>
      </c>
      <c r="CD57" s="33"/>
      <c r="CE57" s="38" t="str">
        <f>Notes!U58</f>
        <v xml:space="preserve">               Manufacturing</v>
      </c>
      <c r="CF57" s="4" t="s">
        <v>508</v>
      </c>
      <c r="CG57" s="44" t="s">
        <v>48</v>
      </c>
      <c r="CH57" s="42" t="s">
        <v>48</v>
      </c>
      <c r="CI57" s="40" t="s">
        <v>48</v>
      </c>
      <c r="CJ57" s="40" t="s">
        <v>48</v>
      </c>
      <c r="CK57" s="40" t="s">
        <v>48</v>
      </c>
      <c r="CL57" s="40" t="s">
        <v>48</v>
      </c>
      <c r="CM57" s="40" t="s">
        <v>48</v>
      </c>
      <c r="CN57" s="40" t="s">
        <v>48</v>
      </c>
      <c r="CO57" s="40" t="s">
        <v>48</v>
      </c>
      <c r="CP57" s="40" t="s">
        <v>48</v>
      </c>
      <c r="CQ57" s="40" t="s">
        <v>48</v>
      </c>
      <c r="CR57" s="40" t="s">
        <v>48</v>
      </c>
      <c r="CS57" s="40" t="s">
        <v>48</v>
      </c>
      <c r="CT57" s="40" t="s">
        <v>48</v>
      </c>
      <c r="CU57" s="40" t="s">
        <v>48</v>
      </c>
      <c r="CV57" s="40" t="s">
        <v>48</v>
      </c>
      <c r="CX57" s="33"/>
      <c r="CY57" s="38" t="str">
        <f>Notes!U58</f>
        <v xml:space="preserve">               Manufacturing</v>
      </c>
      <c r="CZ57" s="4" t="s">
        <v>508</v>
      </c>
      <c r="DA57" s="44" t="s">
        <v>48</v>
      </c>
      <c r="DB57" s="42" t="s">
        <v>48</v>
      </c>
      <c r="DC57" s="40" t="s">
        <v>48</v>
      </c>
      <c r="DD57" s="40" t="s">
        <v>48</v>
      </c>
      <c r="DE57" s="40" t="s">
        <v>48</v>
      </c>
      <c r="DF57" s="40" t="s">
        <v>48</v>
      </c>
      <c r="DG57" s="40" t="s">
        <v>48</v>
      </c>
      <c r="DH57" s="40" t="s">
        <v>48</v>
      </c>
      <c r="DI57" s="40" t="s">
        <v>48</v>
      </c>
      <c r="DJ57" s="40" t="s">
        <v>48</v>
      </c>
      <c r="DK57" s="40" t="s">
        <v>48</v>
      </c>
      <c r="DL57" s="40" t="s">
        <v>48</v>
      </c>
      <c r="DM57" s="40" t="s">
        <v>48</v>
      </c>
      <c r="DN57" s="40" t="s">
        <v>48</v>
      </c>
      <c r="DO57" s="40" t="s">
        <v>48</v>
      </c>
      <c r="DP57" s="40" t="s">
        <v>48</v>
      </c>
    </row>
    <row r="58" spans="1:120" x14ac:dyDescent="0.35">
      <c r="A58" s="12">
        <v>51</v>
      </c>
      <c r="B58" s="33"/>
      <c r="C58" s="38" t="str">
        <f>Notes!U59</f>
        <v xml:space="preserve">               Food processing</v>
      </c>
      <c r="D58" s="4" t="s">
        <v>510</v>
      </c>
      <c r="E58" s="44">
        <v>6.7362722921286682E-3</v>
      </c>
      <c r="F58" s="42" t="s">
        <v>48</v>
      </c>
      <c r="G58" s="40" t="s">
        <v>48</v>
      </c>
      <c r="H58" s="40" t="s">
        <v>48</v>
      </c>
      <c r="I58" s="40" t="s">
        <v>48</v>
      </c>
      <c r="J58" s="40" t="s">
        <v>48</v>
      </c>
      <c r="K58" s="40" t="s">
        <v>48</v>
      </c>
      <c r="L58" s="40" t="s">
        <v>48</v>
      </c>
      <c r="M58" s="40" t="s">
        <v>48</v>
      </c>
      <c r="N58" s="40" t="s">
        <v>48</v>
      </c>
      <c r="O58" s="40" t="s">
        <v>48</v>
      </c>
      <c r="P58" s="40" t="s">
        <v>48</v>
      </c>
      <c r="Q58" s="40" t="s">
        <v>48</v>
      </c>
      <c r="R58" s="40" t="s">
        <v>48</v>
      </c>
      <c r="S58" s="40" t="s">
        <v>48</v>
      </c>
      <c r="T58" s="40" t="s">
        <v>48</v>
      </c>
      <c r="V58" s="33"/>
      <c r="W58" s="38" t="str">
        <f>Notes!U59</f>
        <v xml:space="preserve">               Food processing</v>
      </c>
      <c r="X58" s="4" t="s">
        <v>510</v>
      </c>
      <c r="Y58" s="44">
        <v>3.2721413731101837E-2</v>
      </c>
      <c r="Z58" s="42" t="s">
        <v>48</v>
      </c>
      <c r="AA58" s="40" t="s">
        <v>48</v>
      </c>
      <c r="AB58" s="40" t="s">
        <v>48</v>
      </c>
      <c r="AC58" s="40" t="s">
        <v>48</v>
      </c>
      <c r="AD58" s="40" t="s">
        <v>48</v>
      </c>
      <c r="AE58" s="40" t="s">
        <v>48</v>
      </c>
      <c r="AF58" s="40" t="s">
        <v>48</v>
      </c>
      <c r="AG58" s="40" t="s">
        <v>48</v>
      </c>
      <c r="AH58" s="40" t="s">
        <v>48</v>
      </c>
      <c r="AI58" s="40" t="s">
        <v>48</v>
      </c>
      <c r="AJ58" s="40" t="s">
        <v>48</v>
      </c>
      <c r="AK58" s="40" t="s">
        <v>48</v>
      </c>
      <c r="AL58" s="40" t="s">
        <v>48</v>
      </c>
      <c r="AM58" s="40" t="s">
        <v>48</v>
      </c>
      <c r="AN58" s="40" t="s">
        <v>48</v>
      </c>
      <c r="AP58" s="33"/>
      <c r="AQ58" s="38" t="str">
        <f>Notes!U59</f>
        <v xml:space="preserve">               Food processing</v>
      </c>
      <c r="AR58" s="4" t="s">
        <v>510</v>
      </c>
      <c r="AS58" s="44" t="s">
        <v>48</v>
      </c>
      <c r="AT58" s="42" t="s">
        <v>48</v>
      </c>
      <c r="AU58" s="40" t="s">
        <v>48</v>
      </c>
      <c r="AV58" s="40" t="s">
        <v>48</v>
      </c>
      <c r="AW58" s="40" t="s">
        <v>48</v>
      </c>
      <c r="AX58" s="40" t="s">
        <v>48</v>
      </c>
      <c r="AY58" s="40" t="s">
        <v>48</v>
      </c>
      <c r="AZ58" s="40" t="s">
        <v>48</v>
      </c>
      <c r="BA58" s="40" t="s">
        <v>48</v>
      </c>
      <c r="BB58" s="40" t="s">
        <v>48</v>
      </c>
      <c r="BC58" s="40" t="s">
        <v>48</v>
      </c>
      <c r="BD58" s="40" t="s">
        <v>48</v>
      </c>
      <c r="BE58" s="40" t="s">
        <v>48</v>
      </c>
      <c r="BF58" s="40" t="s">
        <v>48</v>
      </c>
      <c r="BG58" s="40" t="s">
        <v>48</v>
      </c>
      <c r="BH58" s="40" t="s">
        <v>48</v>
      </c>
      <c r="BJ58" s="33"/>
      <c r="BK58" s="38" t="str">
        <f>Notes!U59</f>
        <v xml:space="preserve">               Food processing</v>
      </c>
      <c r="BL58" s="4" t="s">
        <v>510</v>
      </c>
      <c r="BM58" s="44" t="s">
        <v>48</v>
      </c>
      <c r="BN58" s="42" t="s">
        <v>48</v>
      </c>
      <c r="BO58" s="40" t="s">
        <v>48</v>
      </c>
      <c r="BP58" s="40" t="s">
        <v>48</v>
      </c>
      <c r="BQ58" s="40" t="s">
        <v>48</v>
      </c>
      <c r="BR58" s="40" t="s">
        <v>48</v>
      </c>
      <c r="BS58" s="40" t="s">
        <v>48</v>
      </c>
      <c r="BT58" s="40" t="s">
        <v>48</v>
      </c>
      <c r="BU58" s="40" t="s">
        <v>48</v>
      </c>
      <c r="BV58" s="40" t="s">
        <v>48</v>
      </c>
      <c r="BW58" s="40" t="s">
        <v>48</v>
      </c>
      <c r="BX58" s="40" t="s">
        <v>48</v>
      </c>
      <c r="BY58" s="40" t="s">
        <v>48</v>
      </c>
      <c r="BZ58" s="40" t="s">
        <v>48</v>
      </c>
      <c r="CA58" s="40" t="s">
        <v>48</v>
      </c>
      <c r="CB58" s="40" t="s">
        <v>48</v>
      </c>
      <c r="CD58" s="33"/>
      <c r="CE58" s="38" t="str">
        <f>Notes!U59</f>
        <v xml:space="preserve">               Food processing</v>
      </c>
      <c r="CF58" s="4" t="s">
        <v>510</v>
      </c>
      <c r="CG58" s="44" t="s">
        <v>48</v>
      </c>
      <c r="CH58" s="42" t="s">
        <v>48</v>
      </c>
      <c r="CI58" s="40" t="s">
        <v>48</v>
      </c>
      <c r="CJ58" s="40" t="s">
        <v>48</v>
      </c>
      <c r="CK58" s="40" t="s">
        <v>48</v>
      </c>
      <c r="CL58" s="40" t="s">
        <v>48</v>
      </c>
      <c r="CM58" s="40" t="s">
        <v>48</v>
      </c>
      <c r="CN58" s="40" t="s">
        <v>48</v>
      </c>
      <c r="CO58" s="40" t="s">
        <v>48</v>
      </c>
      <c r="CP58" s="40" t="s">
        <v>48</v>
      </c>
      <c r="CQ58" s="40" t="s">
        <v>48</v>
      </c>
      <c r="CR58" s="40" t="s">
        <v>48</v>
      </c>
      <c r="CS58" s="40" t="s">
        <v>48</v>
      </c>
      <c r="CT58" s="40" t="s">
        <v>48</v>
      </c>
      <c r="CU58" s="40" t="s">
        <v>48</v>
      </c>
      <c r="CV58" s="40" t="s">
        <v>48</v>
      </c>
      <c r="CX58" s="33"/>
      <c r="CY58" s="38" t="str">
        <f>Notes!U59</f>
        <v xml:space="preserve">               Food processing</v>
      </c>
      <c r="CZ58" s="4" t="s">
        <v>510</v>
      </c>
      <c r="DA58" s="44" t="s">
        <v>48</v>
      </c>
      <c r="DB58" s="42" t="s">
        <v>48</v>
      </c>
      <c r="DC58" s="40" t="s">
        <v>48</v>
      </c>
      <c r="DD58" s="40" t="s">
        <v>48</v>
      </c>
      <c r="DE58" s="40" t="s">
        <v>48</v>
      </c>
      <c r="DF58" s="40" t="s">
        <v>48</v>
      </c>
      <c r="DG58" s="40" t="s">
        <v>48</v>
      </c>
      <c r="DH58" s="40" t="s">
        <v>48</v>
      </c>
      <c r="DI58" s="40" t="s">
        <v>48</v>
      </c>
      <c r="DJ58" s="40" t="s">
        <v>48</v>
      </c>
      <c r="DK58" s="40" t="s">
        <v>48</v>
      </c>
      <c r="DL58" s="40" t="s">
        <v>48</v>
      </c>
      <c r="DM58" s="40" t="s">
        <v>48</v>
      </c>
      <c r="DN58" s="40" t="s">
        <v>48</v>
      </c>
      <c r="DO58" s="40" t="s">
        <v>48</v>
      </c>
      <c r="DP58" s="40" t="s">
        <v>48</v>
      </c>
    </row>
    <row r="59" spans="1:120" x14ac:dyDescent="0.35">
      <c r="A59" s="12">
        <v>52</v>
      </c>
      <c r="B59" s="33"/>
      <c r="C59" s="38" t="str">
        <f>Notes!U60</f>
        <v xml:space="preserve">               Food processing</v>
      </c>
      <c r="D59" s="4" t="s">
        <v>506</v>
      </c>
      <c r="E59" s="44">
        <v>0.19857304392520911</v>
      </c>
      <c r="F59" s="42" t="s">
        <v>48</v>
      </c>
      <c r="G59" s="40" t="s">
        <v>48</v>
      </c>
      <c r="H59" s="40" t="s">
        <v>48</v>
      </c>
      <c r="I59" s="40" t="s">
        <v>48</v>
      </c>
      <c r="J59" s="40" t="s">
        <v>48</v>
      </c>
      <c r="K59" s="40" t="s">
        <v>48</v>
      </c>
      <c r="L59" s="40" t="s">
        <v>48</v>
      </c>
      <c r="M59" s="40" t="s">
        <v>48</v>
      </c>
      <c r="N59" s="40" t="s">
        <v>48</v>
      </c>
      <c r="O59" s="40" t="s">
        <v>48</v>
      </c>
      <c r="P59" s="40" t="s">
        <v>48</v>
      </c>
      <c r="Q59" s="40" t="s">
        <v>48</v>
      </c>
      <c r="R59" s="40" t="s">
        <v>48</v>
      </c>
      <c r="S59" s="40" t="s">
        <v>48</v>
      </c>
      <c r="T59" s="40" t="s">
        <v>48</v>
      </c>
      <c r="V59" s="33"/>
      <c r="W59" s="38" t="str">
        <f>Notes!U60</f>
        <v xml:space="preserve">               Food processing</v>
      </c>
      <c r="X59" s="4" t="s">
        <v>506</v>
      </c>
      <c r="Y59" s="44">
        <v>0.17817225489898497</v>
      </c>
      <c r="Z59" s="42" t="s">
        <v>48</v>
      </c>
      <c r="AA59" s="40" t="s">
        <v>48</v>
      </c>
      <c r="AB59" s="40" t="s">
        <v>48</v>
      </c>
      <c r="AC59" s="40" t="s">
        <v>48</v>
      </c>
      <c r="AD59" s="40" t="s">
        <v>48</v>
      </c>
      <c r="AE59" s="40" t="s">
        <v>48</v>
      </c>
      <c r="AF59" s="40" t="s">
        <v>48</v>
      </c>
      <c r="AG59" s="40" t="s">
        <v>48</v>
      </c>
      <c r="AH59" s="40" t="s">
        <v>48</v>
      </c>
      <c r="AI59" s="40" t="s">
        <v>48</v>
      </c>
      <c r="AJ59" s="40" t="s">
        <v>48</v>
      </c>
      <c r="AK59" s="40" t="s">
        <v>48</v>
      </c>
      <c r="AL59" s="40" t="s">
        <v>48</v>
      </c>
      <c r="AM59" s="40" t="s">
        <v>48</v>
      </c>
      <c r="AN59" s="40" t="s">
        <v>48</v>
      </c>
      <c r="AP59" s="33"/>
      <c r="AQ59" s="38" t="str">
        <f>Notes!U60</f>
        <v xml:space="preserve">               Food processing</v>
      </c>
      <c r="AR59" s="4" t="s">
        <v>506</v>
      </c>
      <c r="AS59" s="44">
        <v>0.23579888681582406</v>
      </c>
      <c r="AT59" s="42" t="s">
        <v>48</v>
      </c>
      <c r="AU59" s="40" t="s">
        <v>48</v>
      </c>
      <c r="AV59" s="40" t="s">
        <v>48</v>
      </c>
      <c r="AW59" s="40" t="s">
        <v>48</v>
      </c>
      <c r="AX59" s="40" t="s">
        <v>48</v>
      </c>
      <c r="AY59" s="40" t="s">
        <v>48</v>
      </c>
      <c r="AZ59" s="40" t="s">
        <v>48</v>
      </c>
      <c r="BA59" s="40" t="s">
        <v>48</v>
      </c>
      <c r="BB59" s="40" t="s">
        <v>48</v>
      </c>
      <c r="BC59" s="40" t="s">
        <v>48</v>
      </c>
      <c r="BD59" s="40" t="s">
        <v>48</v>
      </c>
      <c r="BE59" s="40" t="s">
        <v>48</v>
      </c>
      <c r="BF59" s="40" t="s">
        <v>48</v>
      </c>
      <c r="BG59" s="40" t="s">
        <v>48</v>
      </c>
      <c r="BH59" s="40" t="s">
        <v>48</v>
      </c>
      <c r="BJ59" s="33"/>
      <c r="BK59" s="38" t="str">
        <f>Notes!U60</f>
        <v xml:space="preserve">               Food processing</v>
      </c>
      <c r="BL59" s="4" t="s">
        <v>506</v>
      </c>
      <c r="BM59" s="44">
        <v>0.11549135527093125</v>
      </c>
      <c r="BN59" s="42" t="s">
        <v>48</v>
      </c>
      <c r="BO59" s="40" t="s">
        <v>48</v>
      </c>
      <c r="BP59" s="40" t="s">
        <v>48</v>
      </c>
      <c r="BQ59" s="40" t="s">
        <v>48</v>
      </c>
      <c r="BR59" s="40" t="s">
        <v>48</v>
      </c>
      <c r="BS59" s="40" t="s">
        <v>48</v>
      </c>
      <c r="BT59" s="40" t="s">
        <v>48</v>
      </c>
      <c r="BU59" s="40" t="s">
        <v>48</v>
      </c>
      <c r="BV59" s="40" t="s">
        <v>48</v>
      </c>
      <c r="BW59" s="40" t="s">
        <v>48</v>
      </c>
      <c r="BX59" s="40" t="s">
        <v>48</v>
      </c>
      <c r="BY59" s="40" t="s">
        <v>48</v>
      </c>
      <c r="BZ59" s="40" t="s">
        <v>48</v>
      </c>
      <c r="CA59" s="40" t="s">
        <v>48</v>
      </c>
      <c r="CB59" s="40" t="s">
        <v>48</v>
      </c>
      <c r="CD59" s="33"/>
      <c r="CE59" s="38" t="str">
        <f>Notes!U60</f>
        <v xml:space="preserve">               Food processing</v>
      </c>
      <c r="CF59" s="4" t="s">
        <v>506</v>
      </c>
      <c r="CG59" s="44">
        <v>0.21985942575286047</v>
      </c>
      <c r="CH59" s="42" t="s">
        <v>48</v>
      </c>
      <c r="CI59" s="40" t="s">
        <v>48</v>
      </c>
      <c r="CJ59" s="40" t="s">
        <v>48</v>
      </c>
      <c r="CK59" s="40" t="s">
        <v>48</v>
      </c>
      <c r="CL59" s="40" t="s">
        <v>48</v>
      </c>
      <c r="CM59" s="40" t="s">
        <v>48</v>
      </c>
      <c r="CN59" s="40" t="s">
        <v>48</v>
      </c>
      <c r="CO59" s="40" t="s">
        <v>48</v>
      </c>
      <c r="CP59" s="40" t="s">
        <v>48</v>
      </c>
      <c r="CQ59" s="40" t="s">
        <v>48</v>
      </c>
      <c r="CR59" s="40" t="s">
        <v>48</v>
      </c>
      <c r="CS59" s="40" t="s">
        <v>48</v>
      </c>
      <c r="CT59" s="40" t="s">
        <v>48</v>
      </c>
      <c r="CU59" s="40" t="s">
        <v>48</v>
      </c>
      <c r="CV59" s="40" t="s">
        <v>48</v>
      </c>
      <c r="CX59" s="33"/>
      <c r="CY59" s="38" t="str">
        <f>Notes!U60</f>
        <v xml:space="preserve">               Food processing</v>
      </c>
      <c r="CZ59" s="4" t="s">
        <v>506</v>
      </c>
      <c r="DA59" s="44">
        <v>0.13940801336565897</v>
      </c>
      <c r="DB59" s="42" t="s">
        <v>48</v>
      </c>
      <c r="DC59" s="40" t="s">
        <v>48</v>
      </c>
      <c r="DD59" s="40" t="s">
        <v>48</v>
      </c>
      <c r="DE59" s="40" t="s">
        <v>48</v>
      </c>
      <c r="DF59" s="40" t="s">
        <v>48</v>
      </c>
      <c r="DG59" s="40" t="s">
        <v>48</v>
      </c>
      <c r="DH59" s="40" t="s">
        <v>48</v>
      </c>
      <c r="DI59" s="40" t="s">
        <v>48</v>
      </c>
      <c r="DJ59" s="40" t="s">
        <v>48</v>
      </c>
      <c r="DK59" s="40" t="s">
        <v>48</v>
      </c>
      <c r="DL59" s="40" t="s">
        <v>48</v>
      </c>
      <c r="DM59" s="40" t="s">
        <v>48</v>
      </c>
      <c r="DN59" s="40" t="s">
        <v>48</v>
      </c>
      <c r="DO59" s="40" t="s">
        <v>48</v>
      </c>
      <c r="DP59" s="40" t="s">
        <v>48</v>
      </c>
    </row>
    <row r="60" spans="1:120" x14ac:dyDescent="0.35">
      <c r="A60" s="12">
        <v>53</v>
      </c>
      <c r="B60" s="33"/>
      <c r="C60" s="38" t="str">
        <f>Notes!U61</f>
        <v xml:space="preserve">               Meat processing</v>
      </c>
      <c r="D60" s="4" t="s">
        <v>342</v>
      </c>
      <c r="E60" s="44">
        <v>0.13934302092215495</v>
      </c>
      <c r="F60" s="42" t="s">
        <v>48</v>
      </c>
      <c r="G60" s="40" t="s">
        <v>48</v>
      </c>
      <c r="H60" s="40" t="s">
        <v>48</v>
      </c>
      <c r="I60" s="40" t="s">
        <v>48</v>
      </c>
      <c r="J60" s="40" t="s">
        <v>48</v>
      </c>
      <c r="K60" s="40" t="s">
        <v>48</v>
      </c>
      <c r="L60" s="40" t="s">
        <v>48</v>
      </c>
      <c r="M60" s="40" t="s">
        <v>48</v>
      </c>
      <c r="N60" s="40" t="s">
        <v>48</v>
      </c>
      <c r="O60" s="40" t="s">
        <v>48</v>
      </c>
      <c r="P60" s="40" t="s">
        <v>48</v>
      </c>
      <c r="Q60" s="40" t="s">
        <v>48</v>
      </c>
      <c r="R60" s="40" t="s">
        <v>48</v>
      </c>
      <c r="S60" s="40" t="s">
        <v>48</v>
      </c>
      <c r="T60" s="40" t="s">
        <v>48</v>
      </c>
      <c r="V60" s="33"/>
      <c r="W60" s="38" t="str">
        <f>Notes!U61</f>
        <v xml:space="preserve">               Meat processing</v>
      </c>
      <c r="X60" s="4" t="s">
        <v>342</v>
      </c>
      <c r="Y60" s="44">
        <v>0.68002332677615995</v>
      </c>
      <c r="Z60" s="42" t="s">
        <v>48</v>
      </c>
      <c r="AA60" s="40" t="s">
        <v>48</v>
      </c>
      <c r="AB60" s="40" t="s">
        <v>48</v>
      </c>
      <c r="AC60" s="40" t="s">
        <v>48</v>
      </c>
      <c r="AD60" s="40" t="s">
        <v>48</v>
      </c>
      <c r="AE60" s="40" t="s">
        <v>48</v>
      </c>
      <c r="AF60" s="40" t="s">
        <v>48</v>
      </c>
      <c r="AG60" s="40" t="s">
        <v>48</v>
      </c>
      <c r="AH60" s="40" t="s">
        <v>48</v>
      </c>
      <c r="AI60" s="40" t="s">
        <v>48</v>
      </c>
      <c r="AJ60" s="40" t="s">
        <v>48</v>
      </c>
      <c r="AK60" s="40" t="s">
        <v>48</v>
      </c>
      <c r="AL60" s="40" t="s">
        <v>48</v>
      </c>
      <c r="AM60" s="40" t="s">
        <v>48</v>
      </c>
      <c r="AN60" s="40" t="s">
        <v>48</v>
      </c>
      <c r="AP60" s="33"/>
      <c r="AQ60" s="38" t="str">
        <f>Notes!U61</f>
        <v xml:space="preserve">               Meat processing</v>
      </c>
      <c r="AR60" s="4" t="s">
        <v>342</v>
      </c>
      <c r="AS60" s="44" t="s">
        <v>48</v>
      </c>
      <c r="AT60" s="42" t="s">
        <v>48</v>
      </c>
      <c r="AU60" s="40" t="s">
        <v>48</v>
      </c>
      <c r="AV60" s="40" t="s">
        <v>48</v>
      </c>
      <c r="AW60" s="40" t="s">
        <v>48</v>
      </c>
      <c r="AX60" s="40" t="s">
        <v>48</v>
      </c>
      <c r="AY60" s="40" t="s">
        <v>48</v>
      </c>
      <c r="AZ60" s="40" t="s">
        <v>48</v>
      </c>
      <c r="BA60" s="40" t="s">
        <v>48</v>
      </c>
      <c r="BB60" s="40" t="s">
        <v>48</v>
      </c>
      <c r="BC60" s="40" t="s">
        <v>48</v>
      </c>
      <c r="BD60" s="40" t="s">
        <v>48</v>
      </c>
      <c r="BE60" s="40" t="s">
        <v>48</v>
      </c>
      <c r="BF60" s="40" t="s">
        <v>48</v>
      </c>
      <c r="BG60" s="40" t="s">
        <v>48</v>
      </c>
      <c r="BH60" s="40" t="s">
        <v>48</v>
      </c>
      <c r="BJ60" s="33"/>
      <c r="BK60" s="38" t="str">
        <f>Notes!U61</f>
        <v xml:space="preserve">               Meat processing</v>
      </c>
      <c r="BL60" s="4" t="s">
        <v>342</v>
      </c>
      <c r="BM60" s="44">
        <v>2.0999562231591624</v>
      </c>
      <c r="BN60" s="42" t="s">
        <v>48</v>
      </c>
      <c r="BO60" s="40" t="s">
        <v>48</v>
      </c>
      <c r="BP60" s="40" t="s">
        <v>48</v>
      </c>
      <c r="BQ60" s="40" t="s">
        <v>48</v>
      </c>
      <c r="BR60" s="40" t="s">
        <v>48</v>
      </c>
      <c r="BS60" s="40" t="s">
        <v>48</v>
      </c>
      <c r="BT60" s="40" t="s">
        <v>48</v>
      </c>
      <c r="BU60" s="40" t="s">
        <v>48</v>
      </c>
      <c r="BV60" s="40" t="s">
        <v>48</v>
      </c>
      <c r="BW60" s="40" t="s">
        <v>48</v>
      </c>
      <c r="BX60" s="40" t="s">
        <v>48</v>
      </c>
      <c r="BY60" s="40" t="s">
        <v>48</v>
      </c>
      <c r="BZ60" s="40" t="s">
        <v>48</v>
      </c>
      <c r="CA60" s="40" t="s">
        <v>48</v>
      </c>
      <c r="CB60" s="40" t="s">
        <v>48</v>
      </c>
      <c r="CD60" s="33"/>
      <c r="CE60" s="38" t="str">
        <f>Notes!U61</f>
        <v xml:space="preserve">               Meat processing</v>
      </c>
      <c r="CF60" s="4" t="s">
        <v>342</v>
      </c>
      <c r="CG60" s="44" t="s">
        <v>48</v>
      </c>
      <c r="CH60" s="42" t="s">
        <v>48</v>
      </c>
      <c r="CI60" s="40" t="s">
        <v>48</v>
      </c>
      <c r="CJ60" s="40" t="s">
        <v>48</v>
      </c>
      <c r="CK60" s="40" t="s">
        <v>48</v>
      </c>
      <c r="CL60" s="40" t="s">
        <v>48</v>
      </c>
      <c r="CM60" s="40" t="s">
        <v>48</v>
      </c>
      <c r="CN60" s="40" t="s">
        <v>48</v>
      </c>
      <c r="CO60" s="40" t="s">
        <v>48</v>
      </c>
      <c r="CP60" s="40" t="s">
        <v>48</v>
      </c>
      <c r="CQ60" s="40" t="s">
        <v>48</v>
      </c>
      <c r="CR60" s="40" t="s">
        <v>48</v>
      </c>
      <c r="CS60" s="40" t="s">
        <v>48</v>
      </c>
      <c r="CT60" s="40" t="s">
        <v>48</v>
      </c>
      <c r="CU60" s="40" t="s">
        <v>48</v>
      </c>
      <c r="CV60" s="40" t="s">
        <v>48</v>
      </c>
      <c r="CX60" s="33"/>
      <c r="CY60" s="38" t="str">
        <f>Notes!U61</f>
        <v xml:space="preserve">               Meat processing</v>
      </c>
      <c r="CZ60" s="4" t="s">
        <v>342</v>
      </c>
      <c r="DA60" s="44">
        <v>2.5374960503099127</v>
      </c>
      <c r="DB60" s="42" t="s">
        <v>48</v>
      </c>
      <c r="DC60" s="40" t="s">
        <v>48</v>
      </c>
      <c r="DD60" s="40" t="s">
        <v>48</v>
      </c>
      <c r="DE60" s="40" t="s">
        <v>48</v>
      </c>
      <c r="DF60" s="40" t="s">
        <v>48</v>
      </c>
      <c r="DG60" s="40" t="s">
        <v>48</v>
      </c>
      <c r="DH60" s="40" t="s">
        <v>48</v>
      </c>
      <c r="DI60" s="40" t="s">
        <v>48</v>
      </c>
      <c r="DJ60" s="40" t="s">
        <v>48</v>
      </c>
      <c r="DK60" s="40" t="s">
        <v>48</v>
      </c>
      <c r="DL60" s="40" t="s">
        <v>48</v>
      </c>
      <c r="DM60" s="40" t="s">
        <v>48</v>
      </c>
      <c r="DN60" s="40" t="s">
        <v>48</v>
      </c>
      <c r="DO60" s="40" t="s">
        <v>48</v>
      </c>
      <c r="DP60" s="40" t="s">
        <v>48</v>
      </c>
    </row>
    <row r="61" spans="1:120" x14ac:dyDescent="0.35">
      <c r="A61" s="12">
        <v>54</v>
      </c>
      <c r="B61" s="33"/>
      <c r="C61" s="38" t="str">
        <f>Notes!U62</f>
        <v xml:space="preserve">               Fish and seafood processing</v>
      </c>
      <c r="D61" s="4" t="s">
        <v>714</v>
      </c>
      <c r="E61" s="44">
        <v>9.4047762282120195E-2</v>
      </c>
      <c r="F61" s="42" t="s">
        <v>48</v>
      </c>
      <c r="G61" s="40" t="s">
        <v>48</v>
      </c>
      <c r="H61" s="40" t="s">
        <v>48</v>
      </c>
      <c r="I61" s="40" t="s">
        <v>48</v>
      </c>
      <c r="J61" s="40" t="s">
        <v>48</v>
      </c>
      <c r="K61" s="40" t="s">
        <v>48</v>
      </c>
      <c r="L61" s="40" t="s">
        <v>48</v>
      </c>
      <c r="M61" s="40" t="s">
        <v>48</v>
      </c>
      <c r="N61" s="40" t="s">
        <v>48</v>
      </c>
      <c r="O61" s="40" t="s">
        <v>48</v>
      </c>
      <c r="P61" s="40" t="s">
        <v>48</v>
      </c>
      <c r="Q61" s="40" t="s">
        <v>48</v>
      </c>
      <c r="R61" s="40" t="s">
        <v>48</v>
      </c>
      <c r="S61" s="40" t="s">
        <v>48</v>
      </c>
      <c r="T61" s="40" t="s">
        <v>48</v>
      </c>
      <c r="V61" s="33"/>
      <c r="W61" s="38" t="str">
        <f>Notes!U62</f>
        <v xml:space="preserve">               Fish and seafood processing</v>
      </c>
      <c r="X61" s="4" t="s">
        <v>714</v>
      </c>
      <c r="Y61" s="44">
        <v>9.7462982707668733E-2</v>
      </c>
      <c r="Z61" s="42" t="s">
        <v>48</v>
      </c>
      <c r="AA61" s="40" t="s">
        <v>48</v>
      </c>
      <c r="AB61" s="40" t="s">
        <v>48</v>
      </c>
      <c r="AC61" s="40" t="s">
        <v>48</v>
      </c>
      <c r="AD61" s="40" t="s">
        <v>48</v>
      </c>
      <c r="AE61" s="40" t="s">
        <v>48</v>
      </c>
      <c r="AF61" s="40" t="s">
        <v>48</v>
      </c>
      <c r="AG61" s="40" t="s">
        <v>48</v>
      </c>
      <c r="AH61" s="40" t="s">
        <v>48</v>
      </c>
      <c r="AI61" s="40" t="s">
        <v>48</v>
      </c>
      <c r="AJ61" s="40" t="s">
        <v>48</v>
      </c>
      <c r="AK61" s="40" t="s">
        <v>48</v>
      </c>
      <c r="AL61" s="40" t="s">
        <v>48</v>
      </c>
      <c r="AM61" s="40" t="s">
        <v>48</v>
      </c>
      <c r="AN61" s="40" t="s">
        <v>48</v>
      </c>
      <c r="AP61" s="33"/>
      <c r="AQ61" s="38" t="str">
        <f>Notes!U62</f>
        <v xml:space="preserve">               Fish and seafood processing</v>
      </c>
      <c r="AR61" s="4" t="s">
        <v>714</v>
      </c>
      <c r="AS61" s="44">
        <v>0.60986637683359424</v>
      </c>
      <c r="AT61" s="42" t="s">
        <v>48</v>
      </c>
      <c r="AU61" s="40" t="s">
        <v>48</v>
      </c>
      <c r="AV61" s="40" t="s">
        <v>48</v>
      </c>
      <c r="AW61" s="40" t="s">
        <v>48</v>
      </c>
      <c r="AX61" s="40" t="s">
        <v>48</v>
      </c>
      <c r="AY61" s="40" t="s">
        <v>48</v>
      </c>
      <c r="AZ61" s="40" t="s">
        <v>48</v>
      </c>
      <c r="BA61" s="40" t="s">
        <v>48</v>
      </c>
      <c r="BB61" s="40" t="s">
        <v>48</v>
      </c>
      <c r="BC61" s="40" t="s">
        <v>48</v>
      </c>
      <c r="BD61" s="40" t="s">
        <v>48</v>
      </c>
      <c r="BE61" s="40" t="s">
        <v>48</v>
      </c>
      <c r="BF61" s="40" t="s">
        <v>48</v>
      </c>
      <c r="BG61" s="40" t="s">
        <v>48</v>
      </c>
      <c r="BH61" s="40" t="s">
        <v>48</v>
      </c>
      <c r="BJ61" s="33"/>
      <c r="BK61" s="38" t="str">
        <f>Notes!U62</f>
        <v xml:space="preserve">               Fish and seafood processing</v>
      </c>
      <c r="BL61" s="4" t="s">
        <v>714</v>
      </c>
      <c r="BM61" s="44">
        <v>0.25651390953187303</v>
      </c>
      <c r="BN61" s="42" t="s">
        <v>48</v>
      </c>
      <c r="BO61" s="40" t="s">
        <v>48</v>
      </c>
      <c r="BP61" s="40" t="s">
        <v>48</v>
      </c>
      <c r="BQ61" s="40" t="s">
        <v>48</v>
      </c>
      <c r="BR61" s="40" t="s">
        <v>48</v>
      </c>
      <c r="BS61" s="40" t="s">
        <v>48</v>
      </c>
      <c r="BT61" s="40" t="s">
        <v>48</v>
      </c>
      <c r="BU61" s="40" t="s">
        <v>48</v>
      </c>
      <c r="BV61" s="40" t="s">
        <v>48</v>
      </c>
      <c r="BW61" s="40" t="s">
        <v>48</v>
      </c>
      <c r="BX61" s="40" t="s">
        <v>48</v>
      </c>
      <c r="BY61" s="40" t="s">
        <v>48</v>
      </c>
      <c r="BZ61" s="40" t="s">
        <v>48</v>
      </c>
      <c r="CA61" s="40" t="s">
        <v>48</v>
      </c>
      <c r="CB61" s="40" t="s">
        <v>48</v>
      </c>
      <c r="CD61" s="33"/>
      <c r="CE61" s="38" t="str">
        <f>Notes!U62</f>
        <v xml:space="preserve">               Fish and seafood processing</v>
      </c>
      <c r="CF61" s="4" t="s">
        <v>714</v>
      </c>
      <c r="CG61" s="44">
        <v>0.55786183216273222</v>
      </c>
      <c r="CH61" s="42" t="s">
        <v>48</v>
      </c>
      <c r="CI61" s="40" t="s">
        <v>48</v>
      </c>
      <c r="CJ61" s="40" t="s">
        <v>48</v>
      </c>
      <c r="CK61" s="40" t="s">
        <v>48</v>
      </c>
      <c r="CL61" s="40" t="s">
        <v>48</v>
      </c>
      <c r="CM61" s="40" t="s">
        <v>48</v>
      </c>
      <c r="CN61" s="40" t="s">
        <v>48</v>
      </c>
      <c r="CO61" s="40" t="s">
        <v>48</v>
      </c>
      <c r="CP61" s="40" t="s">
        <v>48</v>
      </c>
      <c r="CQ61" s="40" t="s">
        <v>48</v>
      </c>
      <c r="CR61" s="40" t="s">
        <v>48</v>
      </c>
      <c r="CS61" s="40" t="s">
        <v>48</v>
      </c>
      <c r="CT61" s="40" t="s">
        <v>48</v>
      </c>
      <c r="CU61" s="40" t="s">
        <v>48</v>
      </c>
      <c r="CV61" s="40" t="s">
        <v>48</v>
      </c>
      <c r="CX61" s="33"/>
      <c r="CY61" s="38" t="str">
        <f>Notes!U62</f>
        <v xml:space="preserve">               Fish and seafood processing</v>
      </c>
      <c r="CZ61" s="4" t="s">
        <v>714</v>
      </c>
      <c r="DA61" s="44">
        <v>0.3129452699392154</v>
      </c>
      <c r="DB61" s="42" t="s">
        <v>48</v>
      </c>
      <c r="DC61" s="40" t="s">
        <v>48</v>
      </c>
      <c r="DD61" s="40" t="s">
        <v>48</v>
      </c>
      <c r="DE61" s="40" t="s">
        <v>48</v>
      </c>
      <c r="DF61" s="40" t="s">
        <v>48</v>
      </c>
      <c r="DG61" s="40" t="s">
        <v>48</v>
      </c>
      <c r="DH61" s="40" t="s">
        <v>48</v>
      </c>
      <c r="DI61" s="40" t="s">
        <v>48</v>
      </c>
      <c r="DJ61" s="40" t="s">
        <v>48</v>
      </c>
      <c r="DK61" s="40" t="s">
        <v>48</v>
      </c>
      <c r="DL61" s="40" t="s">
        <v>48</v>
      </c>
      <c r="DM61" s="40" t="s">
        <v>48</v>
      </c>
      <c r="DN61" s="40" t="s">
        <v>48</v>
      </c>
      <c r="DO61" s="40" t="s">
        <v>48</v>
      </c>
      <c r="DP61" s="40" t="s">
        <v>48</v>
      </c>
    </row>
    <row r="62" spans="1:120" x14ac:dyDescent="0.35">
      <c r="A62" s="12">
        <v>55</v>
      </c>
      <c r="B62" s="33"/>
      <c r="C62" s="38" t="str">
        <f>Notes!U63</f>
        <v xml:space="preserve">               Dairy</v>
      </c>
      <c r="D62" s="4" t="s">
        <v>344</v>
      </c>
      <c r="E62" s="44">
        <v>3.0930354998245688</v>
      </c>
      <c r="F62" s="42" t="s">
        <v>48</v>
      </c>
      <c r="G62" s="40" t="s">
        <v>48</v>
      </c>
      <c r="H62" s="40" t="s">
        <v>48</v>
      </c>
      <c r="I62" s="40" t="s">
        <v>48</v>
      </c>
      <c r="J62" s="40" t="s">
        <v>48</v>
      </c>
      <c r="K62" s="40" t="s">
        <v>48</v>
      </c>
      <c r="L62" s="40" t="s">
        <v>48</v>
      </c>
      <c r="M62" s="40" t="s">
        <v>48</v>
      </c>
      <c r="N62" s="40" t="s">
        <v>48</v>
      </c>
      <c r="O62" s="40" t="s">
        <v>48</v>
      </c>
      <c r="P62" s="40" t="s">
        <v>48</v>
      </c>
      <c r="Q62" s="40" t="s">
        <v>48</v>
      </c>
      <c r="R62" s="40" t="s">
        <v>48</v>
      </c>
      <c r="S62" s="40" t="s">
        <v>48</v>
      </c>
      <c r="T62" s="40" t="s">
        <v>48</v>
      </c>
      <c r="V62" s="33"/>
      <c r="W62" s="38" t="str">
        <f>Notes!U63</f>
        <v xml:space="preserve">               Dairy</v>
      </c>
      <c r="X62" s="4" t="s">
        <v>344</v>
      </c>
      <c r="Y62" s="44">
        <v>2.787219911828092</v>
      </c>
      <c r="Z62" s="42" t="s">
        <v>48</v>
      </c>
      <c r="AA62" s="40" t="s">
        <v>48</v>
      </c>
      <c r="AB62" s="40" t="s">
        <v>48</v>
      </c>
      <c r="AC62" s="40" t="s">
        <v>48</v>
      </c>
      <c r="AD62" s="40" t="s">
        <v>48</v>
      </c>
      <c r="AE62" s="40" t="s">
        <v>48</v>
      </c>
      <c r="AF62" s="40" t="s">
        <v>48</v>
      </c>
      <c r="AG62" s="40" t="s">
        <v>48</v>
      </c>
      <c r="AH62" s="40" t="s">
        <v>48</v>
      </c>
      <c r="AI62" s="40" t="s">
        <v>48</v>
      </c>
      <c r="AJ62" s="40" t="s">
        <v>48</v>
      </c>
      <c r="AK62" s="40" t="s">
        <v>48</v>
      </c>
      <c r="AL62" s="40" t="s">
        <v>48</v>
      </c>
      <c r="AM62" s="40" t="s">
        <v>48</v>
      </c>
      <c r="AN62" s="40" t="s">
        <v>48</v>
      </c>
      <c r="AP62" s="33"/>
      <c r="AQ62" s="38" t="str">
        <f>Notes!U63</f>
        <v xml:space="preserve">               Dairy</v>
      </c>
      <c r="AR62" s="4" t="s">
        <v>344</v>
      </c>
      <c r="AS62" s="44">
        <v>4.4594253772150489</v>
      </c>
      <c r="AT62" s="42" t="s">
        <v>48</v>
      </c>
      <c r="AU62" s="40" t="s">
        <v>48</v>
      </c>
      <c r="AV62" s="40" t="s">
        <v>48</v>
      </c>
      <c r="AW62" s="40" t="s">
        <v>48</v>
      </c>
      <c r="AX62" s="40" t="s">
        <v>48</v>
      </c>
      <c r="AY62" s="40" t="s">
        <v>48</v>
      </c>
      <c r="AZ62" s="40" t="s">
        <v>48</v>
      </c>
      <c r="BA62" s="40" t="s">
        <v>48</v>
      </c>
      <c r="BB62" s="40" t="s">
        <v>48</v>
      </c>
      <c r="BC62" s="40" t="s">
        <v>48</v>
      </c>
      <c r="BD62" s="40" t="s">
        <v>48</v>
      </c>
      <c r="BE62" s="40" t="s">
        <v>48</v>
      </c>
      <c r="BF62" s="40" t="s">
        <v>48</v>
      </c>
      <c r="BG62" s="40" t="s">
        <v>48</v>
      </c>
      <c r="BH62" s="40" t="s">
        <v>48</v>
      </c>
      <c r="BJ62" s="33"/>
      <c r="BK62" s="38" t="str">
        <f>Notes!U63</f>
        <v xml:space="preserve">               Dairy</v>
      </c>
      <c r="BL62" s="4" t="s">
        <v>344</v>
      </c>
      <c r="BM62" s="44">
        <v>1.7388367188576344</v>
      </c>
      <c r="BN62" s="42" t="s">
        <v>48</v>
      </c>
      <c r="BO62" s="40" t="s">
        <v>48</v>
      </c>
      <c r="BP62" s="40" t="s">
        <v>48</v>
      </c>
      <c r="BQ62" s="40" t="s">
        <v>48</v>
      </c>
      <c r="BR62" s="40" t="s">
        <v>48</v>
      </c>
      <c r="BS62" s="40" t="s">
        <v>48</v>
      </c>
      <c r="BT62" s="40" t="s">
        <v>48</v>
      </c>
      <c r="BU62" s="40" t="s">
        <v>48</v>
      </c>
      <c r="BV62" s="40" t="s">
        <v>48</v>
      </c>
      <c r="BW62" s="40" t="s">
        <v>48</v>
      </c>
      <c r="BX62" s="40" t="s">
        <v>48</v>
      </c>
      <c r="BY62" s="40" t="s">
        <v>48</v>
      </c>
      <c r="BZ62" s="40" t="s">
        <v>48</v>
      </c>
      <c r="CA62" s="40" t="s">
        <v>48</v>
      </c>
      <c r="CB62" s="40" t="s">
        <v>48</v>
      </c>
      <c r="CD62" s="33"/>
      <c r="CE62" s="38" t="str">
        <f>Notes!U63</f>
        <v xml:space="preserve">               Dairy</v>
      </c>
      <c r="CF62" s="4" t="s">
        <v>344</v>
      </c>
      <c r="CG62" s="44">
        <v>4.1699616207946928</v>
      </c>
      <c r="CH62" s="42" t="s">
        <v>48</v>
      </c>
      <c r="CI62" s="40" t="s">
        <v>48</v>
      </c>
      <c r="CJ62" s="40" t="s">
        <v>48</v>
      </c>
      <c r="CK62" s="40" t="s">
        <v>48</v>
      </c>
      <c r="CL62" s="40" t="s">
        <v>48</v>
      </c>
      <c r="CM62" s="40" t="s">
        <v>48</v>
      </c>
      <c r="CN62" s="40" t="s">
        <v>48</v>
      </c>
      <c r="CO62" s="40" t="s">
        <v>48</v>
      </c>
      <c r="CP62" s="40" t="s">
        <v>48</v>
      </c>
      <c r="CQ62" s="40" t="s">
        <v>48</v>
      </c>
      <c r="CR62" s="40" t="s">
        <v>48</v>
      </c>
      <c r="CS62" s="40" t="s">
        <v>48</v>
      </c>
      <c r="CT62" s="40" t="s">
        <v>48</v>
      </c>
      <c r="CU62" s="40" t="s">
        <v>48</v>
      </c>
      <c r="CV62" s="40" t="s">
        <v>48</v>
      </c>
      <c r="CX62" s="33"/>
      <c r="CY62" s="38" t="str">
        <f>Notes!U63</f>
        <v xml:space="preserve">               Dairy</v>
      </c>
      <c r="CZ62" s="4" t="s">
        <v>344</v>
      </c>
      <c r="DA62" s="44">
        <v>2.0928940584214399</v>
      </c>
      <c r="DB62" s="42" t="s">
        <v>48</v>
      </c>
      <c r="DC62" s="40" t="s">
        <v>48</v>
      </c>
      <c r="DD62" s="40" t="s">
        <v>48</v>
      </c>
      <c r="DE62" s="40" t="s">
        <v>48</v>
      </c>
      <c r="DF62" s="40" t="s">
        <v>48</v>
      </c>
      <c r="DG62" s="40" t="s">
        <v>48</v>
      </c>
      <c r="DH62" s="40" t="s">
        <v>48</v>
      </c>
      <c r="DI62" s="40" t="s">
        <v>48</v>
      </c>
      <c r="DJ62" s="40" t="s">
        <v>48</v>
      </c>
      <c r="DK62" s="40" t="s">
        <v>48</v>
      </c>
      <c r="DL62" s="40" t="s">
        <v>48</v>
      </c>
      <c r="DM62" s="40" t="s">
        <v>48</v>
      </c>
      <c r="DN62" s="40" t="s">
        <v>48</v>
      </c>
      <c r="DO62" s="40" t="s">
        <v>48</v>
      </c>
      <c r="DP62" s="40" t="s">
        <v>48</v>
      </c>
    </row>
    <row r="63" spans="1:120" x14ac:dyDescent="0.35">
      <c r="A63" s="12">
        <v>56</v>
      </c>
      <c r="B63" s="33"/>
      <c r="C63" s="38" t="str">
        <f>Notes!U64</f>
        <v xml:space="preserve">               Fruit and vegetable processing</v>
      </c>
      <c r="D63" s="4" t="s">
        <v>343</v>
      </c>
      <c r="E63" s="44">
        <v>0.64021311589852037</v>
      </c>
      <c r="F63" s="42" t="s">
        <v>48</v>
      </c>
      <c r="G63" s="40" t="s">
        <v>48</v>
      </c>
      <c r="H63" s="40" t="s">
        <v>48</v>
      </c>
      <c r="I63" s="40" t="s">
        <v>48</v>
      </c>
      <c r="J63" s="40" t="s">
        <v>48</v>
      </c>
      <c r="K63" s="40" t="s">
        <v>48</v>
      </c>
      <c r="L63" s="40" t="s">
        <v>48</v>
      </c>
      <c r="M63" s="40" t="s">
        <v>48</v>
      </c>
      <c r="N63" s="40" t="s">
        <v>48</v>
      </c>
      <c r="O63" s="40" t="s">
        <v>48</v>
      </c>
      <c r="P63" s="40" t="s">
        <v>48</v>
      </c>
      <c r="Q63" s="40" t="s">
        <v>48</v>
      </c>
      <c r="R63" s="40" t="s">
        <v>48</v>
      </c>
      <c r="S63" s="40" t="s">
        <v>48</v>
      </c>
      <c r="T63" s="40" t="s">
        <v>48</v>
      </c>
      <c r="V63" s="33"/>
      <c r="W63" s="38" t="str">
        <f>Notes!U64</f>
        <v xml:space="preserve">               Fruit and vegetable processing</v>
      </c>
      <c r="X63" s="4" t="s">
        <v>343</v>
      </c>
      <c r="Y63" s="44">
        <v>0.57223388491341631</v>
      </c>
      <c r="Z63" s="42" t="s">
        <v>48</v>
      </c>
      <c r="AA63" s="40" t="s">
        <v>48</v>
      </c>
      <c r="AB63" s="40" t="s">
        <v>48</v>
      </c>
      <c r="AC63" s="40" t="s">
        <v>48</v>
      </c>
      <c r="AD63" s="40" t="s">
        <v>48</v>
      </c>
      <c r="AE63" s="40" t="s">
        <v>48</v>
      </c>
      <c r="AF63" s="40" t="s">
        <v>48</v>
      </c>
      <c r="AG63" s="40" t="s">
        <v>48</v>
      </c>
      <c r="AH63" s="40" t="s">
        <v>48</v>
      </c>
      <c r="AI63" s="40" t="s">
        <v>48</v>
      </c>
      <c r="AJ63" s="40" t="s">
        <v>48</v>
      </c>
      <c r="AK63" s="40" t="s">
        <v>48</v>
      </c>
      <c r="AL63" s="40" t="s">
        <v>48</v>
      </c>
      <c r="AM63" s="40" t="s">
        <v>48</v>
      </c>
      <c r="AN63" s="40" t="s">
        <v>48</v>
      </c>
      <c r="AP63" s="33"/>
      <c r="AQ63" s="38" t="str">
        <f>Notes!U64</f>
        <v xml:space="preserve">               Fruit and vegetable processing</v>
      </c>
      <c r="AR63" s="4" t="s">
        <v>343</v>
      </c>
      <c r="AS63" s="44">
        <v>0.35369562375805708</v>
      </c>
      <c r="AT63" s="42" t="s">
        <v>48</v>
      </c>
      <c r="AU63" s="40" t="s">
        <v>48</v>
      </c>
      <c r="AV63" s="40" t="s">
        <v>48</v>
      </c>
      <c r="AW63" s="40" t="s">
        <v>48</v>
      </c>
      <c r="AX63" s="40" t="s">
        <v>48</v>
      </c>
      <c r="AY63" s="40" t="s">
        <v>48</v>
      </c>
      <c r="AZ63" s="40" t="s">
        <v>48</v>
      </c>
      <c r="BA63" s="40" t="s">
        <v>48</v>
      </c>
      <c r="BB63" s="40" t="s">
        <v>48</v>
      </c>
      <c r="BC63" s="40" t="s">
        <v>48</v>
      </c>
      <c r="BD63" s="40" t="s">
        <v>48</v>
      </c>
      <c r="BE63" s="40" t="s">
        <v>48</v>
      </c>
      <c r="BF63" s="40" t="s">
        <v>48</v>
      </c>
      <c r="BG63" s="40" t="s">
        <v>48</v>
      </c>
      <c r="BH63" s="40" t="s">
        <v>48</v>
      </c>
      <c r="BJ63" s="33"/>
      <c r="BK63" s="38" t="str">
        <f>Notes!U64</f>
        <v xml:space="preserve">               Fruit and vegetable processing</v>
      </c>
      <c r="BL63" s="4" t="s">
        <v>343</v>
      </c>
      <c r="BM63" s="44">
        <v>0.21773839365319356</v>
      </c>
      <c r="BN63" s="42" t="s">
        <v>48</v>
      </c>
      <c r="BO63" s="40" t="s">
        <v>48</v>
      </c>
      <c r="BP63" s="40" t="s">
        <v>48</v>
      </c>
      <c r="BQ63" s="40" t="s">
        <v>48</v>
      </c>
      <c r="BR63" s="40" t="s">
        <v>48</v>
      </c>
      <c r="BS63" s="40" t="s">
        <v>48</v>
      </c>
      <c r="BT63" s="40" t="s">
        <v>48</v>
      </c>
      <c r="BU63" s="40" t="s">
        <v>48</v>
      </c>
      <c r="BV63" s="40" t="s">
        <v>48</v>
      </c>
      <c r="BW63" s="40" t="s">
        <v>48</v>
      </c>
      <c r="BX63" s="40" t="s">
        <v>48</v>
      </c>
      <c r="BY63" s="40" t="s">
        <v>48</v>
      </c>
      <c r="BZ63" s="40" t="s">
        <v>48</v>
      </c>
      <c r="CA63" s="40" t="s">
        <v>48</v>
      </c>
      <c r="CB63" s="40" t="s">
        <v>48</v>
      </c>
      <c r="CD63" s="33"/>
      <c r="CE63" s="38" t="str">
        <f>Notes!U64</f>
        <v xml:space="preserve">               Fruit and vegetable processing</v>
      </c>
      <c r="CF63" s="4" t="s">
        <v>343</v>
      </c>
      <c r="CG63" s="44">
        <v>0.32791866003996273</v>
      </c>
      <c r="CH63" s="42" t="s">
        <v>48</v>
      </c>
      <c r="CI63" s="40" t="s">
        <v>48</v>
      </c>
      <c r="CJ63" s="40" t="s">
        <v>48</v>
      </c>
      <c r="CK63" s="40" t="s">
        <v>48</v>
      </c>
      <c r="CL63" s="40" t="s">
        <v>48</v>
      </c>
      <c r="CM63" s="40" t="s">
        <v>48</v>
      </c>
      <c r="CN63" s="40" t="s">
        <v>48</v>
      </c>
      <c r="CO63" s="40" t="s">
        <v>48</v>
      </c>
      <c r="CP63" s="40" t="s">
        <v>48</v>
      </c>
      <c r="CQ63" s="40" t="s">
        <v>48</v>
      </c>
      <c r="CR63" s="40" t="s">
        <v>48</v>
      </c>
      <c r="CS63" s="40" t="s">
        <v>48</v>
      </c>
      <c r="CT63" s="40" t="s">
        <v>48</v>
      </c>
      <c r="CU63" s="40" t="s">
        <v>48</v>
      </c>
      <c r="CV63" s="40" t="s">
        <v>48</v>
      </c>
      <c r="CX63" s="33"/>
      <c r="CY63" s="38" t="str">
        <f>Notes!U64</f>
        <v xml:space="preserve">               Fruit and vegetable processing</v>
      </c>
      <c r="CZ63" s="4" t="s">
        <v>343</v>
      </c>
      <c r="DA63" s="44">
        <v>0.26432617394543478</v>
      </c>
      <c r="DB63" s="42" t="s">
        <v>48</v>
      </c>
      <c r="DC63" s="40" t="s">
        <v>48</v>
      </c>
      <c r="DD63" s="40" t="s">
        <v>48</v>
      </c>
      <c r="DE63" s="40" t="s">
        <v>48</v>
      </c>
      <c r="DF63" s="40" t="s">
        <v>48</v>
      </c>
      <c r="DG63" s="40" t="s">
        <v>48</v>
      </c>
      <c r="DH63" s="40" t="s">
        <v>48</v>
      </c>
      <c r="DI63" s="40" t="s">
        <v>48</v>
      </c>
      <c r="DJ63" s="40" t="s">
        <v>48</v>
      </c>
      <c r="DK63" s="40" t="s">
        <v>48</v>
      </c>
      <c r="DL63" s="40" t="s">
        <v>48</v>
      </c>
      <c r="DM63" s="40" t="s">
        <v>48</v>
      </c>
      <c r="DN63" s="40" t="s">
        <v>48</v>
      </c>
      <c r="DO63" s="40" t="s">
        <v>48</v>
      </c>
      <c r="DP63" s="40" t="s">
        <v>48</v>
      </c>
    </row>
    <row r="64" spans="1:120" x14ac:dyDescent="0.35">
      <c r="A64" s="12">
        <v>57</v>
      </c>
      <c r="B64" s="33"/>
      <c r="C64" s="38" t="str">
        <f>Notes!U65</f>
        <v xml:space="preserve">               Fats and oils</v>
      </c>
      <c r="D64" s="4" t="s">
        <v>715</v>
      </c>
      <c r="E64" s="44">
        <v>8.1895565227582401E-2</v>
      </c>
      <c r="F64" s="42" t="s">
        <v>48</v>
      </c>
      <c r="G64" s="40" t="s">
        <v>48</v>
      </c>
      <c r="H64" s="40" t="s">
        <v>48</v>
      </c>
      <c r="I64" s="40" t="s">
        <v>48</v>
      </c>
      <c r="J64" s="40" t="s">
        <v>48</v>
      </c>
      <c r="K64" s="40" t="s">
        <v>48</v>
      </c>
      <c r="L64" s="40" t="s">
        <v>48</v>
      </c>
      <c r="M64" s="40" t="s">
        <v>48</v>
      </c>
      <c r="N64" s="40" t="s">
        <v>48</v>
      </c>
      <c r="O64" s="40" t="s">
        <v>48</v>
      </c>
      <c r="P64" s="40" t="s">
        <v>48</v>
      </c>
      <c r="Q64" s="40" t="s">
        <v>48</v>
      </c>
      <c r="R64" s="40" t="s">
        <v>48</v>
      </c>
      <c r="S64" s="40" t="s">
        <v>48</v>
      </c>
      <c r="T64" s="40" t="s">
        <v>48</v>
      </c>
      <c r="V64" s="33"/>
      <c r="W64" s="38" t="str">
        <f>Notes!U65</f>
        <v xml:space="preserve">               Fats and oils</v>
      </c>
      <c r="X64" s="4" t="s">
        <v>715</v>
      </c>
      <c r="Y64" s="44">
        <v>7.183402357400398E-2</v>
      </c>
      <c r="Z64" s="42" t="s">
        <v>48</v>
      </c>
      <c r="AA64" s="40" t="s">
        <v>48</v>
      </c>
      <c r="AB64" s="40" t="s">
        <v>48</v>
      </c>
      <c r="AC64" s="40" t="s">
        <v>48</v>
      </c>
      <c r="AD64" s="40" t="s">
        <v>48</v>
      </c>
      <c r="AE64" s="40" t="s">
        <v>48</v>
      </c>
      <c r="AF64" s="40" t="s">
        <v>48</v>
      </c>
      <c r="AG64" s="40" t="s">
        <v>48</v>
      </c>
      <c r="AH64" s="40" t="s">
        <v>48</v>
      </c>
      <c r="AI64" s="40" t="s">
        <v>48</v>
      </c>
      <c r="AJ64" s="40" t="s">
        <v>48</v>
      </c>
      <c r="AK64" s="40" t="s">
        <v>48</v>
      </c>
      <c r="AL64" s="40" t="s">
        <v>48</v>
      </c>
      <c r="AM64" s="40" t="s">
        <v>48</v>
      </c>
      <c r="AN64" s="40" t="s">
        <v>48</v>
      </c>
      <c r="AP64" s="33"/>
      <c r="AQ64" s="38" t="str">
        <f>Notes!U65</f>
        <v xml:space="preserve">               Fats and oils</v>
      </c>
      <c r="AR64" s="4" t="s">
        <v>715</v>
      </c>
      <c r="AS64" s="44" t="s">
        <v>48</v>
      </c>
      <c r="AT64" s="42" t="s">
        <v>48</v>
      </c>
      <c r="AU64" s="40" t="s">
        <v>48</v>
      </c>
      <c r="AV64" s="40" t="s">
        <v>48</v>
      </c>
      <c r="AW64" s="40" t="s">
        <v>48</v>
      </c>
      <c r="AX64" s="40" t="s">
        <v>48</v>
      </c>
      <c r="AY64" s="40" t="s">
        <v>48</v>
      </c>
      <c r="AZ64" s="40" t="s">
        <v>48</v>
      </c>
      <c r="BA64" s="40" t="s">
        <v>48</v>
      </c>
      <c r="BB64" s="40" t="s">
        <v>48</v>
      </c>
      <c r="BC64" s="40" t="s">
        <v>48</v>
      </c>
      <c r="BD64" s="40" t="s">
        <v>48</v>
      </c>
      <c r="BE64" s="40" t="s">
        <v>48</v>
      </c>
      <c r="BF64" s="40" t="s">
        <v>48</v>
      </c>
      <c r="BG64" s="40" t="s">
        <v>48</v>
      </c>
      <c r="BH64" s="40" t="s">
        <v>48</v>
      </c>
      <c r="BJ64" s="33"/>
      <c r="BK64" s="38" t="str">
        <f>Notes!U65</f>
        <v xml:space="preserve">               Fats and oils</v>
      </c>
      <c r="BL64" s="4" t="s">
        <v>715</v>
      </c>
      <c r="BM64" s="44" t="s">
        <v>48</v>
      </c>
      <c r="BN64" s="42" t="s">
        <v>48</v>
      </c>
      <c r="BO64" s="40" t="s">
        <v>48</v>
      </c>
      <c r="BP64" s="40" t="s">
        <v>48</v>
      </c>
      <c r="BQ64" s="40" t="s">
        <v>48</v>
      </c>
      <c r="BR64" s="40" t="s">
        <v>48</v>
      </c>
      <c r="BS64" s="40" t="s">
        <v>48</v>
      </c>
      <c r="BT64" s="40" t="s">
        <v>48</v>
      </c>
      <c r="BU64" s="40" t="s">
        <v>48</v>
      </c>
      <c r="BV64" s="40" t="s">
        <v>48</v>
      </c>
      <c r="BW64" s="40" t="s">
        <v>48</v>
      </c>
      <c r="BX64" s="40" t="s">
        <v>48</v>
      </c>
      <c r="BY64" s="40" t="s">
        <v>48</v>
      </c>
      <c r="BZ64" s="40" t="s">
        <v>48</v>
      </c>
      <c r="CA64" s="40" t="s">
        <v>48</v>
      </c>
      <c r="CB64" s="40" t="s">
        <v>48</v>
      </c>
      <c r="CD64" s="33"/>
      <c r="CE64" s="38" t="str">
        <f>Notes!U65</f>
        <v xml:space="preserve">               Fats and oils</v>
      </c>
      <c r="CF64" s="4" t="s">
        <v>715</v>
      </c>
      <c r="CG64" s="44" t="s">
        <v>48</v>
      </c>
      <c r="CH64" s="42" t="s">
        <v>48</v>
      </c>
      <c r="CI64" s="40" t="s">
        <v>48</v>
      </c>
      <c r="CJ64" s="40" t="s">
        <v>48</v>
      </c>
      <c r="CK64" s="40" t="s">
        <v>48</v>
      </c>
      <c r="CL64" s="40" t="s">
        <v>48</v>
      </c>
      <c r="CM64" s="40" t="s">
        <v>48</v>
      </c>
      <c r="CN64" s="40" t="s">
        <v>48</v>
      </c>
      <c r="CO64" s="40" t="s">
        <v>48</v>
      </c>
      <c r="CP64" s="40" t="s">
        <v>48</v>
      </c>
      <c r="CQ64" s="40" t="s">
        <v>48</v>
      </c>
      <c r="CR64" s="40" t="s">
        <v>48</v>
      </c>
      <c r="CS64" s="40" t="s">
        <v>48</v>
      </c>
      <c r="CT64" s="40" t="s">
        <v>48</v>
      </c>
      <c r="CU64" s="40" t="s">
        <v>48</v>
      </c>
      <c r="CV64" s="40" t="s">
        <v>48</v>
      </c>
      <c r="CX64" s="33"/>
      <c r="CY64" s="38" t="str">
        <f>Notes!U65</f>
        <v xml:space="preserve">               Fats and oils</v>
      </c>
      <c r="CZ64" s="4" t="s">
        <v>715</v>
      </c>
      <c r="DA64" s="44" t="s">
        <v>48</v>
      </c>
      <c r="DB64" s="42" t="s">
        <v>48</v>
      </c>
      <c r="DC64" s="40" t="s">
        <v>48</v>
      </c>
      <c r="DD64" s="40" t="s">
        <v>48</v>
      </c>
      <c r="DE64" s="40" t="s">
        <v>48</v>
      </c>
      <c r="DF64" s="40" t="s">
        <v>48</v>
      </c>
      <c r="DG64" s="40" t="s">
        <v>48</v>
      </c>
      <c r="DH64" s="40" t="s">
        <v>48</v>
      </c>
      <c r="DI64" s="40" t="s">
        <v>48</v>
      </c>
      <c r="DJ64" s="40" t="s">
        <v>48</v>
      </c>
      <c r="DK64" s="40" t="s">
        <v>48</v>
      </c>
      <c r="DL64" s="40" t="s">
        <v>48</v>
      </c>
      <c r="DM64" s="40" t="s">
        <v>48</v>
      </c>
      <c r="DN64" s="40" t="s">
        <v>48</v>
      </c>
      <c r="DO64" s="40" t="s">
        <v>48</v>
      </c>
      <c r="DP64" s="40" t="s">
        <v>48</v>
      </c>
    </row>
    <row r="65" spans="1:120" x14ac:dyDescent="0.35">
      <c r="A65" s="12">
        <v>58</v>
      </c>
      <c r="B65" s="33"/>
      <c r="C65" s="38" t="str">
        <f>Notes!U66</f>
        <v xml:space="preserve">               Maize milling</v>
      </c>
      <c r="D65" s="4" t="s">
        <v>345</v>
      </c>
      <c r="E65" s="44">
        <v>0.719158875995627</v>
      </c>
      <c r="F65" s="42" t="s">
        <v>48</v>
      </c>
      <c r="G65" s="40" t="s">
        <v>48</v>
      </c>
      <c r="H65" s="40" t="s">
        <v>48</v>
      </c>
      <c r="I65" s="40" t="s">
        <v>48</v>
      </c>
      <c r="J65" s="40" t="s">
        <v>48</v>
      </c>
      <c r="K65" s="40" t="s">
        <v>48</v>
      </c>
      <c r="L65" s="40" t="s">
        <v>48</v>
      </c>
      <c r="M65" s="40" t="s">
        <v>48</v>
      </c>
      <c r="N65" s="40" t="s">
        <v>48</v>
      </c>
      <c r="O65" s="40" t="s">
        <v>48</v>
      </c>
      <c r="P65" s="40" t="s">
        <v>48</v>
      </c>
      <c r="Q65" s="40" t="s">
        <v>48</v>
      </c>
      <c r="R65" s="40" t="s">
        <v>48</v>
      </c>
      <c r="S65" s="40" t="s">
        <v>48</v>
      </c>
      <c r="T65" s="40" t="s">
        <v>48</v>
      </c>
      <c r="V65" s="33"/>
      <c r="W65" s="38" t="str">
        <f>Notes!U66</f>
        <v xml:space="preserve">               Maize milling</v>
      </c>
      <c r="X65" s="4" t="s">
        <v>345</v>
      </c>
      <c r="Y65" s="44">
        <v>1.262394758337015</v>
      </c>
      <c r="Z65" s="42" t="s">
        <v>48</v>
      </c>
      <c r="AA65" s="40" t="s">
        <v>48</v>
      </c>
      <c r="AB65" s="40" t="s">
        <v>48</v>
      </c>
      <c r="AC65" s="40" t="s">
        <v>48</v>
      </c>
      <c r="AD65" s="40" t="s">
        <v>48</v>
      </c>
      <c r="AE65" s="40" t="s">
        <v>48</v>
      </c>
      <c r="AF65" s="40" t="s">
        <v>48</v>
      </c>
      <c r="AG65" s="40" t="s">
        <v>48</v>
      </c>
      <c r="AH65" s="40" t="s">
        <v>48</v>
      </c>
      <c r="AI65" s="40" t="s">
        <v>48</v>
      </c>
      <c r="AJ65" s="40" t="s">
        <v>48</v>
      </c>
      <c r="AK65" s="40" t="s">
        <v>48</v>
      </c>
      <c r="AL65" s="40" t="s">
        <v>48</v>
      </c>
      <c r="AM65" s="40" t="s">
        <v>48</v>
      </c>
      <c r="AN65" s="40" t="s">
        <v>48</v>
      </c>
      <c r="AP65" s="33"/>
      <c r="AQ65" s="38" t="str">
        <f>Notes!U66</f>
        <v xml:space="preserve">               Maize milling</v>
      </c>
      <c r="AR65" s="4" t="s">
        <v>345</v>
      </c>
      <c r="AS65" s="44">
        <v>7.4725588588952201</v>
      </c>
      <c r="AT65" s="42" t="s">
        <v>48</v>
      </c>
      <c r="AU65" s="40" t="s">
        <v>48</v>
      </c>
      <c r="AV65" s="40" t="s">
        <v>48</v>
      </c>
      <c r="AW65" s="40" t="s">
        <v>48</v>
      </c>
      <c r="AX65" s="40" t="s">
        <v>48</v>
      </c>
      <c r="AY65" s="40" t="s">
        <v>48</v>
      </c>
      <c r="AZ65" s="40" t="s">
        <v>48</v>
      </c>
      <c r="BA65" s="40" t="s">
        <v>48</v>
      </c>
      <c r="BB65" s="40" t="s">
        <v>48</v>
      </c>
      <c r="BC65" s="40" t="s">
        <v>48</v>
      </c>
      <c r="BD65" s="40" t="s">
        <v>48</v>
      </c>
      <c r="BE65" s="40" t="s">
        <v>48</v>
      </c>
      <c r="BF65" s="40" t="s">
        <v>48</v>
      </c>
      <c r="BG65" s="40" t="s">
        <v>48</v>
      </c>
      <c r="BH65" s="40" t="s">
        <v>48</v>
      </c>
      <c r="BJ65" s="33"/>
      <c r="BK65" s="38" t="str">
        <f>Notes!U66</f>
        <v xml:space="preserve">               Maize milling</v>
      </c>
      <c r="BL65" s="4" t="s">
        <v>345</v>
      </c>
      <c r="BM65" s="44">
        <v>4.6566595942763147</v>
      </c>
      <c r="BN65" s="42" t="s">
        <v>48</v>
      </c>
      <c r="BO65" s="40" t="s">
        <v>48</v>
      </c>
      <c r="BP65" s="40" t="s">
        <v>48</v>
      </c>
      <c r="BQ65" s="40" t="s">
        <v>48</v>
      </c>
      <c r="BR65" s="40" t="s">
        <v>48</v>
      </c>
      <c r="BS65" s="40" t="s">
        <v>48</v>
      </c>
      <c r="BT65" s="40" t="s">
        <v>48</v>
      </c>
      <c r="BU65" s="40" t="s">
        <v>48</v>
      </c>
      <c r="BV65" s="40" t="s">
        <v>48</v>
      </c>
      <c r="BW65" s="40" t="s">
        <v>48</v>
      </c>
      <c r="BX65" s="40" t="s">
        <v>48</v>
      </c>
      <c r="BY65" s="40" t="s">
        <v>48</v>
      </c>
      <c r="BZ65" s="40" t="s">
        <v>48</v>
      </c>
      <c r="CA65" s="40" t="s">
        <v>48</v>
      </c>
      <c r="CB65" s="40" t="s">
        <v>48</v>
      </c>
      <c r="CD65" s="33"/>
      <c r="CE65" s="38" t="str">
        <f>Notes!U66</f>
        <v xml:space="preserve">               Maize milling</v>
      </c>
      <c r="CF65" s="4" t="s">
        <v>345</v>
      </c>
      <c r="CG65" s="44">
        <v>7.115725229293254</v>
      </c>
      <c r="CH65" s="42" t="s">
        <v>48</v>
      </c>
      <c r="CI65" s="40" t="s">
        <v>48</v>
      </c>
      <c r="CJ65" s="40" t="s">
        <v>48</v>
      </c>
      <c r="CK65" s="40" t="s">
        <v>48</v>
      </c>
      <c r="CL65" s="40" t="s">
        <v>48</v>
      </c>
      <c r="CM65" s="40" t="s">
        <v>48</v>
      </c>
      <c r="CN65" s="40" t="s">
        <v>48</v>
      </c>
      <c r="CO65" s="40" t="s">
        <v>48</v>
      </c>
      <c r="CP65" s="40" t="s">
        <v>48</v>
      </c>
      <c r="CQ65" s="40" t="s">
        <v>48</v>
      </c>
      <c r="CR65" s="40" t="s">
        <v>48</v>
      </c>
      <c r="CS65" s="40" t="s">
        <v>48</v>
      </c>
      <c r="CT65" s="40" t="s">
        <v>48</v>
      </c>
      <c r="CU65" s="40" t="s">
        <v>48</v>
      </c>
      <c r="CV65" s="40" t="s">
        <v>48</v>
      </c>
      <c r="CX65" s="33"/>
      <c r="CY65" s="38" t="str">
        <f>Notes!U66</f>
        <v xml:space="preserve">               Maize milling</v>
      </c>
      <c r="CZ65" s="4" t="s">
        <v>345</v>
      </c>
      <c r="DA65" s="44">
        <v>5.5038459039736605</v>
      </c>
      <c r="DB65" s="42" t="s">
        <v>48</v>
      </c>
      <c r="DC65" s="40" t="s">
        <v>48</v>
      </c>
      <c r="DD65" s="40" t="s">
        <v>48</v>
      </c>
      <c r="DE65" s="40" t="s">
        <v>48</v>
      </c>
      <c r="DF65" s="40" t="s">
        <v>48</v>
      </c>
      <c r="DG65" s="40" t="s">
        <v>48</v>
      </c>
      <c r="DH65" s="40" t="s">
        <v>48</v>
      </c>
      <c r="DI65" s="40" t="s">
        <v>48</v>
      </c>
      <c r="DJ65" s="40" t="s">
        <v>48</v>
      </c>
      <c r="DK65" s="40" t="s">
        <v>48</v>
      </c>
      <c r="DL65" s="40" t="s">
        <v>48</v>
      </c>
      <c r="DM65" s="40" t="s">
        <v>48</v>
      </c>
      <c r="DN65" s="40" t="s">
        <v>48</v>
      </c>
      <c r="DO65" s="40" t="s">
        <v>48</v>
      </c>
      <c r="DP65" s="40" t="s">
        <v>48</v>
      </c>
    </row>
    <row r="66" spans="1:120" x14ac:dyDescent="0.35">
      <c r="A66" s="12">
        <v>59</v>
      </c>
      <c r="B66" s="33"/>
      <c r="C66" s="38" t="str">
        <f>Notes!U67</f>
        <v xml:space="preserve">               Sorghum and millet milling</v>
      </c>
      <c r="D66" s="4" t="s">
        <v>346</v>
      </c>
      <c r="E66" s="44">
        <v>2.4232726566521068</v>
      </c>
      <c r="F66" s="42" t="s">
        <v>48</v>
      </c>
      <c r="G66" s="40" t="s">
        <v>48</v>
      </c>
      <c r="H66" s="40" t="s">
        <v>48</v>
      </c>
      <c r="I66" s="40" t="s">
        <v>48</v>
      </c>
      <c r="J66" s="40" t="s">
        <v>48</v>
      </c>
      <c r="K66" s="40" t="s">
        <v>48</v>
      </c>
      <c r="L66" s="40" t="s">
        <v>48</v>
      </c>
      <c r="M66" s="40" t="s">
        <v>48</v>
      </c>
      <c r="N66" s="40" t="s">
        <v>48</v>
      </c>
      <c r="O66" s="40" t="s">
        <v>48</v>
      </c>
      <c r="P66" s="40" t="s">
        <v>48</v>
      </c>
      <c r="Q66" s="40" t="s">
        <v>48</v>
      </c>
      <c r="R66" s="40" t="s">
        <v>48</v>
      </c>
      <c r="S66" s="40" t="s">
        <v>48</v>
      </c>
      <c r="T66" s="40" t="s">
        <v>48</v>
      </c>
      <c r="V66" s="33"/>
      <c r="W66" s="38" t="str">
        <f>Notes!U67</f>
        <v xml:space="preserve">               Sorghum and millet milling</v>
      </c>
      <c r="X66" s="4" t="s">
        <v>346</v>
      </c>
      <c r="Y66" s="44">
        <v>3.3621823099534804</v>
      </c>
      <c r="Z66" s="42" t="s">
        <v>48</v>
      </c>
      <c r="AA66" s="40" t="s">
        <v>48</v>
      </c>
      <c r="AB66" s="40" t="s">
        <v>48</v>
      </c>
      <c r="AC66" s="40" t="s">
        <v>48</v>
      </c>
      <c r="AD66" s="40" t="s">
        <v>48</v>
      </c>
      <c r="AE66" s="40" t="s">
        <v>48</v>
      </c>
      <c r="AF66" s="40" t="s">
        <v>48</v>
      </c>
      <c r="AG66" s="40" t="s">
        <v>48</v>
      </c>
      <c r="AH66" s="40" t="s">
        <v>48</v>
      </c>
      <c r="AI66" s="40" t="s">
        <v>48</v>
      </c>
      <c r="AJ66" s="40" t="s">
        <v>48</v>
      </c>
      <c r="AK66" s="40" t="s">
        <v>48</v>
      </c>
      <c r="AL66" s="40" t="s">
        <v>48</v>
      </c>
      <c r="AM66" s="40" t="s">
        <v>48</v>
      </c>
      <c r="AN66" s="40" t="s">
        <v>48</v>
      </c>
      <c r="AP66" s="33"/>
      <c r="AQ66" s="38" t="str">
        <f>Notes!U67</f>
        <v xml:space="preserve">               Sorghum and millet milling</v>
      </c>
      <c r="AR66" s="4" t="s">
        <v>346</v>
      </c>
      <c r="AS66" s="44">
        <v>0.49616259875219271</v>
      </c>
      <c r="AT66" s="42" t="s">
        <v>48</v>
      </c>
      <c r="AU66" s="40" t="s">
        <v>48</v>
      </c>
      <c r="AV66" s="40" t="s">
        <v>48</v>
      </c>
      <c r="AW66" s="40" t="s">
        <v>48</v>
      </c>
      <c r="AX66" s="40" t="s">
        <v>48</v>
      </c>
      <c r="AY66" s="40" t="s">
        <v>48</v>
      </c>
      <c r="AZ66" s="40" t="s">
        <v>48</v>
      </c>
      <c r="BA66" s="40" t="s">
        <v>48</v>
      </c>
      <c r="BB66" s="40" t="s">
        <v>48</v>
      </c>
      <c r="BC66" s="40" t="s">
        <v>48</v>
      </c>
      <c r="BD66" s="40" t="s">
        <v>48</v>
      </c>
      <c r="BE66" s="40" t="s">
        <v>48</v>
      </c>
      <c r="BF66" s="40" t="s">
        <v>48</v>
      </c>
      <c r="BG66" s="40" t="s">
        <v>48</v>
      </c>
      <c r="BH66" s="40" t="s">
        <v>48</v>
      </c>
      <c r="BJ66" s="33"/>
      <c r="BK66" s="38" t="str">
        <f>Notes!U67</f>
        <v xml:space="preserve">               Sorghum and millet milling</v>
      </c>
      <c r="BL66" s="4" t="s">
        <v>346</v>
      </c>
      <c r="BM66" s="44">
        <v>2.1177121135939689</v>
      </c>
      <c r="BN66" s="42" t="s">
        <v>48</v>
      </c>
      <c r="BO66" s="40" t="s">
        <v>48</v>
      </c>
      <c r="BP66" s="40" t="s">
        <v>48</v>
      </c>
      <c r="BQ66" s="40" t="s">
        <v>48</v>
      </c>
      <c r="BR66" s="40" t="s">
        <v>48</v>
      </c>
      <c r="BS66" s="40" t="s">
        <v>48</v>
      </c>
      <c r="BT66" s="40" t="s">
        <v>48</v>
      </c>
      <c r="BU66" s="40" t="s">
        <v>48</v>
      </c>
      <c r="BV66" s="40" t="s">
        <v>48</v>
      </c>
      <c r="BW66" s="40" t="s">
        <v>48</v>
      </c>
      <c r="BX66" s="40" t="s">
        <v>48</v>
      </c>
      <c r="BY66" s="40" t="s">
        <v>48</v>
      </c>
      <c r="BZ66" s="40" t="s">
        <v>48</v>
      </c>
      <c r="CA66" s="40" t="s">
        <v>48</v>
      </c>
      <c r="CB66" s="40" t="s">
        <v>48</v>
      </c>
      <c r="CD66" s="33"/>
      <c r="CE66" s="38" t="str">
        <f>Notes!U67</f>
        <v xml:space="preserve">               Sorghum and millet milling</v>
      </c>
      <c r="CF66" s="4" t="s">
        <v>346</v>
      </c>
      <c r="CG66" s="44">
        <v>0.50523514722413376</v>
      </c>
      <c r="CH66" s="42" t="s">
        <v>48</v>
      </c>
      <c r="CI66" s="40" t="s">
        <v>48</v>
      </c>
      <c r="CJ66" s="40" t="s">
        <v>48</v>
      </c>
      <c r="CK66" s="40" t="s">
        <v>48</v>
      </c>
      <c r="CL66" s="40" t="s">
        <v>48</v>
      </c>
      <c r="CM66" s="40" t="s">
        <v>48</v>
      </c>
      <c r="CN66" s="40" t="s">
        <v>48</v>
      </c>
      <c r="CO66" s="40" t="s">
        <v>48</v>
      </c>
      <c r="CP66" s="40" t="s">
        <v>48</v>
      </c>
      <c r="CQ66" s="40" t="s">
        <v>48</v>
      </c>
      <c r="CR66" s="40" t="s">
        <v>48</v>
      </c>
      <c r="CS66" s="40" t="s">
        <v>48</v>
      </c>
      <c r="CT66" s="40" t="s">
        <v>48</v>
      </c>
      <c r="CU66" s="40" t="s">
        <v>48</v>
      </c>
      <c r="CV66" s="40" t="s">
        <v>48</v>
      </c>
      <c r="CX66" s="33"/>
      <c r="CY66" s="38" t="str">
        <f>Notes!U67</f>
        <v xml:space="preserve">               Sorghum and millet milling</v>
      </c>
      <c r="CZ66" s="4" t="s">
        <v>346</v>
      </c>
      <c r="DA66" s="44">
        <v>1.6496094171956039</v>
      </c>
      <c r="DB66" s="42" t="s">
        <v>48</v>
      </c>
      <c r="DC66" s="40" t="s">
        <v>48</v>
      </c>
      <c r="DD66" s="40" t="s">
        <v>48</v>
      </c>
      <c r="DE66" s="40" t="s">
        <v>48</v>
      </c>
      <c r="DF66" s="40" t="s">
        <v>48</v>
      </c>
      <c r="DG66" s="40" t="s">
        <v>48</v>
      </c>
      <c r="DH66" s="40" t="s">
        <v>48</v>
      </c>
      <c r="DI66" s="40" t="s">
        <v>48</v>
      </c>
      <c r="DJ66" s="40" t="s">
        <v>48</v>
      </c>
      <c r="DK66" s="40" t="s">
        <v>48</v>
      </c>
      <c r="DL66" s="40" t="s">
        <v>48</v>
      </c>
      <c r="DM66" s="40" t="s">
        <v>48</v>
      </c>
      <c r="DN66" s="40" t="s">
        <v>48</v>
      </c>
      <c r="DO66" s="40" t="s">
        <v>48</v>
      </c>
      <c r="DP66" s="40" t="s">
        <v>48</v>
      </c>
    </row>
    <row r="67" spans="1:120" x14ac:dyDescent="0.35">
      <c r="A67" s="12">
        <v>60</v>
      </c>
      <c r="B67" s="33"/>
      <c r="C67" s="38" t="str">
        <f>Notes!U68</f>
        <v xml:space="preserve">               Rice milling</v>
      </c>
      <c r="D67" s="4" t="s">
        <v>716</v>
      </c>
      <c r="E67" s="44">
        <v>2.4113597158659674</v>
      </c>
      <c r="F67" s="42" t="s">
        <v>48</v>
      </c>
      <c r="G67" s="40" t="s">
        <v>48</v>
      </c>
      <c r="H67" s="40" t="s">
        <v>48</v>
      </c>
      <c r="I67" s="40" t="s">
        <v>48</v>
      </c>
      <c r="J67" s="40" t="s">
        <v>48</v>
      </c>
      <c r="K67" s="40" t="s">
        <v>48</v>
      </c>
      <c r="L67" s="40" t="s">
        <v>48</v>
      </c>
      <c r="M67" s="40" t="s">
        <v>48</v>
      </c>
      <c r="N67" s="40" t="s">
        <v>48</v>
      </c>
      <c r="O67" s="40" t="s">
        <v>48</v>
      </c>
      <c r="P67" s="40" t="s">
        <v>48</v>
      </c>
      <c r="Q67" s="40" t="s">
        <v>48</v>
      </c>
      <c r="R67" s="40" t="s">
        <v>48</v>
      </c>
      <c r="S67" s="40" t="s">
        <v>48</v>
      </c>
      <c r="T67" s="40" t="s">
        <v>48</v>
      </c>
      <c r="V67" s="33"/>
      <c r="W67" s="38" t="str">
        <f>Notes!U68</f>
        <v xml:space="preserve">               Rice milling</v>
      </c>
      <c r="X67" s="4" t="s">
        <v>716</v>
      </c>
      <c r="Y67" s="44">
        <v>3.24246344148027</v>
      </c>
      <c r="Z67" s="42" t="s">
        <v>48</v>
      </c>
      <c r="AA67" s="40" t="s">
        <v>48</v>
      </c>
      <c r="AB67" s="40" t="s">
        <v>48</v>
      </c>
      <c r="AC67" s="40" t="s">
        <v>48</v>
      </c>
      <c r="AD67" s="40" t="s">
        <v>48</v>
      </c>
      <c r="AE67" s="40" t="s">
        <v>48</v>
      </c>
      <c r="AF67" s="40" t="s">
        <v>48</v>
      </c>
      <c r="AG67" s="40" t="s">
        <v>48</v>
      </c>
      <c r="AH67" s="40" t="s">
        <v>48</v>
      </c>
      <c r="AI67" s="40" t="s">
        <v>48</v>
      </c>
      <c r="AJ67" s="40" t="s">
        <v>48</v>
      </c>
      <c r="AK67" s="40" t="s">
        <v>48</v>
      </c>
      <c r="AL67" s="40" t="s">
        <v>48</v>
      </c>
      <c r="AM67" s="40" t="s">
        <v>48</v>
      </c>
      <c r="AN67" s="40" t="s">
        <v>48</v>
      </c>
      <c r="AP67" s="33"/>
      <c r="AQ67" s="38" t="str">
        <f>Notes!U68</f>
        <v xml:space="preserve">               Rice milling</v>
      </c>
      <c r="AR67" s="4" t="s">
        <v>716</v>
      </c>
      <c r="AS67" s="44">
        <v>0.49616259875219271</v>
      </c>
      <c r="AT67" s="42" t="s">
        <v>48</v>
      </c>
      <c r="AU67" s="40" t="s">
        <v>48</v>
      </c>
      <c r="AV67" s="40" t="s">
        <v>48</v>
      </c>
      <c r="AW67" s="40" t="s">
        <v>48</v>
      </c>
      <c r="AX67" s="40" t="s">
        <v>48</v>
      </c>
      <c r="AY67" s="40" t="s">
        <v>48</v>
      </c>
      <c r="AZ67" s="40" t="s">
        <v>48</v>
      </c>
      <c r="BA67" s="40" t="s">
        <v>48</v>
      </c>
      <c r="BB67" s="40" t="s">
        <v>48</v>
      </c>
      <c r="BC67" s="40" t="s">
        <v>48</v>
      </c>
      <c r="BD67" s="40" t="s">
        <v>48</v>
      </c>
      <c r="BE67" s="40" t="s">
        <v>48</v>
      </c>
      <c r="BF67" s="40" t="s">
        <v>48</v>
      </c>
      <c r="BG67" s="40" t="s">
        <v>48</v>
      </c>
      <c r="BH67" s="40" t="s">
        <v>48</v>
      </c>
      <c r="BJ67" s="33"/>
      <c r="BK67" s="38" t="str">
        <f>Notes!U68</f>
        <v xml:space="preserve">               Rice milling</v>
      </c>
      <c r="BL67" s="4" t="s">
        <v>716</v>
      </c>
      <c r="BM67" s="44">
        <v>1.7030946359974066</v>
      </c>
      <c r="BN67" s="42" t="s">
        <v>48</v>
      </c>
      <c r="BO67" s="40" t="s">
        <v>48</v>
      </c>
      <c r="BP67" s="40" t="s">
        <v>48</v>
      </c>
      <c r="BQ67" s="40" t="s">
        <v>48</v>
      </c>
      <c r="BR67" s="40" t="s">
        <v>48</v>
      </c>
      <c r="BS67" s="40" t="s">
        <v>48</v>
      </c>
      <c r="BT67" s="40" t="s">
        <v>48</v>
      </c>
      <c r="BU67" s="40" t="s">
        <v>48</v>
      </c>
      <c r="BV67" s="40" t="s">
        <v>48</v>
      </c>
      <c r="BW67" s="40" t="s">
        <v>48</v>
      </c>
      <c r="BX67" s="40" t="s">
        <v>48</v>
      </c>
      <c r="BY67" s="40" t="s">
        <v>48</v>
      </c>
      <c r="BZ67" s="40" t="s">
        <v>48</v>
      </c>
      <c r="CA67" s="40" t="s">
        <v>48</v>
      </c>
      <c r="CB67" s="40" t="s">
        <v>48</v>
      </c>
      <c r="CD67" s="33"/>
      <c r="CE67" s="38" t="str">
        <f>Notes!U68</f>
        <v xml:space="preserve">               Rice milling</v>
      </c>
      <c r="CF67" s="4" t="s">
        <v>716</v>
      </c>
      <c r="CG67" s="44">
        <v>0.50523514722413376</v>
      </c>
      <c r="CH67" s="42" t="s">
        <v>48</v>
      </c>
      <c r="CI67" s="40" t="s">
        <v>48</v>
      </c>
      <c r="CJ67" s="40" t="s">
        <v>48</v>
      </c>
      <c r="CK67" s="40" t="s">
        <v>48</v>
      </c>
      <c r="CL67" s="40" t="s">
        <v>48</v>
      </c>
      <c r="CM67" s="40" t="s">
        <v>48</v>
      </c>
      <c r="CN67" s="40" t="s">
        <v>48</v>
      </c>
      <c r="CO67" s="40" t="s">
        <v>48</v>
      </c>
      <c r="CP67" s="40" t="s">
        <v>48</v>
      </c>
      <c r="CQ67" s="40" t="s">
        <v>48</v>
      </c>
      <c r="CR67" s="40" t="s">
        <v>48</v>
      </c>
      <c r="CS67" s="40" t="s">
        <v>48</v>
      </c>
      <c r="CT67" s="40" t="s">
        <v>48</v>
      </c>
      <c r="CU67" s="40" t="s">
        <v>48</v>
      </c>
      <c r="CV67" s="40" t="s">
        <v>48</v>
      </c>
      <c r="CX67" s="33"/>
      <c r="CY67" s="38" t="str">
        <f>Notes!U68</f>
        <v xml:space="preserve">               Rice milling</v>
      </c>
      <c r="CZ67" s="4" t="s">
        <v>716</v>
      </c>
      <c r="DA67" s="44">
        <v>1.5197276360926699</v>
      </c>
      <c r="DB67" s="42" t="s">
        <v>48</v>
      </c>
      <c r="DC67" s="40" t="s">
        <v>48</v>
      </c>
      <c r="DD67" s="40" t="s">
        <v>48</v>
      </c>
      <c r="DE67" s="40" t="s">
        <v>48</v>
      </c>
      <c r="DF67" s="40" t="s">
        <v>48</v>
      </c>
      <c r="DG67" s="40" t="s">
        <v>48</v>
      </c>
      <c r="DH67" s="40" t="s">
        <v>48</v>
      </c>
      <c r="DI67" s="40" t="s">
        <v>48</v>
      </c>
      <c r="DJ67" s="40" t="s">
        <v>48</v>
      </c>
      <c r="DK67" s="40" t="s">
        <v>48</v>
      </c>
      <c r="DL67" s="40" t="s">
        <v>48</v>
      </c>
      <c r="DM67" s="40" t="s">
        <v>48</v>
      </c>
      <c r="DN67" s="40" t="s">
        <v>48</v>
      </c>
      <c r="DO67" s="40" t="s">
        <v>48</v>
      </c>
      <c r="DP67" s="40" t="s">
        <v>48</v>
      </c>
    </row>
    <row r="68" spans="1:120" x14ac:dyDescent="0.35">
      <c r="A68" s="12">
        <v>61</v>
      </c>
      <c r="B68" s="33"/>
      <c r="C68" s="38" t="str">
        <f>Notes!U69</f>
        <v xml:space="preserve">               Rice milling - coarse</v>
      </c>
      <c r="D68" s="4" t="s">
        <v>717</v>
      </c>
      <c r="E68" s="44">
        <v>1.1912940786139083E-2</v>
      </c>
      <c r="F68" s="42" t="s">
        <v>48</v>
      </c>
      <c r="G68" s="40" t="s">
        <v>48</v>
      </c>
      <c r="H68" s="40" t="s">
        <v>48</v>
      </c>
      <c r="I68" s="40" t="s">
        <v>48</v>
      </c>
      <c r="J68" s="40" t="s">
        <v>48</v>
      </c>
      <c r="K68" s="40" t="s">
        <v>48</v>
      </c>
      <c r="L68" s="40" t="s">
        <v>48</v>
      </c>
      <c r="M68" s="40" t="s">
        <v>48</v>
      </c>
      <c r="N68" s="40" t="s">
        <v>48</v>
      </c>
      <c r="O68" s="40" t="s">
        <v>48</v>
      </c>
      <c r="P68" s="40" t="s">
        <v>48</v>
      </c>
      <c r="Q68" s="40" t="s">
        <v>48</v>
      </c>
      <c r="R68" s="40" t="s">
        <v>48</v>
      </c>
      <c r="S68" s="40" t="s">
        <v>48</v>
      </c>
      <c r="T68" s="40" t="s">
        <v>48</v>
      </c>
      <c r="V68" s="33"/>
      <c r="W68" s="38" t="str">
        <f>Notes!U69</f>
        <v xml:space="preserve">               Rice milling - coarse</v>
      </c>
      <c r="X68" s="4" t="s">
        <v>717</v>
      </c>
      <c r="Y68" s="44">
        <v>0.11971886847321049</v>
      </c>
      <c r="Z68" s="42" t="s">
        <v>48</v>
      </c>
      <c r="AA68" s="40" t="s">
        <v>48</v>
      </c>
      <c r="AB68" s="40" t="s">
        <v>48</v>
      </c>
      <c r="AC68" s="40" t="s">
        <v>48</v>
      </c>
      <c r="AD68" s="40" t="s">
        <v>48</v>
      </c>
      <c r="AE68" s="40" t="s">
        <v>48</v>
      </c>
      <c r="AF68" s="40" t="s">
        <v>48</v>
      </c>
      <c r="AG68" s="40" t="s">
        <v>48</v>
      </c>
      <c r="AH68" s="40" t="s">
        <v>48</v>
      </c>
      <c r="AI68" s="40" t="s">
        <v>48</v>
      </c>
      <c r="AJ68" s="40" t="s">
        <v>48</v>
      </c>
      <c r="AK68" s="40" t="s">
        <v>48</v>
      </c>
      <c r="AL68" s="40" t="s">
        <v>48</v>
      </c>
      <c r="AM68" s="40" t="s">
        <v>48</v>
      </c>
      <c r="AN68" s="40" t="s">
        <v>48</v>
      </c>
      <c r="AP68" s="33"/>
      <c r="AQ68" s="38" t="str">
        <f>Notes!U69</f>
        <v xml:space="preserve">               Rice milling - coarse</v>
      </c>
      <c r="AR68" s="4" t="s">
        <v>717</v>
      </c>
      <c r="AS68" s="44" t="s">
        <v>48</v>
      </c>
      <c r="AT68" s="42" t="s">
        <v>48</v>
      </c>
      <c r="AU68" s="40" t="s">
        <v>48</v>
      </c>
      <c r="AV68" s="40" t="s">
        <v>48</v>
      </c>
      <c r="AW68" s="40" t="s">
        <v>48</v>
      </c>
      <c r="AX68" s="40" t="s">
        <v>48</v>
      </c>
      <c r="AY68" s="40" t="s">
        <v>48</v>
      </c>
      <c r="AZ68" s="40" t="s">
        <v>48</v>
      </c>
      <c r="BA68" s="40" t="s">
        <v>48</v>
      </c>
      <c r="BB68" s="40" t="s">
        <v>48</v>
      </c>
      <c r="BC68" s="40" t="s">
        <v>48</v>
      </c>
      <c r="BD68" s="40" t="s">
        <v>48</v>
      </c>
      <c r="BE68" s="40" t="s">
        <v>48</v>
      </c>
      <c r="BF68" s="40" t="s">
        <v>48</v>
      </c>
      <c r="BG68" s="40" t="s">
        <v>48</v>
      </c>
      <c r="BH68" s="40" t="s">
        <v>48</v>
      </c>
      <c r="BJ68" s="33"/>
      <c r="BK68" s="38" t="str">
        <f>Notes!U69</f>
        <v xml:space="preserve">               Rice milling - coarse</v>
      </c>
      <c r="BL68" s="4" t="s">
        <v>717</v>
      </c>
      <c r="BM68" s="44">
        <v>0.41461747759656248</v>
      </c>
      <c r="BN68" s="42" t="s">
        <v>48</v>
      </c>
      <c r="BO68" s="40" t="s">
        <v>48</v>
      </c>
      <c r="BP68" s="40" t="s">
        <v>48</v>
      </c>
      <c r="BQ68" s="40" t="s">
        <v>48</v>
      </c>
      <c r="BR68" s="40" t="s">
        <v>48</v>
      </c>
      <c r="BS68" s="40" t="s">
        <v>48</v>
      </c>
      <c r="BT68" s="40" t="s">
        <v>48</v>
      </c>
      <c r="BU68" s="40" t="s">
        <v>48</v>
      </c>
      <c r="BV68" s="40" t="s">
        <v>48</v>
      </c>
      <c r="BW68" s="40" t="s">
        <v>48</v>
      </c>
      <c r="BX68" s="40" t="s">
        <v>48</v>
      </c>
      <c r="BY68" s="40" t="s">
        <v>48</v>
      </c>
      <c r="BZ68" s="40" t="s">
        <v>48</v>
      </c>
      <c r="CA68" s="40" t="s">
        <v>48</v>
      </c>
      <c r="CB68" s="40" t="s">
        <v>48</v>
      </c>
      <c r="CD68" s="33"/>
      <c r="CE68" s="38" t="str">
        <f>Notes!U69</f>
        <v xml:space="preserve">               Rice milling - coarse</v>
      </c>
      <c r="CF68" s="4" t="s">
        <v>717</v>
      </c>
      <c r="CG68" s="44" t="s">
        <v>48</v>
      </c>
      <c r="CH68" s="42" t="s">
        <v>48</v>
      </c>
      <c r="CI68" s="40" t="s">
        <v>48</v>
      </c>
      <c r="CJ68" s="40" t="s">
        <v>48</v>
      </c>
      <c r="CK68" s="40" t="s">
        <v>48</v>
      </c>
      <c r="CL68" s="40" t="s">
        <v>48</v>
      </c>
      <c r="CM68" s="40" t="s">
        <v>48</v>
      </c>
      <c r="CN68" s="40" t="s">
        <v>48</v>
      </c>
      <c r="CO68" s="40" t="s">
        <v>48</v>
      </c>
      <c r="CP68" s="40" t="s">
        <v>48</v>
      </c>
      <c r="CQ68" s="40" t="s">
        <v>48</v>
      </c>
      <c r="CR68" s="40" t="s">
        <v>48</v>
      </c>
      <c r="CS68" s="40" t="s">
        <v>48</v>
      </c>
      <c r="CT68" s="40" t="s">
        <v>48</v>
      </c>
      <c r="CU68" s="40" t="s">
        <v>48</v>
      </c>
      <c r="CV68" s="40" t="s">
        <v>48</v>
      </c>
      <c r="CX68" s="33"/>
      <c r="CY68" s="38" t="str">
        <f>Notes!U69</f>
        <v xml:space="preserve">               Rice milling - coarse</v>
      </c>
      <c r="CZ68" s="4" t="s">
        <v>717</v>
      </c>
      <c r="DA68" s="44">
        <v>0.12988178110293402</v>
      </c>
      <c r="DB68" s="42" t="s">
        <v>48</v>
      </c>
      <c r="DC68" s="40" t="s">
        <v>48</v>
      </c>
      <c r="DD68" s="40" t="s">
        <v>48</v>
      </c>
      <c r="DE68" s="40" t="s">
        <v>48</v>
      </c>
      <c r="DF68" s="40" t="s">
        <v>48</v>
      </c>
      <c r="DG68" s="40" t="s">
        <v>48</v>
      </c>
      <c r="DH68" s="40" t="s">
        <v>48</v>
      </c>
      <c r="DI68" s="40" t="s">
        <v>48</v>
      </c>
      <c r="DJ68" s="40" t="s">
        <v>48</v>
      </c>
      <c r="DK68" s="40" t="s">
        <v>48</v>
      </c>
      <c r="DL68" s="40" t="s">
        <v>48</v>
      </c>
      <c r="DM68" s="40" t="s">
        <v>48</v>
      </c>
      <c r="DN68" s="40" t="s">
        <v>48</v>
      </c>
      <c r="DO68" s="40" t="s">
        <v>48</v>
      </c>
      <c r="DP68" s="40" t="s">
        <v>48</v>
      </c>
    </row>
    <row r="69" spans="1:120" x14ac:dyDescent="0.35">
      <c r="A69" s="12">
        <v>62</v>
      </c>
      <c r="B69" s="33"/>
      <c r="C69" s="38" t="str">
        <f>Notes!U70</f>
        <v xml:space="preserve">               Rice milling - other</v>
      </c>
      <c r="D69" s="4" t="s">
        <v>347</v>
      </c>
      <c r="E69" s="44">
        <v>19.332249050480151</v>
      </c>
      <c r="F69" s="42" t="s">
        <v>48</v>
      </c>
      <c r="G69" s="40" t="s">
        <v>48</v>
      </c>
      <c r="H69" s="40" t="s">
        <v>48</v>
      </c>
      <c r="I69" s="40" t="s">
        <v>48</v>
      </c>
      <c r="J69" s="40" t="s">
        <v>48</v>
      </c>
      <c r="K69" s="40" t="s">
        <v>48</v>
      </c>
      <c r="L69" s="40" t="s">
        <v>48</v>
      </c>
      <c r="M69" s="40" t="s">
        <v>48</v>
      </c>
      <c r="N69" s="40" t="s">
        <v>48</v>
      </c>
      <c r="O69" s="40" t="s">
        <v>48</v>
      </c>
      <c r="P69" s="40" t="s">
        <v>48</v>
      </c>
      <c r="Q69" s="40" t="s">
        <v>48</v>
      </c>
      <c r="R69" s="40" t="s">
        <v>48</v>
      </c>
      <c r="S69" s="40" t="s">
        <v>48</v>
      </c>
      <c r="T69" s="40" t="s">
        <v>48</v>
      </c>
      <c r="V69" s="33"/>
      <c r="W69" s="38" t="str">
        <f>Notes!U70</f>
        <v xml:space="preserve">               Rice milling - other</v>
      </c>
      <c r="X69" s="4" t="s">
        <v>347</v>
      </c>
      <c r="Y69" s="44">
        <v>32.604276876968044</v>
      </c>
      <c r="Z69" s="42" t="s">
        <v>48</v>
      </c>
      <c r="AA69" s="40" t="s">
        <v>48</v>
      </c>
      <c r="AB69" s="40" t="s">
        <v>48</v>
      </c>
      <c r="AC69" s="40" t="s">
        <v>48</v>
      </c>
      <c r="AD69" s="40" t="s">
        <v>48</v>
      </c>
      <c r="AE69" s="40" t="s">
        <v>48</v>
      </c>
      <c r="AF69" s="40" t="s">
        <v>48</v>
      </c>
      <c r="AG69" s="40" t="s">
        <v>48</v>
      </c>
      <c r="AH69" s="40" t="s">
        <v>48</v>
      </c>
      <c r="AI69" s="40" t="s">
        <v>48</v>
      </c>
      <c r="AJ69" s="40" t="s">
        <v>48</v>
      </c>
      <c r="AK69" s="40" t="s">
        <v>48</v>
      </c>
      <c r="AL69" s="40" t="s">
        <v>48</v>
      </c>
      <c r="AM69" s="40" t="s">
        <v>48</v>
      </c>
      <c r="AN69" s="40" t="s">
        <v>48</v>
      </c>
      <c r="AP69" s="33"/>
      <c r="AQ69" s="38" t="str">
        <f>Notes!U70</f>
        <v xml:space="preserve">               Rice milling - other</v>
      </c>
      <c r="AR69" s="4" t="s">
        <v>347</v>
      </c>
      <c r="AS69" s="44">
        <v>18.535870447070383</v>
      </c>
      <c r="AT69" s="42" t="s">
        <v>48</v>
      </c>
      <c r="AU69" s="40" t="s">
        <v>48</v>
      </c>
      <c r="AV69" s="40" t="s">
        <v>48</v>
      </c>
      <c r="AW69" s="40" t="s">
        <v>48</v>
      </c>
      <c r="AX69" s="40" t="s">
        <v>48</v>
      </c>
      <c r="AY69" s="40" t="s">
        <v>48</v>
      </c>
      <c r="AZ69" s="40" t="s">
        <v>48</v>
      </c>
      <c r="BA69" s="40" t="s">
        <v>48</v>
      </c>
      <c r="BB69" s="40" t="s">
        <v>48</v>
      </c>
      <c r="BC69" s="40" t="s">
        <v>48</v>
      </c>
      <c r="BD69" s="40" t="s">
        <v>48</v>
      </c>
      <c r="BE69" s="40" t="s">
        <v>48</v>
      </c>
      <c r="BF69" s="40" t="s">
        <v>48</v>
      </c>
      <c r="BG69" s="40" t="s">
        <v>48</v>
      </c>
      <c r="BH69" s="40" t="s">
        <v>48</v>
      </c>
      <c r="BJ69" s="33"/>
      <c r="BK69" s="38" t="str">
        <f>Notes!U70</f>
        <v xml:space="preserve">               Rice milling - other</v>
      </c>
      <c r="BL69" s="4" t="s">
        <v>347</v>
      </c>
      <c r="BM69" s="44">
        <v>74.754828069931051</v>
      </c>
      <c r="BN69" s="42" t="s">
        <v>48</v>
      </c>
      <c r="BO69" s="40" t="s">
        <v>48</v>
      </c>
      <c r="BP69" s="40" t="s">
        <v>48</v>
      </c>
      <c r="BQ69" s="40" t="s">
        <v>48</v>
      </c>
      <c r="BR69" s="40" t="s">
        <v>48</v>
      </c>
      <c r="BS69" s="40" t="s">
        <v>48</v>
      </c>
      <c r="BT69" s="40" t="s">
        <v>48</v>
      </c>
      <c r="BU69" s="40" t="s">
        <v>48</v>
      </c>
      <c r="BV69" s="40" t="s">
        <v>48</v>
      </c>
      <c r="BW69" s="40" t="s">
        <v>48</v>
      </c>
      <c r="BX69" s="40" t="s">
        <v>48</v>
      </c>
      <c r="BY69" s="40" t="s">
        <v>48</v>
      </c>
      <c r="BZ69" s="40" t="s">
        <v>48</v>
      </c>
      <c r="CA69" s="40" t="s">
        <v>48</v>
      </c>
      <c r="CB69" s="40" t="s">
        <v>48</v>
      </c>
      <c r="CD69" s="33"/>
      <c r="CE69" s="38" t="str">
        <f>Notes!U70</f>
        <v xml:space="preserve">               Rice milling - other</v>
      </c>
      <c r="CF69" s="4" t="s">
        <v>347</v>
      </c>
      <c r="CG69" s="44">
        <v>19.92535873897069</v>
      </c>
      <c r="CH69" s="42" t="s">
        <v>48</v>
      </c>
      <c r="CI69" s="40" t="s">
        <v>48</v>
      </c>
      <c r="CJ69" s="40" t="s">
        <v>48</v>
      </c>
      <c r="CK69" s="40" t="s">
        <v>48</v>
      </c>
      <c r="CL69" s="40" t="s">
        <v>48</v>
      </c>
      <c r="CM69" s="40" t="s">
        <v>48</v>
      </c>
      <c r="CN69" s="40" t="s">
        <v>48</v>
      </c>
      <c r="CO69" s="40" t="s">
        <v>48</v>
      </c>
      <c r="CP69" s="40" t="s">
        <v>48</v>
      </c>
      <c r="CQ69" s="40" t="s">
        <v>48</v>
      </c>
      <c r="CR69" s="40" t="s">
        <v>48</v>
      </c>
      <c r="CS69" s="40" t="s">
        <v>48</v>
      </c>
      <c r="CT69" s="40" t="s">
        <v>48</v>
      </c>
      <c r="CU69" s="40" t="s">
        <v>48</v>
      </c>
      <c r="CV69" s="40" t="s">
        <v>48</v>
      </c>
      <c r="CX69" s="33"/>
      <c r="CY69" s="38" t="str">
        <f>Notes!U70</f>
        <v xml:space="preserve">               Rice milling - other</v>
      </c>
      <c r="CZ69" s="4" t="s">
        <v>347</v>
      </c>
      <c r="DA69" s="44">
        <v>69.777867741013338</v>
      </c>
      <c r="DB69" s="42" t="s">
        <v>48</v>
      </c>
      <c r="DC69" s="40" t="s">
        <v>48</v>
      </c>
      <c r="DD69" s="40" t="s">
        <v>48</v>
      </c>
      <c r="DE69" s="40" t="s">
        <v>48</v>
      </c>
      <c r="DF69" s="40" t="s">
        <v>48</v>
      </c>
      <c r="DG69" s="40" t="s">
        <v>48</v>
      </c>
      <c r="DH69" s="40" t="s">
        <v>48</v>
      </c>
      <c r="DI69" s="40" t="s">
        <v>48</v>
      </c>
      <c r="DJ69" s="40" t="s">
        <v>48</v>
      </c>
      <c r="DK69" s="40" t="s">
        <v>48</v>
      </c>
      <c r="DL69" s="40" t="s">
        <v>48</v>
      </c>
      <c r="DM69" s="40" t="s">
        <v>48</v>
      </c>
      <c r="DN69" s="40" t="s">
        <v>48</v>
      </c>
      <c r="DO69" s="40" t="s">
        <v>48</v>
      </c>
      <c r="DP69" s="40" t="s">
        <v>48</v>
      </c>
    </row>
    <row r="70" spans="1:120" x14ac:dyDescent="0.35">
      <c r="A70" s="12">
        <v>63</v>
      </c>
      <c r="B70" s="33"/>
      <c r="C70" s="38" t="str">
        <f>Notes!U71</f>
        <v xml:space="preserve">               Wheat and barley milling</v>
      </c>
      <c r="D70" s="4" t="s">
        <v>718</v>
      </c>
      <c r="E70" s="44">
        <v>0.57280465500593081</v>
      </c>
      <c r="F70" s="42" t="s">
        <v>48</v>
      </c>
      <c r="G70" s="40" t="s">
        <v>48</v>
      </c>
      <c r="H70" s="40" t="s">
        <v>48</v>
      </c>
      <c r="I70" s="40" t="s">
        <v>48</v>
      </c>
      <c r="J70" s="40" t="s">
        <v>48</v>
      </c>
      <c r="K70" s="40" t="s">
        <v>48</v>
      </c>
      <c r="L70" s="40" t="s">
        <v>48</v>
      </c>
      <c r="M70" s="40" t="s">
        <v>48</v>
      </c>
      <c r="N70" s="40" t="s">
        <v>48</v>
      </c>
      <c r="O70" s="40" t="s">
        <v>48</v>
      </c>
      <c r="P70" s="40" t="s">
        <v>48</v>
      </c>
      <c r="Q70" s="40" t="s">
        <v>48</v>
      </c>
      <c r="R70" s="40" t="s">
        <v>48</v>
      </c>
      <c r="S70" s="40" t="s">
        <v>48</v>
      </c>
      <c r="T70" s="40" t="s">
        <v>48</v>
      </c>
      <c r="V70" s="33"/>
      <c r="W70" s="38" t="str">
        <f>Notes!U71</f>
        <v xml:space="preserve">               Wheat and barley milling</v>
      </c>
      <c r="X70" s="4" t="s">
        <v>718</v>
      </c>
      <c r="Y70" s="44">
        <v>2.5740534738005563</v>
      </c>
      <c r="Z70" s="42" t="s">
        <v>48</v>
      </c>
      <c r="AA70" s="40" t="s">
        <v>48</v>
      </c>
      <c r="AB70" s="40" t="s">
        <v>48</v>
      </c>
      <c r="AC70" s="40" t="s">
        <v>48</v>
      </c>
      <c r="AD70" s="40" t="s">
        <v>48</v>
      </c>
      <c r="AE70" s="40" t="s">
        <v>48</v>
      </c>
      <c r="AF70" s="40" t="s">
        <v>48</v>
      </c>
      <c r="AG70" s="40" t="s">
        <v>48</v>
      </c>
      <c r="AH70" s="40" t="s">
        <v>48</v>
      </c>
      <c r="AI70" s="40" t="s">
        <v>48</v>
      </c>
      <c r="AJ70" s="40" t="s">
        <v>48</v>
      </c>
      <c r="AK70" s="40" t="s">
        <v>48</v>
      </c>
      <c r="AL70" s="40" t="s">
        <v>48</v>
      </c>
      <c r="AM70" s="40" t="s">
        <v>48</v>
      </c>
      <c r="AN70" s="40" t="s">
        <v>48</v>
      </c>
      <c r="AP70" s="33"/>
      <c r="AQ70" s="38" t="str">
        <f>Notes!U71</f>
        <v xml:space="preserve">               Wheat and barley milling</v>
      </c>
      <c r="AR70" s="4" t="s">
        <v>718</v>
      </c>
      <c r="AS70" s="44">
        <v>1.0734378777730764</v>
      </c>
      <c r="AT70" s="42" t="s">
        <v>48</v>
      </c>
      <c r="AU70" s="40" t="s">
        <v>48</v>
      </c>
      <c r="AV70" s="40" t="s">
        <v>48</v>
      </c>
      <c r="AW70" s="40" t="s">
        <v>48</v>
      </c>
      <c r="AX70" s="40" t="s">
        <v>48</v>
      </c>
      <c r="AY70" s="40" t="s">
        <v>48</v>
      </c>
      <c r="AZ70" s="40" t="s">
        <v>48</v>
      </c>
      <c r="BA70" s="40" t="s">
        <v>48</v>
      </c>
      <c r="BB70" s="40" t="s">
        <v>48</v>
      </c>
      <c r="BC70" s="40" t="s">
        <v>48</v>
      </c>
      <c r="BD70" s="40" t="s">
        <v>48</v>
      </c>
      <c r="BE70" s="40" t="s">
        <v>48</v>
      </c>
      <c r="BF70" s="40" t="s">
        <v>48</v>
      </c>
      <c r="BG70" s="40" t="s">
        <v>48</v>
      </c>
      <c r="BH70" s="40" t="s">
        <v>48</v>
      </c>
      <c r="BJ70" s="33"/>
      <c r="BK70" s="38" t="str">
        <f>Notes!U71</f>
        <v xml:space="preserve">               Wheat and barley milling</v>
      </c>
      <c r="BL70" s="4" t="s">
        <v>718</v>
      </c>
      <c r="BM70" s="44">
        <v>6.6740453640488058</v>
      </c>
      <c r="BN70" s="42" t="s">
        <v>48</v>
      </c>
      <c r="BO70" s="40" t="s">
        <v>48</v>
      </c>
      <c r="BP70" s="40" t="s">
        <v>48</v>
      </c>
      <c r="BQ70" s="40" t="s">
        <v>48</v>
      </c>
      <c r="BR70" s="40" t="s">
        <v>48</v>
      </c>
      <c r="BS70" s="40" t="s">
        <v>48</v>
      </c>
      <c r="BT70" s="40" t="s">
        <v>48</v>
      </c>
      <c r="BU70" s="40" t="s">
        <v>48</v>
      </c>
      <c r="BV70" s="40" t="s">
        <v>48</v>
      </c>
      <c r="BW70" s="40" t="s">
        <v>48</v>
      </c>
      <c r="BX70" s="40" t="s">
        <v>48</v>
      </c>
      <c r="BY70" s="40" t="s">
        <v>48</v>
      </c>
      <c r="BZ70" s="40" t="s">
        <v>48</v>
      </c>
      <c r="CA70" s="40" t="s">
        <v>48</v>
      </c>
      <c r="CB70" s="40" t="s">
        <v>48</v>
      </c>
      <c r="CD70" s="33"/>
      <c r="CE70" s="38" t="str">
        <f>Notes!U71</f>
        <v xml:space="preserve">               Wheat and barley milling</v>
      </c>
      <c r="CF70" s="4" t="s">
        <v>718</v>
      </c>
      <c r="CG70" s="44">
        <v>2.4189799616336889</v>
      </c>
      <c r="CH70" s="42" t="s">
        <v>48</v>
      </c>
      <c r="CI70" s="40" t="s">
        <v>48</v>
      </c>
      <c r="CJ70" s="40" t="s">
        <v>48</v>
      </c>
      <c r="CK70" s="40" t="s">
        <v>48</v>
      </c>
      <c r="CL70" s="40" t="s">
        <v>48</v>
      </c>
      <c r="CM70" s="40" t="s">
        <v>48</v>
      </c>
      <c r="CN70" s="40" t="s">
        <v>48</v>
      </c>
      <c r="CO70" s="40" t="s">
        <v>48</v>
      </c>
      <c r="CP70" s="40" t="s">
        <v>48</v>
      </c>
      <c r="CQ70" s="40" t="s">
        <v>48</v>
      </c>
      <c r="CR70" s="40" t="s">
        <v>48</v>
      </c>
      <c r="CS70" s="40" t="s">
        <v>48</v>
      </c>
      <c r="CT70" s="40" t="s">
        <v>48</v>
      </c>
      <c r="CU70" s="40" t="s">
        <v>48</v>
      </c>
      <c r="CV70" s="40" t="s">
        <v>48</v>
      </c>
      <c r="CX70" s="33"/>
      <c r="CY70" s="38" t="str">
        <f>Notes!U71</f>
        <v xml:space="preserve">               Wheat and barley milling</v>
      </c>
      <c r="CZ70" s="4" t="s">
        <v>718</v>
      </c>
      <c r="DA70" s="44">
        <v>3.3333076482890114</v>
      </c>
      <c r="DB70" s="42" t="s">
        <v>48</v>
      </c>
      <c r="DC70" s="40" t="s">
        <v>48</v>
      </c>
      <c r="DD70" s="40" t="s">
        <v>48</v>
      </c>
      <c r="DE70" s="40" t="s">
        <v>48</v>
      </c>
      <c r="DF70" s="40" t="s">
        <v>48</v>
      </c>
      <c r="DG70" s="40" t="s">
        <v>48</v>
      </c>
      <c r="DH70" s="40" t="s">
        <v>48</v>
      </c>
      <c r="DI70" s="40" t="s">
        <v>48</v>
      </c>
      <c r="DJ70" s="40" t="s">
        <v>48</v>
      </c>
      <c r="DK70" s="40" t="s">
        <v>48</v>
      </c>
      <c r="DL70" s="40" t="s">
        <v>48</v>
      </c>
      <c r="DM70" s="40" t="s">
        <v>48</v>
      </c>
      <c r="DN70" s="40" t="s">
        <v>48</v>
      </c>
      <c r="DO70" s="40" t="s">
        <v>48</v>
      </c>
      <c r="DP70" s="40" t="s">
        <v>48</v>
      </c>
    </row>
    <row r="71" spans="1:120" x14ac:dyDescent="0.35">
      <c r="A71" s="12">
        <v>64</v>
      </c>
      <c r="B71" s="33"/>
      <c r="C71" s="38" t="str">
        <f>Notes!U72</f>
        <v xml:space="preserve">               Other grain milling</v>
      </c>
      <c r="D71" s="4" t="s">
        <v>349</v>
      </c>
      <c r="E71" s="44">
        <v>0.57280465500593081</v>
      </c>
      <c r="F71" s="42" t="s">
        <v>48</v>
      </c>
      <c r="G71" s="40" t="s">
        <v>48</v>
      </c>
      <c r="H71" s="40" t="s">
        <v>48</v>
      </c>
      <c r="I71" s="40" t="s">
        <v>48</v>
      </c>
      <c r="J71" s="40" t="s">
        <v>48</v>
      </c>
      <c r="K71" s="40" t="s">
        <v>48</v>
      </c>
      <c r="L71" s="40" t="s">
        <v>48</v>
      </c>
      <c r="M71" s="40" t="s">
        <v>48</v>
      </c>
      <c r="N71" s="40" t="s">
        <v>48</v>
      </c>
      <c r="O71" s="40" t="s">
        <v>48</v>
      </c>
      <c r="P71" s="40" t="s">
        <v>48</v>
      </c>
      <c r="Q71" s="40" t="s">
        <v>48</v>
      </c>
      <c r="R71" s="40" t="s">
        <v>48</v>
      </c>
      <c r="S71" s="40" t="s">
        <v>48</v>
      </c>
      <c r="T71" s="40" t="s">
        <v>48</v>
      </c>
      <c r="V71" s="33"/>
      <c r="W71" s="38" t="str">
        <f>Notes!U72</f>
        <v xml:space="preserve">               Other grain milling</v>
      </c>
      <c r="X71" s="4" t="s">
        <v>349</v>
      </c>
      <c r="Y71" s="44">
        <v>2.5740534738005563</v>
      </c>
      <c r="Z71" s="42" t="s">
        <v>48</v>
      </c>
      <c r="AA71" s="40" t="s">
        <v>48</v>
      </c>
      <c r="AB71" s="40" t="s">
        <v>48</v>
      </c>
      <c r="AC71" s="40" t="s">
        <v>48</v>
      </c>
      <c r="AD71" s="40" t="s">
        <v>48</v>
      </c>
      <c r="AE71" s="40" t="s">
        <v>48</v>
      </c>
      <c r="AF71" s="40" t="s">
        <v>48</v>
      </c>
      <c r="AG71" s="40" t="s">
        <v>48</v>
      </c>
      <c r="AH71" s="40" t="s">
        <v>48</v>
      </c>
      <c r="AI71" s="40" t="s">
        <v>48</v>
      </c>
      <c r="AJ71" s="40" t="s">
        <v>48</v>
      </c>
      <c r="AK71" s="40" t="s">
        <v>48</v>
      </c>
      <c r="AL71" s="40" t="s">
        <v>48</v>
      </c>
      <c r="AM71" s="40" t="s">
        <v>48</v>
      </c>
      <c r="AN71" s="40" t="s">
        <v>48</v>
      </c>
      <c r="AP71" s="33"/>
      <c r="AQ71" s="38" t="str">
        <f>Notes!U72</f>
        <v xml:space="preserve">               Other grain milling</v>
      </c>
      <c r="AR71" s="4" t="s">
        <v>349</v>
      </c>
      <c r="AS71" s="44">
        <v>1.0734378777730764</v>
      </c>
      <c r="AT71" s="42" t="s">
        <v>48</v>
      </c>
      <c r="AU71" s="40" t="s">
        <v>48</v>
      </c>
      <c r="AV71" s="40" t="s">
        <v>48</v>
      </c>
      <c r="AW71" s="40" t="s">
        <v>48</v>
      </c>
      <c r="AX71" s="40" t="s">
        <v>48</v>
      </c>
      <c r="AY71" s="40" t="s">
        <v>48</v>
      </c>
      <c r="AZ71" s="40" t="s">
        <v>48</v>
      </c>
      <c r="BA71" s="40" t="s">
        <v>48</v>
      </c>
      <c r="BB71" s="40" t="s">
        <v>48</v>
      </c>
      <c r="BC71" s="40" t="s">
        <v>48</v>
      </c>
      <c r="BD71" s="40" t="s">
        <v>48</v>
      </c>
      <c r="BE71" s="40" t="s">
        <v>48</v>
      </c>
      <c r="BF71" s="40" t="s">
        <v>48</v>
      </c>
      <c r="BG71" s="40" t="s">
        <v>48</v>
      </c>
      <c r="BH71" s="40" t="s">
        <v>48</v>
      </c>
      <c r="BJ71" s="33"/>
      <c r="BK71" s="38" t="str">
        <f>Notes!U72</f>
        <v xml:space="preserve">               Other grain milling</v>
      </c>
      <c r="BL71" s="4" t="s">
        <v>349</v>
      </c>
      <c r="BM71" s="44">
        <v>6.6740453640488058</v>
      </c>
      <c r="BN71" s="42" t="s">
        <v>48</v>
      </c>
      <c r="BO71" s="40" t="s">
        <v>48</v>
      </c>
      <c r="BP71" s="40" t="s">
        <v>48</v>
      </c>
      <c r="BQ71" s="40" t="s">
        <v>48</v>
      </c>
      <c r="BR71" s="40" t="s">
        <v>48</v>
      </c>
      <c r="BS71" s="40" t="s">
        <v>48</v>
      </c>
      <c r="BT71" s="40" t="s">
        <v>48</v>
      </c>
      <c r="BU71" s="40" t="s">
        <v>48</v>
      </c>
      <c r="BV71" s="40" t="s">
        <v>48</v>
      </c>
      <c r="BW71" s="40" t="s">
        <v>48</v>
      </c>
      <c r="BX71" s="40" t="s">
        <v>48</v>
      </c>
      <c r="BY71" s="40" t="s">
        <v>48</v>
      </c>
      <c r="BZ71" s="40" t="s">
        <v>48</v>
      </c>
      <c r="CA71" s="40" t="s">
        <v>48</v>
      </c>
      <c r="CB71" s="40" t="s">
        <v>48</v>
      </c>
      <c r="CD71" s="33"/>
      <c r="CE71" s="38" t="str">
        <f>Notes!U72</f>
        <v xml:space="preserve">               Other grain milling</v>
      </c>
      <c r="CF71" s="4" t="s">
        <v>349</v>
      </c>
      <c r="CG71" s="44">
        <v>2.4189799616336889</v>
      </c>
      <c r="CH71" s="42" t="s">
        <v>48</v>
      </c>
      <c r="CI71" s="40" t="s">
        <v>48</v>
      </c>
      <c r="CJ71" s="40" t="s">
        <v>48</v>
      </c>
      <c r="CK71" s="40" t="s">
        <v>48</v>
      </c>
      <c r="CL71" s="40" t="s">
        <v>48</v>
      </c>
      <c r="CM71" s="40" t="s">
        <v>48</v>
      </c>
      <c r="CN71" s="40" t="s">
        <v>48</v>
      </c>
      <c r="CO71" s="40" t="s">
        <v>48</v>
      </c>
      <c r="CP71" s="40" t="s">
        <v>48</v>
      </c>
      <c r="CQ71" s="40" t="s">
        <v>48</v>
      </c>
      <c r="CR71" s="40" t="s">
        <v>48</v>
      </c>
      <c r="CS71" s="40" t="s">
        <v>48</v>
      </c>
      <c r="CT71" s="40" t="s">
        <v>48</v>
      </c>
      <c r="CU71" s="40" t="s">
        <v>48</v>
      </c>
      <c r="CV71" s="40" t="s">
        <v>48</v>
      </c>
      <c r="CX71" s="33"/>
      <c r="CY71" s="38" t="str">
        <f>Notes!U72</f>
        <v xml:space="preserve">               Other grain milling</v>
      </c>
      <c r="CZ71" s="4" t="s">
        <v>349</v>
      </c>
      <c r="DA71" s="44">
        <v>3.3333076482890114</v>
      </c>
      <c r="DB71" s="42" t="s">
        <v>48</v>
      </c>
      <c r="DC71" s="40" t="s">
        <v>48</v>
      </c>
      <c r="DD71" s="40" t="s">
        <v>48</v>
      </c>
      <c r="DE71" s="40" t="s">
        <v>48</v>
      </c>
      <c r="DF71" s="40" t="s">
        <v>48</v>
      </c>
      <c r="DG71" s="40" t="s">
        <v>48</v>
      </c>
      <c r="DH71" s="40" t="s">
        <v>48</v>
      </c>
      <c r="DI71" s="40" t="s">
        <v>48</v>
      </c>
      <c r="DJ71" s="40" t="s">
        <v>48</v>
      </c>
      <c r="DK71" s="40" t="s">
        <v>48</v>
      </c>
      <c r="DL71" s="40" t="s">
        <v>48</v>
      </c>
      <c r="DM71" s="40" t="s">
        <v>48</v>
      </c>
      <c r="DN71" s="40" t="s">
        <v>48</v>
      </c>
      <c r="DO71" s="40" t="s">
        <v>48</v>
      </c>
      <c r="DP71" s="40" t="s">
        <v>48</v>
      </c>
    </row>
    <row r="72" spans="1:120" x14ac:dyDescent="0.35">
      <c r="A72" s="12">
        <v>65</v>
      </c>
      <c r="B72" s="33"/>
      <c r="C72" s="38" t="str">
        <f>Notes!U73</f>
        <v xml:space="preserve">               Sugar refining</v>
      </c>
      <c r="D72" s="4" t="s">
        <v>719</v>
      </c>
      <c r="E72" s="44">
        <v>0.63749911883109867</v>
      </c>
      <c r="F72" s="42" t="s">
        <v>48</v>
      </c>
      <c r="G72" s="40" t="s">
        <v>48</v>
      </c>
      <c r="H72" s="40" t="s">
        <v>48</v>
      </c>
      <c r="I72" s="40" t="s">
        <v>48</v>
      </c>
      <c r="J72" s="40" t="s">
        <v>48</v>
      </c>
      <c r="K72" s="40" t="s">
        <v>48</v>
      </c>
      <c r="L72" s="40" t="s">
        <v>48</v>
      </c>
      <c r="M72" s="40" t="s">
        <v>48</v>
      </c>
      <c r="N72" s="40" t="s">
        <v>48</v>
      </c>
      <c r="O72" s="40" t="s">
        <v>48</v>
      </c>
      <c r="P72" s="40" t="s">
        <v>48</v>
      </c>
      <c r="Q72" s="40" t="s">
        <v>48</v>
      </c>
      <c r="R72" s="40" t="s">
        <v>48</v>
      </c>
      <c r="S72" s="40" t="s">
        <v>48</v>
      </c>
      <c r="T72" s="40" t="s">
        <v>48</v>
      </c>
      <c r="V72" s="33"/>
      <c r="W72" s="38" t="str">
        <f>Notes!U73</f>
        <v xml:space="preserve">               Sugar refining</v>
      </c>
      <c r="X72" s="4" t="s">
        <v>719</v>
      </c>
      <c r="Y72" s="44">
        <v>0.9419688879452458</v>
      </c>
      <c r="Z72" s="42" t="s">
        <v>48</v>
      </c>
      <c r="AA72" s="40" t="s">
        <v>48</v>
      </c>
      <c r="AB72" s="40" t="s">
        <v>48</v>
      </c>
      <c r="AC72" s="40" t="s">
        <v>48</v>
      </c>
      <c r="AD72" s="40" t="s">
        <v>48</v>
      </c>
      <c r="AE72" s="40" t="s">
        <v>48</v>
      </c>
      <c r="AF72" s="40" t="s">
        <v>48</v>
      </c>
      <c r="AG72" s="40" t="s">
        <v>48</v>
      </c>
      <c r="AH72" s="40" t="s">
        <v>48</v>
      </c>
      <c r="AI72" s="40" t="s">
        <v>48</v>
      </c>
      <c r="AJ72" s="40" t="s">
        <v>48</v>
      </c>
      <c r="AK72" s="40" t="s">
        <v>48</v>
      </c>
      <c r="AL72" s="40" t="s">
        <v>48</v>
      </c>
      <c r="AM72" s="40" t="s">
        <v>48</v>
      </c>
      <c r="AN72" s="40" t="s">
        <v>48</v>
      </c>
      <c r="AP72" s="33"/>
      <c r="AQ72" s="38" t="str">
        <f>Notes!U73</f>
        <v xml:space="preserve">               Sugar refining</v>
      </c>
      <c r="AR72" s="4" t="s">
        <v>719</v>
      </c>
      <c r="AS72" s="44">
        <v>0.50737436835890959</v>
      </c>
      <c r="AT72" s="42" t="s">
        <v>48</v>
      </c>
      <c r="AU72" s="40" t="s">
        <v>48</v>
      </c>
      <c r="AV72" s="40" t="s">
        <v>48</v>
      </c>
      <c r="AW72" s="40" t="s">
        <v>48</v>
      </c>
      <c r="AX72" s="40" t="s">
        <v>48</v>
      </c>
      <c r="AY72" s="40" t="s">
        <v>48</v>
      </c>
      <c r="AZ72" s="40" t="s">
        <v>48</v>
      </c>
      <c r="BA72" s="40" t="s">
        <v>48</v>
      </c>
      <c r="BB72" s="40" t="s">
        <v>48</v>
      </c>
      <c r="BC72" s="40" t="s">
        <v>48</v>
      </c>
      <c r="BD72" s="40" t="s">
        <v>48</v>
      </c>
      <c r="BE72" s="40" t="s">
        <v>48</v>
      </c>
      <c r="BF72" s="40" t="s">
        <v>48</v>
      </c>
      <c r="BG72" s="40" t="s">
        <v>48</v>
      </c>
      <c r="BH72" s="40" t="s">
        <v>48</v>
      </c>
      <c r="BJ72" s="33"/>
      <c r="BK72" s="38" t="str">
        <f>Notes!U73</f>
        <v xml:space="preserve">               Sugar refining</v>
      </c>
      <c r="BL72" s="4" t="s">
        <v>719</v>
      </c>
      <c r="BM72" s="44">
        <v>1.7785498635759467</v>
      </c>
      <c r="BN72" s="42" t="s">
        <v>48</v>
      </c>
      <c r="BO72" s="40" t="s">
        <v>48</v>
      </c>
      <c r="BP72" s="40" t="s">
        <v>48</v>
      </c>
      <c r="BQ72" s="40" t="s">
        <v>48</v>
      </c>
      <c r="BR72" s="40" t="s">
        <v>48</v>
      </c>
      <c r="BS72" s="40" t="s">
        <v>48</v>
      </c>
      <c r="BT72" s="40" t="s">
        <v>48</v>
      </c>
      <c r="BU72" s="40" t="s">
        <v>48</v>
      </c>
      <c r="BV72" s="40" t="s">
        <v>48</v>
      </c>
      <c r="BW72" s="40" t="s">
        <v>48</v>
      </c>
      <c r="BX72" s="40" t="s">
        <v>48</v>
      </c>
      <c r="BY72" s="40" t="s">
        <v>48</v>
      </c>
      <c r="BZ72" s="40" t="s">
        <v>48</v>
      </c>
      <c r="CA72" s="40" t="s">
        <v>48</v>
      </c>
      <c r="CB72" s="40" t="s">
        <v>48</v>
      </c>
      <c r="CD72" s="33"/>
      <c r="CE72" s="38" t="str">
        <f>Notes!U73</f>
        <v xml:space="preserve">               Sugar refining</v>
      </c>
      <c r="CF72" s="4" t="s">
        <v>719</v>
      </c>
      <c r="CG72" s="44">
        <v>0.48578238381539912</v>
      </c>
      <c r="CH72" s="42" t="s">
        <v>48</v>
      </c>
      <c r="CI72" s="40" t="s">
        <v>48</v>
      </c>
      <c r="CJ72" s="40" t="s">
        <v>48</v>
      </c>
      <c r="CK72" s="40" t="s">
        <v>48</v>
      </c>
      <c r="CL72" s="40" t="s">
        <v>48</v>
      </c>
      <c r="CM72" s="40" t="s">
        <v>48</v>
      </c>
      <c r="CN72" s="40" t="s">
        <v>48</v>
      </c>
      <c r="CO72" s="40" t="s">
        <v>48</v>
      </c>
      <c r="CP72" s="40" t="s">
        <v>48</v>
      </c>
      <c r="CQ72" s="40" t="s">
        <v>48</v>
      </c>
      <c r="CR72" s="40" t="s">
        <v>48</v>
      </c>
      <c r="CS72" s="40" t="s">
        <v>48</v>
      </c>
      <c r="CT72" s="40" t="s">
        <v>48</v>
      </c>
      <c r="CU72" s="40" t="s">
        <v>48</v>
      </c>
      <c r="CV72" s="40" t="s">
        <v>48</v>
      </c>
      <c r="CX72" s="33"/>
      <c r="CY72" s="38" t="str">
        <f>Notes!U73</f>
        <v xml:space="preserve">               Sugar refining</v>
      </c>
      <c r="CZ72" s="4" t="s">
        <v>719</v>
      </c>
      <c r="DA72" s="44">
        <v>2.1054635973475184</v>
      </c>
      <c r="DB72" s="42" t="s">
        <v>48</v>
      </c>
      <c r="DC72" s="40" t="s">
        <v>48</v>
      </c>
      <c r="DD72" s="40" t="s">
        <v>48</v>
      </c>
      <c r="DE72" s="40" t="s">
        <v>48</v>
      </c>
      <c r="DF72" s="40" t="s">
        <v>48</v>
      </c>
      <c r="DG72" s="40" t="s">
        <v>48</v>
      </c>
      <c r="DH72" s="40" t="s">
        <v>48</v>
      </c>
      <c r="DI72" s="40" t="s">
        <v>48</v>
      </c>
      <c r="DJ72" s="40" t="s">
        <v>48</v>
      </c>
      <c r="DK72" s="40" t="s">
        <v>48</v>
      </c>
      <c r="DL72" s="40" t="s">
        <v>48</v>
      </c>
      <c r="DM72" s="40" t="s">
        <v>48</v>
      </c>
      <c r="DN72" s="40" t="s">
        <v>48</v>
      </c>
      <c r="DO72" s="40" t="s">
        <v>48</v>
      </c>
      <c r="DP72" s="40" t="s">
        <v>48</v>
      </c>
    </row>
    <row r="73" spans="1:120" x14ac:dyDescent="0.35">
      <c r="A73" s="12">
        <v>66</v>
      </c>
      <c r="B73" s="33"/>
      <c r="C73" s="38" t="str">
        <f>Notes!U74</f>
        <v xml:space="preserve">               Coffee processing</v>
      </c>
      <c r="D73" s="4" t="s">
        <v>720</v>
      </c>
      <c r="E73" s="44">
        <v>0.38730407954613399</v>
      </c>
      <c r="F73" s="42" t="s">
        <v>48</v>
      </c>
      <c r="G73" s="40" t="s">
        <v>48</v>
      </c>
      <c r="H73" s="40" t="s">
        <v>48</v>
      </c>
      <c r="I73" s="40" t="s">
        <v>48</v>
      </c>
      <c r="J73" s="40" t="s">
        <v>48</v>
      </c>
      <c r="K73" s="40" t="s">
        <v>48</v>
      </c>
      <c r="L73" s="40" t="s">
        <v>48</v>
      </c>
      <c r="M73" s="40" t="s">
        <v>48</v>
      </c>
      <c r="N73" s="40" t="s">
        <v>48</v>
      </c>
      <c r="O73" s="40" t="s">
        <v>48</v>
      </c>
      <c r="P73" s="40" t="s">
        <v>48</v>
      </c>
      <c r="Q73" s="40" t="s">
        <v>48</v>
      </c>
      <c r="R73" s="40" t="s">
        <v>48</v>
      </c>
      <c r="S73" s="40" t="s">
        <v>48</v>
      </c>
      <c r="T73" s="40" t="s">
        <v>48</v>
      </c>
      <c r="V73" s="33"/>
      <c r="W73" s="38" t="str">
        <f>Notes!U74</f>
        <v xml:space="preserve">               Coffee processing</v>
      </c>
      <c r="X73" s="4" t="s">
        <v>720</v>
      </c>
      <c r="Y73" s="44">
        <v>0.67725586446899766</v>
      </c>
      <c r="Z73" s="42" t="s">
        <v>48</v>
      </c>
      <c r="AA73" s="40" t="s">
        <v>48</v>
      </c>
      <c r="AB73" s="40" t="s">
        <v>48</v>
      </c>
      <c r="AC73" s="40" t="s">
        <v>48</v>
      </c>
      <c r="AD73" s="40" t="s">
        <v>48</v>
      </c>
      <c r="AE73" s="40" t="s">
        <v>48</v>
      </c>
      <c r="AF73" s="40" t="s">
        <v>48</v>
      </c>
      <c r="AG73" s="40" t="s">
        <v>48</v>
      </c>
      <c r="AH73" s="40" t="s">
        <v>48</v>
      </c>
      <c r="AI73" s="40" t="s">
        <v>48</v>
      </c>
      <c r="AJ73" s="40" t="s">
        <v>48</v>
      </c>
      <c r="AK73" s="40" t="s">
        <v>48</v>
      </c>
      <c r="AL73" s="40" t="s">
        <v>48</v>
      </c>
      <c r="AM73" s="40" t="s">
        <v>48</v>
      </c>
      <c r="AN73" s="40" t="s">
        <v>48</v>
      </c>
      <c r="AP73" s="33"/>
      <c r="AQ73" s="38" t="str">
        <f>Notes!U74</f>
        <v xml:space="preserve">               Coffee processing</v>
      </c>
      <c r="AR73" s="4" t="s">
        <v>720</v>
      </c>
      <c r="AS73" s="44">
        <v>0.23072983051119059</v>
      </c>
      <c r="AT73" s="42" t="s">
        <v>48</v>
      </c>
      <c r="AU73" s="40" t="s">
        <v>48</v>
      </c>
      <c r="AV73" s="40" t="s">
        <v>48</v>
      </c>
      <c r="AW73" s="40" t="s">
        <v>48</v>
      </c>
      <c r="AX73" s="40" t="s">
        <v>48</v>
      </c>
      <c r="AY73" s="40" t="s">
        <v>48</v>
      </c>
      <c r="AZ73" s="40" t="s">
        <v>48</v>
      </c>
      <c r="BA73" s="40" t="s">
        <v>48</v>
      </c>
      <c r="BB73" s="40" t="s">
        <v>48</v>
      </c>
      <c r="BC73" s="40" t="s">
        <v>48</v>
      </c>
      <c r="BD73" s="40" t="s">
        <v>48</v>
      </c>
      <c r="BE73" s="40" t="s">
        <v>48</v>
      </c>
      <c r="BF73" s="40" t="s">
        <v>48</v>
      </c>
      <c r="BG73" s="40" t="s">
        <v>48</v>
      </c>
      <c r="BH73" s="40" t="s">
        <v>48</v>
      </c>
      <c r="BJ73" s="33"/>
      <c r="BK73" s="38" t="str">
        <f>Notes!U74</f>
        <v xml:space="preserve">               Coffee processing</v>
      </c>
      <c r="BL73" s="4" t="s">
        <v>720</v>
      </c>
      <c r="BM73" s="44">
        <v>1.4926910346204505</v>
      </c>
      <c r="BN73" s="42" t="s">
        <v>48</v>
      </c>
      <c r="BO73" s="40" t="s">
        <v>48</v>
      </c>
      <c r="BP73" s="40" t="s">
        <v>48</v>
      </c>
      <c r="BQ73" s="40" t="s">
        <v>48</v>
      </c>
      <c r="BR73" s="40" t="s">
        <v>48</v>
      </c>
      <c r="BS73" s="40" t="s">
        <v>48</v>
      </c>
      <c r="BT73" s="40" t="s">
        <v>48</v>
      </c>
      <c r="BU73" s="40" t="s">
        <v>48</v>
      </c>
      <c r="BV73" s="40" t="s">
        <v>48</v>
      </c>
      <c r="BW73" s="40" t="s">
        <v>48</v>
      </c>
      <c r="BX73" s="40" t="s">
        <v>48</v>
      </c>
      <c r="BY73" s="40" t="s">
        <v>48</v>
      </c>
      <c r="BZ73" s="40" t="s">
        <v>48</v>
      </c>
      <c r="CA73" s="40" t="s">
        <v>48</v>
      </c>
      <c r="CB73" s="40" t="s">
        <v>48</v>
      </c>
      <c r="CD73" s="33"/>
      <c r="CE73" s="38" t="str">
        <f>Notes!U74</f>
        <v xml:space="preserve">               Coffee processing</v>
      </c>
      <c r="CF73" s="4" t="s">
        <v>720</v>
      </c>
      <c r="CG73" s="44">
        <v>0.21873000612650317</v>
      </c>
      <c r="CH73" s="42" t="s">
        <v>48</v>
      </c>
      <c r="CI73" s="40" t="s">
        <v>48</v>
      </c>
      <c r="CJ73" s="40" t="s">
        <v>48</v>
      </c>
      <c r="CK73" s="40" t="s">
        <v>48</v>
      </c>
      <c r="CL73" s="40" t="s">
        <v>48</v>
      </c>
      <c r="CM73" s="40" t="s">
        <v>48</v>
      </c>
      <c r="CN73" s="40" t="s">
        <v>48</v>
      </c>
      <c r="CO73" s="40" t="s">
        <v>48</v>
      </c>
      <c r="CP73" s="40" t="s">
        <v>48</v>
      </c>
      <c r="CQ73" s="40" t="s">
        <v>48</v>
      </c>
      <c r="CR73" s="40" t="s">
        <v>48</v>
      </c>
      <c r="CS73" s="40" t="s">
        <v>48</v>
      </c>
      <c r="CT73" s="40" t="s">
        <v>48</v>
      </c>
      <c r="CU73" s="40" t="s">
        <v>48</v>
      </c>
      <c r="CV73" s="40" t="s">
        <v>48</v>
      </c>
      <c r="CX73" s="33"/>
      <c r="CY73" s="38" t="str">
        <f>Notes!U74</f>
        <v xml:space="preserve">               Coffee processing</v>
      </c>
      <c r="CZ73" s="4" t="s">
        <v>720</v>
      </c>
      <c r="DA73" s="44">
        <v>1.7721762241935657</v>
      </c>
      <c r="DB73" s="42" t="s">
        <v>48</v>
      </c>
      <c r="DC73" s="40" t="s">
        <v>48</v>
      </c>
      <c r="DD73" s="40" t="s">
        <v>48</v>
      </c>
      <c r="DE73" s="40" t="s">
        <v>48</v>
      </c>
      <c r="DF73" s="40" t="s">
        <v>48</v>
      </c>
      <c r="DG73" s="40" t="s">
        <v>48</v>
      </c>
      <c r="DH73" s="40" t="s">
        <v>48</v>
      </c>
      <c r="DI73" s="40" t="s">
        <v>48</v>
      </c>
      <c r="DJ73" s="40" t="s">
        <v>48</v>
      </c>
      <c r="DK73" s="40" t="s">
        <v>48</v>
      </c>
      <c r="DL73" s="40" t="s">
        <v>48</v>
      </c>
      <c r="DM73" s="40" t="s">
        <v>48</v>
      </c>
      <c r="DN73" s="40" t="s">
        <v>48</v>
      </c>
      <c r="DO73" s="40" t="s">
        <v>48</v>
      </c>
      <c r="DP73" s="40" t="s">
        <v>48</v>
      </c>
    </row>
    <row r="74" spans="1:120" x14ac:dyDescent="0.35">
      <c r="A74" s="12">
        <v>67</v>
      </c>
      <c r="B74" s="33"/>
      <c r="C74" s="38" t="str">
        <f>Notes!U75</f>
        <v xml:space="preserve">               Tea processing</v>
      </c>
      <c r="D74" s="4" t="s">
        <v>350</v>
      </c>
      <c r="E74" s="44">
        <v>0.25019503928496462</v>
      </c>
      <c r="F74" s="42" t="s">
        <v>48</v>
      </c>
      <c r="G74" s="40" t="s">
        <v>48</v>
      </c>
      <c r="H74" s="40" t="s">
        <v>48</v>
      </c>
      <c r="I74" s="40" t="s">
        <v>48</v>
      </c>
      <c r="J74" s="40" t="s">
        <v>48</v>
      </c>
      <c r="K74" s="40" t="s">
        <v>48</v>
      </c>
      <c r="L74" s="40" t="s">
        <v>48</v>
      </c>
      <c r="M74" s="40" t="s">
        <v>48</v>
      </c>
      <c r="N74" s="40" t="s">
        <v>48</v>
      </c>
      <c r="O74" s="40" t="s">
        <v>48</v>
      </c>
      <c r="P74" s="40" t="s">
        <v>48</v>
      </c>
      <c r="Q74" s="40" t="s">
        <v>48</v>
      </c>
      <c r="R74" s="40" t="s">
        <v>48</v>
      </c>
      <c r="S74" s="40" t="s">
        <v>48</v>
      </c>
      <c r="T74" s="40" t="s">
        <v>48</v>
      </c>
      <c r="V74" s="33"/>
      <c r="W74" s="38" t="str">
        <f>Notes!U75</f>
        <v xml:space="preserve">               Tea processing</v>
      </c>
      <c r="X74" s="4" t="s">
        <v>350</v>
      </c>
      <c r="Y74" s="44">
        <v>0.2647130234762482</v>
      </c>
      <c r="Z74" s="42" t="s">
        <v>48</v>
      </c>
      <c r="AA74" s="40" t="s">
        <v>48</v>
      </c>
      <c r="AB74" s="40" t="s">
        <v>48</v>
      </c>
      <c r="AC74" s="40" t="s">
        <v>48</v>
      </c>
      <c r="AD74" s="40" t="s">
        <v>48</v>
      </c>
      <c r="AE74" s="40" t="s">
        <v>48</v>
      </c>
      <c r="AF74" s="40" t="s">
        <v>48</v>
      </c>
      <c r="AG74" s="40" t="s">
        <v>48</v>
      </c>
      <c r="AH74" s="40" t="s">
        <v>48</v>
      </c>
      <c r="AI74" s="40" t="s">
        <v>48</v>
      </c>
      <c r="AJ74" s="40" t="s">
        <v>48</v>
      </c>
      <c r="AK74" s="40" t="s">
        <v>48</v>
      </c>
      <c r="AL74" s="40" t="s">
        <v>48</v>
      </c>
      <c r="AM74" s="40" t="s">
        <v>48</v>
      </c>
      <c r="AN74" s="40" t="s">
        <v>48</v>
      </c>
      <c r="AP74" s="33"/>
      <c r="AQ74" s="38" t="str">
        <f>Notes!U75</f>
        <v xml:space="preserve">               Tea processing</v>
      </c>
      <c r="AR74" s="4" t="s">
        <v>350</v>
      </c>
      <c r="AS74" s="44">
        <v>0.27664453784771897</v>
      </c>
      <c r="AT74" s="42" t="s">
        <v>48</v>
      </c>
      <c r="AU74" s="40" t="s">
        <v>48</v>
      </c>
      <c r="AV74" s="40" t="s">
        <v>48</v>
      </c>
      <c r="AW74" s="40" t="s">
        <v>48</v>
      </c>
      <c r="AX74" s="40" t="s">
        <v>48</v>
      </c>
      <c r="AY74" s="40" t="s">
        <v>48</v>
      </c>
      <c r="AZ74" s="40" t="s">
        <v>48</v>
      </c>
      <c r="BA74" s="40" t="s">
        <v>48</v>
      </c>
      <c r="BB74" s="40" t="s">
        <v>48</v>
      </c>
      <c r="BC74" s="40" t="s">
        <v>48</v>
      </c>
      <c r="BD74" s="40" t="s">
        <v>48</v>
      </c>
      <c r="BE74" s="40" t="s">
        <v>48</v>
      </c>
      <c r="BF74" s="40" t="s">
        <v>48</v>
      </c>
      <c r="BG74" s="40" t="s">
        <v>48</v>
      </c>
      <c r="BH74" s="40" t="s">
        <v>48</v>
      </c>
      <c r="BJ74" s="33"/>
      <c r="BK74" s="38" t="str">
        <f>Notes!U75</f>
        <v xml:space="preserve">               Tea processing</v>
      </c>
      <c r="BL74" s="4" t="s">
        <v>350</v>
      </c>
      <c r="BM74" s="44">
        <v>0.28585882895549614</v>
      </c>
      <c r="BN74" s="42" t="s">
        <v>48</v>
      </c>
      <c r="BO74" s="40" t="s">
        <v>48</v>
      </c>
      <c r="BP74" s="40" t="s">
        <v>48</v>
      </c>
      <c r="BQ74" s="40" t="s">
        <v>48</v>
      </c>
      <c r="BR74" s="40" t="s">
        <v>48</v>
      </c>
      <c r="BS74" s="40" t="s">
        <v>48</v>
      </c>
      <c r="BT74" s="40" t="s">
        <v>48</v>
      </c>
      <c r="BU74" s="40" t="s">
        <v>48</v>
      </c>
      <c r="BV74" s="40" t="s">
        <v>48</v>
      </c>
      <c r="BW74" s="40" t="s">
        <v>48</v>
      </c>
      <c r="BX74" s="40" t="s">
        <v>48</v>
      </c>
      <c r="BY74" s="40" t="s">
        <v>48</v>
      </c>
      <c r="BZ74" s="40" t="s">
        <v>48</v>
      </c>
      <c r="CA74" s="40" t="s">
        <v>48</v>
      </c>
      <c r="CB74" s="40" t="s">
        <v>48</v>
      </c>
      <c r="CD74" s="33"/>
      <c r="CE74" s="38" t="str">
        <f>Notes!U75</f>
        <v xml:space="preserve">               Tea processing</v>
      </c>
      <c r="CF74" s="4" t="s">
        <v>350</v>
      </c>
      <c r="CG74" s="44">
        <v>0.26705237768889589</v>
      </c>
      <c r="CH74" s="42" t="s">
        <v>48</v>
      </c>
      <c r="CI74" s="40" t="s">
        <v>48</v>
      </c>
      <c r="CJ74" s="40" t="s">
        <v>48</v>
      </c>
      <c r="CK74" s="40" t="s">
        <v>48</v>
      </c>
      <c r="CL74" s="40" t="s">
        <v>48</v>
      </c>
      <c r="CM74" s="40" t="s">
        <v>48</v>
      </c>
      <c r="CN74" s="40" t="s">
        <v>48</v>
      </c>
      <c r="CO74" s="40" t="s">
        <v>48</v>
      </c>
      <c r="CP74" s="40" t="s">
        <v>48</v>
      </c>
      <c r="CQ74" s="40" t="s">
        <v>48</v>
      </c>
      <c r="CR74" s="40" t="s">
        <v>48</v>
      </c>
      <c r="CS74" s="40" t="s">
        <v>48</v>
      </c>
      <c r="CT74" s="40" t="s">
        <v>48</v>
      </c>
      <c r="CU74" s="40" t="s">
        <v>48</v>
      </c>
      <c r="CV74" s="40" t="s">
        <v>48</v>
      </c>
      <c r="CX74" s="33"/>
      <c r="CY74" s="38" t="str">
        <f>Notes!U75</f>
        <v xml:space="preserve">               Tea processing</v>
      </c>
      <c r="CZ74" s="4" t="s">
        <v>350</v>
      </c>
      <c r="DA74" s="44">
        <v>0.33328737315395285</v>
      </c>
      <c r="DB74" s="42" t="s">
        <v>48</v>
      </c>
      <c r="DC74" s="40" t="s">
        <v>48</v>
      </c>
      <c r="DD74" s="40" t="s">
        <v>48</v>
      </c>
      <c r="DE74" s="40" t="s">
        <v>48</v>
      </c>
      <c r="DF74" s="40" t="s">
        <v>48</v>
      </c>
      <c r="DG74" s="40" t="s">
        <v>48</v>
      </c>
      <c r="DH74" s="40" t="s">
        <v>48</v>
      </c>
      <c r="DI74" s="40" t="s">
        <v>48</v>
      </c>
      <c r="DJ74" s="40" t="s">
        <v>48</v>
      </c>
      <c r="DK74" s="40" t="s">
        <v>48</v>
      </c>
      <c r="DL74" s="40" t="s">
        <v>48</v>
      </c>
      <c r="DM74" s="40" t="s">
        <v>48</v>
      </c>
      <c r="DN74" s="40" t="s">
        <v>48</v>
      </c>
      <c r="DO74" s="40" t="s">
        <v>48</v>
      </c>
      <c r="DP74" s="40" t="s">
        <v>48</v>
      </c>
    </row>
    <row r="75" spans="1:120" x14ac:dyDescent="0.35">
      <c r="A75" s="12">
        <v>68</v>
      </c>
      <c r="B75" s="33"/>
      <c r="C75" s="38" t="str">
        <f>Notes!U76</f>
        <v xml:space="preserve">               Other foods</v>
      </c>
      <c r="D75" s="4" t="s">
        <v>351</v>
      </c>
      <c r="E75" s="44">
        <v>0.64187623061677335</v>
      </c>
      <c r="F75" s="42" t="s">
        <v>48</v>
      </c>
      <c r="G75" s="40" t="s">
        <v>48</v>
      </c>
      <c r="H75" s="40" t="s">
        <v>48</v>
      </c>
      <c r="I75" s="40" t="s">
        <v>48</v>
      </c>
      <c r="J75" s="40" t="s">
        <v>48</v>
      </c>
      <c r="K75" s="40" t="s">
        <v>48</v>
      </c>
      <c r="L75" s="40" t="s">
        <v>48</v>
      </c>
      <c r="M75" s="40" t="s">
        <v>48</v>
      </c>
      <c r="N75" s="40" t="s">
        <v>48</v>
      </c>
      <c r="O75" s="40" t="s">
        <v>48</v>
      </c>
      <c r="P75" s="40" t="s">
        <v>48</v>
      </c>
      <c r="Q75" s="40" t="s">
        <v>48</v>
      </c>
      <c r="R75" s="40" t="s">
        <v>48</v>
      </c>
      <c r="S75" s="40" t="s">
        <v>48</v>
      </c>
      <c r="T75" s="40" t="s">
        <v>48</v>
      </c>
      <c r="V75" s="33"/>
      <c r="W75" s="38" t="str">
        <f>Notes!U76</f>
        <v xml:space="preserve">               Other foods</v>
      </c>
      <c r="X75" s="4" t="s">
        <v>351</v>
      </c>
      <c r="Y75" s="44">
        <v>6.8118860854908174</v>
      </c>
      <c r="Z75" s="42" t="s">
        <v>48</v>
      </c>
      <c r="AA75" s="40" t="s">
        <v>48</v>
      </c>
      <c r="AB75" s="40" t="s">
        <v>48</v>
      </c>
      <c r="AC75" s="40" t="s">
        <v>48</v>
      </c>
      <c r="AD75" s="40" t="s">
        <v>48</v>
      </c>
      <c r="AE75" s="40" t="s">
        <v>48</v>
      </c>
      <c r="AF75" s="40" t="s">
        <v>48</v>
      </c>
      <c r="AG75" s="40" t="s">
        <v>48</v>
      </c>
      <c r="AH75" s="40" t="s">
        <v>48</v>
      </c>
      <c r="AI75" s="40" t="s">
        <v>48</v>
      </c>
      <c r="AJ75" s="40" t="s">
        <v>48</v>
      </c>
      <c r="AK75" s="40" t="s">
        <v>48</v>
      </c>
      <c r="AL75" s="40" t="s">
        <v>48</v>
      </c>
      <c r="AM75" s="40" t="s">
        <v>48</v>
      </c>
      <c r="AN75" s="40" t="s">
        <v>48</v>
      </c>
      <c r="AP75" s="33"/>
      <c r="AQ75" s="38" t="str">
        <f>Notes!U76</f>
        <v xml:space="preserve">               Other foods</v>
      </c>
      <c r="AR75" s="4" t="s">
        <v>351</v>
      </c>
      <c r="AS75" s="44">
        <v>0.88655389274080143</v>
      </c>
      <c r="AT75" s="42" t="s">
        <v>48</v>
      </c>
      <c r="AU75" s="40" t="s">
        <v>48</v>
      </c>
      <c r="AV75" s="40" t="s">
        <v>48</v>
      </c>
      <c r="AW75" s="40" t="s">
        <v>48</v>
      </c>
      <c r="AX75" s="40" t="s">
        <v>48</v>
      </c>
      <c r="AY75" s="40" t="s">
        <v>48</v>
      </c>
      <c r="AZ75" s="40" t="s">
        <v>48</v>
      </c>
      <c r="BA75" s="40" t="s">
        <v>48</v>
      </c>
      <c r="BB75" s="40" t="s">
        <v>48</v>
      </c>
      <c r="BC75" s="40" t="s">
        <v>48</v>
      </c>
      <c r="BD75" s="40" t="s">
        <v>48</v>
      </c>
      <c r="BE75" s="40" t="s">
        <v>48</v>
      </c>
      <c r="BF75" s="40" t="s">
        <v>48</v>
      </c>
      <c r="BG75" s="40" t="s">
        <v>48</v>
      </c>
      <c r="BH75" s="40" t="s">
        <v>48</v>
      </c>
      <c r="BJ75" s="33"/>
      <c r="BK75" s="38" t="str">
        <f>Notes!U76</f>
        <v xml:space="preserve">               Other foods</v>
      </c>
      <c r="BL75" s="4" t="s">
        <v>351</v>
      </c>
      <c r="BM75" s="44">
        <v>29.083601818809591</v>
      </c>
      <c r="BN75" s="42" t="s">
        <v>48</v>
      </c>
      <c r="BO75" s="40" t="s">
        <v>48</v>
      </c>
      <c r="BP75" s="40" t="s">
        <v>48</v>
      </c>
      <c r="BQ75" s="40" t="s">
        <v>48</v>
      </c>
      <c r="BR75" s="40" t="s">
        <v>48</v>
      </c>
      <c r="BS75" s="40" t="s">
        <v>48</v>
      </c>
      <c r="BT75" s="40" t="s">
        <v>48</v>
      </c>
      <c r="BU75" s="40" t="s">
        <v>48</v>
      </c>
      <c r="BV75" s="40" t="s">
        <v>48</v>
      </c>
      <c r="BW75" s="40" t="s">
        <v>48</v>
      </c>
      <c r="BX75" s="40" t="s">
        <v>48</v>
      </c>
      <c r="BY75" s="40" t="s">
        <v>48</v>
      </c>
      <c r="BZ75" s="40" t="s">
        <v>48</v>
      </c>
      <c r="CA75" s="40" t="s">
        <v>48</v>
      </c>
      <c r="CB75" s="40" t="s">
        <v>48</v>
      </c>
      <c r="CD75" s="33"/>
      <c r="CE75" s="38" t="str">
        <f>Notes!U76</f>
        <v xml:space="preserve">               Other foods</v>
      </c>
      <c r="CF75" s="4" t="s">
        <v>351</v>
      </c>
      <c r="CG75" s="44">
        <v>0.99228821061399541</v>
      </c>
      <c r="CH75" s="42" t="s">
        <v>48</v>
      </c>
      <c r="CI75" s="40" t="s">
        <v>48</v>
      </c>
      <c r="CJ75" s="40" t="s">
        <v>48</v>
      </c>
      <c r="CK75" s="40" t="s">
        <v>48</v>
      </c>
      <c r="CL75" s="40" t="s">
        <v>48</v>
      </c>
      <c r="CM75" s="40" t="s">
        <v>48</v>
      </c>
      <c r="CN75" s="40" t="s">
        <v>48</v>
      </c>
      <c r="CO75" s="40" t="s">
        <v>48</v>
      </c>
      <c r="CP75" s="40" t="s">
        <v>48</v>
      </c>
      <c r="CQ75" s="40" t="s">
        <v>48</v>
      </c>
      <c r="CR75" s="40" t="s">
        <v>48</v>
      </c>
      <c r="CS75" s="40" t="s">
        <v>48</v>
      </c>
      <c r="CT75" s="40" t="s">
        <v>48</v>
      </c>
      <c r="CU75" s="40" t="s">
        <v>48</v>
      </c>
      <c r="CV75" s="40" t="s">
        <v>48</v>
      </c>
      <c r="CX75" s="33"/>
      <c r="CY75" s="38" t="str">
        <f>Notes!U76</f>
        <v xml:space="preserve">               Other foods</v>
      </c>
      <c r="CZ75" s="4" t="s">
        <v>351</v>
      </c>
      <c r="DA75" s="44">
        <v>28.513953120456875</v>
      </c>
      <c r="DB75" s="42" t="s">
        <v>48</v>
      </c>
      <c r="DC75" s="40" t="s">
        <v>48</v>
      </c>
      <c r="DD75" s="40" t="s">
        <v>48</v>
      </c>
      <c r="DE75" s="40" t="s">
        <v>48</v>
      </c>
      <c r="DF75" s="40" t="s">
        <v>48</v>
      </c>
      <c r="DG75" s="40" t="s">
        <v>48</v>
      </c>
      <c r="DH75" s="40" t="s">
        <v>48</v>
      </c>
      <c r="DI75" s="40" t="s">
        <v>48</v>
      </c>
      <c r="DJ75" s="40" t="s">
        <v>48</v>
      </c>
      <c r="DK75" s="40" t="s">
        <v>48</v>
      </c>
      <c r="DL75" s="40" t="s">
        <v>48</v>
      </c>
      <c r="DM75" s="40" t="s">
        <v>48</v>
      </c>
      <c r="DN75" s="40" t="s">
        <v>48</v>
      </c>
      <c r="DO75" s="40" t="s">
        <v>48</v>
      </c>
      <c r="DP75" s="40" t="s">
        <v>48</v>
      </c>
    </row>
    <row r="76" spans="1:120" x14ac:dyDescent="0.35">
      <c r="A76" s="12">
        <v>69</v>
      </c>
      <c r="B76" s="33"/>
      <c r="C76" s="38" t="str">
        <f>Notes!U77</f>
        <v xml:space="preserve">               Animal feed</v>
      </c>
      <c r="D76" s="4" t="s">
        <v>721</v>
      </c>
      <c r="E76" s="44">
        <v>2.4141372146104624E-3</v>
      </c>
      <c r="F76" s="42" t="s">
        <v>48</v>
      </c>
      <c r="G76" s="40" t="s">
        <v>48</v>
      </c>
      <c r="H76" s="40" t="s">
        <v>48</v>
      </c>
      <c r="I76" s="40" t="s">
        <v>48</v>
      </c>
      <c r="J76" s="40" t="s">
        <v>48</v>
      </c>
      <c r="K76" s="40" t="s">
        <v>48</v>
      </c>
      <c r="L76" s="40" t="s">
        <v>48</v>
      </c>
      <c r="M76" s="40" t="s">
        <v>48</v>
      </c>
      <c r="N76" s="40" t="s">
        <v>48</v>
      </c>
      <c r="O76" s="40" t="s">
        <v>48</v>
      </c>
      <c r="P76" s="40" t="s">
        <v>48</v>
      </c>
      <c r="Q76" s="40" t="s">
        <v>48</v>
      </c>
      <c r="R76" s="40" t="s">
        <v>48</v>
      </c>
      <c r="S76" s="40" t="s">
        <v>48</v>
      </c>
      <c r="T76" s="40" t="s">
        <v>48</v>
      </c>
      <c r="V76" s="33"/>
      <c r="W76" s="38" t="str">
        <f>Notes!U77</f>
        <v xml:space="preserve">               Animal feed</v>
      </c>
      <c r="X76" s="4" t="s">
        <v>721</v>
      </c>
      <c r="Y76" s="44">
        <v>3.9972870025794629</v>
      </c>
      <c r="Z76" s="42" t="s">
        <v>48</v>
      </c>
      <c r="AA76" s="40" t="s">
        <v>48</v>
      </c>
      <c r="AB76" s="40" t="s">
        <v>48</v>
      </c>
      <c r="AC76" s="40" t="s">
        <v>48</v>
      </c>
      <c r="AD76" s="40" t="s">
        <v>48</v>
      </c>
      <c r="AE76" s="40" t="s">
        <v>48</v>
      </c>
      <c r="AF76" s="40" t="s">
        <v>48</v>
      </c>
      <c r="AG76" s="40" t="s">
        <v>48</v>
      </c>
      <c r="AH76" s="40" t="s">
        <v>48</v>
      </c>
      <c r="AI76" s="40" t="s">
        <v>48</v>
      </c>
      <c r="AJ76" s="40" t="s">
        <v>48</v>
      </c>
      <c r="AK76" s="40" t="s">
        <v>48</v>
      </c>
      <c r="AL76" s="40" t="s">
        <v>48</v>
      </c>
      <c r="AM76" s="40" t="s">
        <v>48</v>
      </c>
      <c r="AN76" s="40" t="s">
        <v>48</v>
      </c>
      <c r="AP76" s="33"/>
      <c r="AQ76" s="38" t="str">
        <f>Notes!U77</f>
        <v xml:space="preserve">               Animal feed</v>
      </c>
      <c r="AR76" s="4" t="s">
        <v>721</v>
      </c>
      <c r="AS76" s="44" t="s">
        <v>48</v>
      </c>
      <c r="AT76" s="42" t="s">
        <v>48</v>
      </c>
      <c r="AU76" s="40" t="s">
        <v>48</v>
      </c>
      <c r="AV76" s="40" t="s">
        <v>48</v>
      </c>
      <c r="AW76" s="40" t="s">
        <v>48</v>
      </c>
      <c r="AX76" s="40" t="s">
        <v>48</v>
      </c>
      <c r="AY76" s="40" t="s">
        <v>48</v>
      </c>
      <c r="AZ76" s="40" t="s">
        <v>48</v>
      </c>
      <c r="BA76" s="40" t="s">
        <v>48</v>
      </c>
      <c r="BB76" s="40" t="s">
        <v>48</v>
      </c>
      <c r="BC76" s="40" t="s">
        <v>48</v>
      </c>
      <c r="BD76" s="40" t="s">
        <v>48</v>
      </c>
      <c r="BE76" s="40" t="s">
        <v>48</v>
      </c>
      <c r="BF76" s="40" t="s">
        <v>48</v>
      </c>
      <c r="BG76" s="40" t="s">
        <v>48</v>
      </c>
      <c r="BH76" s="40" t="s">
        <v>48</v>
      </c>
      <c r="BJ76" s="33"/>
      <c r="BK76" s="38" t="str">
        <f>Notes!U77</f>
        <v xml:space="preserve">               Animal feed</v>
      </c>
      <c r="BL76" s="4" t="s">
        <v>721</v>
      </c>
      <c r="BM76" s="44">
        <v>18.984998971250075</v>
      </c>
      <c r="BN76" s="42" t="s">
        <v>48</v>
      </c>
      <c r="BO76" s="40" t="s">
        <v>48</v>
      </c>
      <c r="BP76" s="40" t="s">
        <v>48</v>
      </c>
      <c r="BQ76" s="40" t="s">
        <v>48</v>
      </c>
      <c r="BR76" s="40" t="s">
        <v>48</v>
      </c>
      <c r="BS76" s="40" t="s">
        <v>48</v>
      </c>
      <c r="BT76" s="40" t="s">
        <v>48</v>
      </c>
      <c r="BU76" s="40" t="s">
        <v>48</v>
      </c>
      <c r="BV76" s="40" t="s">
        <v>48</v>
      </c>
      <c r="BW76" s="40" t="s">
        <v>48</v>
      </c>
      <c r="BX76" s="40" t="s">
        <v>48</v>
      </c>
      <c r="BY76" s="40" t="s">
        <v>48</v>
      </c>
      <c r="BZ76" s="40" t="s">
        <v>48</v>
      </c>
      <c r="CA76" s="40" t="s">
        <v>48</v>
      </c>
      <c r="CB76" s="40" t="s">
        <v>48</v>
      </c>
      <c r="CD76" s="33"/>
      <c r="CE76" s="38" t="str">
        <f>Notes!U77</f>
        <v xml:space="preserve">               Animal feed</v>
      </c>
      <c r="CF76" s="4" t="s">
        <v>721</v>
      </c>
      <c r="CG76" s="44" t="s">
        <v>48</v>
      </c>
      <c r="CH76" s="42" t="s">
        <v>48</v>
      </c>
      <c r="CI76" s="40" t="s">
        <v>48</v>
      </c>
      <c r="CJ76" s="40" t="s">
        <v>48</v>
      </c>
      <c r="CK76" s="40" t="s">
        <v>48</v>
      </c>
      <c r="CL76" s="40" t="s">
        <v>48</v>
      </c>
      <c r="CM76" s="40" t="s">
        <v>48</v>
      </c>
      <c r="CN76" s="40" t="s">
        <v>48</v>
      </c>
      <c r="CO76" s="40" t="s">
        <v>48</v>
      </c>
      <c r="CP76" s="40" t="s">
        <v>48</v>
      </c>
      <c r="CQ76" s="40" t="s">
        <v>48</v>
      </c>
      <c r="CR76" s="40" t="s">
        <v>48</v>
      </c>
      <c r="CS76" s="40" t="s">
        <v>48</v>
      </c>
      <c r="CT76" s="40" t="s">
        <v>48</v>
      </c>
      <c r="CU76" s="40" t="s">
        <v>48</v>
      </c>
      <c r="CV76" s="40" t="s">
        <v>48</v>
      </c>
      <c r="CX76" s="33"/>
      <c r="CY76" s="38" t="str">
        <f>Notes!U77</f>
        <v xml:space="preserve">               Animal feed</v>
      </c>
      <c r="CZ76" s="4" t="s">
        <v>721</v>
      </c>
      <c r="DA76" s="44">
        <v>18.598776660508324</v>
      </c>
      <c r="DB76" s="42" t="s">
        <v>48</v>
      </c>
      <c r="DC76" s="40" t="s">
        <v>48</v>
      </c>
      <c r="DD76" s="40" t="s">
        <v>48</v>
      </c>
      <c r="DE76" s="40" t="s">
        <v>48</v>
      </c>
      <c r="DF76" s="40" t="s">
        <v>48</v>
      </c>
      <c r="DG76" s="40" t="s">
        <v>48</v>
      </c>
      <c r="DH76" s="40" t="s">
        <v>48</v>
      </c>
      <c r="DI76" s="40" t="s">
        <v>48</v>
      </c>
      <c r="DJ76" s="40" t="s">
        <v>48</v>
      </c>
      <c r="DK76" s="40" t="s">
        <v>48</v>
      </c>
      <c r="DL76" s="40" t="s">
        <v>48</v>
      </c>
      <c r="DM76" s="40" t="s">
        <v>48</v>
      </c>
      <c r="DN76" s="40" t="s">
        <v>48</v>
      </c>
      <c r="DO76" s="40" t="s">
        <v>48</v>
      </c>
      <c r="DP76" s="40" t="s">
        <v>48</v>
      </c>
    </row>
    <row r="77" spans="1:120" x14ac:dyDescent="0.35">
      <c r="A77" s="12">
        <v>70</v>
      </c>
      <c r="B77" s="33"/>
      <c r="C77" s="38" t="str">
        <f>Notes!U78</f>
        <v xml:space="preserve">               Beverages and tobacco</v>
      </c>
      <c r="D77" s="4" t="s">
        <v>722</v>
      </c>
      <c r="E77" s="44">
        <v>0.59333888246987876</v>
      </c>
      <c r="F77" s="42" t="s">
        <v>48</v>
      </c>
      <c r="G77" s="40" t="s">
        <v>48</v>
      </c>
      <c r="H77" s="40" t="s">
        <v>48</v>
      </c>
      <c r="I77" s="40" t="s">
        <v>48</v>
      </c>
      <c r="J77" s="40" t="s">
        <v>48</v>
      </c>
      <c r="K77" s="40" t="s">
        <v>48</v>
      </c>
      <c r="L77" s="40" t="s">
        <v>48</v>
      </c>
      <c r="M77" s="40" t="s">
        <v>48</v>
      </c>
      <c r="N77" s="40" t="s">
        <v>48</v>
      </c>
      <c r="O77" s="40" t="s">
        <v>48</v>
      </c>
      <c r="P77" s="40" t="s">
        <v>48</v>
      </c>
      <c r="Q77" s="40" t="s">
        <v>48</v>
      </c>
      <c r="R77" s="40" t="s">
        <v>48</v>
      </c>
      <c r="S77" s="40" t="s">
        <v>48</v>
      </c>
      <c r="T77" s="40" t="s">
        <v>48</v>
      </c>
      <c r="V77" s="33"/>
      <c r="W77" s="38" t="str">
        <f>Notes!U78</f>
        <v xml:space="preserve">               Beverages and tobacco</v>
      </c>
      <c r="X77" s="4" t="s">
        <v>722</v>
      </c>
      <c r="Y77" s="44">
        <v>1.9796239416061112</v>
      </c>
      <c r="Z77" s="42" t="s">
        <v>48</v>
      </c>
      <c r="AA77" s="40" t="s">
        <v>48</v>
      </c>
      <c r="AB77" s="40" t="s">
        <v>48</v>
      </c>
      <c r="AC77" s="40" t="s">
        <v>48</v>
      </c>
      <c r="AD77" s="40" t="s">
        <v>48</v>
      </c>
      <c r="AE77" s="40" t="s">
        <v>48</v>
      </c>
      <c r="AF77" s="40" t="s">
        <v>48</v>
      </c>
      <c r="AG77" s="40" t="s">
        <v>48</v>
      </c>
      <c r="AH77" s="40" t="s">
        <v>48</v>
      </c>
      <c r="AI77" s="40" t="s">
        <v>48</v>
      </c>
      <c r="AJ77" s="40" t="s">
        <v>48</v>
      </c>
      <c r="AK77" s="40" t="s">
        <v>48</v>
      </c>
      <c r="AL77" s="40" t="s">
        <v>48</v>
      </c>
      <c r="AM77" s="40" t="s">
        <v>48</v>
      </c>
      <c r="AN77" s="40" t="s">
        <v>48</v>
      </c>
      <c r="AP77" s="33"/>
      <c r="AQ77" s="38" t="str">
        <f>Notes!U78</f>
        <v xml:space="preserve">               Beverages and tobacco</v>
      </c>
      <c r="AR77" s="4" t="s">
        <v>722</v>
      </c>
      <c r="AS77" s="44">
        <v>0.88655389274080143</v>
      </c>
      <c r="AT77" s="42" t="s">
        <v>48</v>
      </c>
      <c r="AU77" s="40" t="s">
        <v>48</v>
      </c>
      <c r="AV77" s="40" t="s">
        <v>48</v>
      </c>
      <c r="AW77" s="40" t="s">
        <v>48</v>
      </c>
      <c r="AX77" s="40" t="s">
        <v>48</v>
      </c>
      <c r="AY77" s="40" t="s">
        <v>48</v>
      </c>
      <c r="AZ77" s="40" t="s">
        <v>48</v>
      </c>
      <c r="BA77" s="40" t="s">
        <v>48</v>
      </c>
      <c r="BB77" s="40" t="s">
        <v>48</v>
      </c>
      <c r="BC77" s="40" t="s">
        <v>48</v>
      </c>
      <c r="BD77" s="40" t="s">
        <v>48</v>
      </c>
      <c r="BE77" s="40" t="s">
        <v>48</v>
      </c>
      <c r="BF77" s="40" t="s">
        <v>48</v>
      </c>
      <c r="BG77" s="40" t="s">
        <v>48</v>
      </c>
      <c r="BH77" s="40" t="s">
        <v>48</v>
      </c>
      <c r="BJ77" s="33"/>
      <c r="BK77" s="38" t="str">
        <f>Notes!U78</f>
        <v xml:space="preserve">               Beverages and tobacco</v>
      </c>
      <c r="BL77" s="4" t="s">
        <v>722</v>
      </c>
      <c r="BM77" s="44">
        <v>6.4207894402550494</v>
      </c>
      <c r="BN77" s="42" t="s">
        <v>48</v>
      </c>
      <c r="BO77" s="40" t="s">
        <v>48</v>
      </c>
      <c r="BP77" s="40" t="s">
        <v>48</v>
      </c>
      <c r="BQ77" s="40" t="s">
        <v>48</v>
      </c>
      <c r="BR77" s="40" t="s">
        <v>48</v>
      </c>
      <c r="BS77" s="40" t="s">
        <v>48</v>
      </c>
      <c r="BT77" s="40" t="s">
        <v>48</v>
      </c>
      <c r="BU77" s="40" t="s">
        <v>48</v>
      </c>
      <c r="BV77" s="40" t="s">
        <v>48</v>
      </c>
      <c r="BW77" s="40" t="s">
        <v>48</v>
      </c>
      <c r="BX77" s="40" t="s">
        <v>48</v>
      </c>
      <c r="BY77" s="40" t="s">
        <v>48</v>
      </c>
      <c r="BZ77" s="40" t="s">
        <v>48</v>
      </c>
      <c r="CA77" s="40" t="s">
        <v>48</v>
      </c>
      <c r="CB77" s="40" t="s">
        <v>48</v>
      </c>
      <c r="CD77" s="33"/>
      <c r="CE77" s="38" t="str">
        <f>Notes!U78</f>
        <v xml:space="preserve">               Beverages and tobacco</v>
      </c>
      <c r="CF77" s="4" t="s">
        <v>722</v>
      </c>
      <c r="CG77" s="44">
        <v>0.99228821061399541</v>
      </c>
      <c r="CH77" s="42" t="s">
        <v>48</v>
      </c>
      <c r="CI77" s="40" t="s">
        <v>48</v>
      </c>
      <c r="CJ77" s="40" t="s">
        <v>48</v>
      </c>
      <c r="CK77" s="40" t="s">
        <v>48</v>
      </c>
      <c r="CL77" s="40" t="s">
        <v>48</v>
      </c>
      <c r="CM77" s="40" t="s">
        <v>48</v>
      </c>
      <c r="CN77" s="40" t="s">
        <v>48</v>
      </c>
      <c r="CO77" s="40" t="s">
        <v>48</v>
      </c>
      <c r="CP77" s="40" t="s">
        <v>48</v>
      </c>
      <c r="CQ77" s="40" t="s">
        <v>48</v>
      </c>
      <c r="CR77" s="40" t="s">
        <v>48</v>
      </c>
      <c r="CS77" s="40" t="s">
        <v>48</v>
      </c>
      <c r="CT77" s="40" t="s">
        <v>48</v>
      </c>
      <c r="CU77" s="40" t="s">
        <v>48</v>
      </c>
      <c r="CV77" s="40" t="s">
        <v>48</v>
      </c>
      <c r="CX77" s="33"/>
      <c r="CY77" s="38" t="str">
        <f>Notes!U78</f>
        <v xml:space="preserve">               Beverages and tobacco</v>
      </c>
      <c r="CZ77" s="4" t="s">
        <v>722</v>
      </c>
      <c r="DA77" s="44">
        <v>6.4565027014787653</v>
      </c>
      <c r="DB77" s="42" t="s">
        <v>48</v>
      </c>
      <c r="DC77" s="40" t="s">
        <v>48</v>
      </c>
      <c r="DD77" s="40" t="s">
        <v>48</v>
      </c>
      <c r="DE77" s="40" t="s">
        <v>48</v>
      </c>
      <c r="DF77" s="40" t="s">
        <v>48</v>
      </c>
      <c r="DG77" s="40" t="s">
        <v>48</v>
      </c>
      <c r="DH77" s="40" t="s">
        <v>48</v>
      </c>
      <c r="DI77" s="40" t="s">
        <v>48</v>
      </c>
      <c r="DJ77" s="40" t="s">
        <v>48</v>
      </c>
      <c r="DK77" s="40" t="s">
        <v>48</v>
      </c>
      <c r="DL77" s="40" t="s">
        <v>48</v>
      </c>
      <c r="DM77" s="40" t="s">
        <v>48</v>
      </c>
      <c r="DN77" s="40" t="s">
        <v>48</v>
      </c>
      <c r="DO77" s="40" t="s">
        <v>48</v>
      </c>
      <c r="DP77" s="40" t="s">
        <v>48</v>
      </c>
    </row>
    <row r="78" spans="1:120" x14ac:dyDescent="0.35">
      <c r="A78" s="12">
        <v>71</v>
      </c>
      <c r="B78" s="33"/>
      <c r="C78" s="38" t="str">
        <f>Notes!U79</f>
        <v xml:space="preserve">               Beverages</v>
      </c>
      <c r="D78" s="4" t="s">
        <v>723</v>
      </c>
      <c r="E78" s="44">
        <v>4.6123210932284053E-2</v>
      </c>
      <c r="F78" s="42" t="s">
        <v>48</v>
      </c>
      <c r="G78" s="40" t="s">
        <v>48</v>
      </c>
      <c r="H78" s="40" t="s">
        <v>48</v>
      </c>
      <c r="I78" s="40" t="s">
        <v>48</v>
      </c>
      <c r="J78" s="40" t="s">
        <v>48</v>
      </c>
      <c r="K78" s="40" t="s">
        <v>48</v>
      </c>
      <c r="L78" s="40" t="s">
        <v>48</v>
      </c>
      <c r="M78" s="40" t="s">
        <v>48</v>
      </c>
      <c r="N78" s="40" t="s">
        <v>48</v>
      </c>
      <c r="O78" s="40" t="s">
        <v>48</v>
      </c>
      <c r="P78" s="40" t="s">
        <v>48</v>
      </c>
      <c r="Q78" s="40" t="s">
        <v>48</v>
      </c>
      <c r="R78" s="40" t="s">
        <v>48</v>
      </c>
      <c r="S78" s="40" t="s">
        <v>48</v>
      </c>
      <c r="T78" s="40" t="s">
        <v>48</v>
      </c>
      <c r="V78" s="33"/>
      <c r="W78" s="38" t="str">
        <f>Notes!U79</f>
        <v xml:space="preserve">               Beverages</v>
      </c>
      <c r="X78" s="4" t="s">
        <v>723</v>
      </c>
      <c r="Y78" s="44">
        <v>0.83497514130524209</v>
      </c>
      <c r="Z78" s="42" t="s">
        <v>48</v>
      </c>
      <c r="AA78" s="40" t="s">
        <v>48</v>
      </c>
      <c r="AB78" s="40" t="s">
        <v>48</v>
      </c>
      <c r="AC78" s="40" t="s">
        <v>48</v>
      </c>
      <c r="AD78" s="40" t="s">
        <v>48</v>
      </c>
      <c r="AE78" s="40" t="s">
        <v>48</v>
      </c>
      <c r="AF78" s="40" t="s">
        <v>48</v>
      </c>
      <c r="AG78" s="40" t="s">
        <v>48</v>
      </c>
      <c r="AH78" s="40" t="s">
        <v>48</v>
      </c>
      <c r="AI78" s="40" t="s">
        <v>48</v>
      </c>
      <c r="AJ78" s="40" t="s">
        <v>48</v>
      </c>
      <c r="AK78" s="40" t="s">
        <v>48</v>
      </c>
      <c r="AL78" s="40" t="s">
        <v>48</v>
      </c>
      <c r="AM78" s="40" t="s">
        <v>48</v>
      </c>
      <c r="AN78" s="40" t="s">
        <v>48</v>
      </c>
      <c r="AP78" s="33"/>
      <c r="AQ78" s="38" t="str">
        <f>Notes!U79</f>
        <v xml:space="preserve">               Beverages</v>
      </c>
      <c r="AR78" s="4" t="s">
        <v>723</v>
      </c>
      <c r="AS78" s="44" t="s">
        <v>48</v>
      </c>
      <c r="AT78" s="42" t="s">
        <v>48</v>
      </c>
      <c r="AU78" s="40" t="s">
        <v>48</v>
      </c>
      <c r="AV78" s="40" t="s">
        <v>48</v>
      </c>
      <c r="AW78" s="40" t="s">
        <v>48</v>
      </c>
      <c r="AX78" s="40" t="s">
        <v>48</v>
      </c>
      <c r="AY78" s="40" t="s">
        <v>48</v>
      </c>
      <c r="AZ78" s="40" t="s">
        <v>48</v>
      </c>
      <c r="BA78" s="40" t="s">
        <v>48</v>
      </c>
      <c r="BB78" s="40" t="s">
        <v>48</v>
      </c>
      <c r="BC78" s="40" t="s">
        <v>48</v>
      </c>
      <c r="BD78" s="40" t="s">
        <v>48</v>
      </c>
      <c r="BE78" s="40" t="s">
        <v>48</v>
      </c>
      <c r="BF78" s="40" t="s">
        <v>48</v>
      </c>
      <c r="BG78" s="40" t="s">
        <v>48</v>
      </c>
      <c r="BH78" s="40" t="s">
        <v>48</v>
      </c>
      <c r="BJ78" s="33"/>
      <c r="BK78" s="38" t="str">
        <f>Notes!U79</f>
        <v xml:space="preserve">               Beverages</v>
      </c>
      <c r="BL78" s="4" t="s">
        <v>723</v>
      </c>
      <c r="BM78" s="44">
        <v>3.6778134073044617</v>
      </c>
      <c r="BN78" s="42" t="s">
        <v>48</v>
      </c>
      <c r="BO78" s="40" t="s">
        <v>48</v>
      </c>
      <c r="BP78" s="40" t="s">
        <v>48</v>
      </c>
      <c r="BQ78" s="40" t="s">
        <v>48</v>
      </c>
      <c r="BR78" s="40" t="s">
        <v>48</v>
      </c>
      <c r="BS78" s="40" t="s">
        <v>48</v>
      </c>
      <c r="BT78" s="40" t="s">
        <v>48</v>
      </c>
      <c r="BU78" s="40" t="s">
        <v>48</v>
      </c>
      <c r="BV78" s="40" t="s">
        <v>48</v>
      </c>
      <c r="BW78" s="40" t="s">
        <v>48</v>
      </c>
      <c r="BX78" s="40" t="s">
        <v>48</v>
      </c>
      <c r="BY78" s="40" t="s">
        <v>48</v>
      </c>
      <c r="BZ78" s="40" t="s">
        <v>48</v>
      </c>
      <c r="CA78" s="40" t="s">
        <v>48</v>
      </c>
      <c r="CB78" s="40" t="s">
        <v>48</v>
      </c>
      <c r="CD78" s="33"/>
      <c r="CE78" s="38" t="str">
        <f>Notes!U79</f>
        <v xml:space="preserve">               Beverages</v>
      </c>
      <c r="CF78" s="4" t="s">
        <v>723</v>
      </c>
      <c r="CG78" s="44" t="s">
        <v>48</v>
      </c>
      <c r="CH78" s="42" t="s">
        <v>48</v>
      </c>
      <c r="CI78" s="40" t="s">
        <v>48</v>
      </c>
      <c r="CJ78" s="40" t="s">
        <v>48</v>
      </c>
      <c r="CK78" s="40" t="s">
        <v>48</v>
      </c>
      <c r="CL78" s="40" t="s">
        <v>48</v>
      </c>
      <c r="CM78" s="40" t="s">
        <v>48</v>
      </c>
      <c r="CN78" s="40" t="s">
        <v>48</v>
      </c>
      <c r="CO78" s="40" t="s">
        <v>48</v>
      </c>
      <c r="CP78" s="40" t="s">
        <v>48</v>
      </c>
      <c r="CQ78" s="40" t="s">
        <v>48</v>
      </c>
      <c r="CR78" s="40" t="s">
        <v>48</v>
      </c>
      <c r="CS78" s="40" t="s">
        <v>48</v>
      </c>
      <c r="CT78" s="40" t="s">
        <v>48</v>
      </c>
      <c r="CU78" s="40" t="s">
        <v>48</v>
      </c>
      <c r="CV78" s="40" t="s">
        <v>48</v>
      </c>
      <c r="CX78" s="33"/>
      <c r="CY78" s="38" t="str">
        <f>Notes!U79</f>
        <v xml:space="preserve">               Beverages</v>
      </c>
      <c r="CZ78" s="4" t="s">
        <v>723</v>
      </c>
      <c r="DA78" s="44">
        <v>3.4586737584697822</v>
      </c>
      <c r="DB78" s="42" t="s">
        <v>48</v>
      </c>
      <c r="DC78" s="40" t="s">
        <v>48</v>
      </c>
      <c r="DD78" s="40" t="s">
        <v>48</v>
      </c>
      <c r="DE78" s="40" t="s">
        <v>48</v>
      </c>
      <c r="DF78" s="40" t="s">
        <v>48</v>
      </c>
      <c r="DG78" s="40" t="s">
        <v>48</v>
      </c>
      <c r="DH78" s="40" t="s">
        <v>48</v>
      </c>
      <c r="DI78" s="40" t="s">
        <v>48</v>
      </c>
      <c r="DJ78" s="40" t="s">
        <v>48</v>
      </c>
      <c r="DK78" s="40" t="s">
        <v>48</v>
      </c>
      <c r="DL78" s="40" t="s">
        <v>48</v>
      </c>
      <c r="DM78" s="40" t="s">
        <v>48</v>
      </c>
      <c r="DN78" s="40" t="s">
        <v>48</v>
      </c>
      <c r="DO78" s="40" t="s">
        <v>48</v>
      </c>
      <c r="DP78" s="40" t="s">
        <v>48</v>
      </c>
    </row>
    <row r="79" spans="1:120" x14ac:dyDescent="0.35">
      <c r="A79" s="12">
        <v>72</v>
      </c>
      <c r="B79" s="33"/>
      <c r="C79" s="38" t="str">
        <f>Notes!U80</f>
        <v xml:space="preserve">               Tobacco processing</v>
      </c>
      <c r="D79" s="4" t="s">
        <v>352</v>
      </c>
      <c r="E79" s="44">
        <v>3.115678597269619</v>
      </c>
      <c r="F79" s="42" t="s">
        <v>48</v>
      </c>
      <c r="G79" s="40" t="s">
        <v>48</v>
      </c>
      <c r="H79" s="40" t="s">
        <v>48</v>
      </c>
      <c r="I79" s="40" t="s">
        <v>48</v>
      </c>
      <c r="J79" s="40" t="s">
        <v>48</v>
      </c>
      <c r="K79" s="40" t="s">
        <v>48</v>
      </c>
      <c r="L79" s="40" t="s">
        <v>48</v>
      </c>
      <c r="M79" s="40" t="s">
        <v>48</v>
      </c>
      <c r="N79" s="40" t="s">
        <v>48</v>
      </c>
      <c r="O79" s="40" t="s">
        <v>48</v>
      </c>
      <c r="P79" s="40" t="s">
        <v>48</v>
      </c>
      <c r="Q79" s="40" t="s">
        <v>48</v>
      </c>
      <c r="R79" s="40" t="s">
        <v>48</v>
      </c>
      <c r="S79" s="40" t="s">
        <v>48</v>
      </c>
      <c r="T79" s="40" t="s">
        <v>48</v>
      </c>
      <c r="V79" s="33"/>
      <c r="W79" s="38" t="str">
        <f>Notes!U80</f>
        <v xml:space="preserve">               Tobacco processing</v>
      </c>
      <c r="X79" s="4" t="s">
        <v>352</v>
      </c>
      <c r="Y79" s="44">
        <v>10.739341428325929</v>
      </c>
      <c r="Z79" s="42" t="s">
        <v>48</v>
      </c>
      <c r="AA79" s="40" t="s">
        <v>48</v>
      </c>
      <c r="AB79" s="40" t="s">
        <v>48</v>
      </c>
      <c r="AC79" s="40" t="s">
        <v>48</v>
      </c>
      <c r="AD79" s="40" t="s">
        <v>48</v>
      </c>
      <c r="AE79" s="40" t="s">
        <v>48</v>
      </c>
      <c r="AF79" s="40" t="s">
        <v>48</v>
      </c>
      <c r="AG79" s="40" t="s">
        <v>48</v>
      </c>
      <c r="AH79" s="40" t="s">
        <v>48</v>
      </c>
      <c r="AI79" s="40" t="s">
        <v>48</v>
      </c>
      <c r="AJ79" s="40" t="s">
        <v>48</v>
      </c>
      <c r="AK79" s="40" t="s">
        <v>48</v>
      </c>
      <c r="AL79" s="40" t="s">
        <v>48</v>
      </c>
      <c r="AM79" s="40" t="s">
        <v>48</v>
      </c>
      <c r="AN79" s="40" t="s">
        <v>48</v>
      </c>
      <c r="AP79" s="33"/>
      <c r="AQ79" s="38" t="str">
        <f>Notes!U80</f>
        <v xml:space="preserve">               Tobacco processing</v>
      </c>
      <c r="AR79" s="4" t="s">
        <v>352</v>
      </c>
      <c r="AS79" s="44">
        <v>12.054090819155048</v>
      </c>
      <c r="AT79" s="42" t="s">
        <v>48</v>
      </c>
      <c r="AU79" s="40" t="s">
        <v>48</v>
      </c>
      <c r="AV79" s="40" t="s">
        <v>48</v>
      </c>
      <c r="AW79" s="40" t="s">
        <v>48</v>
      </c>
      <c r="AX79" s="40" t="s">
        <v>48</v>
      </c>
      <c r="AY79" s="40" t="s">
        <v>48</v>
      </c>
      <c r="AZ79" s="40" t="s">
        <v>48</v>
      </c>
      <c r="BA79" s="40" t="s">
        <v>48</v>
      </c>
      <c r="BB79" s="40" t="s">
        <v>48</v>
      </c>
      <c r="BC79" s="40" t="s">
        <v>48</v>
      </c>
      <c r="BD79" s="40" t="s">
        <v>48</v>
      </c>
      <c r="BE79" s="40" t="s">
        <v>48</v>
      </c>
      <c r="BF79" s="40" t="s">
        <v>48</v>
      </c>
      <c r="BG79" s="40" t="s">
        <v>48</v>
      </c>
      <c r="BH79" s="40" t="s">
        <v>48</v>
      </c>
      <c r="BJ79" s="33"/>
      <c r="BK79" s="38" t="str">
        <f>Notes!U80</f>
        <v xml:space="preserve">               Tobacco processing</v>
      </c>
      <c r="BL79" s="4" t="s">
        <v>352</v>
      </c>
      <c r="BM79" s="44">
        <v>36.637837603247029</v>
      </c>
      <c r="BN79" s="42" t="s">
        <v>48</v>
      </c>
      <c r="BO79" s="40" t="s">
        <v>48</v>
      </c>
      <c r="BP79" s="40" t="s">
        <v>48</v>
      </c>
      <c r="BQ79" s="40" t="s">
        <v>48</v>
      </c>
      <c r="BR79" s="40" t="s">
        <v>48</v>
      </c>
      <c r="BS79" s="40" t="s">
        <v>48</v>
      </c>
      <c r="BT79" s="40" t="s">
        <v>48</v>
      </c>
      <c r="BU79" s="40" t="s">
        <v>48</v>
      </c>
      <c r="BV79" s="40" t="s">
        <v>48</v>
      </c>
      <c r="BW79" s="40" t="s">
        <v>48</v>
      </c>
      <c r="BX79" s="40" t="s">
        <v>48</v>
      </c>
      <c r="BY79" s="40" t="s">
        <v>48</v>
      </c>
      <c r="BZ79" s="40" t="s">
        <v>48</v>
      </c>
      <c r="CA79" s="40" t="s">
        <v>48</v>
      </c>
      <c r="CB79" s="40" t="s">
        <v>48</v>
      </c>
      <c r="CD79" s="33"/>
      <c r="CE79" s="38" t="str">
        <f>Notes!U80</f>
        <v xml:space="preserve">               Tobacco processing</v>
      </c>
      <c r="CF79" s="4" t="s">
        <v>352</v>
      </c>
      <c r="CG79" s="44">
        <v>12.525560853263714</v>
      </c>
      <c r="CH79" s="42" t="s">
        <v>48</v>
      </c>
      <c r="CI79" s="40" t="s">
        <v>48</v>
      </c>
      <c r="CJ79" s="40" t="s">
        <v>48</v>
      </c>
      <c r="CK79" s="40" t="s">
        <v>48</v>
      </c>
      <c r="CL79" s="40" t="s">
        <v>48</v>
      </c>
      <c r="CM79" s="40" t="s">
        <v>48</v>
      </c>
      <c r="CN79" s="40" t="s">
        <v>48</v>
      </c>
      <c r="CO79" s="40" t="s">
        <v>48</v>
      </c>
      <c r="CP79" s="40" t="s">
        <v>48</v>
      </c>
      <c r="CQ79" s="40" t="s">
        <v>48</v>
      </c>
      <c r="CR79" s="40" t="s">
        <v>48</v>
      </c>
      <c r="CS79" s="40" t="s">
        <v>48</v>
      </c>
      <c r="CT79" s="40" t="s">
        <v>48</v>
      </c>
      <c r="CU79" s="40" t="s">
        <v>48</v>
      </c>
      <c r="CV79" s="40" t="s">
        <v>48</v>
      </c>
      <c r="CX79" s="33"/>
      <c r="CY79" s="38" t="str">
        <f>Notes!U80</f>
        <v xml:space="preserve">               Tobacco processing</v>
      </c>
      <c r="CZ79" s="4" t="s">
        <v>352</v>
      </c>
      <c r="DA79" s="44">
        <v>35.075979927205545</v>
      </c>
      <c r="DB79" s="42" t="s">
        <v>48</v>
      </c>
      <c r="DC79" s="40" t="s">
        <v>48</v>
      </c>
      <c r="DD79" s="40" t="s">
        <v>48</v>
      </c>
      <c r="DE79" s="40" t="s">
        <v>48</v>
      </c>
      <c r="DF79" s="40" t="s">
        <v>48</v>
      </c>
      <c r="DG79" s="40" t="s">
        <v>48</v>
      </c>
      <c r="DH79" s="40" t="s">
        <v>48</v>
      </c>
      <c r="DI79" s="40" t="s">
        <v>48</v>
      </c>
      <c r="DJ79" s="40" t="s">
        <v>48</v>
      </c>
      <c r="DK79" s="40" t="s">
        <v>48</v>
      </c>
      <c r="DL79" s="40" t="s">
        <v>48</v>
      </c>
      <c r="DM79" s="40" t="s">
        <v>48</v>
      </c>
      <c r="DN79" s="40" t="s">
        <v>48</v>
      </c>
      <c r="DO79" s="40" t="s">
        <v>48</v>
      </c>
      <c r="DP79" s="40" t="s">
        <v>48</v>
      </c>
    </row>
    <row r="80" spans="1:120" x14ac:dyDescent="0.35">
      <c r="A80" s="12">
        <v>73</v>
      </c>
      <c r="B80" s="33"/>
      <c r="C80" s="38" t="str">
        <f>Notes!U81</f>
        <v xml:space="preserve">               Textiles, clothing and leather</v>
      </c>
      <c r="D80" s="4" t="s">
        <v>724</v>
      </c>
      <c r="E80" s="44">
        <v>0.29431206720529157</v>
      </c>
      <c r="F80" s="42" t="s">
        <v>48</v>
      </c>
      <c r="G80" s="40" t="s">
        <v>48</v>
      </c>
      <c r="H80" s="40" t="s">
        <v>48</v>
      </c>
      <c r="I80" s="40" t="s">
        <v>48</v>
      </c>
      <c r="J80" s="40" t="s">
        <v>48</v>
      </c>
      <c r="K80" s="40" t="s">
        <v>48</v>
      </c>
      <c r="L80" s="40" t="s">
        <v>48</v>
      </c>
      <c r="M80" s="40" t="s">
        <v>48</v>
      </c>
      <c r="N80" s="40" t="s">
        <v>48</v>
      </c>
      <c r="O80" s="40" t="s">
        <v>48</v>
      </c>
      <c r="P80" s="40" t="s">
        <v>48</v>
      </c>
      <c r="Q80" s="40" t="s">
        <v>48</v>
      </c>
      <c r="R80" s="40" t="s">
        <v>48</v>
      </c>
      <c r="S80" s="40" t="s">
        <v>48</v>
      </c>
      <c r="T80" s="40" t="s">
        <v>48</v>
      </c>
      <c r="V80" s="33"/>
      <c r="W80" s="38" t="str">
        <f>Notes!U81</f>
        <v xml:space="preserve">               Textiles, clothing and leather</v>
      </c>
      <c r="X80" s="4" t="s">
        <v>724</v>
      </c>
      <c r="Y80" s="44">
        <v>0.78158196813876601</v>
      </c>
      <c r="Z80" s="42" t="s">
        <v>48</v>
      </c>
      <c r="AA80" s="40" t="s">
        <v>48</v>
      </c>
      <c r="AB80" s="40" t="s">
        <v>48</v>
      </c>
      <c r="AC80" s="40" t="s">
        <v>48</v>
      </c>
      <c r="AD80" s="40" t="s">
        <v>48</v>
      </c>
      <c r="AE80" s="40" t="s">
        <v>48</v>
      </c>
      <c r="AF80" s="40" t="s">
        <v>48</v>
      </c>
      <c r="AG80" s="40" t="s">
        <v>48</v>
      </c>
      <c r="AH80" s="40" t="s">
        <v>48</v>
      </c>
      <c r="AI80" s="40" t="s">
        <v>48</v>
      </c>
      <c r="AJ80" s="40" t="s">
        <v>48</v>
      </c>
      <c r="AK80" s="40" t="s">
        <v>48</v>
      </c>
      <c r="AL80" s="40" t="s">
        <v>48</v>
      </c>
      <c r="AM80" s="40" t="s">
        <v>48</v>
      </c>
      <c r="AN80" s="40" t="s">
        <v>48</v>
      </c>
      <c r="AP80" s="33"/>
      <c r="AQ80" s="38" t="str">
        <f>Notes!U81</f>
        <v xml:space="preserve">               Textiles, clothing and leather</v>
      </c>
      <c r="AR80" s="4" t="s">
        <v>724</v>
      </c>
      <c r="AS80" s="44">
        <v>0.39153291813296343</v>
      </c>
      <c r="AT80" s="42" t="s">
        <v>48</v>
      </c>
      <c r="AU80" s="40" t="s">
        <v>48</v>
      </c>
      <c r="AV80" s="40" t="s">
        <v>48</v>
      </c>
      <c r="AW80" s="40" t="s">
        <v>48</v>
      </c>
      <c r="AX80" s="40" t="s">
        <v>48</v>
      </c>
      <c r="AY80" s="40" t="s">
        <v>48</v>
      </c>
      <c r="AZ80" s="40" t="s">
        <v>48</v>
      </c>
      <c r="BA80" s="40" t="s">
        <v>48</v>
      </c>
      <c r="BB80" s="40" t="s">
        <v>48</v>
      </c>
      <c r="BC80" s="40" t="s">
        <v>48</v>
      </c>
      <c r="BD80" s="40" t="s">
        <v>48</v>
      </c>
      <c r="BE80" s="40" t="s">
        <v>48</v>
      </c>
      <c r="BF80" s="40" t="s">
        <v>48</v>
      </c>
      <c r="BG80" s="40" t="s">
        <v>48</v>
      </c>
      <c r="BH80" s="40" t="s">
        <v>48</v>
      </c>
      <c r="BJ80" s="33"/>
      <c r="BK80" s="38" t="str">
        <f>Notes!U81</f>
        <v xml:space="preserve">               Textiles, clothing and leather</v>
      </c>
      <c r="BL80" s="4" t="s">
        <v>724</v>
      </c>
      <c r="BM80" s="44">
        <v>2.0180563159939444</v>
      </c>
      <c r="BN80" s="42" t="s">
        <v>48</v>
      </c>
      <c r="BO80" s="40" t="s">
        <v>48</v>
      </c>
      <c r="BP80" s="40" t="s">
        <v>48</v>
      </c>
      <c r="BQ80" s="40" t="s">
        <v>48</v>
      </c>
      <c r="BR80" s="40" t="s">
        <v>48</v>
      </c>
      <c r="BS80" s="40" t="s">
        <v>48</v>
      </c>
      <c r="BT80" s="40" t="s">
        <v>48</v>
      </c>
      <c r="BU80" s="40" t="s">
        <v>48</v>
      </c>
      <c r="BV80" s="40" t="s">
        <v>48</v>
      </c>
      <c r="BW80" s="40" t="s">
        <v>48</v>
      </c>
      <c r="BX80" s="40" t="s">
        <v>48</v>
      </c>
      <c r="BY80" s="40" t="s">
        <v>48</v>
      </c>
      <c r="BZ80" s="40" t="s">
        <v>48</v>
      </c>
      <c r="CA80" s="40" t="s">
        <v>48</v>
      </c>
      <c r="CB80" s="40" t="s">
        <v>48</v>
      </c>
      <c r="CD80" s="33"/>
      <c r="CE80" s="38" t="str">
        <f>Notes!U81</f>
        <v xml:space="preserve">               Textiles, clothing and leather</v>
      </c>
      <c r="CF80" s="4" t="s">
        <v>724</v>
      </c>
      <c r="CG80" s="44">
        <v>0.44905449292784361</v>
      </c>
      <c r="CH80" s="42" t="s">
        <v>48</v>
      </c>
      <c r="CI80" s="40" t="s">
        <v>48</v>
      </c>
      <c r="CJ80" s="40" t="s">
        <v>48</v>
      </c>
      <c r="CK80" s="40" t="s">
        <v>48</v>
      </c>
      <c r="CL80" s="40" t="s">
        <v>48</v>
      </c>
      <c r="CM80" s="40" t="s">
        <v>48</v>
      </c>
      <c r="CN80" s="40" t="s">
        <v>48</v>
      </c>
      <c r="CO80" s="40" t="s">
        <v>48</v>
      </c>
      <c r="CP80" s="40" t="s">
        <v>48</v>
      </c>
      <c r="CQ80" s="40" t="s">
        <v>48</v>
      </c>
      <c r="CR80" s="40" t="s">
        <v>48</v>
      </c>
      <c r="CS80" s="40" t="s">
        <v>48</v>
      </c>
      <c r="CT80" s="40" t="s">
        <v>48</v>
      </c>
      <c r="CU80" s="40" t="s">
        <v>48</v>
      </c>
      <c r="CV80" s="40" t="s">
        <v>48</v>
      </c>
      <c r="CX80" s="33"/>
      <c r="CY80" s="38" t="str">
        <f>Notes!U81</f>
        <v xml:space="preserve">               Textiles, clothing and leather</v>
      </c>
      <c r="CZ80" s="4" t="s">
        <v>724</v>
      </c>
      <c r="DA80" s="44">
        <v>1.9803598651744851</v>
      </c>
      <c r="DB80" s="42" t="s">
        <v>48</v>
      </c>
      <c r="DC80" s="40" t="s">
        <v>48</v>
      </c>
      <c r="DD80" s="40" t="s">
        <v>48</v>
      </c>
      <c r="DE80" s="40" t="s">
        <v>48</v>
      </c>
      <c r="DF80" s="40" t="s">
        <v>48</v>
      </c>
      <c r="DG80" s="40" t="s">
        <v>48</v>
      </c>
      <c r="DH80" s="40" t="s">
        <v>48</v>
      </c>
      <c r="DI80" s="40" t="s">
        <v>48</v>
      </c>
      <c r="DJ80" s="40" t="s">
        <v>48</v>
      </c>
      <c r="DK80" s="40" t="s">
        <v>48</v>
      </c>
      <c r="DL80" s="40" t="s">
        <v>48</v>
      </c>
      <c r="DM80" s="40" t="s">
        <v>48</v>
      </c>
      <c r="DN80" s="40" t="s">
        <v>48</v>
      </c>
      <c r="DO80" s="40" t="s">
        <v>48</v>
      </c>
      <c r="DP80" s="40" t="s">
        <v>48</v>
      </c>
    </row>
    <row r="81" spans="1:120" x14ac:dyDescent="0.35">
      <c r="A81" s="12">
        <v>74</v>
      </c>
      <c r="B81" s="33"/>
      <c r="C81" s="38" t="str">
        <f>Notes!U82</f>
        <v xml:space="preserve">               Jute baling</v>
      </c>
      <c r="D81" s="4" t="s">
        <v>354</v>
      </c>
      <c r="E81" s="44">
        <v>6.4580452080665748E-2</v>
      </c>
      <c r="F81" s="42" t="s">
        <v>48</v>
      </c>
      <c r="G81" s="40" t="s">
        <v>48</v>
      </c>
      <c r="H81" s="40" t="s">
        <v>48</v>
      </c>
      <c r="I81" s="40" t="s">
        <v>48</v>
      </c>
      <c r="J81" s="40" t="s">
        <v>48</v>
      </c>
      <c r="K81" s="40" t="s">
        <v>48</v>
      </c>
      <c r="L81" s="40" t="s">
        <v>48</v>
      </c>
      <c r="M81" s="40" t="s">
        <v>48</v>
      </c>
      <c r="N81" s="40" t="s">
        <v>48</v>
      </c>
      <c r="O81" s="40" t="s">
        <v>48</v>
      </c>
      <c r="P81" s="40" t="s">
        <v>48</v>
      </c>
      <c r="Q81" s="40" t="s">
        <v>48</v>
      </c>
      <c r="R81" s="40" t="s">
        <v>48</v>
      </c>
      <c r="S81" s="40" t="s">
        <v>48</v>
      </c>
      <c r="T81" s="40" t="s">
        <v>48</v>
      </c>
      <c r="V81" s="33"/>
      <c r="W81" s="38" t="str">
        <f>Notes!U82</f>
        <v xml:space="preserve">               Jute baling</v>
      </c>
      <c r="X81" s="4" t="s">
        <v>354</v>
      </c>
      <c r="Y81" s="44">
        <v>0.28154909733646927</v>
      </c>
      <c r="Z81" s="42" t="s">
        <v>48</v>
      </c>
      <c r="AA81" s="40" t="s">
        <v>48</v>
      </c>
      <c r="AB81" s="40" t="s">
        <v>48</v>
      </c>
      <c r="AC81" s="40" t="s">
        <v>48</v>
      </c>
      <c r="AD81" s="40" t="s">
        <v>48</v>
      </c>
      <c r="AE81" s="40" t="s">
        <v>48</v>
      </c>
      <c r="AF81" s="40" t="s">
        <v>48</v>
      </c>
      <c r="AG81" s="40" t="s">
        <v>48</v>
      </c>
      <c r="AH81" s="40" t="s">
        <v>48</v>
      </c>
      <c r="AI81" s="40" t="s">
        <v>48</v>
      </c>
      <c r="AJ81" s="40" t="s">
        <v>48</v>
      </c>
      <c r="AK81" s="40" t="s">
        <v>48</v>
      </c>
      <c r="AL81" s="40" t="s">
        <v>48</v>
      </c>
      <c r="AM81" s="40" t="s">
        <v>48</v>
      </c>
      <c r="AN81" s="40" t="s">
        <v>48</v>
      </c>
      <c r="AP81" s="33"/>
      <c r="AQ81" s="38" t="str">
        <f>Notes!U82</f>
        <v xml:space="preserve">               Jute baling</v>
      </c>
      <c r="AR81" s="4" t="s">
        <v>354</v>
      </c>
      <c r="AS81" s="44">
        <v>9.0203253811696027E-2</v>
      </c>
      <c r="AT81" s="42" t="s">
        <v>48</v>
      </c>
      <c r="AU81" s="40" t="s">
        <v>48</v>
      </c>
      <c r="AV81" s="40" t="s">
        <v>48</v>
      </c>
      <c r="AW81" s="40" t="s">
        <v>48</v>
      </c>
      <c r="AX81" s="40" t="s">
        <v>48</v>
      </c>
      <c r="AY81" s="40" t="s">
        <v>48</v>
      </c>
      <c r="AZ81" s="40" t="s">
        <v>48</v>
      </c>
      <c r="BA81" s="40" t="s">
        <v>48</v>
      </c>
      <c r="BB81" s="40" t="s">
        <v>48</v>
      </c>
      <c r="BC81" s="40" t="s">
        <v>48</v>
      </c>
      <c r="BD81" s="40" t="s">
        <v>48</v>
      </c>
      <c r="BE81" s="40" t="s">
        <v>48</v>
      </c>
      <c r="BF81" s="40" t="s">
        <v>48</v>
      </c>
      <c r="BG81" s="40" t="s">
        <v>48</v>
      </c>
      <c r="BH81" s="40" t="s">
        <v>48</v>
      </c>
      <c r="BJ81" s="33"/>
      <c r="BK81" s="38" t="str">
        <f>Notes!U82</f>
        <v xml:space="preserve">               Jute baling</v>
      </c>
      <c r="BL81" s="4" t="s">
        <v>354</v>
      </c>
      <c r="BM81" s="44">
        <v>0.93544687110307823</v>
      </c>
      <c r="BN81" s="42" t="s">
        <v>48</v>
      </c>
      <c r="BO81" s="40" t="s">
        <v>48</v>
      </c>
      <c r="BP81" s="40" t="s">
        <v>48</v>
      </c>
      <c r="BQ81" s="40" t="s">
        <v>48</v>
      </c>
      <c r="BR81" s="40" t="s">
        <v>48</v>
      </c>
      <c r="BS81" s="40" t="s">
        <v>48</v>
      </c>
      <c r="BT81" s="40" t="s">
        <v>48</v>
      </c>
      <c r="BU81" s="40" t="s">
        <v>48</v>
      </c>
      <c r="BV81" s="40" t="s">
        <v>48</v>
      </c>
      <c r="BW81" s="40" t="s">
        <v>48</v>
      </c>
      <c r="BX81" s="40" t="s">
        <v>48</v>
      </c>
      <c r="BY81" s="40" t="s">
        <v>48</v>
      </c>
      <c r="BZ81" s="40" t="s">
        <v>48</v>
      </c>
      <c r="CA81" s="40" t="s">
        <v>48</v>
      </c>
      <c r="CB81" s="40" t="s">
        <v>48</v>
      </c>
      <c r="CD81" s="33"/>
      <c r="CE81" s="38" t="str">
        <f>Notes!U82</f>
        <v xml:space="preserve">               Jute baling</v>
      </c>
      <c r="CF81" s="4" t="s">
        <v>354</v>
      </c>
      <c r="CG81" s="44">
        <v>9.844578280432531E-2</v>
      </c>
      <c r="CH81" s="42" t="s">
        <v>48</v>
      </c>
      <c r="CI81" s="40" t="s">
        <v>48</v>
      </c>
      <c r="CJ81" s="40" t="s">
        <v>48</v>
      </c>
      <c r="CK81" s="40" t="s">
        <v>48</v>
      </c>
      <c r="CL81" s="40" t="s">
        <v>48</v>
      </c>
      <c r="CM81" s="40" t="s">
        <v>48</v>
      </c>
      <c r="CN81" s="40" t="s">
        <v>48</v>
      </c>
      <c r="CO81" s="40" t="s">
        <v>48</v>
      </c>
      <c r="CP81" s="40" t="s">
        <v>48</v>
      </c>
      <c r="CQ81" s="40" t="s">
        <v>48</v>
      </c>
      <c r="CR81" s="40" t="s">
        <v>48</v>
      </c>
      <c r="CS81" s="40" t="s">
        <v>48</v>
      </c>
      <c r="CT81" s="40" t="s">
        <v>48</v>
      </c>
      <c r="CU81" s="40" t="s">
        <v>48</v>
      </c>
      <c r="CV81" s="40" t="s">
        <v>48</v>
      </c>
      <c r="CX81" s="33"/>
      <c r="CY81" s="38" t="str">
        <f>Notes!U82</f>
        <v xml:space="preserve">               Jute baling</v>
      </c>
      <c r="CZ81" s="4" t="s">
        <v>354</v>
      </c>
      <c r="DA81" s="44">
        <v>0.96468563843739408</v>
      </c>
      <c r="DB81" s="42" t="s">
        <v>48</v>
      </c>
      <c r="DC81" s="40" t="s">
        <v>48</v>
      </c>
      <c r="DD81" s="40" t="s">
        <v>48</v>
      </c>
      <c r="DE81" s="40" t="s">
        <v>48</v>
      </c>
      <c r="DF81" s="40" t="s">
        <v>48</v>
      </c>
      <c r="DG81" s="40" t="s">
        <v>48</v>
      </c>
      <c r="DH81" s="40" t="s">
        <v>48</v>
      </c>
      <c r="DI81" s="40" t="s">
        <v>48</v>
      </c>
      <c r="DJ81" s="40" t="s">
        <v>48</v>
      </c>
      <c r="DK81" s="40" t="s">
        <v>48</v>
      </c>
      <c r="DL81" s="40" t="s">
        <v>48</v>
      </c>
      <c r="DM81" s="40" t="s">
        <v>48</v>
      </c>
      <c r="DN81" s="40" t="s">
        <v>48</v>
      </c>
      <c r="DO81" s="40" t="s">
        <v>48</v>
      </c>
      <c r="DP81" s="40" t="s">
        <v>48</v>
      </c>
    </row>
    <row r="82" spans="1:120" x14ac:dyDescent="0.35">
      <c r="A82" s="12">
        <v>75</v>
      </c>
      <c r="B82" s="33"/>
      <c r="C82" s="38" t="str">
        <f>Notes!U83</f>
        <v xml:space="preserve">               Jute fabrication</v>
      </c>
      <c r="D82" s="4" t="s">
        <v>355</v>
      </c>
      <c r="E82" s="44">
        <v>0.75881032182049568</v>
      </c>
      <c r="F82" s="42" t="s">
        <v>48</v>
      </c>
      <c r="G82" s="40" t="s">
        <v>48</v>
      </c>
      <c r="H82" s="40" t="s">
        <v>48</v>
      </c>
      <c r="I82" s="40" t="s">
        <v>48</v>
      </c>
      <c r="J82" s="40" t="s">
        <v>48</v>
      </c>
      <c r="K82" s="40" t="s">
        <v>48</v>
      </c>
      <c r="L82" s="40" t="s">
        <v>48</v>
      </c>
      <c r="M82" s="40" t="s">
        <v>48</v>
      </c>
      <c r="N82" s="40" t="s">
        <v>48</v>
      </c>
      <c r="O82" s="40" t="s">
        <v>48</v>
      </c>
      <c r="P82" s="40" t="s">
        <v>48</v>
      </c>
      <c r="Q82" s="40" t="s">
        <v>48</v>
      </c>
      <c r="R82" s="40" t="s">
        <v>48</v>
      </c>
      <c r="S82" s="40" t="s">
        <v>48</v>
      </c>
      <c r="T82" s="40" t="s">
        <v>48</v>
      </c>
      <c r="V82" s="33"/>
      <c r="W82" s="38" t="str">
        <f>Notes!U83</f>
        <v xml:space="preserve">               Jute fabrication</v>
      </c>
      <c r="X82" s="4" t="s">
        <v>355</v>
      </c>
      <c r="Y82" s="44">
        <v>1.2272063101674553</v>
      </c>
      <c r="Z82" s="42" t="s">
        <v>48</v>
      </c>
      <c r="AA82" s="40" t="s">
        <v>48</v>
      </c>
      <c r="AB82" s="40" t="s">
        <v>48</v>
      </c>
      <c r="AC82" s="40" t="s">
        <v>48</v>
      </c>
      <c r="AD82" s="40" t="s">
        <v>48</v>
      </c>
      <c r="AE82" s="40" t="s">
        <v>48</v>
      </c>
      <c r="AF82" s="40" t="s">
        <v>48</v>
      </c>
      <c r="AG82" s="40" t="s">
        <v>48</v>
      </c>
      <c r="AH82" s="40" t="s">
        <v>48</v>
      </c>
      <c r="AI82" s="40" t="s">
        <v>48</v>
      </c>
      <c r="AJ82" s="40" t="s">
        <v>48</v>
      </c>
      <c r="AK82" s="40" t="s">
        <v>48</v>
      </c>
      <c r="AL82" s="40" t="s">
        <v>48</v>
      </c>
      <c r="AM82" s="40" t="s">
        <v>48</v>
      </c>
      <c r="AN82" s="40" t="s">
        <v>48</v>
      </c>
      <c r="AP82" s="33"/>
      <c r="AQ82" s="38" t="str">
        <f>Notes!U83</f>
        <v xml:space="preserve">               Jute fabrication</v>
      </c>
      <c r="AR82" s="4" t="s">
        <v>355</v>
      </c>
      <c r="AS82" s="44">
        <v>1.0117752064787398</v>
      </c>
      <c r="AT82" s="42" t="s">
        <v>48</v>
      </c>
      <c r="AU82" s="40" t="s">
        <v>48</v>
      </c>
      <c r="AV82" s="40" t="s">
        <v>48</v>
      </c>
      <c r="AW82" s="40" t="s">
        <v>48</v>
      </c>
      <c r="AX82" s="40" t="s">
        <v>48</v>
      </c>
      <c r="AY82" s="40" t="s">
        <v>48</v>
      </c>
      <c r="AZ82" s="40" t="s">
        <v>48</v>
      </c>
      <c r="BA82" s="40" t="s">
        <v>48</v>
      </c>
      <c r="BB82" s="40" t="s">
        <v>48</v>
      </c>
      <c r="BC82" s="40" t="s">
        <v>48</v>
      </c>
      <c r="BD82" s="40" t="s">
        <v>48</v>
      </c>
      <c r="BE82" s="40" t="s">
        <v>48</v>
      </c>
      <c r="BF82" s="40" t="s">
        <v>48</v>
      </c>
      <c r="BG82" s="40" t="s">
        <v>48</v>
      </c>
      <c r="BH82" s="40" t="s">
        <v>48</v>
      </c>
      <c r="BJ82" s="33"/>
      <c r="BK82" s="38" t="str">
        <f>Notes!U83</f>
        <v xml:space="preserve">               Jute fabrication</v>
      </c>
      <c r="BL82" s="4" t="s">
        <v>355</v>
      </c>
      <c r="BM82" s="44">
        <v>2.1603504480244062</v>
      </c>
      <c r="BN82" s="42" t="s">
        <v>48</v>
      </c>
      <c r="BO82" s="40" t="s">
        <v>48</v>
      </c>
      <c r="BP82" s="40" t="s">
        <v>48</v>
      </c>
      <c r="BQ82" s="40" t="s">
        <v>48</v>
      </c>
      <c r="BR82" s="40" t="s">
        <v>48</v>
      </c>
      <c r="BS82" s="40" t="s">
        <v>48</v>
      </c>
      <c r="BT82" s="40" t="s">
        <v>48</v>
      </c>
      <c r="BU82" s="40" t="s">
        <v>48</v>
      </c>
      <c r="BV82" s="40" t="s">
        <v>48</v>
      </c>
      <c r="BW82" s="40" t="s">
        <v>48</v>
      </c>
      <c r="BX82" s="40" t="s">
        <v>48</v>
      </c>
      <c r="BY82" s="40" t="s">
        <v>48</v>
      </c>
      <c r="BZ82" s="40" t="s">
        <v>48</v>
      </c>
      <c r="CA82" s="40" t="s">
        <v>48</v>
      </c>
      <c r="CB82" s="40" t="s">
        <v>48</v>
      </c>
      <c r="CD82" s="33"/>
      <c r="CE82" s="38" t="str">
        <f>Notes!U83</f>
        <v xml:space="preserve">               Jute fabrication</v>
      </c>
      <c r="CF82" s="4" t="s">
        <v>355</v>
      </c>
      <c r="CG82" s="44">
        <v>1.1115869568501537</v>
      </c>
      <c r="CH82" s="42" t="s">
        <v>48</v>
      </c>
      <c r="CI82" s="40" t="s">
        <v>48</v>
      </c>
      <c r="CJ82" s="40" t="s">
        <v>48</v>
      </c>
      <c r="CK82" s="40" t="s">
        <v>48</v>
      </c>
      <c r="CL82" s="40" t="s">
        <v>48</v>
      </c>
      <c r="CM82" s="40" t="s">
        <v>48</v>
      </c>
      <c r="CN82" s="40" t="s">
        <v>48</v>
      </c>
      <c r="CO82" s="40" t="s">
        <v>48</v>
      </c>
      <c r="CP82" s="40" t="s">
        <v>48</v>
      </c>
      <c r="CQ82" s="40" t="s">
        <v>48</v>
      </c>
      <c r="CR82" s="40" t="s">
        <v>48</v>
      </c>
      <c r="CS82" s="40" t="s">
        <v>48</v>
      </c>
      <c r="CT82" s="40" t="s">
        <v>48</v>
      </c>
      <c r="CU82" s="40" t="s">
        <v>48</v>
      </c>
      <c r="CV82" s="40" t="s">
        <v>48</v>
      </c>
      <c r="CX82" s="33"/>
      <c r="CY82" s="38" t="str">
        <f>Notes!U83</f>
        <v xml:space="preserve">               Jute fabrication</v>
      </c>
      <c r="CZ82" s="4" t="s">
        <v>355</v>
      </c>
      <c r="DA82" s="44">
        <v>2.2131273095551363</v>
      </c>
      <c r="DB82" s="42" t="s">
        <v>48</v>
      </c>
      <c r="DC82" s="40" t="s">
        <v>48</v>
      </c>
      <c r="DD82" s="40" t="s">
        <v>48</v>
      </c>
      <c r="DE82" s="40" t="s">
        <v>48</v>
      </c>
      <c r="DF82" s="40" t="s">
        <v>48</v>
      </c>
      <c r="DG82" s="40" t="s">
        <v>48</v>
      </c>
      <c r="DH82" s="40" t="s">
        <v>48</v>
      </c>
      <c r="DI82" s="40" t="s">
        <v>48</v>
      </c>
      <c r="DJ82" s="40" t="s">
        <v>48</v>
      </c>
      <c r="DK82" s="40" t="s">
        <v>48</v>
      </c>
      <c r="DL82" s="40" t="s">
        <v>48</v>
      </c>
      <c r="DM82" s="40" t="s">
        <v>48</v>
      </c>
      <c r="DN82" s="40" t="s">
        <v>48</v>
      </c>
      <c r="DO82" s="40" t="s">
        <v>48</v>
      </c>
      <c r="DP82" s="40" t="s">
        <v>48</v>
      </c>
    </row>
    <row r="83" spans="1:120" x14ac:dyDescent="0.35">
      <c r="A83" s="12">
        <v>76</v>
      </c>
      <c r="B83" s="33"/>
      <c r="C83" s="38" t="str">
        <f>Notes!U84</f>
        <v xml:space="preserve">               Cotton yarn</v>
      </c>
      <c r="D83" s="4" t="s">
        <v>356</v>
      </c>
      <c r="E83" s="44">
        <v>1.1075949457614491</v>
      </c>
      <c r="F83" s="42" t="s">
        <v>48</v>
      </c>
      <c r="G83" s="40" t="s">
        <v>48</v>
      </c>
      <c r="H83" s="40" t="s">
        <v>48</v>
      </c>
      <c r="I83" s="40" t="s">
        <v>48</v>
      </c>
      <c r="J83" s="40" t="s">
        <v>48</v>
      </c>
      <c r="K83" s="40" t="s">
        <v>48</v>
      </c>
      <c r="L83" s="40" t="s">
        <v>48</v>
      </c>
      <c r="M83" s="40" t="s">
        <v>48</v>
      </c>
      <c r="N83" s="40" t="s">
        <v>48</v>
      </c>
      <c r="O83" s="40" t="s">
        <v>48</v>
      </c>
      <c r="P83" s="40" t="s">
        <v>48</v>
      </c>
      <c r="Q83" s="40" t="s">
        <v>48</v>
      </c>
      <c r="R83" s="40" t="s">
        <v>48</v>
      </c>
      <c r="S83" s="40" t="s">
        <v>48</v>
      </c>
      <c r="T83" s="40" t="s">
        <v>48</v>
      </c>
      <c r="V83" s="33"/>
      <c r="W83" s="38" t="str">
        <f>Notes!U84</f>
        <v xml:space="preserve">               Cotton yarn</v>
      </c>
      <c r="X83" s="4" t="s">
        <v>356</v>
      </c>
      <c r="Y83" s="44">
        <v>1.8308229526054403</v>
      </c>
      <c r="Z83" s="42" t="s">
        <v>48</v>
      </c>
      <c r="AA83" s="40" t="s">
        <v>48</v>
      </c>
      <c r="AB83" s="40" t="s">
        <v>48</v>
      </c>
      <c r="AC83" s="40" t="s">
        <v>48</v>
      </c>
      <c r="AD83" s="40" t="s">
        <v>48</v>
      </c>
      <c r="AE83" s="40" t="s">
        <v>48</v>
      </c>
      <c r="AF83" s="40" t="s">
        <v>48</v>
      </c>
      <c r="AG83" s="40" t="s">
        <v>48</v>
      </c>
      <c r="AH83" s="40" t="s">
        <v>48</v>
      </c>
      <c r="AI83" s="40" t="s">
        <v>48</v>
      </c>
      <c r="AJ83" s="40" t="s">
        <v>48</v>
      </c>
      <c r="AK83" s="40" t="s">
        <v>48</v>
      </c>
      <c r="AL83" s="40" t="s">
        <v>48</v>
      </c>
      <c r="AM83" s="40" t="s">
        <v>48</v>
      </c>
      <c r="AN83" s="40" t="s">
        <v>48</v>
      </c>
      <c r="AP83" s="33"/>
      <c r="AQ83" s="38" t="str">
        <f>Notes!U84</f>
        <v xml:space="preserve">               Cotton yarn</v>
      </c>
      <c r="AR83" s="4" t="s">
        <v>356</v>
      </c>
      <c r="AS83" s="44">
        <v>8.0353355042706536</v>
      </c>
      <c r="AT83" s="42" t="s">
        <v>48</v>
      </c>
      <c r="AU83" s="40" t="s">
        <v>48</v>
      </c>
      <c r="AV83" s="40" t="s">
        <v>48</v>
      </c>
      <c r="AW83" s="40" t="s">
        <v>48</v>
      </c>
      <c r="AX83" s="40" t="s">
        <v>48</v>
      </c>
      <c r="AY83" s="40" t="s">
        <v>48</v>
      </c>
      <c r="AZ83" s="40" t="s">
        <v>48</v>
      </c>
      <c r="BA83" s="40" t="s">
        <v>48</v>
      </c>
      <c r="BB83" s="40" t="s">
        <v>48</v>
      </c>
      <c r="BC83" s="40" t="s">
        <v>48</v>
      </c>
      <c r="BD83" s="40" t="s">
        <v>48</v>
      </c>
      <c r="BE83" s="40" t="s">
        <v>48</v>
      </c>
      <c r="BF83" s="40" t="s">
        <v>48</v>
      </c>
      <c r="BG83" s="40" t="s">
        <v>48</v>
      </c>
      <c r="BH83" s="40" t="s">
        <v>48</v>
      </c>
      <c r="BJ83" s="33"/>
      <c r="BK83" s="38" t="str">
        <f>Notes!U84</f>
        <v xml:space="preserve">               Cotton yarn</v>
      </c>
      <c r="BL83" s="4" t="s">
        <v>356</v>
      </c>
      <c r="BM83" s="44">
        <v>5.8952994522609314</v>
      </c>
      <c r="BN83" s="42" t="s">
        <v>48</v>
      </c>
      <c r="BO83" s="40" t="s">
        <v>48</v>
      </c>
      <c r="BP83" s="40" t="s">
        <v>48</v>
      </c>
      <c r="BQ83" s="40" t="s">
        <v>48</v>
      </c>
      <c r="BR83" s="40" t="s">
        <v>48</v>
      </c>
      <c r="BS83" s="40" t="s">
        <v>48</v>
      </c>
      <c r="BT83" s="40" t="s">
        <v>48</v>
      </c>
      <c r="BU83" s="40" t="s">
        <v>48</v>
      </c>
      <c r="BV83" s="40" t="s">
        <v>48</v>
      </c>
      <c r="BW83" s="40" t="s">
        <v>48</v>
      </c>
      <c r="BX83" s="40" t="s">
        <v>48</v>
      </c>
      <c r="BY83" s="40" t="s">
        <v>48</v>
      </c>
      <c r="BZ83" s="40" t="s">
        <v>48</v>
      </c>
      <c r="CA83" s="40" t="s">
        <v>48</v>
      </c>
      <c r="CB83" s="40" t="s">
        <v>48</v>
      </c>
      <c r="CD83" s="33"/>
      <c r="CE83" s="38" t="str">
        <f>Notes!U84</f>
        <v xml:space="preserve">               Cotton yarn</v>
      </c>
      <c r="CF83" s="4" t="s">
        <v>356</v>
      </c>
      <c r="CG83" s="44">
        <v>8.3726620738724158</v>
      </c>
      <c r="CH83" s="42" t="s">
        <v>48</v>
      </c>
      <c r="CI83" s="40" t="s">
        <v>48</v>
      </c>
      <c r="CJ83" s="40" t="s">
        <v>48</v>
      </c>
      <c r="CK83" s="40" t="s">
        <v>48</v>
      </c>
      <c r="CL83" s="40" t="s">
        <v>48</v>
      </c>
      <c r="CM83" s="40" t="s">
        <v>48</v>
      </c>
      <c r="CN83" s="40" t="s">
        <v>48</v>
      </c>
      <c r="CO83" s="40" t="s">
        <v>48</v>
      </c>
      <c r="CP83" s="40" t="s">
        <v>48</v>
      </c>
      <c r="CQ83" s="40" t="s">
        <v>48</v>
      </c>
      <c r="CR83" s="40" t="s">
        <v>48</v>
      </c>
      <c r="CS83" s="40" t="s">
        <v>48</v>
      </c>
      <c r="CT83" s="40" t="s">
        <v>48</v>
      </c>
      <c r="CU83" s="40" t="s">
        <v>48</v>
      </c>
      <c r="CV83" s="40" t="s">
        <v>48</v>
      </c>
      <c r="CX83" s="33"/>
      <c r="CY83" s="38" t="str">
        <f>Notes!U84</f>
        <v xml:space="preserve">               Cotton yarn</v>
      </c>
      <c r="CZ83" s="4" t="s">
        <v>356</v>
      </c>
      <c r="DA83" s="44">
        <v>6.3677781014830819</v>
      </c>
      <c r="DB83" s="42" t="s">
        <v>48</v>
      </c>
      <c r="DC83" s="40" t="s">
        <v>48</v>
      </c>
      <c r="DD83" s="40" t="s">
        <v>48</v>
      </c>
      <c r="DE83" s="40" t="s">
        <v>48</v>
      </c>
      <c r="DF83" s="40" t="s">
        <v>48</v>
      </c>
      <c r="DG83" s="40" t="s">
        <v>48</v>
      </c>
      <c r="DH83" s="40" t="s">
        <v>48</v>
      </c>
      <c r="DI83" s="40" t="s">
        <v>48</v>
      </c>
      <c r="DJ83" s="40" t="s">
        <v>48</v>
      </c>
      <c r="DK83" s="40" t="s">
        <v>48</v>
      </c>
      <c r="DL83" s="40" t="s">
        <v>48</v>
      </c>
      <c r="DM83" s="40" t="s">
        <v>48</v>
      </c>
      <c r="DN83" s="40" t="s">
        <v>48</v>
      </c>
      <c r="DO83" s="40" t="s">
        <v>48</v>
      </c>
      <c r="DP83" s="40" t="s">
        <v>48</v>
      </c>
    </row>
    <row r="84" spans="1:120" x14ac:dyDescent="0.35">
      <c r="A84" s="12">
        <v>77</v>
      </c>
      <c r="B84" s="33"/>
      <c r="C84" s="38" t="str">
        <f>Notes!U85</f>
        <v xml:space="preserve">               Textiles</v>
      </c>
      <c r="D84" s="4" t="s">
        <v>725</v>
      </c>
      <c r="E84" s="44">
        <v>0.11457695585089113</v>
      </c>
      <c r="F84" s="42" t="s">
        <v>48</v>
      </c>
      <c r="G84" s="40" t="s">
        <v>48</v>
      </c>
      <c r="H84" s="40" t="s">
        <v>48</v>
      </c>
      <c r="I84" s="40" t="s">
        <v>48</v>
      </c>
      <c r="J84" s="40" t="s">
        <v>48</v>
      </c>
      <c r="K84" s="40" t="s">
        <v>48</v>
      </c>
      <c r="L84" s="40" t="s">
        <v>48</v>
      </c>
      <c r="M84" s="40" t="s">
        <v>48</v>
      </c>
      <c r="N84" s="40" t="s">
        <v>48</v>
      </c>
      <c r="O84" s="40" t="s">
        <v>48</v>
      </c>
      <c r="P84" s="40" t="s">
        <v>48</v>
      </c>
      <c r="Q84" s="40" t="s">
        <v>48</v>
      </c>
      <c r="R84" s="40" t="s">
        <v>48</v>
      </c>
      <c r="S84" s="40" t="s">
        <v>48</v>
      </c>
      <c r="T84" s="40" t="s">
        <v>48</v>
      </c>
      <c r="V84" s="33"/>
      <c r="W84" s="38" t="str">
        <f>Notes!U85</f>
        <v xml:space="preserve">               Textiles</v>
      </c>
      <c r="X84" s="4" t="s">
        <v>725</v>
      </c>
      <c r="Y84" s="44">
        <v>3.6662093550321289</v>
      </c>
      <c r="Z84" s="42" t="s">
        <v>48</v>
      </c>
      <c r="AA84" s="40" t="s">
        <v>48</v>
      </c>
      <c r="AB84" s="40" t="s">
        <v>48</v>
      </c>
      <c r="AC84" s="40" t="s">
        <v>48</v>
      </c>
      <c r="AD84" s="40" t="s">
        <v>48</v>
      </c>
      <c r="AE84" s="40" t="s">
        <v>48</v>
      </c>
      <c r="AF84" s="40" t="s">
        <v>48</v>
      </c>
      <c r="AG84" s="40" t="s">
        <v>48</v>
      </c>
      <c r="AH84" s="40" t="s">
        <v>48</v>
      </c>
      <c r="AI84" s="40" t="s">
        <v>48</v>
      </c>
      <c r="AJ84" s="40" t="s">
        <v>48</v>
      </c>
      <c r="AK84" s="40" t="s">
        <v>48</v>
      </c>
      <c r="AL84" s="40" t="s">
        <v>48</v>
      </c>
      <c r="AM84" s="40" t="s">
        <v>48</v>
      </c>
      <c r="AN84" s="40" t="s">
        <v>48</v>
      </c>
      <c r="AP84" s="33"/>
      <c r="AQ84" s="38" t="str">
        <f>Notes!U85</f>
        <v xml:space="preserve">               Textiles</v>
      </c>
      <c r="AR84" s="4" t="s">
        <v>725</v>
      </c>
      <c r="AS84" s="44" t="s">
        <v>48</v>
      </c>
      <c r="AT84" s="42" t="s">
        <v>48</v>
      </c>
      <c r="AU84" s="40" t="s">
        <v>48</v>
      </c>
      <c r="AV84" s="40" t="s">
        <v>48</v>
      </c>
      <c r="AW84" s="40" t="s">
        <v>48</v>
      </c>
      <c r="AX84" s="40" t="s">
        <v>48</v>
      </c>
      <c r="AY84" s="40" t="s">
        <v>48</v>
      </c>
      <c r="AZ84" s="40" t="s">
        <v>48</v>
      </c>
      <c r="BA84" s="40" t="s">
        <v>48</v>
      </c>
      <c r="BB84" s="40" t="s">
        <v>48</v>
      </c>
      <c r="BC84" s="40" t="s">
        <v>48</v>
      </c>
      <c r="BD84" s="40" t="s">
        <v>48</v>
      </c>
      <c r="BE84" s="40" t="s">
        <v>48</v>
      </c>
      <c r="BF84" s="40" t="s">
        <v>48</v>
      </c>
      <c r="BG84" s="40" t="s">
        <v>48</v>
      </c>
      <c r="BH84" s="40" t="s">
        <v>48</v>
      </c>
      <c r="BJ84" s="33"/>
      <c r="BK84" s="38" t="str">
        <f>Notes!U85</f>
        <v xml:space="preserve">               Textiles</v>
      </c>
      <c r="BL84" s="4" t="s">
        <v>725</v>
      </c>
      <c r="BM84" s="44">
        <v>15.502432378390827</v>
      </c>
      <c r="BN84" s="42" t="s">
        <v>48</v>
      </c>
      <c r="BO84" s="40" t="s">
        <v>48</v>
      </c>
      <c r="BP84" s="40" t="s">
        <v>48</v>
      </c>
      <c r="BQ84" s="40" t="s">
        <v>48</v>
      </c>
      <c r="BR84" s="40" t="s">
        <v>48</v>
      </c>
      <c r="BS84" s="40" t="s">
        <v>48</v>
      </c>
      <c r="BT84" s="40" t="s">
        <v>48</v>
      </c>
      <c r="BU84" s="40" t="s">
        <v>48</v>
      </c>
      <c r="BV84" s="40" t="s">
        <v>48</v>
      </c>
      <c r="BW84" s="40" t="s">
        <v>48</v>
      </c>
      <c r="BX84" s="40" t="s">
        <v>48</v>
      </c>
      <c r="BY84" s="40" t="s">
        <v>48</v>
      </c>
      <c r="BZ84" s="40" t="s">
        <v>48</v>
      </c>
      <c r="CA84" s="40" t="s">
        <v>48</v>
      </c>
      <c r="CB84" s="40" t="s">
        <v>48</v>
      </c>
      <c r="CD84" s="33"/>
      <c r="CE84" s="38" t="str">
        <f>Notes!U85</f>
        <v xml:space="preserve">               Textiles</v>
      </c>
      <c r="CF84" s="4" t="s">
        <v>725</v>
      </c>
      <c r="CG84" s="44" t="s">
        <v>48</v>
      </c>
      <c r="CH84" s="42" t="s">
        <v>48</v>
      </c>
      <c r="CI84" s="40" t="s">
        <v>48</v>
      </c>
      <c r="CJ84" s="40" t="s">
        <v>48</v>
      </c>
      <c r="CK84" s="40" t="s">
        <v>48</v>
      </c>
      <c r="CL84" s="40" t="s">
        <v>48</v>
      </c>
      <c r="CM84" s="40" t="s">
        <v>48</v>
      </c>
      <c r="CN84" s="40" t="s">
        <v>48</v>
      </c>
      <c r="CO84" s="40" t="s">
        <v>48</v>
      </c>
      <c r="CP84" s="40" t="s">
        <v>48</v>
      </c>
      <c r="CQ84" s="40" t="s">
        <v>48</v>
      </c>
      <c r="CR84" s="40" t="s">
        <v>48</v>
      </c>
      <c r="CS84" s="40" t="s">
        <v>48</v>
      </c>
      <c r="CT84" s="40" t="s">
        <v>48</v>
      </c>
      <c r="CU84" s="40" t="s">
        <v>48</v>
      </c>
      <c r="CV84" s="40" t="s">
        <v>48</v>
      </c>
      <c r="CX84" s="33"/>
      <c r="CY84" s="38" t="str">
        <f>Notes!U85</f>
        <v xml:space="preserve">               Textiles</v>
      </c>
      <c r="CZ84" s="4" t="s">
        <v>725</v>
      </c>
      <c r="DA84" s="44">
        <v>14.27778125570833</v>
      </c>
      <c r="DB84" s="42" t="s">
        <v>48</v>
      </c>
      <c r="DC84" s="40" t="s">
        <v>48</v>
      </c>
      <c r="DD84" s="40" t="s">
        <v>48</v>
      </c>
      <c r="DE84" s="40" t="s">
        <v>48</v>
      </c>
      <c r="DF84" s="40" t="s">
        <v>48</v>
      </c>
      <c r="DG84" s="40" t="s">
        <v>48</v>
      </c>
      <c r="DH84" s="40" t="s">
        <v>48</v>
      </c>
      <c r="DI84" s="40" t="s">
        <v>48</v>
      </c>
      <c r="DJ84" s="40" t="s">
        <v>48</v>
      </c>
      <c r="DK84" s="40" t="s">
        <v>48</v>
      </c>
      <c r="DL84" s="40" t="s">
        <v>48</v>
      </c>
      <c r="DM84" s="40" t="s">
        <v>48</v>
      </c>
      <c r="DN84" s="40" t="s">
        <v>48</v>
      </c>
      <c r="DO84" s="40" t="s">
        <v>48</v>
      </c>
      <c r="DP84" s="40" t="s">
        <v>48</v>
      </c>
    </row>
    <row r="85" spans="1:120" x14ac:dyDescent="0.35">
      <c r="A85" s="12">
        <v>78</v>
      </c>
      <c r="B85" s="33"/>
      <c r="C85" s="38" t="str">
        <f>Notes!U86</f>
        <v xml:space="preserve">               Clothing</v>
      </c>
      <c r="D85" s="4" t="s">
        <v>357</v>
      </c>
      <c r="E85" s="44">
        <v>8.3326922616762097E-2</v>
      </c>
      <c r="F85" s="42" t="s">
        <v>48</v>
      </c>
      <c r="G85" s="40" t="s">
        <v>48</v>
      </c>
      <c r="H85" s="40" t="s">
        <v>48</v>
      </c>
      <c r="I85" s="40" t="s">
        <v>48</v>
      </c>
      <c r="J85" s="40" t="s">
        <v>48</v>
      </c>
      <c r="K85" s="40" t="s">
        <v>48</v>
      </c>
      <c r="L85" s="40" t="s">
        <v>48</v>
      </c>
      <c r="M85" s="40" t="s">
        <v>48</v>
      </c>
      <c r="N85" s="40" t="s">
        <v>48</v>
      </c>
      <c r="O85" s="40" t="s">
        <v>48</v>
      </c>
      <c r="P85" s="40" t="s">
        <v>48</v>
      </c>
      <c r="Q85" s="40" t="s">
        <v>48</v>
      </c>
      <c r="R85" s="40" t="s">
        <v>48</v>
      </c>
      <c r="S85" s="40" t="s">
        <v>48</v>
      </c>
      <c r="T85" s="40" t="s">
        <v>48</v>
      </c>
      <c r="V85" s="33"/>
      <c r="W85" s="38" t="str">
        <f>Notes!U86</f>
        <v xml:space="preserve">               Clothing</v>
      </c>
      <c r="X85" s="4" t="s">
        <v>357</v>
      </c>
      <c r="Y85" s="44">
        <v>1.6795162822334269</v>
      </c>
      <c r="Z85" s="42" t="s">
        <v>48</v>
      </c>
      <c r="AA85" s="40" t="s">
        <v>48</v>
      </c>
      <c r="AB85" s="40" t="s">
        <v>48</v>
      </c>
      <c r="AC85" s="40" t="s">
        <v>48</v>
      </c>
      <c r="AD85" s="40" t="s">
        <v>48</v>
      </c>
      <c r="AE85" s="40" t="s">
        <v>48</v>
      </c>
      <c r="AF85" s="40" t="s">
        <v>48</v>
      </c>
      <c r="AG85" s="40" t="s">
        <v>48</v>
      </c>
      <c r="AH85" s="40" t="s">
        <v>48</v>
      </c>
      <c r="AI85" s="40" t="s">
        <v>48</v>
      </c>
      <c r="AJ85" s="40" t="s">
        <v>48</v>
      </c>
      <c r="AK85" s="40" t="s">
        <v>48</v>
      </c>
      <c r="AL85" s="40" t="s">
        <v>48</v>
      </c>
      <c r="AM85" s="40" t="s">
        <v>48</v>
      </c>
      <c r="AN85" s="40" t="s">
        <v>48</v>
      </c>
      <c r="AP85" s="33"/>
      <c r="AQ85" s="38" t="str">
        <f>Notes!U86</f>
        <v xml:space="preserve">               Clothing</v>
      </c>
      <c r="AR85" s="4" t="s">
        <v>357</v>
      </c>
      <c r="AS85" s="44" t="s">
        <v>48</v>
      </c>
      <c r="AT85" s="42" t="s">
        <v>48</v>
      </c>
      <c r="AU85" s="40" t="s">
        <v>48</v>
      </c>
      <c r="AV85" s="40" t="s">
        <v>48</v>
      </c>
      <c r="AW85" s="40" t="s">
        <v>48</v>
      </c>
      <c r="AX85" s="40" t="s">
        <v>48</v>
      </c>
      <c r="AY85" s="40" t="s">
        <v>48</v>
      </c>
      <c r="AZ85" s="40" t="s">
        <v>48</v>
      </c>
      <c r="BA85" s="40" t="s">
        <v>48</v>
      </c>
      <c r="BB85" s="40" t="s">
        <v>48</v>
      </c>
      <c r="BC85" s="40" t="s">
        <v>48</v>
      </c>
      <c r="BD85" s="40" t="s">
        <v>48</v>
      </c>
      <c r="BE85" s="40" t="s">
        <v>48</v>
      </c>
      <c r="BF85" s="40" t="s">
        <v>48</v>
      </c>
      <c r="BG85" s="40" t="s">
        <v>48</v>
      </c>
      <c r="BH85" s="40" t="s">
        <v>48</v>
      </c>
      <c r="BJ85" s="33"/>
      <c r="BK85" s="38" t="str">
        <f>Notes!U86</f>
        <v xml:space="preserve">               Clothing</v>
      </c>
      <c r="BL85" s="4" t="s">
        <v>357</v>
      </c>
      <c r="BM85" s="44">
        <v>6.4137763709676801</v>
      </c>
      <c r="BN85" s="42" t="s">
        <v>48</v>
      </c>
      <c r="BO85" s="40" t="s">
        <v>48</v>
      </c>
      <c r="BP85" s="40" t="s">
        <v>48</v>
      </c>
      <c r="BQ85" s="40" t="s">
        <v>48</v>
      </c>
      <c r="BR85" s="40" t="s">
        <v>48</v>
      </c>
      <c r="BS85" s="40" t="s">
        <v>48</v>
      </c>
      <c r="BT85" s="40" t="s">
        <v>48</v>
      </c>
      <c r="BU85" s="40" t="s">
        <v>48</v>
      </c>
      <c r="BV85" s="40" t="s">
        <v>48</v>
      </c>
      <c r="BW85" s="40" t="s">
        <v>48</v>
      </c>
      <c r="BX85" s="40" t="s">
        <v>48</v>
      </c>
      <c r="BY85" s="40" t="s">
        <v>48</v>
      </c>
      <c r="BZ85" s="40" t="s">
        <v>48</v>
      </c>
      <c r="CA85" s="40" t="s">
        <v>48</v>
      </c>
      <c r="CB85" s="40" t="s">
        <v>48</v>
      </c>
      <c r="CD85" s="33"/>
      <c r="CE85" s="38" t="str">
        <f>Notes!U86</f>
        <v xml:space="preserve">               Clothing</v>
      </c>
      <c r="CF85" s="4" t="s">
        <v>357</v>
      </c>
      <c r="CG85" s="44" t="s">
        <v>48</v>
      </c>
      <c r="CH85" s="42" t="s">
        <v>48</v>
      </c>
      <c r="CI85" s="40" t="s">
        <v>48</v>
      </c>
      <c r="CJ85" s="40" t="s">
        <v>48</v>
      </c>
      <c r="CK85" s="40" t="s">
        <v>48</v>
      </c>
      <c r="CL85" s="40" t="s">
        <v>48</v>
      </c>
      <c r="CM85" s="40" t="s">
        <v>48</v>
      </c>
      <c r="CN85" s="40" t="s">
        <v>48</v>
      </c>
      <c r="CO85" s="40" t="s">
        <v>48</v>
      </c>
      <c r="CP85" s="40" t="s">
        <v>48</v>
      </c>
      <c r="CQ85" s="40" t="s">
        <v>48</v>
      </c>
      <c r="CR85" s="40" t="s">
        <v>48</v>
      </c>
      <c r="CS85" s="40" t="s">
        <v>48</v>
      </c>
      <c r="CT85" s="40" t="s">
        <v>48</v>
      </c>
      <c r="CU85" s="40" t="s">
        <v>48</v>
      </c>
      <c r="CV85" s="40" t="s">
        <v>48</v>
      </c>
      <c r="CX85" s="33"/>
      <c r="CY85" s="38" t="str">
        <f>Notes!U86</f>
        <v xml:space="preserve">               Clothing</v>
      </c>
      <c r="CZ85" s="4" t="s">
        <v>357</v>
      </c>
      <c r="DA85" s="44">
        <v>5.0411092312356001</v>
      </c>
      <c r="DB85" s="42" t="s">
        <v>48</v>
      </c>
      <c r="DC85" s="40" t="s">
        <v>48</v>
      </c>
      <c r="DD85" s="40" t="s">
        <v>48</v>
      </c>
      <c r="DE85" s="40" t="s">
        <v>48</v>
      </c>
      <c r="DF85" s="40" t="s">
        <v>48</v>
      </c>
      <c r="DG85" s="40" t="s">
        <v>48</v>
      </c>
      <c r="DH85" s="40" t="s">
        <v>48</v>
      </c>
      <c r="DI85" s="40" t="s">
        <v>48</v>
      </c>
      <c r="DJ85" s="40" t="s">
        <v>48</v>
      </c>
      <c r="DK85" s="40" t="s">
        <v>48</v>
      </c>
      <c r="DL85" s="40" t="s">
        <v>48</v>
      </c>
      <c r="DM85" s="40" t="s">
        <v>48</v>
      </c>
      <c r="DN85" s="40" t="s">
        <v>48</v>
      </c>
      <c r="DO85" s="40" t="s">
        <v>48</v>
      </c>
      <c r="DP85" s="40" t="s">
        <v>48</v>
      </c>
    </row>
    <row r="86" spans="1:120" x14ac:dyDescent="0.35">
      <c r="A86" s="12">
        <v>79</v>
      </c>
      <c r="B86" s="33"/>
      <c r="C86" s="38" t="str">
        <f>Notes!U87</f>
        <v xml:space="preserve">               Leather and footwear</v>
      </c>
      <c r="D86" s="4" t="s">
        <v>726</v>
      </c>
      <c r="E86" s="44">
        <v>0.26209563449477558</v>
      </c>
      <c r="F86" s="42" t="s">
        <v>48</v>
      </c>
      <c r="G86" s="40" t="s">
        <v>48</v>
      </c>
      <c r="H86" s="40" t="s">
        <v>48</v>
      </c>
      <c r="I86" s="40" t="s">
        <v>48</v>
      </c>
      <c r="J86" s="40" t="s">
        <v>48</v>
      </c>
      <c r="K86" s="40" t="s">
        <v>48</v>
      </c>
      <c r="L86" s="40" t="s">
        <v>48</v>
      </c>
      <c r="M86" s="40" t="s">
        <v>48</v>
      </c>
      <c r="N86" s="40" t="s">
        <v>48</v>
      </c>
      <c r="O86" s="40" t="s">
        <v>48</v>
      </c>
      <c r="P86" s="40" t="s">
        <v>48</v>
      </c>
      <c r="Q86" s="40" t="s">
        <v>48</v>
      </c>
      <c r="R86" s="40" t="s">
        <v>48</v>
      </c>
      <c r="S86" s="40" t="s">
        <v>48</v>
      </c>
      <c r="T86" s="40" t="s">
        <v>48</v>
      </c>
      <c r="V86" s="33"/>
      <c r="W86" s="38" t="str">
        <f>Notes!U87</f>
        <v xml:space="preserve">               Leather and footwear</v>
      </c>
      <c r="X86" s="4" t="s">
        <v>726</v>
      </c>
      <c r="Y86" s="44">
        <v>0.33220332087285576</v>
      </c>
      <c r="Z86" s="42" t="s">
        <v>48</v>
      </c>
      <c r="AA86" s="40" t="s">
        <v>48</v>
      </c>
      <c r="AB86" s="40" t="s">
        <v>48</v>
      </c>
      <c r="AC86" s="40" t="s">
        <v>48</v>
      </c>
      <c r="AD86" s="40" t="s">
        <v>48</v>
      </c>
      <c r="AE86" s="40" t="s">
        <v>48</v>
      </c>
      <c r="AF86" s="40" t="s">
        <v>48</v>
      </c>
      <c r="AG86" s="40" t="s">
        <v>48</v>
      </c>
      <c r="AH86" s="40" t="s">
        <v>48</v>
      </c>
      <c r="AI86" s="40" t="s">
        <v>48</v>
      </c>
      <c r="AJ86" s="40" t="s">
        <v>48</v>
      </c>
      <c r="AK86" s="40" t="s">
        <v>48</v>
      </c>
      <c r="AL86" s="40" t="s">
        <v>48</v>
      </c>
      <c r="AM86" s="40" t="s">
        <v>48</v>
      </c>
      <c r="AN86" s="40" t="s">
        <v>48</v>
      </c>
      <c r="AP86" s="33"/>
      <c r="AQ86" s="38" t="str">
        <f>Notes!U87</f>
        <v xml:space="preserve">               Leather and footwear</v>
      </c>
      <c r="AR86" s="4" t="s">
        <v>726</v>
      </c>
      <c r="AS86" s="44">
        <v>0.28049782495876191</v>
      </c>
      <c r="AT86" s="42" t="s">
        <v>48</v>
      </c>
      <c r="AU86" s="40" t="s">
        <v>48</v>
      </c>
      <c r="AV86" s="40" t="s">
        <v>48</v>
      </c>
      <c r="AW86" s="40" t="s">
        <v>48</v>
      </c>
      <c r="AX86" s="40" t="s">
        <v>48</v>
      </c>
      <c r="AY86" s="40" t="s">
        <v>48</v>
      </c>
      <c r="AZ86" s="40" t="s">
        <v>48</v>
      </c>
      <c r="BA86" s="40" t="s">
        <v>48</v>
      </c>
      <c r="BB86" s="40" t="s">
        <v>48</v>
      </c>
      <c r="BC86" s="40" t="s">
        <v>48</v>
      </c>
      <c r="BD86" s="40" t="s">
        <v>48</v>
      </c>
      <c r="BE86" s="40" t="s">
        <v>48</v>
      </c>
      <c r="BF86" s="40" t="s">
        <v>48</v>
      </c>
      <c r="BG86" s="40" t="s">
        <v>48</v>
      </c>
      <c r="BH86" s="40" t="s">
        <v>48</v>
      </c>
      <c r="BJ86" s="33"/>
      <c r="BK86" s="38" t="str">
        <f>Notes!U87</f>
        <v xml:space="preserve">               Leather and footwear</v>
      </c>
      <c r="BL86" s="4" t="s">
        <v>726</v>
      </c>
      <c r="BM86" s="44">
        <v>0.41573404948860304</v>
      </c>
      <c r="BN86" s="42" t="s">
        <v>48</v>
      </c>
      <c r="BO86" s="40" t="s">
        <v>48</v>
      </c>
      <c r="BP86" s="40" t="s">
        <v>48</v>
      </c>
      <c r="BQ86" s="40" t="s">
        <v>48</v>
      </c>
      <c r="BR86" s="40" t="s">
        <v>48</v>
      </c>
      <c r="BS86" s="40" t="s">
        <v>48</v>
      </c>
      <c r="BT86" s="40" t="s">
        <v>48</v>
      </c>
      <c r="BU86" s="40" t="s">
        <v>48</v>
      </c>
      <c r="BV86" s="40" t="s">
        <v>48</v>
      </c>
      <c r="BW86" s="40" t="s">
        <v>48</v>
      </c>
      <c r="BX86" s="40" t="s">
        <v>48</v>
      </c>
      <c r="BY86" s="40" t="s">
        <v>48</v>
      </c>
      <c r="BZ86" s="40" t="s">
        <v>48</v>
      </c>
      <c r="CA86" s="40" t="s">
        <v>48</v>
      </c>
      <c r="CB86" s="40" t="s">
        <v>48</v>
      </c>
      <c r="CD86" s="33"/>
      <c r="CE86" s="38" t="str">
        <f>Notes!U87</f>
        <v xml:space="preserve">               Leather and footwear</v>
      </c>
      <c r="CF86" s="4" t="s">
        <v>726</v>
      </c>
      <c r="CG86" s="44">
        <v>0.28249247272294242</v>
      </c>
      <c r="CH86" s="42" t="s">
        <v>48</v>
      </c>
      <c r="CI86" s="40" t="s">
        <v>48</v>
      </c>
      <c r="CJ86" s="40" t="s">
        <v>48</v>
      </c>
      <c r="CK86" s="40" t="s">
        <v>48</v>
      </c>
      <c r="CL86" s="40" t="s">
        <v>48</v>
      </c>
      <c r="CM86" s="40" t="s">
        <v>48</v>
      </c>
      <c r="CN86" s="40" t="s">
        <v>48</v>
      </c>
      <c r="CO86" s="40" t="s">
        <v>48</v>
      </c>
      <c r="CP86" s="40" t="s">
        <v>48</v>
      </c>
      <c r="CQ86" s="40" t="s">
        <v>48</v>
      </c>
      <c r="CR86" s="40" t="s">
        <v>48</v>
      </c>
      <c r="CS86" s="40" t="s">
        <v>48</v>
      </c>
      <c r="CT86" s="40" t="s">
        <v>48</v>
      </c>
      <c r="CU86" s="40" t="s">
        <v>48</v>
      </c>
      <c r="CV86" s="40" t="s">
        <v>48</v>
      </c>
      <c r="CX86" s="33"/>
      <c r="CY86" s="38" t="str">
        <f>Notes!U87</f>
        <v xml:space="preserve">               Leather and footwear</v>
      </c>
      <c r="CZ86" s="4" t="s">
        <v>726</v>
      </c>
      <c r="DA86" s="44">
        <v>0.46460064976416982</v>
      </c>
      <c r="DB86" s="42" t="s">
        <v>48</v>
      </c>
      <c r="DC86" s="40" t="s">
        <v>48</v>
      </c>
      <c r="DD86" s="40" t="s">
        <v>48</v>
      </c>
      <c r="DE86" s="40" t="s">
        <v>48</v>
      </c>
      <c r="DF86" s="40" t="s">
        <v>48</v>
      </c>
      <c r="DG86" s="40" t="s">
        <v>48</v>
      </c>
      <c r="DH86" s="40" t="s">
        <v>48</v>
      </c>
      <c r="DI86" s="40" t="s">
        <v>48</v>
      </c>
      <c r="DJ86" s="40" t="s">
        <v>48</v>
      </c>
      <c r="DK86" s="40" t="s">
        <v>48</v>
      </c>
      <c r="DL86" s="40" t="s">
        <v>48</v>
      </c>
      <c r="DM86" s="40" t="s">
        <v>48</v>
      </c>
      <c r="DN86" s="40" t="s">
        <v>48</v>
      </c>
      <c r="DO86" s="40" t="s">
        <v>48</v>
      </c>
      <c r="DP86" s="40" t="s">
        <v>48</v>
      </c>
    </row>
    <row r="87" spans="1:120" x14ac:dyDescent="0.35">
      <c r="A87" s="12">
        <v>80</v>
      </c>
      <c r="B87" s="33"/>
      <c r="C87" s="38" t="str">
        <f>Notes!U88</f>
        <v xml:space="preserve">               Wood and paper products</v>
      </c>
      <c r="D87" s="4" t="s">
        <v>727</v>
      </c>
      <c r="E87" s="44">
        <v>0.43038129743928838</v>
      </c>
      <c r="F87" s="42" t="s">
        <v>48</v>
      </c>
      <c r="G87" s="40" t="s">
        <v>48</v>
      </c>
      <c r="H87" s="40" t="s">
        <v>48</v>
      </c>
      <c r="I87" s="40" t="s">
        <v>48</v>
      </c>
      <c r="J87" s="40" t="s">
        <v>48</v>
      </c>
      <c r="K87" s="40" t="s">
        <v>48</v>
      </c>
      <c r="L87" s="40" t="s">
        <v>48</v>
      </c>
      <c r="M87" s="40" t="s">
        <v>48</v>
      </c>
      <c r="N87" s="40" t="s">
        <v>48</v>
      </c>
      <c r="O87" s="40" t="s">
        <v>48</v>
      </c>
      <c r="P87" s="40" t="s">
        <v>48</v>
      </c>
      <c r="Q87" s="40" t="s">
        <v>48</v>
      </c>
      <c r="R87" s="40" t="s">
        <v>48</v>
      </c>
      <c r="S87" s="40" t="s">
        <v>48</v>
      </c>
      <c r="T87" s="40" t="s">
        <v>48</v>
      </c>
      <c r="V87" s="33"/>
      <c r="W87" s="38" t="str">
        <f>Notes!U88</f>
        <v xml:space="preserve">               Wood and paper products</v>
      </c>
      <c r="X87" s="4" t="s">
        <v>727</v>
      </c>
      <c r="Y87" s="44">
        <v>0.940252141939386</v>
      </c>
      <c r="Z87" s="42" t="s">
        <v>48</v>
      </c>
      <c r="AA87" s="40" t="s">
        <v>48</v>
      </c>
      <c r="AB87" s="40" t="s">
        <v>48</v>
      </c>
      <c r="AC87" s="40" t="s">
        <v>48</v>
      </c>
      <c r="AD87" s="40" t="s">
        <v>48</v>
      </c>
      <c r="AE87" s="40" t="s">
        <v>48</v>
      </c>
      <c r="AF87" s="40" t="s">
        <v>48</v>
      </c>
      <c r="AG87" s="40" t="s">
        <v>48</v>
      </c>
      <c r="AH87" s="40" t="s">
        <v>48</v>
      </c>
      <c r="AI87" s="40" t="s">
        <v>48</v>
      </c>
      <c r="AJ87" s="40" t="s">
        <v>48</v>
      </c>
      <c r="AK87" s="40" t="s">
        <v>48</v>
      </c>
      <c r="AL87" s="40" t="s">
        <v>48</v>
      </c>
      <c r="AM87" s="40" t="s">
        <v>48</v>
      </c>
      <c r="AN87" s="40" t="s">
        <v>48</v>
      </c>
      <c r="AP87" s="33"/>
      <c r="AQ87" s="38" t="str">
        <f>Notes!U88</f>
        <v xml:space="preserve">               Wood and paper products</v>
      </c>
      <c r="AR87" s="4" t="s">
        <v>727</v>
      </c>
      <c r="AS87" s="44">
        <v>2.2447461115022338</v>
      </c>
      <c r="AT87" s="42" t="s">
        <v>48</v>
      </c>
      <c r="AU87" s="40" t="s">
        <v>48</v>
      </c>
      <c r="AV87" s="40" t="s">
        <v>48</v>
      </c>
      <c r="AW87" s="40" t="s">
        <v>48</v>
      </c>
      <c r="AX87" s="40" t="s">
        <v>48</v>
      </c>
      <c r="AY87" s="40" t="s">
        <v>48</v>
      </c>
      <c r="AZ87" s="40" t="s">
        <v>48</v>
      </c>
      <c r="BA87" s="40" t="s">
        <v>48</v>
      </c>
      <c r="BB87" s="40" t="s">
        <v>48</v>
      </c>
      <c r="BC87" s="40" t="s">
        <v>48</v>
      </c>
      <c r="BD87" s="40" t="s">
        <v>48</v>
      </c>
      <c r="BE87" s="40" t="s">
        <v>48</v>
      </c>
      <c r="BF87" s="40" t="s">
        <v>48</v>
      </c>
      <c r="BG87" s="40" t="s">
        <v>48</v>
      </c>
      <c r="BH87" s="40" t="s">
        <v>48</v>
      </c>
      <c r="BJ87" s="33"/>
      <c r="BK87" s="38" t="str">
        <f>Notes!U88</f>
        <v xml:space="preserve">               Wood and paper products</v>
      </c>
      <c r="BL87" s="4" t="s">
        <v>727</v>
      </c>
      <c r="BM87" s="44">
        <v>3.2967417170175586</v>
      </c>
      <c r="BN87" s="42" t="s">
        <v>48</v>
      </c>
      <c r="BO87" s="40" t="s">
        <v>48</v>
      </c>
      <c r="BP87" s="40" t="s">
        <v>48</v>
      </c>
      <c r="BQ87" s="40" t="s">
        <v>48</v>
      </c>
      <c r="BR87" s="40" t="s">
        <v>48</v>
      </c>
      <c r="BS87" s="40" t="s">
        <v>48</v>
      </c>
      <c r="BT87" s="40" t="s">
        <v>48</v>
      </c>
      <c r="BU87" s="40" t="s">
        <v>48</v>
      </c>
      <c r="BV87" s="40" t="s">
        <v>48</v>
      </c>
      <c r="BW87" s="40" t="s">
        <v>48</v>
      </c>
      <c r="BX87" s="40" t="s">
        <v>48</v>
      </c>
      <c r="BY87" s="40" t="s">
        <v>48</v>
      </c>
      <c r="BZ87" s="40" t="s">
        <v>48</v>
      </c>
      <c r="CA87" s="40" t="s">
        <v>48</v>
      </c>
      <c r="CB87" s="40" t="s">
        <v>48</v>
      </c>
      <c r="CD87" s="33"/>
      <c r="CE87" s="38" t="str">
        <f>Notes!U88</f>
        <v xml:space="preserve">               Wood and paper products</v>
      </c>
      <c r="CF87" s="4" t="s">
        <v>727</v>
      </c>
      <c r="CG87" s="44">
        <v>2.2113190740860329</v>
      </c>
      <c r="CH87" s="42" t="s">
        <v>48</v>
      </c>
      <c r="CI87" s="40" t="s">
        <v>48</v>
      </c>
      <c r="CJ87" s="40" t="s">
        <v>48</v>
      </c>
      <c r="CK87" s="40" t="s">
        <v>48</v>
      </c>
      <c r="CL87" s="40" t="s">
        <v>48</v>
      </c>
      <c r="CM87" s="40" t="s">
        <v>48</v>
      </c>
      <c r="CN87" s="40" t="s">
        <v>48</v>
      </c>
      <c r="CO87" s="40" t="s">
        <v>48</v>
      </c>
      <c r="CP87" s="40" t="s">
        <v>48</v>
      </c>
      <c r="CQ87" s="40" t="s">
        <v>48</v>
      </c>
      <c r="CR87" s="40" t="s">
        <v>48</v>
      </c>
      <c r="CS87" s="40" t="s">
        <v>48</v>
      </c>
      <c r="CT87" s="40" t="s">
        <v>48</v>
      </c>
      <c r="CU87" s="40" t="s">
        <v>48</v>
      </c>
      <c r="CV87" s="40" t="s">
        <v>48</v>
      </c>
      <c r="CX87" s="33"/>
      <c r="CY87" s="38" t="str">
        <f>Notes!U88</f>
        <v xml:space="preserve">               Wood and paper products</v>
      </c>
      <c r="CZ87" s="4" t="s">
        <v>727</v>
      </c>
      <c r="DA87" s="44">
        <v>3.7665378758473413</v>
      </c>
      <c r="DB87" s="42" t="s">
        <v>48</v>
      </c>
      <c r="DC87" s="40" t="s">
        <v>48</v>
      </c>
      <c r="DD87" s="40" t="s">
        <v>48</v>
      </c>
      <c r="DE87" s="40" t="s">
        <v>48</v>
      </c>
      <c r="DF87" s="40" t="s">
        <v>48</v>
      </c>
      <c r="DG87" s="40" t="s">
        <v>48</v>
      </c>
      <c r="DH87" s="40" t="s">
        <v>48</v>
      </c>
      <c r="DI87" s="40" t="s">
        <v>48</v>
      </c>
      <c r="DJ87" s="40" t="s">
        <v>48</v>
      </c>
      <c r="DK87" s="40" t="s">
        <v>48</v>
      </c>
      <c r="DL87" s="40" t="s">
        <v>48</v>
      </c>
      <c r="DM87" s="40" t="s">
        <v>48</v>
      </c>
      <c r="DN87" s="40" t="s">
        <v>48</v>
      </c>
      <c r="DO87" s="40" t="s">
        <v>48</v>
      </c>
      <c r="DP87" s="40" t="s">
        <v>48</v>
      </c>
    </row>
    <row r="88" spans="1:120" x14ac:dyDescent="0.35">
      <c r="A88" s="12">
        <v>81</v>
      </c>
      <c r="B88" s="33"/>
      <c r="C88" s="38" t="str">
        <f>Notes!U89</f>
        <v xml:space="preserve">               Wood products</v>
      </c>
      <c r="D88" s="4" t="s">
        <v>360</v>
      </c>
      <c r="E88" s="44">
        <v>14.364390448756728</v>
      </c>
      <c r="F88" s="42" t="s">
        <v>48</v>
      </c>
      <c r="G88" s="40" t="s">
        <v>48</v>
      </c>
      <c r="H88" s="40" t="s">
        <v>48</v>
      </c>
      <c r="I88" s="40" t="s">
        <v>48</v>
      </c>
      <c r="J88" s="40" t="s">
        <v>48</v>
      </c>
      <c r="K88" s="40" t="s">
        <v>48</v>
      </c>
      <c r="L88" s="40" t="s">
        <v>48</v>
      </c>
      <c r="M88" s="40" t="s">
        <v>48</v>
      </c>
      <c r="N88" s="40" t="s">
        <v>48</v>
      </c>
      <c r="O88" s="40" t="s">
        <v>48</v>
      </c>
      <c r="P88" s="40" t="s">
        <v>48</v>
      </c>
      <c r="Q88" s="40" t="s">
        <v>48</v>
      </c>
      <c r="R88" s="40" t="s">
        <v>48</v>
      </c>
      <c r="S88" s="40" t="s">
        <v>48</v>
      </c>
      <c r="T88" s="40" t="s">
        <v>48</v>
      </c>
      <c r="V88" s="33"/>
      <c r="W88" s="38" t="str">
        <f>Notes!U89</f>
        <v xml:space="preserve">               Wood products</v>
      </c>
      <c r="X88" s="4" t="s">
        <v>360</v>
      </c>
      <c r="Y88" s="44">
        <v>11.537027001405495</v>
      </c>
      <c r="Z88" s="42" t="s">
        <v>48</v>
      </c>
      <c r="AA88" s="40" t="s">
        <v>48</v>
      </c>
      <c r="AB88" s="40" t="s">
        <v>48</v>
      </c>
      <c r="AC88" s="40" t="s">
        <v>48</v>
      </c>
      <c r="AD88" s="40" t="s">
        <v>48</v>
      </c>
      <c r="AE88" s="40" t="s">
        <v>48</v>
      </c>
      <c r="AF88" s="40" t="s">
        <v>48</v>
      </c>
      <c r="AG88" s="40" t="s">
        <v>48</v>
      </c>
      <c r="AH88" s="40" t="s">
        <v>48</v>
      </c>
      <c r="AI88" s="40" t="s">
        <v>48</v>
      </c>
      <c r="AJ88" s="40" t="s">
        <v>48</v>
      </c>
      <c r="AK88" s="40" t="s">
        <v>48</v>
      </c>
      <c r="AL88" s="40" t="s">
        <v>48</v>
      </c>
      <c r="AM88" s="40" t="s">
        <v>48</v>
      </c>
      <c r="AN88" s="40" t="s">
        <v>48</v>
      </c>
      <c r="AP88" s="33"/>
      <c r="AQ88" s="38" t="str">
        <f>Notes!U89</f>
        <v xml:space="preserve">               Wood products</v>
      </c>
      <c r="AR88" s="4" t="s">
        <v>360</v>
      </c>
      <c r="AS88" s="44">
        <v>4.0144134890425516</v>
      </c>
      <c r="AT88" s="42" t="s">
        <v>48</v>
      </c>
      <c r="AU88" s="40" t="s">
        <v>48</v>
      </c>
      <c r="AV88" s="40" t="s">
        <v>48</v>
      </c>
      <c r="AW88" s="40" t="s">
        <v>48</v>
      </c>
      <c r="AX88" s="40" t="s">
        <v>48</v>
      </c>
      <c r="AY88" s="40" t="s">
        <v>48</v>
      </c>
      <c r="AZ88" s="40" t="s">
        <v>48</v>
      </c>
      <c r="BA88" s="40" t="s">
        <v>48</v>
      </c>
      <c r="BB88" s="40" t="s">
        <v>48</v>
      </c>
      <c r="BC88" s="40" t="s">
        <v>48</v>
      </c>
      <c r="BD88" s="40" t="s">
        <v>48</v>
      </c>
      <c r="BE88" s="40" t="s">
        <v>48</v>
      </c>
      <c r="BF88" s="40" t="s">
        <v>48</v>
      </c>
      <c r="BG88" s="40" t="s">
        <v>48</v>
      </c>
      <c r="BH88" s="40" t="s">
        <v>48</v>
      </c>
      <c r="BJ88" s="33"/>
      <c r="BK88" s="38" t="str">
        <f>Notes!U89</f>
        <v xml:space="preserve">               Wood products</v>
      </c>
      <c r="BL88" s="4" t="s">
        <v>360</v>
      </c>
      <c r="BM88" s="44">
        <v>0.58079342024966618</v>
      </c>
      <c r="BN88" s="42" t="s">
        <v>48</v>
      </c>
      <c r="BO88" s="40" t="s">
        <v>48</v>
      </c>
      <c r="BP88" s="40" t="s">
        <v>48</v>
      </c>
      <c r="BQ88" s="40" t="s">
        <v>48</v>
      </c>
      <c r="BR88" s="40" t="s">
        <v>48</v>
      </c>
      <c r="BS88" s="40" t="s">
        <v>48</v>
      </c>
      <c r="BT88" s="40" t="s">
        <v>48</v>
      </c>
      <c r="BU88" s="40" t="s">
        <v>48</v>
      </c>
      <c r="BV88" s="40" t="s">
        <v>48</v>
      </c>
      <c r="BW88" s="40" t="s">
        <v>48</v>
      </c>
      <c r="BX88" s="40" t="s">
        <v>48</v>
      </c>
      <c r="BY88" s="40" t="s">
        <v>48</v>
      </c>
      <c r="BZ88" s="40" t="s">
        <v>48</v>
      </c>
      <c r="CA88" s="40" t="s">
        <v>48</v>
      </c>
      <c r="CB88" s="40" t="s">
        <v>48</v>
      </c>
      <c r="CD88" s="33"/>
      <c r="CE88" s="38" t="str">
        <f>Notes!U89</f>
        <v xml:space="preserve">               Wood products</v>
      </c>
      <c r="CF88" s="4" t="s">
        <v>360</v>
      </c>
      <c r="CG88" s="44">
        <v>3.5027473296438933</v>
      </c>
      <c r="CH88" s="42" t="s">
        <v>48</v>
      </c>
      <c r="CI88" s="40" t="s">
        <v>48</v>
      </c>
      <c r="CJ88" s="40" t="s">
        <v>48</v>
      </c>
      <c r="CK88" s="40" t="s">
        <v>48</v>
      </c>
      <c r="CL88" s="40" t="s">
        <v>48</v>
      </c>
      <c r="CM88" s="40" t="s">
        <v>48</v>
      </c>
      <c r="CN88" s="40" t="s">
        <v>48</v>
      </c>
      <c r="CO88" s="40" t="s">
        <v>48</v>
      </c>
      <c r="CP88" s="40" t="s">
        <v>48</v>
      </c>
      <c r="CQ88" s="40" t="s">
        <v>48</v>
      </c>
      <c r="CR88" s="40" t="s">
        <v>48</v>
      </c>
      <c r="CS88" s="40" t="s">
        <v>48</v>
      </c>
      <c r="CT88" s="40" t="s">
        <v>48</v>
      </c>
      <c r="CU88" s="40" t="s">
        <v>48</v>
      </c>
      <c r="CV88" s="40" t="s">
        <v>48</v>
      </c>
      <c r="CX88" s="33"/>
      <c r="CY88" s="38" t="str">
        <f>Notes!U89</f>
        <v xml:space="preserve">               Wood products</v>
      </c>
      <c r="CZ88" s="4" t="s">
        <v>360</v>
      </c>
      <c r="DA88" s="44">
        <v>0.74916344771439736</v>
      </c>
      <c r="DB88" s="42" t="s">
        <v>48</v>
      </c>
      <c r="DC88" s="40" t="s">
        <v>48</v>
      </c>
      <c r="DD88" s="40" t="s">
        <v>48</v>
      </c>
      <c r="DE88" s="40" t="s">
        <v>48</v>
      </c>
      <c r="DF88" s="40" t="s">
        <v>48</v>
      </c>
      <c r="DG88" s="40" t="s">
        <v>48</v>
      </c>
      <c r="DH88" s="40" t="s">
        <v>48</v>
      </c>
      <c r="DI88" s="40" t="s">
        <v>48</v>
      </c>
      <c r="DJ88" s="40" t="s">
        <v>48</v>
      </c>
      <c r="DK88" s="40" t="s">
        <v>48</v>
      </c>
      <c r="DL88" s="40" t="s">
        <v>48</v>
      </c>
      <c r="DM88" s="40" t="s">
        <v>48</v>
      </c>
      <c r="DN88" s="40" t="s">
        <v>48</v>
      </c>
      <c r="DO88" s="40" t="s">
        <v>48</v>
      </c>
      <c r="DP88" s="40" t="s">
        <v>48</v>
      </c>
    </row>
    <row r="89" spans="1:120" x14ac:dyDescent="0.35">
      <c r="A89" s="12">
        <v>82</v>
      </c>
      <c r="B89" s="33"/>
      <c r="C89" s="38" t="str">
        <f>Notes!U90</f>
        <v xml:space="preserve">               Paper products and publishing</v>
      </c>
      <c r="D89" s="4" t="s">
        <v>362</v>
      </c>
      <c r="E89" s="44">
        <v>2.1059695129228113</v>
      </c>
      <c r="F89" s="42" t="s">
        <v>48</v>
      </c>
      <c r="G89" s="40" t="s">
        <v>48</v>
      </c>
      <c r="H89" s="40" t="s">
        <v>48</v>
      </c>
      <c r="I89" s="40" t="s">
        <v>48</v>
      </c>
      <c r="J89" s="40" t="s">
        <v>48</v>
      </c>
      <c r="K89" s="40" t="s">
        <v>48</v>
      </c>
      <c r="L89" s="40" t="s">
        <v>48</v>
      </c>
      <c r="M89" s="40" t="s">
        <v>48</v>
      </c>
      <c r="N89" s="40" t="s">
        <v>48</v>
      </c>
      <c r="O89" s="40" t="s">
        <v>48</v>
      </c>
      <c r="P89" s="40" t="s">
        <v>48</v>
      </c>
      <c r="Q89" s="40" t="s">
        <v>48</v>
      </c>
      <c r="R89" s="40" t="s">
        <v>48</v>
      </c>
      <c r="S89" s="40" t="s">
        <v>48</v>
      </c>
      <c r="T89" s="40" t="s">
        <v>48</v>
      </c>
      <c r="V89" s="33"/>
      <c r="W89" s="38" t="str">
        <f>Notes!U90</f>
        <v xml:space="preserve">               Paper products and publishing</v>
      </c>
      <c r="X89" s="4" t="s">
        <v>362</v>
      </c>
      <c r="Y89" s="44">
        <v>1.5932932809178215</v>
      </c>
      <c r="Z89" s="42" t="s">
        <v>48</v>
      </c>
      <c r="AA89" s="40" t="s">
        <v>48</v>
      </c>
      <c r="AB89" s="40" t="s">
        <v>48</v>
      </c>
      <c r="AC89" s="40" t="s">
        <v>48</v>
      </c>
      <c r="AD89" s="40" t="s">
        <v>48</v>
      </c>
      <c r="AE89" s="40" t="s">
        <v>48</v>
      </c>
      <c r="AF89" s="40" t="s">
        <v>48</v>
      </c>
      <c r="AG89" s="40" t="s">
        <v>48</v>
      </c>
      <c r="AH89" s="40" t="s">
        <v>48</v>
      </c>
      <c r="AI89" s="40" t="s">
        <v>48</v>
      </c>
      <c r="AJ89" s="40" t="s">
        <v>48</v>
      </c>
      <c r="AK89" s="40" t="s">
        <v>48</v>
      </c>
      <c r="AL89" s="40" t="s">
        <v>48</v>
      </c>
      <c r="AM89" s="40" t="s">
        <v>48</v>
      </c>
      <c r="AN89" s="40" t="s">
        <v>48</v>
      </c>
      <c r="AP89" s="33"/>
      <c r="AQ89" s="38" t="str">
        <f>Notes!U90</f>
        <v xml:space="preserve">               Paper products and publishing</v>
      </c>
      <c r="AR89" s="4" t="s">
        <v>362</v>
      </c>
      <c r="AS89" s="44" t="s">
        <v>48</v>
      </c>
      <c r="AT89" s="42" t="s">
        <v>48</v>
      </c>
      <c r="AU89" s="40" t="s">
        <v>48</v>
      </c>
      <c r="AV89" s="40" t="s">
        <v>48</v>
      </c>
      <c r="AW89" s="40" t="s">
        <v>48</v>
      </c>
      <c r="AX89" s="40" t="s">
        <v>48</v>
      </c>
      <c r="AY89" s="40" t="s">
        <v>48</v>
      </c>
      <c r="AZ89" s="40" t="s">
        <v>48</v>
      </c>
      <c r="BA89" s="40" t="s">
        <v>48</v>
      </c>
      <c r="BB89" s="40" t="s">
        <v>48</v>
      </c>
      <c r="BC89" s="40" t="s">
        <v>48</v>
      </c>
      <c r="BD89" s="40" t="s">
        <v>48</v>
      </c>
      <c r="BE89" s="40" t="s">
        <v>48</v>
      </c>
      <c r="BF89" s="40" t="s">
        <v>48</v>
      </c>
      <c r="BG89" s="40" t="s">
        <v>48</v>
      </c>
      <c r="BH89" s="40" t="s">
        <v>48</v>
      </c>
      <c r="BJ89" s="33"/>
      <c r="BK89" s="38" t="str">
        <f>Notes!U90</f>
        <v xml:space="preserve">               Paper products and publishing</v>
      </c>
      <c r="BL89" s="4" t="s">
        <v>362</v>
      </c>
      <c r="BM89" s="44" t="s">
        <v>48</v>
      </c>
      <c r="BN89" s="42" t="s">
        <v>48</v>
      </c>
      <c r="BO89" s="40" t="s">
        <v>48</v>
      </c>
      <c r="BP89" s="40" t="s">
        <v>48</v>
      </c>
      <c r="BQ89" s="40" t="s">
        <v>48</v>
      </c>
      <c r="BR89" s="40" t="s">
        <v>48</v>
      </c>
      <c r="BS89" s="40" t="s">
        <v>48</v>
      </c>
      <c r="BT89" s="40" t="s">
        <v>48</v>
      </c>
      <c r="BU89" s="40" t="s">
        <v>48</v>
      </c>
      <c r="BV89" s="40" t="s">
        <v>48</v>
      </c>
      <c r="BW89" s="40" t="s">
        <v>48</v>
      </c>
      <c r="BX89" s="40" t="s">
        <v>48</v>
      </c>
      <c r="BY89" s="40" t="s">
        <v>48</v>
      </c>
      <c r="BZ89" s="40" t="s">
        <v>48</v>
      </c>
      <c r="CA89" s="40" t="s">
        <v>48</v>
      </c>
      <c r="CB89" s="40" t="s">
        <v>48</v>
      </c>
      <c r="CD89" s="33"/>
      <c r="CE89" s="38" t="str">
        <f>Notes!U90</f>
        <v xml:space="preserve">               Paper products and publishing</v>
      </c>
      <c r="CF89" s="4" t="s">
        <v>362</v>
      </c>
      <c r="CG89" s="44" t="s">
        <v>48</v>
      </c>
      <c r="CH89" s="42" t="s">
        <v>48</v>
      </c>
      <c r="CI89" s="40" t="s">
        <v>48</v>
      </c>
      <c r="CJ89" s="40" t="s">
        <v>48</v>
      </c>
      <c r="CK89" s="40" t="s">
        <v>48</v>
      </c>
      <c r="CL89" s="40" t="s">
        <v>48</v>
      </c>
      <c r="CM89" s="40" t="s">
        <v>48</v>
      </c>
      <c r="CN89" s="40" t="s">
        <v>48</v>
      </c>
      <c r="CO89" s="40" t="s">
        <v>48</v>
      </c>
      <c r="CP89" s="40" t="s">
        <v>48</v>
      </c>
      <c r="CQ89" s="40" t="s">
        <v>48</v>
      </c>
      <c r="CR89" s="40" t="s">
        <v>48</v>
      </c>
      <c r="CS89" s="40" t="s">
        <v>48</v>
      </c>
      <c r="CT89" s="40" t="s">
        <v>48</v>
      </c>
      <c r="CU89" s="40" t="s">
        <v>48</v>
      </c>
      <c r="CV89" s="40" t="s">
        <v>48</v>
      </c>
      <c r="CX89" s="33"/>
      <c r="CY89" s="38" t="str">
        <f>Notes!U90</f>
        <v xml:space="preserve">               Paper products and publishing</v>
      </c>
      <c r="CZ89" s="4" t="s">
        <v>362</v>
      </c>
      <c r="DA89" s="44" t="s">
        <v>48</v>
      </c>
      <c r="DB89" s="42" t="s">
        <v>48</v>
      </c>
      <c r="DC89" s="40" t="s">
        <v>48</v>
      </c>
      <c r="DD89" s="40" t="s">
        <v>48</v>
      </c>
      <c r="DE89" s="40" t="s">
        <v>48</v>
      </c>
      <c r="DF89" s="40" t="s">
        <v>48</v>
      </c>
      <c r="DG89" s="40" t="s">
        <v>48</v>
      </c>
      <c r="DH89" s="40" t="s">
        <v>48</v>
      </c>
      <c r="DI89" s="40" t="s">
        <v>48</v>
      </c>
      <c r="DJ89" s="40" t="s">
        <v>48</v>
      </c>
      <c r="DK89" s="40" t="s">
        <v>48</v>
      </c>
      <c r="DL89" s="40" t="s">
        <v>48</v>
      </c>
      <c r="DM89" s="40" t="s">
        <v>48</v>
      </c>
      <c r="DN89" s="40" t="s">
        <v>48</v>
      </c>
      <c r="DO89" s="40" t="s">
        <v>48</v>
      </c>
      <c r="DP89" s="40" t="s">
        <v>48</v>
      </c>
    </row>
    <row r="90" spans="1:120" x14ac:dyDescent="0.35">
      <c r="A90" s="12">
        <v>83</v>
      </c>
      <c r="B90" s="33"/>
      <c r="C90" s="38" t="str">
        <f>Notes!U91</f>
        <v xml:space="preserve">               Chemical products</v>
      </c>
      <c r="D90" s="4" t="s">
        <v>364</v>
      </c>
      <c r="E90" s="44">
        <v>1.5595324012214766</v>
      </c>
      <c r="F90" s="42" t="s">
        <v>48</v>
      </c>
      <c r="G90" s="40" t="s">
        <v>48</v>
      </c>
      <c r="H90" s="40" t="s">
        <v>48</v>
      </c>
      <c r="I90" s="40" t="s">
        <v>48</v>
      </c>
      <c r="J90" s="40" t="s">
        <v>48</v>
      </c>
      <c r="K90" s="40" t="s">
        <v>48</v>
      </c>
      <c r="L90" s="40" t="s">
        <v>48</v>
      </c>
      <c r="M90" s="40" t="s">
        <v>48</v>
      </c>
      <c r="N90" s="40" t="s">
        <v>48</v>
      </c>
      <c r="O90" s="40" t="s">
        <v>48</v>
      </c>
      <c r="P90" s="40" t="s">
        <v>48</v>
      </c>
      <c r="Q90" s="40" t="s">
        <v>48</v>
      </c>
      <c r="R90" s="40" t="s">
        <v>48</v>
      </c>
      <c r="S90" s="40" t="s">
        <v>48</v>
      </c>
      <c r="T90" s="40" t="s">
        <v>48</v>
      </c>
      <c r="V90" s="33"/>
      <c r="W90" s="38" t="str">
        <f>Notes!U91</f>
        <v xml:space="preserve">               Chemical products</v>
      </c>
      <c r="X90" s="4" t="s">
        <v>364</v>
      </c>
      <c r="Y90" s="44">
        <v>1.1829773475163363</v>
      </c>
      <c r="Z90" s="42" t="s">
        <v>48</v>
      </c>
      <c r="AA90" s="40" t="s">
        <v>48</v>
      </c>
      <c r="AB90" s="40" t="s">
        <v>48</v>
      </c>
      <c r="AC90" s="40" t="s">
        <v>48</v>
      </c>
      <c r="AD90" s="40" t="s">
        <v>48</v>
      </c>
      <c r="AE90" s="40" t="s">
        <v>48</v>
      </c>
      <c r="AF90" s="40" t="s">
        <v>48</v>
      </c>
      <c r="AG90" s="40" t="s">
        <v>48</v>
      </c>
      <c r="AH90" s="40" t="s">
        <v>48</v>
      </c>
      <c r="AI90" s="40" t="s">
        <v>48</v>
      </c>
      <c r="AJ90" s="40" t="s">
        <v>48</v>
      </c>
      <c r="AK90" s="40" t="s">
        <v>48</v>
      </c>
      <c r="AL90" s="40" t="s">
        <v>48</v>
      </c>
      <c r="AM90" s="40" t="s">
        <v>48</v>
      </c>
      <c r="AN90" s="40" t="s">
        <v>48</v>
      </c>
      <c r="AP90" s="33"/>
      <c r="AQ90" s="38" t="str">
        <f>Notes!U91</f>
        <v xml:space="preserve">               Chemical products</v>
      </c>
      <c r="AR90" s="4" t="s">
        <v>364</v>
      </c>
      <c r="AS90" s="44" t="s">
        <v>48</v>
      </c>
      <c r="AT90" s="42" t="s">
        <v>48</v>
      </c>
      <c r="AU90" s="40" t="s">
        <v>48</v>
      </c>
      <c r="AV90" s="40" t="s">
        <v>48</v>
      </c>
      <c r="AW90" s="40" t="s">
        <v>48</v>
      </c>
      <c r="AX90" s="40" t="s">
        <v>48</v>
      </c>
      <c r="AY90" s="40" t="s">
        <v>48</v>
      </c>
      <c r="AZ90" s="40" t="s">
        <v>48</v>
      </c>
      <c r="BA90" s="40" t="s">
        <v>48</v>
      </c>
      <c r="BB90" s="40" t="s">
        <v>48</v>
      </c>
      <c r="BC90" s="40" t="s">
        <v>48</v>
      </c>
      <c r="BD90" s="40" t="s">
        <v>48</v>
      </c>
      <c r="BE90" s="40" t="s">
        <v>48</v>
      </c>
      <c r="BF90" s="40" t="s">
        <v>48</v>
      </c>
      <c r="BG90" s="40" t="s">
        <v>48</v>
      </c>
      <c r="BH90" s="40" t="s">
        <v>48</v>
      </c>
      <c r="BJ90" s="33"/>
      <c r="BK90" s="38" t="str">
        <f>Notes!U91</f>
        <v xml:space="preserve">               Chemical products</v>
      </c>
      <c r="BL90" s="4" t="s">
        <v>364</v>
      </c>
      <c r="BM90" s="44" t="s">
        <v>48</v>
      </c>
      <c r="BN90" s="42" t="s">
        <v>48</v>
      </c>
      <c r="BO90" s="40" t="s">
        <v>48</v>
      </c>
      <c r="BP90" s="40" t="s">
        <v>48</v>
      </c>
      <c r="BQ90" s="40" t="s">
        <v>48</v>
      </c>
      <c r="BR90" s="40" t="s">
        <v>48</v>
      </c>
      <c r="BS90" s="40" t="s">
        <v>48</v>
      </c>
      <c r="BT90" s="40" t="s">
        <v>48</v>
      </c>
      <c r="BU90" s="40" t="s">
        <v>48</v>
      </c>
      <c r="BV90" s="40" t="s">
        <v>48</v>
      </c>
      <c r="BW90" s="40" t="s">
        <v>48</v>
      </c>
      <c r="BX90" s="40" t="s">
        <v>48</v>
      </c>
      <c r="BY90" s="40" t="s">
        <v>48</v>
      </c>
      <c r="BZ90" s="40" t="s">
        <v>48</v>
      </c>
      <c r="CA90" s="40" t="s">
        <v>48</v>
      </c>
      <c r="CB90" s="40" t="s">
        <v>48</v>
      </c>
      <c r="CD90" s="33"/>
      <c r="CE90" s="38" t="str">
        <f>Notes!U91</f>
        <v xml:space="preserve">               Chemical products</v>
      </c>
      <c r="CF90" s="4" t="s">
        <v>364</v>
      </c>
      <c r="CG90" s="44" t="s">
        <v>48</v>
      </c>
      <c r="CH90" s="42" t="s">
        <v>48</v>
      </c>
      <c r="CI90" s="40" t="s">
        <v>48</v>
      </c>
      <c r="CJ90" s="40" t="s">
        <v>48</v>
      </c>
      <c r="CK90" s="40" t="s">
        <v>48</v>
      </c>
      <c r="CL90" s="40" t="s">
        <v>48</v>
      </c>
      <c r="CM90" s="40" t="s">
        <v>48</v>
      </c>
      <c r="CN90" s="40" t="s">
        <v>48</v>
      </c>
      <c r="CO90" s="40" t="s">
        <v>48</v>
      </c>
      <c r="CP90" s="40" t="s">
        <v>48</v>
      </c>
      <c r="CQ90" s="40" t="s">
        <v>48</v>
      </c>
      <c r="CR90" s="40" t="s">
        <v>48</v>
      </c>
      <c r="CS90" s="40" t="s">
        <v>48</v>
      </c>
      <c r="CT90" s="40" t="s">
        <v>48</v>
      </c>
      <c r="CU90" s="40" t="s">
        <v>48</v>
      </c>
      <c r="CV90" s="40" t="s">
        <v>48</v>
      </c>
      <c r="CX90" s="33"/>
      <c r="CY90" s="38" t="str">
        <f>Notes!U91</f>
        <v xml:space="preserve">               Chemical products</v>
      </c>
      <c r="CZ90" s="4" t="s">
        <v>364</v>
      </c>
      <c r="DA90" s="44" t="s">
        <v>48</v>
      </c>
      <c r="DB90" s="42" t="s">
        <v>48</v>
      </c>
      <c r="DC90" s="40" t="s">
        <v>48</v>
      </c>
      <c r="DD90" s="40" t="s">
        <v>48</v>
      </c>
      <c r="DE90" s="40" t="s">
        <v>48</v>
      </c>
      <c r="DF90" s="40" t="s">
        <v>48</v>
      </c>
      <c r="DG90" s="40" t="s">
        <v>48</v>
      </c>
      <c r="DH90" s="40" t="s">
        <v>48</v>
      </c>
      <c r="DI90" s="40" t="s">
        <v>48</v>
      </c>
      <c r="DJ90" s="40" t="s">
        <v>48</v>
      </c>
      <c r="DK90" s="40" t="s">
        <v>48</v>
      </c>
      <c r="DL90" s="40" t="s">
        <v>48</v>
      </c>
      <c r="DM90" s="40" t="s">
        <v>48</v>
      </c>
      <c r="DN90" s="40" t="s">
        <v>48</v>
      </c>
      <c r="DO90" s="40" t="s">
        <v>48</v>
      </c>
      <c r="DP90" s="40" t="s">
        <v>48</v>
      </c>
    </row>
    <row r="91" spans="1:120" x14ac:dyDescent="0.35">
      <c r="A91" s="12">
        <v>84</v>
      </c>
      <c r="B91" s="33"/>
      <c r="C91" s="38" t="str">
        <f>Notes!U92</f>
        <v xml:space="preserve">               Petroleum products</v>
      </c>
      <c r="D91" s="4" t="s">
        <v>728</v>
      </c>
      <c r="E91" s="44">
        <v>0.5464371117013348</v>
      </c>
      <c r="F91" s="42" t="s">
        <v>48</v>
      </c>
      <c r="G91" s="40" t="s">
        <v>48</v>
      </c>
      <c r="H91" s="40" t="s">
        <v>48</v>
      </c>
      <c r="I91" s="40" t="s">
        <v>48</v>
      </c>
      <c r="J91" s="40" t="s">
        <v>48</v>
      </c>
      <c r="K91" s="40" t="s">
        <v>48</v>
      </c>
      <c r="L91" s="40" t="s">
        <v>48</v>
      </c>
      <c r="M91" s="40" t="s">
        <v>48</v>
      </c>
      <c r="N91" s="40" t="s">
        <v>48</v>
      </c>
      <c r="O91" s="40" t="s">
        <v>48</v>
      </c>
      <c r="P91" s="40" t="s">
        <v>48</v>
      </c>
      <c r="Q91" s="40" t="s">
        <v>48</v>
      </c>
      <c r="R91" s="40" t="s">
        <v>48</v>
      </c>
      <c r="S91" s="40" t="s">
        <v>48</v>
      </c>
      <c r="T91" s="40" t="s">
        <v>48</v>
      </c>
      <c r="V91" s="33"/>
      <c r="W91" s="38" t="str">
        <f>Notes!U92</f>
        <v xml:space="preserve">               Petroleum products</v>
      </c>
      <c r="X91" s="4" t="s">
        <v>728</v>
      </c>
      <c r="Y91" s="44">
        <v>0.41031593340148498</v>
      </c>
      <c r="Z91" s="42" t="s">
        <v>48</v>
      </c>
      <c r="AA91" s="40" t="s">
        <v>48</v>
      </c>
      <c r="AB91" s="40" t="s">
        <v>48</v>
      </c>
      <c r="AC91" s="40" t="s">
        <v>48</v>
      </c>
      <c r="AD91" s="40" t="s">
        <v>48</v>
      </c>
      <c r="AE91" s="40" t="s">
        <v>48</v>
      </c>
      <c r="AF91" s="40" t="s">
        <v>48</v>
      </c>
      <c r="AG91" s="40" t="s">
        <v>48</v>
      </c>
      <c r="AH91" s="40" t="s">
        <v>48</v>
      </c>
      <c r="AI91" s="40" t="s">
        <v>48</v>
      </c>
      <c r="AJ91" s="40" t="s">
        <v>48</v>
      </c>
      <c r="AK91" s="40" t="s">
        <v>48</v>
      </c>
      <c r="AL91" s="40" t="s">
        <v>48</v>
      </c>
      <c r="AM91" s="40" t="s">
        <v>48</v>
      </c>
      <c r="AN91" s="40" t="s">
        <v>48</v>
      </c>
      <c r="AP91" s="33"/>
      <c r="AQ91" s="38" t="str">
        <f>Notes!U92</f>
        <v xml:space="preserve">               Petroleum products</v>
      </c>
      <c r="AR91" s="4" t="s">
        <v>728</v>
      </c>
      <c r="AS91" s="44" t="s">
        <v>48</v>
      </c>
      <c r="AT91" s="42" t="s">
        <v>48</v>
      </c>
      <c r="AU91" s="40" t="s">
        <v>48</v>
      </c>
      <c r="AV91" s="40" t="s">
        <v>48</v>
      </c>
      <c r="AW91" s="40" t="s">
        <v>48</v>
      </c>
      <c r="AX91" s="40" t="s">
        <v>48</v>
      </c>
      <c r="AY91" s="40" t="s">
        <v>48</v>
      </c>
      <c r="AZ91" s="40" t="s">
        <v>48</v>
      </c>
      <c r="BA91" s="40" t="s">
        <v>48</v>
      </c>
      <c r="BB91" s="40" t="s">
        <v>48</v>
      </c>
      <c r="BC91" s="40" t="s">
        <v>48</v>
      </c>
      <c r="BD91" s="40" t="s">
        <v>48</v>
      </c>
      <c r="BE91" s="40" t="s">
        <v>48</v>
      </c>
      <c r="BF91" s="40" t="s">
        <v>48</v>
      </c>
      <c r="BG91" s="40" t="s">
        <v>48</v>
      </c>
      <c r="BH91" s="40" t="s">
        <v>48</v>
      </c>
      <c r="BJ91" s="33"/>
      <c r="BK91" s="38" t="str">
        <f>Notes!U92</f>
        <v xml:space="preserve">               Petroleum products</v>
      </c>
      <c r="BL91" s="4" t="s">
        <v>728</v>
      </c>
      <c r="BM91" s="44" t="s">
        <v>48</v>
      </c>
      <c r="BN91" s="42" t="s">
        <v>48</v>
      </c>
      <c r="BO91" s="40" t="s">
        <v>48</v>
      </c>
      <c r="BP91" s="40" t="s">
        <v>48</v>
      </c>
      <c r="BQ91" s="40" t="s">
        <v>48</v>
      </c>
      <c r="BR91" s="40" t="s">
        <v>48</v>
      </c>
      <c r="BS91" s="40" t="s">
        <v>48</v>
      </c>
      <c r="BT91" s="40" t="s">
        <v>48</v>
      </c>
      <c r="BU91" s="40" t="s">
        <v>48</v>
      </c>
      <c r="BV91" s="40" t="s">
        <v>48</v>
      </c>
      <c r="BW91" s="40" t="s">
        <v>48</v>
      </c>
      <c r="BX91" s="40" t="s">
        <v>48</v>
      </c>
      <c r="BY91" s="40" t="s">
        <v>48</v>
      </c>
      <c r="BZ91" s="40" t="s">
        <v>48</v>
      </c>
      <c r="CA91" s="40" t="s">
        <v>48</v>
      </c>
      <c r="CB91" s="40" t="s">
        <v>48</v>
      </c>
      <c r="CD91" s="33"/>
      <c r="CE91" s="38" t="str">
        <f>Notes!U92</f>
        <v xml:space="preserve">               Petroleum products</v>
      </c>
      <c r="CF91" s="4" t="s">
        <v>728</v>
      </c>
      <c r="CG91" s="44" t="s">
        <v>48</v>
      </c>
      <c r="CH91" s="42" t="s">
        <v>48</v>
      </c>
      <c r="CI91" s="40" t="s">
        <v>48</v>
      </c>
      <c r="CJ91" s="40" t="s">
        <v>48</v>
      </c>
      <c r="CK91" s="40" t="s">
        <v>48</v>
      </c>
      <c r="CL91" s="40" t="s">
        <v>48</v>
      </c>
      <c r="CM91" s="40" t="s">
        <v>48</v>
      </c>
      <c r="CN91" s="40" t="s">
        <v>48</v>
      </c>
      <c r="CO91" s="40" t="s">
        <v>48</v>
      </c>
      <c r="CP91" s="40" t="s">
        <v>48</v>
      </c>
      <c r="CQ91" s="40" t="s">
        <v>48</v>
      </c>
      <c r="CR91" s="40" t="s">
        <v>48</v>
      </c>
      <c r="CS91" s="40" t="s">
        <v>48</v>
      </c>
      <c r="CT91" s="40" t="s">
        <v>48</v>
      </c>
      <c r="CU91" s="40" t="s">
        <v>48</v>
      </c>
      <c r="CV91" s="40" t="s">
        <v>48</v>
      </c>
      <c r="CX91" s="33"/>
      <c r="CY91" s="38" t="str">
        <f>Notes!U92</f>
        <v xml:space="preserve">               Petroleum products</v>
      </c>
      <c r="CZ91" s="4" t="s">
        <v>728</v>
      </c>
      <c r="DA91" s="44" t="s">
        <v>48</v>
      </c>
      <c r="DB91" s="42" t="s">
        <v>48</v>
      </c>
      <c r="DC91" s="40" t="s">
        <v>48</v>
      </c>
      <c r="DD91" s="40" t="s">
        <v>48</v>
      </c>
      <c r="DE91" s="40" t="s">
        <v>48</v>
      </c>
      <c r="DF91" s="40" t="s">
        <v>48</v>
      </c>
      <c r="DG91" s="40" t="s">
        <v>48</v>
      </c>
      <c r="DH91" s="40" t="s">
        <v>48</v>
      </c>
      <c r="DI91" s="40" t="s">
        <v>48</v>
      </c>
      <c r="DJ91" s="40" t="s">
        <v>48</v>
      </c>
      <c r="DK91" s="40" t="s">
        <v>48</v>
      </c>
      <c r="DL91" s="40" t="s">
        <v>48</v>
      </c>
      <c r="DM91" s="40" t="s">
        <v>48</v>
      </c>
      <c r="DN91" s="40" t="s">
        <v>48</v>
      </c>
      <c r="DO91" s="40" t="s">
        <v>48</v>
      </c>
      <c r="DP91" s="40" t="s">
        <v>48</v>
      </c>
    </row>
    <row r="92" spans="1:120" x14ac:dyDescent="0.35">
      <c r="A92" s="12">
        <v>85</v>
      </c>
      <c r="B92" s="33"/>
      <c r="C92" s="38" t="str">
        <f>Notes!U93</f>
        <v xml:space="preserve">               Fertilizers and herbicides</v>
      </c>
      <c r="D92" s="4" t="s">
        <v>729</v>
      </c>
      <c r="E92" s="44">
        <v>12.258420935833918</v>
      </c>
      <c r="F92" s="42" t="s">
        <v>48</v>
      </c>
      <c r="G92" s="40" t="s">
        <v>48</v>
      </c>
      <c r="H92" s="40" t="s">
        <v>48</v>
      </c>
      <c r="I92" s="40" t="s">
        <v>48</v>
      </c>
      <c r="J92" s="40" t="s">
        <v>48</v>
      </c>
      <c r="K92" s="40" t="s">
        <v>48</v>
      </c>
      <c r="L92" s="40" t="s">
        <v>48</v>
      </c>
      <c r="M92" s="40" t="s">
        <v>48</v>
      </c>
      <c r="N92" s="40" t="s">
        <v>48</v>
      </c>
      <c r="O92" s="40" t="s">
        <v>48</v>
      </c>
      <c r="P92" s="40" t="s">
        <v>48</v>
      </c>
      <c r="Q92" s="40" t="s">
        <v>48</v>
      </c>
      <c r="R92" s="40" t="s">
        <v>48</v>
      </c>
      <c r="S92" s="40" t="s">
        <v>48</v>
      </c>
      <c r="T92" s="40" t="s">
        <v>48</v>
      </c>
      <c r="V92" s="33"/>
      <c r="W92" s="38" t="str">
        <f>Notes!U93</f>
        <v xml:space="preserve">               Fertilizers and herbicides</v>
      </c>
      <c r="X92" s="4" t="s">
        <v>729</v>
      </c>
      <c r="Y92" s="44">
        <v>9.943733720487673</v>
      </c>
      <c r="Z92" s="42" t="s">
        <v>48</v>
      </c>
      <c r="AA92" s="40" t="s">
        <v>48</v>
      </c>
      <c r="AB92" s="40" t="s">
        <v>48</v>
      </c>
      <c r="AC92" s="40" t="s">
        <v>48</v>
      </c>
      <c r="AD92" s="40" t="s">
        <v>48</v>
      </c>
      <c r="AE92" s="40" t="s">
        <v>48</v>
      </c>
      <c r="AF92" s="40" t="s">
        <v>48</v>
      </c>
      <c r="AG92" s="40" t="s">
        <v>48</v>
      </c>
      <c r="AH92" s="40" t="s">
        <v>48</v>
      </c>
      <c r="AI92" s="40" t="s">
        <v>48</v>
      </c>
      <c r="AJ92" s="40" t="s">
        <v>48</v>
      </c>
      <c r="AK92" s="40" t="s">
        <v>48</v>
      </c>
      <c r="AL92" s="40" t="s">
        <v>48</v>
      </c>
      <c r="AM92" s="40" t="s">
        <v>48</v>
      </c>
      <c r="AN92" s="40" t="s">
        <v>48</v>
      </c>
      <c r="AP92" s="33"/>
      <c r="AQ92" s="38" t="str">
        <f>Notes!U93</f>
        <v xml:space="preserve">               Fertilizers and herbicides</v>
      </c>
      <c r="AR92" s="4" t="s">
        <v>729</v>
      </c>
      <c r="AS92" s="44">
        <v>4.0144134890425516</v>
      </c>
      <c r="AT92" s="42" t="s">
        <v>48</v>
      </c>
      <c r="AU92" s="40" t="s">
        <v>48</v>
      </c>
      <c r="AV92" s="40" t="s">
        <v>48</v>
      </c>
      <c r="AW92" s="40" t="s">
        <v>48</v>
      </c>
      <c r="AX92" s="40" t="s">
        <v>48</v>
      </c>
      <c r="AY92" s="40" t="s">
        <v>48</v>
      </c>
      <c r="AZ92" s="40" t="s">
        <v>48</v>
      </c>
      <c r="BA92" s="40" t="s">
        <v>48</v>
      </c>
      <c r="BB92" s="40" t="s">
        <v>48</v>
      </c>
      <c r="BC92" s="40" t="s">
        <v>48</v>
      </c>
      <c r="BD92" s="40" t="s">
        <v>48</v>
      </c>
      <c r="BE92" s="40" t="s">
        <v>48</v>
      </c>
      <c r="BF92" s="40" t="s">
        <v>48</v>
      </c>
      <c r="BG92" s="40" t="s">
        <v>48</v>
      </c>
      <c r="BH92" s="40" t="s">
        <v>48</v>
      </c>
      <c r="BJ92" s="33"/>
      <c r="BK92" s="38" t="str">
        <f>Notes!U93</f>
        <v xml:space="preserve">               Fertilizers and herbicides</v>
      </c>
      <c r="BL92" s="4" t="s">
        <v>729</v>
      </c>
      <c r="BM92" s="44">
        <v>0.58079342024966618</v>
      </c>
      <c r="BN92" s="42" t="s">
        <v>48</v>
      </c>
      <c r="BO92" s="40" t="s">
        <v>48</v>
      </c>
      <c r="BP92" s="40" t="s">
        <v>48</v>
      </c>
      <c r="BQ92" s="40" t="s">
        <v>48</v>
      </c>
      <c r="BR92" s="40" t="s">
        <v>48</v>
      </c>
      <c r="BS92" s="40" t="s">
        <v>48</v>
      </c>
      <c r="BT92" s="40" t="s">
        <v>48</v>
      </c>
      <c r="BU92" s="40" t="s">
        <v>48</v>
      </c>
      <c r="BV92" s="40" t="s">
        <v>48</v>
      </c>
      <c r="BW92" s="40" t="s">
        <v>48</v>
      </c>
      <c r="BX92" s="40" t="s">
        <v>48</v>
      </c>
      <c r="BY92" s="40" t="s">
        <v>48</v>
      </c>
      <c r="BZ92" s="40" t="s">
        <v>48</v>
      </c>
      <c r="CA92" s="40" t="s">
        <v>48</v>
      </c>
      <c r="CB92" s="40" t="s">
        <v>48</v>
      </c>
      <c r="CD92" s="33"/>
      <c r="CE92" s="38" t="str">
        <f>Notes!U93</f>
        <v xml:space="preserve">               Fertilizers and herbicides</v>
      </c>
      <c r="CF92" s="4" t="s">
        <v>729</v>
      </c>
      <c r="CG92" s="44">
        <v>3.5027473296438933</v>
      </c>
      <c r="CH92" s="42" t="s">
        <v>48</v>
      </c>
      <c r="CI92" s="40" t="s">
        <v>48</v>
      </c>
      <c r="CJ92" s="40" t="s">
        <v>48</v>
      </c>
      <c r="CK92" s="40" t="s">
        <v>48</v>
      </c>
      <c r="CL92" s="40" t="s">
        <v>48</v>
      </c>
      <c r="CM92" s="40" t="s">
        <v>48</v>
      </c>
      <c r="CN92" s="40" t="s">
        <v>48</v>
      </c>
      <c r="CO92" s="40" t="s">
        <v>48</v>
      </c>
      <c r="CP92" s="40" t="s">
        <v>48</v>
      </c>
      <c r="CQ92" s="40" t="s">
        <v>48</v>
      </c>
      <c r="CR92" s="40" t="s">
        <v>48</v>
      </c>
      <c r="CS92" s="40" t="s">
        <v>48</v>
      </c>
      <c r="CT92" s="40" t="s">
        <v>48</v>
      </c>
      <c r="CU92" s="40" t="s">
        <v>48</v>
      </c>
      <c r="CV92" s="40" t="s">
        <v>48</v>
      </c>
      <c r="CX92" s="33"/>
      <c r="CY92" s="38" t="str">
        <f>Notes!U93</f>
        <v xml:space="preserve">               Fertilizers and herbicides</v>
      </c>
      <c r="CZ92" s="4" t="s">
        <v>729</v>
      </c>
      <c r="DA92" s="44">
        <v>0.74916344771439736</v>
      </c>
      <c r="DB92" s="42" t="s">
        <v>48</v>
      </c>
      <c r="DC92" s="40" t="s">
        <v>48</v>
      </c>
      <c r="DD92" s="40" t="s">
        <v>48</v>
      </c>
      <c r="DE92" s="40" t="s">
        <v>48</v>
      </c>
      <c r="DF92" s="40" t="s">
        <v>48</v>
      </c>
      <c r="DG92" s="40" t="s">
        <v>48</v>
      </c>
      <c r="DH92" s="40" t="s">
        <v>48</v>
      </c>
      <c r="DI92" s="40" t="s">
        <v>48</v>
      </c>
      <c r="DJ92" s="40" t="s">
        <v>48</v>
      </c>
      <c r="DK92" s="40" t="s">
        <v>48</v>
      </c>
      <c r="DL92" s="40" t="s">
        <v>48</v>
      </c>
      <c r="DM92" s="40" t="s">
        <v>48</v>
      </c>
      <c r="DN92" s="40" t="s">
        <v>48</v>
      </c>
      <c r="DO92" s="40" t="s">
        <v>48</v>
      </c>
      <c r="DP92" s="40" t="s">
        <v>48</v>
      </c>
    </row>
    <row r="93" spans="1:120" x14ac:dyDescent="0.35">
      <c r="A93" s="12">
        <v>86</v>
      </c>
      <c r="B93" s="33"/>
      <c r="C93" s="38" t="str">
        <f>Notes!U94</f>
        <v xml:space="preserve">               Other chemicals</v>
      </c>
      <c r="D93" s="4" t="s">
        <v>368</v>
      </c>
      <c r="E93" s="44">
        <v>58.583182676193232</v>
      </c>
      <c r="F93" s="42" t="s">
        <v>48</v>
      </c>
      <c r="G93" s="40" t="s">
        <v>48</v>
      </c>
      <c r="H93" s="40" t="s">
        <v>48</v>
      </c>
      <c r="I93" s="40" t="s">
        <v>48</v>
      </c>
      <c r="J93" s="40" t="s">
        <v>48</v>
      </c>
      <c r="K93" s="40" t="s">
        <v>48</v>
      </c>
      <c r="L93" s="40" t="s">
        <v>48</v>
      </c>
      <c r="M93" s="40" t="s">
        <v>48</v>
      </c>
      <c r="N93" s="40" t="s">
        <v>48</v>
      </c>
      <c r="O93" s="40" t="s">
        <v>48</v>
      </c>
      <c r="P93" s="40" t="s">
        <v>48</v>
      </c>
      <c r="Q93" s="40" t="s">
        <v>48</v>
      </c>
      <c r="R93" s="40" t="s">
        <v>48</v>
      </c>
      <c r="S93" s="40" t="s">
        <v>48</v>
      </c>
      <c r="T93" s="40" t="s">
        <v>48</v>
      </c>
      <c r="V93" s="33"/>
      <c r="W93" s="38" t="str">
        <f>Notes!U94</f>
        <v xml:space="preserve">               Other chemicals</v>
      </c>
      <c r="X93" s="4" t="s">
        <v>368</v>
      </c>
      <c r="Y93" s="44">
        <v>46.598573762054173</v>
      </c>
      <c r="Z93" s="42" t="s">
        <v>48</v>
      </c>
      <c r="AA93" s="40" t="s">
        <v>48</v>
      </c>
      <c r="AB93" s="40" t="s">
        <v>48</v>
      </c>
      <c r="AC93" s="40" t="s">
        <v>48</v>
      </c>
      <c r="AD93" s="40" t="s">
        <v>48</v>
      </c>
      <c r="AE93" s="40" t="s">
        <v>48</v>
      </c>
      <c r="AF93" s="40" t="s">
        <v>48</v>
      </c>
      <c r="AG93" s="40" t="s">
        <v>48</v>
      </c>
      <c r="AH93" s="40" t="s">
        <v>48</v>
      </c>
      <c r="AI93" s="40" t="s">
        <v>48</v>
      </c>
      <c r="AJ93" s="40" t="s">
        <v>48</v>
      </c>
      <c r="AK93" s="40" t="s">
        <v>48</v>
      </c>
      <c r="AL93" s="40" t="s">
        <v>48</v>
      </c>
      <c r="AM93" s="40" t="s">
        <v>48</v>
      </c>
      <c r="AN93" s="40" t="s">
        <v>48</v>
      </c>
      <c r="AP93" s="33"/>
      <c r="AQ93" s="38" t="str">
        <f>Notes!U94</f>
        <v xml:space="preserve">               Other chemicals</v>
      </c>
      <c r="AR93" s="4" t="s">
        <v>368</v>
      </c>
      <c r="AS93" s="44">
        <v>37.162977087951766</v>
      </c>
      <c r="AT93" s="42" t="s">
        <v>48</v>
      </c>
      <c r="AU93" s="40" t="s">
        <v>48</v>
      </c>
      <c r="AV93" s="40" t="s">
        <v>48</v>
      </c>
      <c r="AW93" s="40" t="s">
        <v>48</v>
      </c>
      <c r="AX93" s="40" t="s">
        <v>48</v>
      </c>
      <c r="AY93" s="40" t="s">
        <v>48</v>
      </c>
      <c r="AZ93" s="40" t="s">
        <v>48</v>
      </c>
      <c r="BA93" s="40" t="s">
        <v>48</v>
      </c>
      <c r="BB93" s="40" t="s">
        <v>48</v>
      </c>
      <c r="BC93" s="40" t="s">
        <v>48</v>
      </c>
      <c r="BD93" s="40" t="s">
        <v>48</v>
      </c>
      <c r="BE93" s="40" t="s">
        <v>48</v>
      </c>
      <c r="BF93" s="40" t="s">
        <v>48</v>
      </c>
      <c r="BG93" s="40" t="s">
        <v>48</v>
      </c>
      <c r="BH93" s="40" t="s">
        <v>48</v>
      </c>
      <c r="BJ93" s="33"/>
      <c r="BK93" s="38" t="str">
        <f>Notes!U94</f>
        <v xml:space="preserve">               Other chemicals</v>
      </c>
      <c r="BL93" s="4" t="s">
        <v>368</v>
      </c>
      <c r="BM93" s="44">
        <v>8.3448653954194434</v>
      </c>
      <c r="BN93" s="42" t="s">
        <v>48</v>
      </c>
      <c r="BO93" s="40" t="s">
        <v>48</v>
      </c>
      <c r="BP93" s="40" t="s">
        <v>48</v>
      </c>
      <c r="BQ93" s="40" t="s">
        <v>48</v>
      </c>
      <c r="BR93" s="40" t="s">
        <v>48</v>
      </c>
      <c r="BS93" s="40" t="s">
        <v>48</v>
      </c>
      <c r="BT93" s="40" t="s">
        <v>48</v>
      </c>
      <c r="BU93" s="40" t="s">
        <v>48</v>
      </c>
      <c r="BV93" s="40" t="s">
        <v>48</v>
      </c>
      <c r="BW93" s="40" t="s">
        <v>48</v>
      </c>
      <c r="BX93" s="40" t="s">
        <v>48</v>
      </c>
      <c r="BY93" s="40" t="s">
        <v>48</v>
      </c>
      <c r="BZ93" s="40" t="s">
        <v>48</v>
      </c>
      <c r="CA93" s="40" t="s">
        <v>48</v>
      </c>
      <c r="CB93" s="40" t="s">
        <v>48</v>
      </c>
      <c r="CD93" s="33"/>
      <c r="CE93" s="38" t="str">
        <f>Notes!U94</f>
        <v xml:space="preserve">               Other chemicals</v>
      </c>
      <c r="CF93" s="4" t="s">
        <v>368</v>
      </c>
      <c r="CG93" s="44">
        <v>32.426285710664729</v>
      </c>
      <c r="CH93" s="42" t="s">
        <v>48</v>
      </c>
      <c r="CI93" s="40" t="s">
        <v>48</v>
      </c>
      <c r="CJ93" s="40" t="s">
        <v>48</v>
      </c>
      <c r="CK93" s="40" t="s">
        <v>48</v>
      </c>
      <c r="CL93" s="40" t="s">
        <v>48</v>
      </c>
      <c r="CM93" s="40" t="s">
        <v>48</v>
      </c>
      <c r="CN93" s="40" t="s">
        <v>48</v>
      </c>
      <c r="CO93" s="40" t="s">
        <v>48</v>
      </c>
      <c r="CP93" s="40" t="s">
        <v>48</v>
      </c>
      <c r="CQ93" s="40" t="s">
        <v>48</v>
      </c>
      <c r="CR93" s="40" t="s">
        <v>48</v>
      </c>
      <c r="CS93" s="40" t="s">
        <v>48</v>
      </c>
      <c r="CT93" s="40" t="s">
        <v>48</v>
      </c>
      <c r="CU93" s="40" t="s">
        <v>48</v>
      </c>
      <c r="CV93" s="40" t="s">
        <v>48</v>
      </c>
      <c r="CX93" s="33"/>
      <c r="CY93" s="38" t="str">
        <f>Notes!U94</f>
        <v xml:space="preserve">               Other chemicals</v>
      </c>
      <c r="CZ93" s="4" t="s">
        <v>368</v>
      </c>
      <c r="DA93" s="44">
        <v>10.764013352041056</v>
      </c>
      <c r="DB93" s="42" t="s">
        <v>48</v>
      </c>
      <c r="DC93" s="40" t="s">
        <v>48</v>
      </c>
      <c r="DD93" s="40" t="s">
        <v>48</v>
      </c>
      <c r="DE93" s="40" t="s">
        <v>48</v>
      </c>
      <c r="DF93" s="40" t="s">
        <v>48</v>
      </c>
      <c r="DG93" s="40" t="s">
        <v>48</v>
      </c>
      <c r="DH93" s="40" t="s">
        <v>48</v>
      </c>
      <c r="DI93" s="40" t="s">
        <v>48</v>
      </c>
      <c r="DJ93" s="40" t="s">
        <v>48</v>
      </c>
      <c r="DK93" s="40" t="s">
        <v>48</v>
      </c>
      <c r="DL93" s="40" t="s">
        <v>48</v>
      </c>
      <c r="DM93" s="40" t="s">
        <v>48</v>
      </c>
      <c r="DN93" s="40" t="s">
        <v>48</v>
      </c>
      <c r="DO93" s="40" t="s">
        <v>48</v>
      </c>
      <c r="DP93" s="40" t="s">
        <v>48</v>
      </c>
    </row>
    <row r="94" spans="1:120" x14ac:dyDescent="0.35">
      <c r="A94" s="12">
        <v>87</v>
      </c>
      <c r="B94" s="33"/>
      <c r="C94" s="38" t="str">
        <f>Notes!U95</f>
        <v xml:space="preserve">               Non-metal minerals</v>
      </c>
      <c r="D94" s="4" t="s">
        <v>730</v>
      </c>
      <c r="E94" s="44">
        <v>10.520142761994492</v>
      </c>
      <c r="F94" s="42" t="s">
        <v>48</v>
      </c>
      <c r="G94" s="40" t="s">
        <v>48</v>
      </c>
      <c r="H94" s="40" t="s">
        <v>48</v>
      </c>
      <c r="I94" s="40" t="s">
        <v>48</v>
      </c>
      <c r="J94" s="40" t="s">
        <v>48</v>
      </c>
      <c r="K94" s="40" t="s">
        <v>48</v>
      </c>
      <c r="L94" s="40" t="s">
        <v>48</v>
      </c>
      <c r="M94" s="40" t="s">
        <v>48</v>
      </c>
      <c r="N94" s="40" t="s">
        <v>48</v>
      </c>
      <c r="O94" s="40" t="s">
        <v>48</v>
      </c>
      <c r="P94" s="40" t="s">
        <v>48</v>
      </c>
      <c r="Q94" s="40" t="s">
        <v>48</v>
      </c>
      <c r="R94" s="40" t="s">
        <v>48</v>
      </c>
      <c r="S94" s="40" t="s">
        <v>48</v>
      </c>
      <c r="T94" s="40" t="s">
        <v>48</v>
      </c>
      <c r="V94" s="33"/>
      <c r="W94" s="38" t="str">
        <f>Notes!U95</f>
        <v xml:space="preserve">               Non-metal minerals</v>
      </c>
      <c r="X94" s="4" t="s">
        <v>730</v>
      </c>
      <c r="Y94" s="44">
        <v>8.2191074361957135</v>
      </c>
      <c r="Z94" s="42" t="s">
        <v>48</v>
      </c>
      <c r="AA94" s="40" t="s">
        <v>48</v>
      </c>
      <c r="AB94" s="40" t="s">
        <v>48</v>
      </c>
      <c r="AC94" s="40" t="s">
        <v>48</v>
      </c>
      <c r="AD94" s="40" t="s">
        <v>48</v>
      </c>
      <c r="AE94" s="40" t="s">
        <v>48</v>
      </c>
      <c r="AF94" s="40" t="s">
        <v>48</v>
      </c>
      <c r="AG94" s="40" t="s">
        <v>48</v>
      </c>
      <c r="AH94" s="40" t="s">
        <v>48</v>
      </c>
      <c r="AI94" s="40" t="s">
        <v>48</v>
      </c>
      <c r="AJ94" s="40" t="s">
        <v>48</v>
      </c>
      <c r="AK94" s="40" t="s">
        <v>48</v>
      </c>
      <c r="AL94" s="40" t="s">
        <v>48</v>
      </c>
      <c r="AM94" s="40" t="s">
        <v>48</v>
      </c>
      <c r="AN94" s="40" t="s">
        <v>48</v>
      </c>
      <c r="AP94" s="33"/>
      <c r="AQ94" s="38" t="str">
        <f>Notes!U95</f>
        <v xml:space="preserve">               Non-metal minerals</v>
      </c>
      <c r="AR94" s="4" t="s">
        <v>730</v>
      </c>
      <c r="AS94" s="44">
        <v>1.8571619291069475E-2</v>
      </c>
      <c r="AT94" s="42" t="s">
        <v>48</v>
      </c>
      <c r="AU94" s="40" t="s">
        <v>48</v>
      </c>
      <c r="AV94" s="40" t="s">
        <v>48</v>
      </c>
      <c r="AW94" s="40" t="s">
        <v>48</v>
      </c>
      <c r="AX94" s="40" t="s">
        <v>48</v>
      </c>
      <c r="AY94" s="40" t="s">
        <v>48</v>
      </c>
      <c r="AZ94" s="40" t="s">
        <v>48</v>
      </c>
      <c r="BA94" s="40" t="s">
        <v>48</v>
      </c>
      <c r="BB94" s="40" t="s">
        <v>48</v>
      </c>
      <c r="BC94" s="40" t="s">
        <v>48</v>
      </c>
      <c r="BD94" s="40" t="s">
        <v>48</v>
      </c>
      <c r="BE94" s="40" t="s">
        <v>48</v>
      </c>
      <c r="BF94" s="40" t="s">
        <v>48</v>
      </c>
      <c r="BG94" s="40" t="s">
        <v>48</v>
      </c>
      <c r="BH94" s="40" t="s">
        <v>48</v>
      </c>
      <c r="BJ94" s="33"/>
      <c r="BK94" s="38" t="str">
        <f>Notes!U95</f>
        <v xml:space="preserve">               Non-metal minerals</v>
      </c>
      <c r="BL94" s="4" t="s">
        <v>730</v>
      </c>
      <c r="BM94" s="44">
        <v>2.3103871126323597E-3</v>
      </c>
      <c r="BN94" s="42" t="s">
        <v>48</v>
      </c>
      <c r="BO94" s="40" t="s">
        <v>48</v>
      </c>
      <c r="BP94" s="40" t="s">
        <v>48</v>
      </c>
      <c r="BQ94" s="40" t="s">
        <v>48</v>
      </c>
      <c r="BR94" s="40" t="s">
        <v>48</v>
      </c>
      <c r="BS94" s="40" t="s">
        <v>48</v>
      </c>
      <c r="BT94" s="40" t="s">
        <v>48</v>
      </c>
      <c r="BU94" s="40" t="s">
        <v>48</v>
      </c>
      <c r="BV94" s="40" t="s">
        <v>48</v>
      </c>
      <c r="BW94" s="40" t="s">
        <v>48</v>
      </c>
      <c r="BX94" s="40" t="s">
        <v>48</v>
      </c>
      <c r="BY94" s="40" t="s">
        <v>48</v>
      </c>
      <c r="BZ94" s="40" t="s">
        <v>48</v>
      </c>
      <c r="CA94" s="40" t="s">
        <v>48</v>
      </c>
      <c r="CB94" s="40" t="s">
        <v>48</v>
      </c>
      <c r="CD94" s="33"/>
      <c r="CE94" s="38" t="str">
        <f>Notes!U95</f>
        <v xml:space="preserve">               Non-metal minerals</v>
      </c>
      <c r="CF94" s="4" t="s">
        <v>730</v>
      </c>
      <c r="CG94" s="44">
        <v>1.6204531510397954E-2</v>
      </c>
      <c r="CH94" s="42" t="s">
        <v>48</v>
      </c>
      <c r="CI94" s="40" t="s">
        <v>48</v>
      </c>
      <c r="CJ94" s="40" t="s">
        <v>48</v>
      </c>
      <c r="CK94" s="40" t="s">
        <v>48</v>
      </c>
      <c r="CL94" s="40" t="s">
        <v>48</v>
      </c>
      <c r="CM94" s="40" t="s">
        <v>48</v>
      </c>
      <c r="CN94" s="40" t="s">
        <v>48</v>
      </c>
      <c r="CO94" s="40" t="s">
        <v>48</v>
      </c>
      <c r="CP94" s="40" t="s">
        <v>48</v>
      </c>
      <c r="CQ94" s="40" t="s">
        <v>48</v>
      </c>
      <c r="CR94" s="40" t="s">
        <v>48</v>
      </c>
      <c r="CS94" s="40" t="s">
        <v>48</v>
      </c>
      <c r="CT94" s="40" t="s">
        <v>48</v>
      </c>
      <c r="CU94" s="40" t="s">
        <v>48</v>
      </c>
      <c r="CV94" s="40" t="s">
        <v>48</v>
      </c>
      <c r="CX94" s="33"/>
      <c r="CY94" s="38" t="str">
        <f>Notes!U95</f>
        <v xml:space="preserve">               Non-metal minerals</v>
      </c>
      <c r="CZ94" s="4" t="s">
        <v>730</v>
      </c>
      <c r="DA94" s="44">
        <v>2.9801604400244847E-3</v>
      </c>
      <c r="DB94" s="42" t="s">
        <v>48</v>
      </c>
      <c r="DC94" s="40" t="s">
        <v>48</v>
      </c>
      <c r="DD94" s="40" t="s">
        <v>48</v>
      </c>
      <c r="DE94" s="40" t="s">
        <v>48</v>
      </c>
      <c r="DF94" s="40" t="s">
        <v>48</v>
      </c>
      <c r="DG94" s="40" t="s">
        <v>48</v>
      </c>
      <c r="DH94" s="40" t="s">
        <v>48</v>
      </c>
      <c r="DI94" s="40" t="s">
        <v>48</v>
      </c>
      <c r="DJ94" s="40" t="s">
        <v>48</v>
      </c>
      <c r="DK94" s="40" t="s">
        <v>48</v>
      </c>
      <c r="DL94" s="40" t="s">
        <v>48</v>
      </c>
      <c r="DM94" s="40" t="s">
        <v>48</v>
      </c>
      <c r="DN94" s="40" t="s">
        <v>48</v>
      </c>
      <c r="DO94" s="40" t="s">
        <v>48</v>
      </c>
      <c r="DP94" s="40" t="s">
        <v>48</v>
      </c>
    </row>
    <row r="95" spans="1:120" x14ac:dyDescent="0.35">
      <c r="A95" s="12">
        <v>88</v>
      </c>
      <c r="B95" s="33"/>
      <c r="C95" s="38" t="str">
        <f>Notes!U96</f>
        <v xml:space="preserve">               Metals and metal products</v>
      </c>
      <c r="D95" s="4" t="s">
        <v>371</v>
      </c>
      <c r="E95" s="44">
        <v>10.520142761994492</v>
      </c>
      <c r="F95" s="42" t="s">
        <v>48</v>
      </c>
      <c r="G95" s="40" t="s">
        <v>48</v>
      </c>
      <c r="H95" s="40" t="s">
        <v>48</v>
      </c>
      <c r="I95" s="40" t="s">
        <v>48</v>
      </c>
      <c r="J95" s="40" t="s">
        <v>48</v>
      </c>
      <c r="K95" s="40" t="s">
        <v>48</v>
      </c>
      <c r="L95" s="40" t="s">
        <v>48</v>
      </c>
      <c r="M95" s="40" t="s">
        <v>48</v>
      </c>
      <c r="N95" s="40" t="s">
        <v>48</v>
      </c>
      <c r="O95" s="40" t="s">
        <v>48</v>
      </c>
      <c r="P95" s="40" t="s">
        <v>48</v>
      </c>
      <c r="Q95" s="40" t="s">
        <v>48</v>
      </c>
      <c r="R95" s="40" t="s">
        <v>48</v>
      </c>
      <c r="S95" s="40" t="s">
        <v>48</v>
      </c>
      <c r="T95" s="40" t="s">
        <v>48</v>
      </c>
      <c r="V95" s="33"/>
      <c r="W95" s="38" t="str">
        <f>Notes!U96</f>
        <v xml:space="preserve">               Metals and metal products</v>
      </c>
      <c r="X95" s="4" t="s">
        <v>371</v>
      </c>
      <c r="Y95" s="44">
        <v>8.2191074361957135</v>
      </c>
      <c r="Z95" s="42" t="s">
        <v>48</v>
      </c>
      <c r="AA95" s="40" t="s">
        <v>48</v>
      </c>
      <c r="AB95" s="40" t="s">
        <v>48</v>
      </c>
      <c r="AC95" s="40" t="s">
        <v>48</v>
      </c>
      <c r="AD95" s="40" t="s">
        <v>48</v>
      </c>
      <c r="AE95" s="40" t="s">
        <v>48</v>
      </c>
      <c r="AF95" s="40" t="s">
        <v>48</v>
      </c>
      <c r="AG95" s="40" t="s">
        <v>48</v>
      </c>
      <c r="AH95" s="40" t="s">
        <v>48</v>
      </c>
      <c r="AI95" s="40" t="s">
        <v>48</v>
      </c>
      <c r="AJ95" s="40" t="s">
        <v>48</v>
      </c>
      <c r="AK95" s="40" t="s">
        <v>48</v>
      </c>
      <c r="AL95" s="40" t="s">
        <v>48</v>
      </c>
      <c r="AM95" s="40" t="s">
        <v>48</v>
      </c>
      <c r="AN95" s="40" t="s">
        <v>48</v>
      </c>
      <c r="AP95" s="33"/>
      <c r="AQ95" s="38" t="str">
        <f>Notes!U96</f>
        <v xml:space="preserve">               Metals and metal products</v>
      </c>
      <c r="AR95" s="4" t="s">
        <v>371</v>
      </c>
      <c r="AS95" s="44">
        <v>1.8571619291069475E-2</v>
      </c>
      <c r="AT95" s="42" t="s">
        <v>48</v>
      </c>
      <c r="AU95" s="40" t="s">
        <v>48</v>
      </c>
      <c r="AV95" s="40" t="s">
        <v>48</v>
      </c>
      <c r="AW95" s="40" t="s">
        <v>48</v>
      </c>
      <c r="AX95" s="40" t="s">
        <v>48</v>
      </c>
      <c r="AY95" s="40" t="s">
        <v>48</v>
      </c>
      <c r="AZ95" s="40" t="s">
        <v>48</v>
      </c>
      <c r="BA95" s="40" t="s">
        <v>48</v>
      </c>
      <c r="BB95" s="40" t="s">
        <v>48</v>
      </c>
      <c r="BC95" s="40" t="s">
        <v>48</v>
      </c>
      <c r="BD95" s="40" t="s">
        <v>48</v>
      </c>
      <c r="BE95" s="40" t="s">
        <v>48</v>
      </c>
      <c r="BF95" s="40" t="s">
        <v>48</v>
      </c>
      <c r="BG95" s="40" t="s">
        <v>48</v>
      </c>
      <c r="BH95" s="40" t="s">
        <v>48</v>
      </c>
      <c r="BJ95" s="33"/>
      <c r="BK95" s="38" t="str">
        <f>Notes!U96</f>
        <v xml:space="preserve">               Metals and metal products</v>
      </c>
      <c r="BL95" s="4" t="s">
        <v>371</v>
      </c>
      <c r="BM95" s="44">
        <v>2.3103871126323597E-3</v>
      </c>
      <c r="BN95" s="42" t="s">
        <v>48</v>
      </c>
      <c r="BO95" s="40" t="s">
        <v>48</v>
      </c>
      <c r="BP95" s="40" t="s">
        <v>48</v>
      </c>
      <c r="BQ95" s="40" t="s">
        <v>48</v>
      </c>
      <c r="BR95" s="40" t="s">
        <v>48</v>
      </c>
      <c r="BS95" s="40" t="s">
        <v>48</v>
      </c>
      <c r="BT95" s="40" t="s">
        <v>48</v>
      </c>
      <c r="BU95" s="40" t="s">
        <v>48</v>
      </c>
      <c r="BV95" s="40" t="s">
        <v>48</v>
      </c>
      <c r="BW95" s="40" t="s">
        <v>48</v>
      </c>
      <c r="BX95" s="40" t="s">
        <v>48</v>
      </c>
      <c r="BY95" s="40" t="s">
        <v>48</v>
      </c>
      <c r="BZ95" s="40" t="s">
        <v>48</v>
      </c>
      <c r="CA95" s="40" t="s">
        <v>48</v>
      </c>
      <c r="CB95" s="40" t="s">
        <v>48</v>
      </c>
      <c r="CD95" s="33"/>
      <c r="CE95" s="38" t="str">
        <f>Notes!U96</f>
        <v xml:space="preserve">               Metals and metal products</v>
      </c>
      <c r="CF95" s="4" t="s">
        <v>371</v>
      </c>
      <c r="CG95" s="44">
        <v>1.6204531510397954E-2</v>
      </c>
      <c r="CH95" s="42" t="s">
        <v>48</v>
      </c>
      <c r="CI95" s="40" t="s">
        <v>48</v>
      </c>
      <c r="CJ95" s="40" t="s">
        <v>48</v>
      </c>
      <c r="CK95" s="40" t="s">
        <v>48</v>
      </c>
      <c r="CL95" s="40" t="s">
        <v>48</v>
      </c>
      <c r="CM95" s="40" t="s">
        <v>48</v>
      </c>
      <c r="CN95" s="40" t="s">
        <v>48</v>
      </c>
      <c r="CO95" s="40" t="s">
        <v>48</v>
      </c>
      <c r="CP95" s="40" t="s">
        <v>48</v>
      </c>
      <c r="CQ95" s="40" t="s">
        <v>48</v>
      </c>
      <c r="CR95" s="40" t="s">
        <v>48</v>
      </c>
      <c r="CS95" s="40" t="s">
        <v>48</v>
      </c>
      <c r="CT95" s="40" t="s">
        <v>48</v>
      </c>
      <c r="CU95" s="40" t="s">
        <v>48</v>
      </c>
      <c r="CV95" s="40" t="s">
        <v>48</v>
      </c>
      <c r="CX95" s="33"/>
      <c r="CY95" s="38" t="str">
        <f>Notes!U96</f>
        <v xml:space="preserve">               Metals and metal products</v>
      </c>
      <c r="CZ95" s="4" t="s">
        <v>371</v>
      </c>
      <c r="DA95" s="44">
        <v>2.9801604400244847E-3</v>
      </c>
      <c r="DB95" s="42" t="s">
        <v>48</v>
      </c>
      <c r="DC95" s="40" t="s">
        <v>48</v>
      </c>
      <c r="DD95" s="40" t="s">
        <v>48</v>
      </c>
      <c r="DE95" s="40" t="s">
        <v>48</v>
      </c>
      <c r="DF95" s="40" t="s">
        <v>48</v>
      </c>
      <c r="DG95" s="40" t="s">
        <v>48</v>
      </c>
      <c r="DH95" s="40" t="s">
        <v>48</v>
      </c>
      <c r="DI95" s="40" t="s">
        <v>48</v>
      </c>
      <c r="DJ95" s="40" t="s">
        <v>48</v>
      </c>
      <c r="DK95" s="40" t="s">
        <v>48</v>
      </c>
      <c r="DL95" s="40" t="s">
        <v>48</v>
      </c>
      <c r="DM95" s="40" t="s">
        <v>48</v>
      </c>
      <c r="DN95" s="40" t="s">
        <v>48</v>
      </c>
      <c r="DO95" s="40" t="s">
        <v>48</v>
      </c>
      <c r="DP95" s="40" t="s">
        <v>48</v>
      </c>
    </row>
    <row r="96" spans="1:120" x14ac:dyDescent="0.35">
      <c r="A96" s="12">
        <v>89</v>
      </c>
      <c r="B96" s="33"/>
      <c r="C96" s="38" t="str">
        <f>Notes!U97</f>
        <v xml:space="preserve">               Machinery and equipment</v>
      </c>
      <c r="D96" s="4" t="s">
        <v>731</v>
      </c>
      <c r="E96" s="44">
        <v>5.4972352313470365</v>
      </c>
      <c r="F96" s="42" t="s">
        <v>48</v>
      </c>
      <c r="G96" s="40" t="s">
        <v>48</v>
      </c>
      <c r="H96" s="40" t="s">
        <v>48</v>
      </c>
      <c r="I96" s="40" t="s">
        <v>48</v>
      </c>
      <c r="J96" s="40" t="s">
        <v>48</v>
      </c>
      <c r="K96" s="40" t="s">
        <v>48</v>
      </c>
      <c r="L96" s="40" t="s">
        <v>48</v>
      </c>
      <c r="M96" s="40" t="s">
        <v>48</v>
      </c>
      <c r="N96" s="40" t="s">
        <v>48</v>
      </c>
      <c r="O96" s="40" t="s">
        <v>48</v>
      </c>
      <c r="P96" s="40" t="s">
        <v>48</v>
      </c>
      <c r="Q96" s="40" t="s">
        <v>48</v>
      </c>
      <c r="R96" s="40" t="s">
        <v>48</v>
      </c>
      <c r="S96" s="40" t="s">
        <v>48</v>
      </c>
      <c r="T96" s="40" t="s">
        <v>48</v>
      </c>
      <c r="V96" s="33"/>
      <c r="W96" s="38" t="str">
        <f>Notes!U97</f>
        <v xml:space="preserve">               Machinery and equipment</v>
      </c>
      <c r="X96" s="4" t="s">
        <v>731</v>
      </c>
      <c r="Y96" s="44">
        <v>4.3342091439167163</v>
      </c>
      <c r="Z96" s="42" t="s">
        <v>48</v>
      </c>
      <c r="AA96" s="40" t="s">
        <v>48</v>
      </c>
      <c r="AB96" s="40" t="s">
        <v>48</v>
      </c>
      <c r="AC96" s="40" t="s">
        <v>48</v>
      </c>
      <c r="AD96" s="40" t="s">
        <v>48</v>
      </c>
      <c r="AE96" s="40" t="s">
        <v>48</v>
      </c>
      <c r="AF96" s="40" t="s">
        <v>48</v>
      </c>
      <c r="AG96" s="40" t="s">
        <v>48</v>
      </c>
      <c r="AH96" s="40" t="s">
        <v>48</v>
      </c>
      <c r="AI96" s="40" t="s">
        <v>48</v>
      </c>
      <c r="AJ96" s="40" t="s">
        <v>48</v>
      </c>
      <c r="AK96" s="40" t="s">
        <v>48</v>
      </c>
      <c r="AL96" s="40" t="s">
        <v>48</v>
      </c>
      <c r="AM96" s="40" t="s">
        <v>48</v>
      </c>
      <c r="AN96" s="40" t="s">
        <v>48</v>
      </c>
      <c r="AP96" s="33"/>
      <c r="AQ96" s="38" t="str">
        <f>Notes!U97</f>
        <v xml:space="preserve">               Machinery and equipment</v>
      </c>
      <c r="AR96" s="4" t="s">
        <v>731</v>
      </c>
      <c r="AS96" s="44">
        <v>11.305591955303891</v>
      </c>
      <c r="AT96" s="42" t="s">
        <v>48</v>
      </c>
      <c r="AU96" s="40" t="s">
        <v>48</v>
      </c>
      <c r="AV96" s="40" t="s">
        <v>48</v>
      </c>
      <c r="AW96" s="40" t="s">
        <v>48</v>
      </c>
      <c r="AX96" s="40" t="s">
        <v>48</v>
      </c>
      <c r="AY96" s="40" t="s">
        <v>48</v>
      </c>
      <c r="AZ96" s="40" t="s">
        <v>48</v>
      </c>
      <c r="BA96" s="40" t="s">
        <v>48</v>
      </c>
      <c r="BB96" s="40" t="s">
        <v>48</v>
      </c>
      <c r="BC96" s="40" t="s">
        <v>48</v>
      </c>
      <c r="BD96" s="40" t="s">
        <v>48</v>
      </c>
      <c r="BE96" s="40" t="s">
        <v>48</v>
      </c>
      <c r="BF96" s="40" t="s">
        <v>48</v>
      </c>
      <c r="BG96" s="40" t="s">
        <v>48</v>
      </c>
      <c r="BH96" s="40" t="s">
        <v>48</v>
      </c>
      <c r="BJ96" s="33"/>
      <c r="BK96" s="38" t="str">
        <f>Notes!U97</f>
        <v xml:space="preserve">               Machinery and equipment</v>
      </c>
      <c r="BL96" s="4" t="s">
        <v>731</v>
      </c>
      <c r="BM96" s="44">
        <v>2.321477728400855</v>
      </c>
      <c r="BN96" s="42" t="s">
        <v>48</v>
      </c>
      <c r="BO96" s="40" t="s">
        <v>48</v>
      </c>
      <c r="BP96" s="40" t="s">
        <v>48</v>
      </c>
      <c r="BQ96" s="40" t="s">
        <v>48</v>
      </c>
      <c r="BR96" s="40" t="s">
        <v>48</v>
      </c>
      <c r="BS96" s="40" t="s">
        <v>48</v>
      </c>
      <c r="BT96" s="40" t="s">
        <v>48</v>
      </c>
      <c r="BU96" s="40" t="s">
        <v>48</v>
      </c>
      <c r="BV96" s="40" t="s">
        <v>48</v>
      </c>
      <c r="BW96" s="40" t="s">
        <v>48</v>
      </c>
      <c r="BX96" s="40" t="s">
        <v>48</v>
      </c>
      <c r="BY96" s="40" t="s">
        <v>48</v>
      </c>
      <c r="BZ96" s="40" t="s">
        <v>48</v>
      </c>
      <c r="CA96" s="40" t="s">
        <v>48</v>
      </c>
      <c r="CB96" s="40" t="s">
        <v>48</v>
      </c>
      <c r="CD96" s="33"/>
      <c r="CE96" s="38" t="str">
        <f>Notes!U97</f>
        <v xml:space="preserve">               Machinery and equipment</v>
      </c>
      <c r="CF96" s="4" t="s">
        <v>731</v>
      </c>
      <c r="CG96" s="44">
        <v>9.8646121381305552</v>
      </c>
      <c r="CH96" s="42" t="s">
        <v>48</v>
      </c>
      <c r="CI96" s="40" t="s">
        <v>48</v>
      </c>
      <c r="CJ96" s="40" t="s">
        <v>48</v>
      </c>
      <c r="CK96" s="40" t="s">
        <v>48</v>
      </c>
      <c r="CL96" s="40" t="s">
        <v>48</v>
      </c>
      <c r="CM96" s="40" t="s">
        <v>48</v>
      </c>
      <c r="CN96" s="40" t="s">
        <v>48</v>
      </c>
      <c r="CO96" s="40" t="s">
        <v>48</v>
      </c>
      <c r="CP96" s="40" t="s">
        <v>48</v>
      </c>
      <c r="CQ96" s="40" t="s">
        <v>48</v>
      </c>
      <c r="CR96" s="40" t="s">
        <v>48</v>
      </c>
      <c r="CS96" s="40" t="s">
        <v>48</v>
      </c>
      <c r="CT96" s="40" t="s">
        <v>48</v>
      </c>
      <c r="CU96" s="40" t="s">
        <v>48</v>
      </c>
      <c r="CV96" s="40" t="s">
        <v>48</v>
      </c>
      <c r="CX96" s="33"/>
      <c r="CY96" s="38" t="str">
        <f>Notes!U97</f>
        <v xml:space="preserve">               Machinery and equipment</v>
      </c>
      <c r="CZ96" s="4" t="s">
        <v>731</v>
      </c>
      <c r="DA96" s="44">
        <v>2.9944661873981895</v>
      </c>
      <c r="DB96" s="42" t="s">
        <v>48</v>
      </c>
      <c r="DC96" s="40" t="s">
        <v>48</v>
      </c>
      <c r="DD96" s="40" t="s">
        <v>48</v>
      </c>
      <c r="DE96" s="40" t="s">
        <v>48</v>
      </c>
      <c r="DF96" s="40" t="s">
        <v>48</v>
      </c>
      <c r="DG96" s="40" t="s">
        <v>48</v>
      </c>
      <c r="DH96" s="40" t="s">
        <v>48</v>
      </c>
      <c r="DI96" s="40" t="s">
        <v>48</v>
      </c>
      <c r="DJ96" s="40" t="s">
        <v>48</v>
      </c>
      <c r="DK96" s="40" t="s">
        <v>48</v>
      </c>
      <c r="DL96" s="40" t="s">
        <v>48</v>
      </c>
      <c r="DM96" s="40" t="s">
        <v>48</v>
      </c>
      <c r="DN96" s="40" t="s">
        <v>48</v>
      </c>
      <c r="DO96" s="40" t="s">
        <v>48</v>
      </c>
      <c r="DP96" s="40" t="s">
        <v>48</v>
      </c>
    </row>
    <row r="97" spans="1:120" x14ac:dyDescent="0.35">
      <c r="A97" s="12">
        <v>90</v>
      </c>
      <c r="B97" s="33"/>
      <c r="C97" s="38" t="str">
        <f>Notes!U98</f>
        <v xml:space="preserve">               Machinery and other equipment</v>
      </c>
      <c r="D97" s="4" t="s">
        <v>732</v>
      </c>
      <c r="E97" s="44">
        <v>5.3997801031355079</v>
      </c>
      <c r="F97" s="42" t="s">
        <v>48</v>
      </c>
      <c r="G97" s="40" t="s">
        <v>48</v>
      </c>
      <c r="H97" s="40" t="s">
        <v>48</v>
      </c>
      <c r="I97" s="40" t="s">
        <v>48</v>
      </c>
      <c r="J97" s="40" t="s">
        <v>48</v>
      </c>
      <c r="K97" s="40" t="s">
        <v>48</v>
      </c>
      <c r="L97" s="40" t="s">
        <v>48</v>
      </c>
      <c r="M97" s="40" t="s">
        <v>48</v>
      </c>
      <c r="N97" s="40" t="s">
        <v>48</v>
      </c>
      <c r="O97" s="40" t="s">
        <v>48</v>
      </c>
      <c r="P97" s="40" t="s">
        <v>48</v>
      </c>
      <c r="Q97" s="40" t="s">
        <v>48</v>
      </c>
      <c r="R97" s="40" t="s">
        <v>48</v>
      </c>
      <c r="S97" s="40" t="s">
        <v>48</v>
      </c>
      <c r="T97" s="40" t="s">
        <v>48</v>
      </c>
      <c r="V97" s="33"/>
      <c r="W97" s="38" t="str">
        <f>Notes!U98</f>
        <v xml:space="preserve">               Machinery and other equipment</v>
      </c>
      <c r="X97" s="4" t="s">
        <v>732</v>
      </c>
      <c r="Y97" s="44">
        <v>4.2820711088821772</v>
      </c>
      <c r="Z97" s="42" t="s">
        <v>48</v>
      </c>
      <c r="AA97" s="40" t="s">
        <v>48</v>
      </c>
      <c r="AB97" s="40" t="s">
        <v>48</v>
      </c>
      <c r="AC97" s="40" t="s">
        <v>48</v>
      </c>
      <c r="AD97" s="40" t="s">
        <v>48</v>
      </c>
      <c r="AE97" s="40" t="s">
        <v>48</v>
      </c>
      <c r="AF97" s="40" t="s">
        <v>48</v>
      </c>
      <c r="AG97" s="40" t="s">
        <v>48</v>
      </c>
      <c r="AH97" s="40" t="s">
        <v>48</v>
      </c>
      <c r="AI97" s="40" t="s">
        <v>48</v>
      </c>
      <c r="AJ97" s="40" t="s">
        <v>48</v>
      </c>
      <c r="AK97" s="40" t="s">
        <v>48</v>
      </c>
      <c r="AL97" s="40" t="s">
        <v>48</v>
      </c>
      <c r="AM97" s="40" t="s">
        <v>48</v>
      </c>
      <c r="AN97" s="40" t="s">
        <v>48</v>
      </c>
      <c r="AP97" s="33"/>
      <c r="AQ97" s="38" t="str">
        <f>Notes!U98</f>
        <v xml:space="preserve">               Machinery and other equipment</v>
      </c>
      <c r="AR97" s="4" t="s">
        <v>732</v>
      </c>
      <c r="AS97" s="44">
        <v>10.825264287519012</v>
      </c>
      <c r="AT97" s="42" t="s">
        <v>48</v>
      </c>
      <c r="AU97" s="40" t="s">
        <v>48</v>
      </c>
      <c r="AV97" s="40" t="s">
        <v>48</v>
      </c>
      <c r="AW97" s="40" t="s">
        <v>48</v>
      </c>
      <c r="AX97" s="40" t="s">
        <v>48</v>
      </c>
      <c r="AY97" s="40" t="s">
        <v>48</v>
      </c>
      <c r="AZ97" s="40" t="s">
        <v>48</v>
      </c>
      <c r="BA97" s="40" t="s">
        <v>48</v>
      </c>
      <c r="BB97" s="40" t="s">
        <v>48</v>
      </c>
      <c r="BC97" s="40" t="s">
        <v>48</v>
      </c>
      <c r="BD97" s="40" t="s">
        <v>48</v>
      </c>
      <c r="BE97" s="40" t="s">
        <v>48</v>
      </c>
      <c r="BF97" s="40" t="s">
        <v>48</v>
      </c>
      <c r="BG97" s="40" t="s">
        <v>48</v>
      </c>
      <c r="BH97" s="40" t="s">
        <v>48</v>
      </c>
      <c r="BJ97" s="33"/>
      <c r="BK97" s="38" t="str">
        <f>Notes!U98</f>
        <v xml:space="preserve">               Machinery and other equipment</v>
      </c>
      <c r="BL97" s="4" t="s">
        <v>732</v>
      </c>
      <c r="BM97" s="44">
        <v>2.2838135409423597</v>
      </c>
      <c r="BN97" s="42" t="s">
        <v>48</v>
      </c>
      <c r="BO97" s="40" t="s">
        <v>48</v>
      </c>
      <c r="BP97" s="40" t="s">
        <v>48</v>
      </c>
      <c r="BQ97" s="40" t="s">
        <v>48</v>
      </c>
      <c r="BR97" s="40" t="s">
        <v>48</v>
      </c>
      <c r="BS97" s="40" t="s">
        <v>48</v>
      </c>
      <c r="BT97" s="40" t="s">
        <v>48</v>
      </c>
      <c r="BU97" s="40" t="s">
        <v>48</v>
      </c>
      <c r="BV97" s="40" t="s">
        <v>48</v>
      </c>
      <c r="BW97" s="40" t="s">
        <v>48</v>
      </c>
      <c r="BX97" s="40" t="s">
        <v>48</v>
      </c>
      <c r="BY97" s="40" t="s">
        <v>48</v>
      </c>
      <c r="BZ97" s="40" t="s">
        <v>48</v>
      </c>
      <c r="CA97" s="40" t="s">
        <v>48</v>
      </c>
      <c r="CB97" s="40" t="s">
        <v>48</v>
      </c>
      <c r="CD97" s="33"/>
      <c r="CE97" s="38" t="str">
        <f>Notes!U98</f>
        <v xml:space="preserve">               Machinery and other equipment</v>
      </c>
      <c r="CF97" s="4" t="s">
        <v>732</v>
      </c>
      <c r="CG97" s="44">
        <v>9.4455057206476756</v>
      </c>
      <c r="CH97" s="42" t="s">
        <v>48</v>
      </c>
      <c r="CI97" s="40" t="s">
        <v>48</v>
      </c>
      <c r="CJ97" s="40" t="s">
        <v>48</v>
      </c>
      <c r="CK97" s="40" t="s">
        <v>48</v>
      </c>
      <c r="CL97" s="40" t="s">
        <v>48</v>
      </c>
      <c r="CM97" s="40" t="s">
        <v>48</v>
      </c>
      <c r="CN97" s="40" t="s">
        <v>48</v>
      </c>
      <c r="CO97" s="40" t="s">
        <v>48</v>
      </c>
      <c r="CP97" s="40" t="s">
        <v>48</v>
      </c>
      <c r="CQ97" s="40" t="s">
        <v>48</v>
      </c>
      <c r="CR97" s="40" t="s">
        <v>48</v>
      </c>
      <c r="CS97" s="40" t="s">
        <v>48</v>
      </c>
      <c r="CT97" s="40" t="s">
        <v>48</v>
      </c>
      <c r="CU97" s="40" t="s">
        <v>48</v>
      </c>
      <c r="CV97" s="40" t="s">
        <v>48</v>
      </c>
      <c r="CX97" s="33"/>
      <c r="CY97" s="38" t="str">
        <f>Notes!U98</f>
        <v xml:space="preserve">               Machinery and other equipment</v>
      </c>
      <c r="CZ97" s="4" t="s">
        <v>732</v>
      </c>
      <c r="DA97" s="44">
        <v>2.9458832807260746</v>
      </c>
      <c r="DB97" s="42" t="s">
        <v>48</v>
      </c>
      <c r="DC97" s="40" t="s">
        <v>48</v>
      </c>
      <c r="DD97" s="40" t="s">
        <v>48</v>
      </c>
      <c r="DE97" s="40" t="s">
        <v>48</v>
      </c>
      <c r="DF97" s="40" t="s">
        <v>48</v>
      </c>
      <c r="DG97" s="40" t="s">
        <v>48</v>
      </c>
      <c r="DH97" s="40" t="s">
        <v>48</v>
      </c>
      <c r="DI97" s="40" t="s">
        <v>48</v>
      </c>
      <c r="DJ97" s="40" t="s">
        <v>48</v>
      </c>
      <c r="DK97" s="40" t="s">
        <v>48</v>
      </c>
      <c r="DL97" s="40" t="s">
        <v>48</v>
      </c>
      <c r="DM97" s="40" t="s">
        <v>48</v>
      </c>
      <c r="DN97" s="40" t="s">
        <v>48</v>
      </c>
      <c r="DO97" s="40" t="s">
        <v>48</v>
      </c>
      <c r="DP97" s="40" t="s">
        <v>48</v>
      </c>
    </row>
    <row r="98" spans="1:120" x14ac:dyDescent="0.35">
      <c r="A98" s="12">
        <v>91</v>
      </c>
      <c r="B98" s="33"/>
      <c r="C98" s="38" t="str">
        <f>Notes!U99</f>
        <v xml:space="preserve">               Electrical equipment</v>
      </c>
      <c r="D98" s="4" t="s">
        <v>373</v>
      </c>
      <c r="E98" s="44">
        <v>9.7455128211528269E-2</v>
      </c>
      <c r="F98" s="42" t="s">
        <v>48</v>
      </c>
      <c r="G98" s="40" t="s">
        <v>48</v>
      </c>
      <c r="H98" s="40" t="s">
        <v>48</v>
      </c>
      <c r="I98" s="40" t="s">
        <v>48</v>
      </c>
      <c r="J98" s="40" t="s">
        <v>48</v>
      </c>
      <c r="K98" s="40" t="s">
        <v>48</v>
      </c>
      <c r="L98" s="40" t="s">
        <v>48</v>
      </c>
      <c r="M98" s="40" t="s">
        <v>48</v>
      </c>
      <c r="N98" s="40" t="s">
        <v>48</v>
      </c>
      <c r="O98" s="40" t="s">
        <v>48</v>
      </c>
      <c r="P98" s="40" t="s">
        <v>48</v>
      </c>
      <c r="Q98" s="40" t="s">
        <v>48</v>
      </c>
      <c r="R98" s="40" t="s">
        <v>48</v>
      </c>
      <c r="S98" s="40" t="s">
        <v>48</v>
      </c>
      <c r="T98" s="40" t="s">
        <v>48</v>
      </c>
      <c r="V98" s="33"/>
      <c r="W98" s="38" t="str">
        <f>Notes!U99</f>
        <v xml:space="preserve">               Electrical equipment</v>
      </c>
      <c r="X98" s="4" t="s">
        <v>373</v>
      </c>
      <c r="Y98" s="44">
        <v>5.2138035034538746E-2</v>
      </c>
      <c r="Z98" s="42" t="s">
        <v>48</v>
      </c>
      <c r="AA98" s="40" t="s">
        <v>48</v>
      </c>
      <c r="AB98" s="40" t="s">
        <v>48</v>
      </c>
      <c r="AC98" s="40" t="s">
        <v>48</v>
      </c>
      <c r="AD98" s="40" t="s">
        <v>48</v>
      </c>
      <c r="AE98" s="40" t="s">
        <v>48</v>
      </c>
      <c r="AF98" s="40" t="s">
        <v>48</v>
      </c>
      <c r="AG98" s="40" t="s">
        <v>48</v>
      </c>
      <c r="AH98" s="40" t="s">
        <v>48</v>
      </c>
      <c r="AI98" s="40" t="s">
        <v>48</v>
      </c>
      <c r="AJ98" s="40" t="s">
        <v>48</v>
      </c>
      <c r="AK98" s="40" t="s">
        <v>48</v>
      </c>
      <c r="AL98" s="40" t="s">
        <v>48</v>
      </c>
      <c r="AM98" s="40" t="s">
        <v>48</v>
      </c>
      <c r="AN98" s="40" t="s">
        <v>48</v>
      </c>
      <c r="AP98" s="33"/>
      <c r="AQ98" s="38" t="str">
        <f>Notes!U99</f>
        <v xml:space="preserve">               Electrical equipment</v>
      </c>
      <c r="AR98" s="4" t="s">
        <v>373</v>
      </c>
      <c r="AS98" s="44">
        <v>0.48032766778488029</v>
      </c>
      <c r="AT98" s="42" t="s">
        <v>48</v>
      </c>
      <c r="AU98" s="40" t="s">
        <v>48</v>
      </c>
      <c r="AV98" s="40" t="s">
        <v>48</v>
      </c>
      <c r="AW98" s="40" t="s">
        <v>48</v>
      </c>
      <c r="AX98" s="40" t="s">
        <v>48</v>
      </c>
      <c r="AY98" s="40" t="s">
        <v>48</v>
      </c>
      <c r="AZ98" s="40" t="s">
        <v>48</v>
      </c>
      <c r="BA98" s="40" t="s">
        <v>48</v>
      </c>
      <c r="BB98" s="40" t="s">
        <v>48</v>
      </c>
      <c r="BC98" s="40" t="s">
        <v>48</v>
      </c>
      <c r="BD98" s="40" t="s">
        <v>48</v>
      </c>
      <c r="BE98" s="40" t="s">
        <v>48</v>
      </c>
      <c r="BF98" s="40" t="s">
        <v>48</v>
      </c>
      <c r="BG98" s="40" t="s">
        <v>48</v>
      </c>
      <c r="BH98" s="40" t="s">
        <v>48</v>
      </c>
      <c r="BJ98" s="33"/>
      <c r="BK98" s="38" t="str">
        <f>Notes!U99</f>
        <v xml:space="preserve">               Electrical equipment</v>
      </c>
      <c r="BL98" s="4" t="s">
        <v>373</v>
      </c>
      <c r="BM98" s="44">
        <v>3.7664187458495438E-2</v>
      </c>
      <c r="BN98" s="42" t="s">
        <v>48</v>
      </c>
      <c r="BO98" s="40" t="s">
        <v>48</v>
      </c>
      <c r="BP98" s="40" t="s">
        <v>48</v>
      </c>
      <c r="BQ98" s="40" t="s">
        <v>48</v>
      </c>
      <c r="BR98" s="40" t="s">
        <v>48</v>
      </c>
      <c r="BS98" s="40" t="s">
        <v>48</v>
      </c>
      <c r="BT98" s="40" t="s">
        <v>48</v>
      </c>
      <c r="BU98" s="40" t="s">
        <v>48</v>
      </c>
      <c r="BV98" s="40" t="s">
        <v>48</v>
      </c>
      <c r="BW98" s="40" t="s">
        <v>48</v>
      </c>
      <c r="BX98" s="40" t="s">
        <v>48</v>
      </c>
      <c r="BY98" s="40" t="s">
        <v>48</v>
      </c>
      <c r="BZ98" s="40" t="s">
        <v>48</v>
      </c>
      <c r="CA98" s="40" t="s">
        <v>48</v>
      </c>
      <c r="CB98" s="40" t="s">
        <v>48</v>
      </c>
      <c r="CD98" s="33"/>
      <c r="CE98" s="38" t="str">
        <f>Notes!U99</f>
        <v xml:space="preserve">               Electrical equipment</v>
      </c>
      <c r="CF98" s="4" t="s">
        <v>373</v>
      </c>
      <c r="CG98" s="44">
        <v>0.41910641748287897</v>
      </c>
      <c r="CH98" s="42" t="s">
        <v>48</v>
      </c>
      <c r="CI98" s="40" t="s">
        <v>48</v>
      </c>
      <c r="CJ98" s="40" t="s">
        <v>48</v>
      </c>
      <c r="CK98" s="40" t="s">
        <v>48</v>
      </c>
      <c r="CL98" s="40" t="s">
        <v>48</v>
      </c>
      <c r="CM98" s="40" t="s">
        <v>48</v>
      </c>
      <c r="CN98" s="40" t="s">
        <v>48</v>
      </c>
      <c r="CO98" s="40" t="s">
        <v>48</v>
      </c>
      <c r="CP98" s="40" t="s">
        <v>48</v>
      </c>
      <c r="CQ98" s="40" t="s">
        <v>48</v>
      </c>
      <c r="CR98" s="40" t="s">
        <v>48</v>
      </c>
      <c r="CS98" s="40" t="s">
        <v>48</v>
      </c>
      <c r="CT98" s="40" t="s">
        <v>48</v>
      </c>
      <c r="CU98" s="40" t="s">
        <v>48</v>
      </c>
      <c r="CV98" s="40" t="s">
        <v>48</v>
      </c>
      <c r="CX98" s="33"/>
      <c r="CY98" s="38" t="str">
        <f>Notes!U99</f>
        <v xml:space="preserve">               Electrical equipment</v>
      </c>
      <c r="CZ98" s="4" t="s">
        <v>373</v>
      </c>
      <c r="DA98" s="44">
        <v>4.8582906672114672E-2</v>
      </c>
      <c r="DB98" s="42" t="s">
        <v>48</v>
      </c>
      <c r="DC98" s="40" t="s">
        <v>48</v>
      </c>
      <c r="DD98" s="40" t="s">
        <v>48</v>
      </c>
      <c r="DE98" s="40" t="s">
        <v>48</v>
      </c>
      <c r="DF98" s="40" t="s">
        <v>48</v>
      </c>
      <c r="DG98" s="40" t="s">
        <v>48</v>
      </c>
      <c r="DH98" s="40" t="s">
        <v>48</v>
      </c>
      <c r="DI98" s="40" t="s">
        <v>48</v>
      </c>
      <c r="DJ98" s="40" t="s">
        <v>48</v>
      </c>
      <c r="DK98" s="40" t="s">
        <v>48</v>
      </c>
      <c r="DL98" s="40" t="s">
        <v>48</v>
      </c>
      <c r="DM98" s="40" t="s">
        <v>48</v>
      </c>
      <c r="DN98" s="40" t="s">
        <v>48</v>
      </c>
      <c r="DO98" s="40" t="s">
        <v>48</v>
      </c>
      <c r="DP98" s="40" t="s">
        <v>48</v>
      </c>
    </row>
    <row r="99" spans="1:120" x14ac:dyDescent="0.35">
      <c r="A99" s="12">
        <v>92</v>
      </c>
      <c r="B99" s="33"/>
      <c r="C99" s="38" t="str">
        <f>Notes!U100</f>
        <v xml:space="preserve">               Vehicles and transport equipment</v>
      </c>
      <c r="D99" s="4" t="s">
        <v>733</v>
      </c>
      <c r="E99" s="44">
        <v>6.844543932376304</v>
      </c>
      <c r="F99" s="42" t="s">
        <v>48</v>
      </c>
      <c r="G99" s="40" t="s">
        <v>48</v>
      </c>
      <c r="H99" s="40" t="s">
        <v>48</v>
      </c>
      <c r="I99" s="40" t="s">
        <v>48</v>
      </c>
      <c r="J99" s="40" t="s">
        <v>48</v>
      </c>
      <c r="K99" s="40" t="s">
        <v>48</v>
      </c>
      <c r="L99" s="40" t="s">
        <v>48</v>
      </c>
      <c r="M99" s="40" t="s">
        <v>48</v>
      </c>
      <c r="N99" s="40" t="s">
        <v>48</v>
      </c>
      <c r="O99" s="40" t="s">
        <v>48</v>
      </c>
      <c r="P99" s="40" t="s">
        <v>48</v>
      </c>
      <c r="Q99" s="40" t="s">
        <v>48</v>
      </c>
      <c r="R99" s="40" t="s">
        <v>48</v>
      </c>
      <c r="S99" s="40" t="s">
        <v>48</v>
      </c>
      <c r="T99" s="40" t="s">
        <v>48</v>
      </c>
      <c r="V99" s="33"/>
      <c r="W99" s="38" t="str">
        <f>Notes!U100</f>
        <v xml:space="preserve">               Vehicles and transport equipment</v>
      </c>
      <c r="X99" s="4" t="s">
        <v>733</v>
      </c>
      <c r="Y99" s="44">
        <v>5.6850188211741353</v>
      </c>
      <c r="Z99" s="42" t="s">
        <v>48</v>
      </c>
      <c r="AA99" s="40" t="s">
        <v>48</v>
      </c>
      <c r="AB99" s="40" t="s">
        <v>48</v>
      </c>
      <c r="AC99" s="40" t="s">
        <v>48</v>
      </c>
      <c r="AD99" s="40" t="s">
        <v>48</v>
      </c>
      <c r="AE99" s="40" t="s">
        <v>48</v>
      </c>
      <c r="AF99" s="40" t="s">
        <v>48</v>
      </c>
      <c r="AG99" s="40" t="s">
        <v>48</v>
      </c>
      <c r="AH99" s="40" t="s">
        <v>48</v>
      </c>
      <c r="AI99" s="40" t="s">
        <v>48</v>
      </c>
      <c r="AJ99" s="40" t="s">
        <v>48</v>
      </c>
      <c r="AK99" s="40" t="s">
        <v>48</v>
      </c>
      <c r="AL99" s="40" t="s">
        <v>48</v>
      </c>
      <c r="AM99" s="40" t="s">
        <v>48</v>
      </c>
      <c r="AN99" s="40" t="s">
        <v>48</v>
      </c>
      <c r="AP99" s="33"/>
      <c r="AQ99" s="38" t="str">
        <f>Notes!U100</f>
        <v xml:space="preserve">               Vehicles and transport equipment</v>
      </c>
      <c r="AR99" s="4" t="s">
        <v>733</v>
      </c>
      <c r="AS99" s="44">
        <v>2.0017475625592356</v>
      </c>
      <c r="AT99" s="42" t="s">
        <v>48</v>
      </c>
      <c r="AU99" s="40" t="s">
        <v>48</v>
      </c>
      <c r="AV99" s="40" t="s">
        <v>48</v>
      </c>
      <c r="AW99" s="40" t="s">
        <v>48</v>
      </c>
      <c r="AX99" s="40" t="s">
        <v>48</v>
      </c>
      <c r="AY99" s="40" t="s">
        <v>48</v>
      </c>
      <c r="AZ99" s="40" t="s">
        <v>48</v>
      </c>
      <c r="BA99" s="40" t="s">
        <v>48</v>
      </c>
      <c r="BB99" s="40" t="s">
        <v>48</v>
      </c>
      <c r="BC99" s="40" t="s">
        <v>48</v>
      </c>
      <c r="BD99" s="40" t="s">
        <v>48</v>
      </c>
      <c r="BE99" s="40" t="s">
        <v>48</v>
      </c>
      <c r="BF99" s="40" t="s">
        <v>48</v>
      </c>
      <c r="BG99" s="40" t="s">
        <v>48</v>
      </c>
      <c r="BH99" s="40" t="s">
        <v>48</v>
      </c>
      <c r="BJ99" s="33"/>
      <c r="BK99" s="38" t="str">
        <f>Notes!U100</f>
        <v xml:space="preserve">               Vehicles and transport equipment</v>
      </c>
      <c r="BL99" s="4" t="s">
        <v>733</v>
      </c>
      <c r="BM99" s="44">
        <v>0.6903657484593213</v>
      </c>
      <c r="BN99" s="42" t="s">
        <v>48</v>
      </c>
      <c r="BO99" s="40" t="s">
        <v>48</v>
      </c>
      <c r="BP99" s="40" t="s">
        <v>48</v>
      </c>
      <c r="BQ99" s="40" t="s">
        <v>48</v>
      </c>
      <c r="BR99" s="40" t="s">
        <v>48</v>
      </c>
      <c r="BS99" s="40" t="s">
        <v>48</v>
      </c>
      <c r="BT99" s="40" t="s">
        <v>48</v>
      </c>
      <c r="BU99" s="40" t="s">
        <v>48</v>
      </c>
      <c r="BV99" s="40" t="s">
        <v>48</v>
      </c>
      <c r="BW99" s="40" t="s">
        <v>48</v>
      </c>
      <c r="BX99" s="40" t="s">
        <v>48</v>
      </c>
      <c r="BY99" s="40" t="s">
        <v>48</v>
      </c>
      <c r="BZ99" s="40" t="s">
        <v>48</v>
      </c>
      <c r="CA99" s="40" t="s">
        <v>48</v>
      </c>
      <c r="CB99" s="40" t="s">
        <v>48</v>
      </c>
      <c r="CD99" s="33"/>
      <c r="CE99" s="38" t="str">
        <f>Notes!U100</f>
        <v xml:space="preserve">               Vehicles and transport equipment</v>
      </c>
      <c r="CF99" s="4" t="s">
        <v>733</v>
      </c>
      <c r="CG99" s="44">
        <v>1.7466102952558138</v>
      </c>
      <c r="CH99" s="42" t="s">
        <v>48</v>
      </c>
      <c r="CI99" s="40" t="s">
        <v>48</v>
      </c>
      <c r="CJ99" s="40" t="s">
        <v>48</v>
      </c>
      <c r="CK99" s="40" t="s">
        <v>48</v>
      </c>
      <c r="CL99" s="40" t="s">
        <v>48</v>
      </c>
      <c r="CM99" s="40" t="s">
        <v>48</v>
      </c>
      <c r="CN99" s="40" t="s">
        <v>48</v>
      </c>
      <c r="CO99" s="40" t="s">
        <v>48</v>
      </c>
      <c r="CP99" s="40" t="s">
        <v>48</v>
      </c>
      <c r="CQ99" s="40" t="s">
        <v>48</v>
      </c>
      <c r="CR99" s="40" t="s">
        <v>48</v>
      </c>
      <c r="CS99" s="40" t="s">
        <v>48</v>
      </c>
      <c r="CT99" s="40" t="s">
        <v>48</v>
      </c>
      <c r="CU99" s="40" t="s">
        <v>48</v>
      </c>
      <c r="CV99" s="40" t="s">
        <v>48</v>
      </c>
      <c r="CX99" s="33"/>
      <c r="CY99" s="38" t="str">
        <f>Notes!U100</f>
        <v xml:space="preserve">               Vehicles and transport equipment</v>
      </c>
      <c r="CZ99" s="4" t="s">
        <v>733</v>
      </c>
      <c r="DA99" s="44">
        <v>0.89050041937008828</v>
      </c>
      <c r="DB99" s="42" t="s">
        <v>48</v>
      </c>
      <c r="DC99" s="40" t="s">
        <v>48</v>
      </c>
      <c r="DD99" s="40" t="s">
        <v>48</v>
      </c>
      <c r="DE99" s="40" t="s">
        <v>48</v>
      </c>
      <c r="DF99" s="40" t="s">
        <v>48</v>
      </c>
      <c r="DG99" s="40" t="s">
        <v>48</v>
      </c>
      <c r="DH99" s="40" t="s">
        <v>48</v>
      </c>
      <c r="DI99" s="40" t="s">
        <v>48</v>
      </c>
      <c r="DJ99" s="40" t="s">
        <v>48</v>
      </c>
      <c r="DK99" s="40" t="s">
        <v>48</v>
      </c>
      <c r="DL99" s="40" t="s">
        <v>48</v>
      </c>
      <c r="DM99" s="40" t="s">
        <v>48</v>
      </c>
      <c r="DN99" s="40" t="s">
        <v>48</v>
      </c>
      <c r="DO99" s="40" t="s">
        <v>48</v>
      </c>
      <c r="DP99" s="40" t="s">
        <v>48</v>
      </c>
    </row>
    <row r="100" spans="1:120" x14ac:dyDescent="0.35">
      <c r="A100" s="12">
        <v>93</v>
      </c>
      <c r="B100" s="33"/>
      <c r="C100" s="38" t="str">
        <f>Notes!U101</f>
        <v xml:space="preserve">               Other manufacturing</v>
      </c>
      <c r="D100" s="4" t="s">
        <v>374</v>
      </c>
      <c r="E100" s="44">
        <v>4.9273805965201563</v>
      </c>
      <c r="F100" s="42" t="s">
        <v>48</v>
      </c>
      <c r="G100" s="40" t="s">
        <v>48</v>
      </c>
      <c r="H100" s="40" t="s">
        <v>48</v>
      </c>
      <c r="I100" s="40" t="s">
        <v>48</v>
      </c>
      <c r="J100" s="40" t="s">
        <v>48</v>
      </c>
      <c r="K100" s="40" t="s">
        <v>48</v>
      </c>
      <c r="L100" s="40" t="s">
        <v>48</v>
      </c>
      <c r="M100" s="40" t="s">
        <v>48</v>
      </c>
      <c r="N100" s="40" t="s">
        <v>48</v>
      </c>
      <c r="O100" s="40" t="s">
        <v>48</v>
      </c>
      <c r="P100" s="40" t="s">
        <v>48</v>
      </c>
      <c r="Q100" s="40" t="s">
        <v>48</v>
      </c>
      <c r="R100" s="40" t="s">
        <v>48</v>
      </c>
      <c r="S100" s="40" t="s">
        <v>48</v>
      </c>
      <c r="T100" s="40" t="s">
        <v>48</v>
      </c>
      <c r="V100" s="33"/>
      <c r="W100" s="38" t="str">
        <f>Notes!U101</f>
        <v xml:space="preserve">               Other manufacturing</v>
      </c>
      <c r="X100" s="4" t="s">
        <v>374</v>
      </c>
      <c r="Y100" s="44">
        <v>3.8786991952983567</v>
      </c>
      <c r="Z100" s="42" t="s">
        <v>48</v>
      </c>
      <c r="AA100" s="40" t="s">
        <v>48</v>
      </c>
      <c r="AB100" s="40" t="s">
        <v>48</v>
      </c>
      <c r="AC100" s="40" t="s">
        <v>48</v>
      </c>
      <c r="AD100" s="40" t="s">
        <v>48</v>
      </c>
      <c r="AE100" s="40" t="s">
        <v>48</v>
      </c>
      <c r="AF100" s="40" t="s">
        <v>48</v>
      </c>
      <c r="AG100" s="40" t="s">
        <v>48</v>
      </c>
      <c r="AH100" s="40" t="s">
        <v>48</v>
      </c>
      <c r="AI100" s="40" t="s">
        <v>48</v>
      </c>
      <c r="AJ100" s="40" t="s">
        <v>48</v>
      </c>
      <c r="AK100" s="40" t="s">
        <v>48</v>
      </c>
      <c r="AL100" s="40" t="s">
        <v>48</v>
      </c>
      <c r="AM100" s="40" t="s">
        <v>48</v>
      </c>
      <c r="AN100" s="40" t="s">
        <v>48</v>
      </c>
      <c r="AP100" s="33"/>
      <c r="AQ100" s="38" t="str">
        <f>Notes!U101</f>
        <v xml:space="preserve">               Other manufacturing</v>
      </c>
      <c r="AR100" s="4" t="s">
        <v>374</v>
      </c>
      <c r="AS100" s="44" t="s">
        <v>48</v>
      </c>
      <c r="AT100" s="42" t="s">
        <v>48</v>
      </c>
      <c r="AU100" s="40" t="s">
        <v>48</v>
      </c>
      <c r="AV100" s="40" t="s">
        <v>48</v>
      </c>
      <c r="AW100" s="40" t="s">
        <v>48</v>
      </c>
      <c r="AX100" s="40" t="s">
        <v>48</v>
      </c>
      <c r="AY100" s="40" t="s">
        <v>48</v>
      </c>
      <c r="AZ100" s="40" t="s">
        <v>48</v>
      </c>
      <c r="BA100" s="40" t="s">
        <v>48</v>
      </c>
      <c r="BB100" s="40" t="s">
        <v>48</v>
      </c>
      <c r="BC100" s="40" t="s">
        <v>48</v>
      </c>
      <c r="BD100" s="40" t="s">
        <v>48</v>
      </c>
      <c r="BE100" s="40" t="s">
        <v>48</v>
      </c>
      <c r="BF100" s="40" t="s">
        <v>48</v>
      </c>
      <c r="BG100" s="40" t="s">
        <v>48</v>
      </c>
      <c r="BH100" s="40" t="s">
        <v>48</v>
      </c>
      <c r="BJ100" s="33"/>
      <c r="BK100" s="38" t="str">
        <f>Notes!U101</f>
        <v xml:space="preserve">               Other manufacturing</v>
      </c>
      <c r="BL100" s="4" t="s">
        <v>374</v>
      </c>
      <c r="BM100" s="44" t="s">
        <v>48</v>
      </c>
      <c r="BN100" s="42" t="s">
        <v>48</v>
      </c>
      <c r="BO100" s="40" t="s">
        <v>48</v>
      </c>
      <c r="BP100" s="40" t="s">
        <v>48</v>
      </c>
      <c r="BQ100" s="40" t="s">
        <v>48</v>
      </c>
      <c r="BR100" s="40" t="s">
        <v>48</v>
      </c>
      <c r="BS100" s="40" t="s">
        <v>48</v>
      </c>
      <c r="BT100" s="40" t="s">
        <v>48</v>
      </c>
      <c r="BU100" s="40" t="s">
        <v>48</v>
      </c>
      <c r="BV100" s="40" t="s">
        <v>48</v>
      </c>
      <c r="BW100" s="40" t="s">
        <v>48</v>
      </c>
      <c r="BX100" s="40" t="s">
        <v>48</v>
      </c>
      <c r="BY100" s="40" t="s">
        <v>48</v>
      </c>
      <c r="BZ100" s="40" t="s">
        <v>48</v>
      </c>
      <c r="CA100" s="40" t="s">
        <v>48</v>
      </c>
      <c r="CB100" s="40" t="s">
        <v>48</v>
      </c>
      <c r="CD100" s="33"/>
      <c r="CE100" s="38" t="str">
        <f>Notes!U101</f>
        <v xml:space="preserve">               Other manufacturing</v>
      </c>
      <c r="CF100" s="4" t="s">
        <v>374</v>
      </c>
      <c r="CG100" s="44" t="s">
        <v>48</v>
      </c>
      <c r="CH100" s="42" t="s">
        <v>48</v>
      </c>
      <c r="CI100" s="40" t="s">
        <v>48</v>
      </c>
      <c r="CJ100" s="40" t="s">
        <v>48</v>
      </c>
      <c r="CK100" s="40" t="s">
        <v>48</v>
      </c>
      <c r="CL100" s="40" t="s">
        <v>48</v>
      </c>
      <c r="CM100" s="40" t="s">
        <v>48</v>
      </c>
      <c r="CN100" s="40" t="s">
        <v>48</v>
      </c>
      <c r="CO100" s="40" t="s">
        <v>48</v>
      </c>
      <c r="CP100" s="40" t="s">
        <v>48</v>
      </c>
      <c r="CQ100" s="40" t="s">
        <v>48</v>
      </c>
      <c r="CR100" s="40" t="s">
        <v>48</v>
      </c>
      <c r="CS100" s="40" t="s">
        <v>48</v>
      </c>
      <c r="CT100" s="40" t="s">
        <v>48</v>
      </c>
      <c r="CU100" s="40" t="s">
        <v>48</v>
      </c>
      <c r="CV100" s="40" t="s">
        <v>48</v>
      </c>
      <c r="CX100" s="33"/>
      <c r="CY100" s="38" t="str">
        <f>Notes!U101</f>
        <v xml:space="preserve">               Other manufacturing</v>
      </c>
      <c r="CZ100" s="4" t="s">
        <v>374</v>
      </c>
      <c r="DA100" s="44" t="s">
        <v>48</v>
      </c>
      <c r="DB100" s="42" t="s">
        <v>48</v>
      </c>
      <c r="DC100" s="40" t="s">
        <v>48</v>
      </c>
      <c r="DD100" s="40" t="s">
        <v>48</v>
      </c>
      <c r="DE100" s="40" t="s">
        <v>48</v>
      </c>
      <c r="DF100" s="40" t="s">
        <v>48</v>
      </c>
      <c r="DG100" s="40" t="s">
        <v>48</v>
      </c>
      <c r="DH100" s="40" t="s">
        <v>48</v>
      </c>
      <c r="DI100" s="40" t="s">
        <v>48</v>
      </c>
      <c r="DJ100" s="40" t="s">
        <v>48</v>
      </c>
      <c r="DK100" s="40" t="s">
        <v>48</v>
      </c>
      <c r="DL100" s="40" t="s">
        <v>48</v>
      </c>
      <c r="DM100" s="40" t="s">
        <v>48</v>
      </c>
      <c r="DN100" s="40" t="s">
        <v>48</v>
      </c>
      <c r="DO100" s="40" t="s">
        <v>48</v>
      </c>
      <c r="DP100" s="40" t="s">
        <v>48</v>
      </c>
    </row>
    <row r="101" spans="1:120" x14ac:dyDescent="0.35">
      <c r="A101" s="12">
        <v>94</v>
      </c>
      <c r="B101" s="33"/>
      <c r="C101" s="38" t="str">
        <f>Notes!U102</f>
        <v xml:space="preserve">               Utilities</v>
      </c>
      <c r="D101" s="4" t="s">
        <v>734</v>
      </c>
      <c r="E101" s="44" t="s">
        <v>48</v>
      </c>
      <c r="F101" s="42" t="s">
        <v>48</v>
      </c>
      <c r="G101" s="40" t="s">
        <v>48</v>
      </c>
      <c r="H101" s="40" t="s">
        <v>48</v>
      </c>
      <c r="I101" s="40" t="s">
        <v>48</v>
      </c>
      <c r="J101" s="40" t="s">
        <v>48</v>
      </c>
      <c r="K101" s="40" t="s">
        <v>48</v>
      </c>
      <c r="L101" s="40" t="s">
        <v>48</v>
      </c>
      <c r="M101" s="40" t="s">
        <v>48</v>
      </c>
      <c r="N101" s="40" t="s">
        <v>48</v>
      </c>
      <c r="O101" s="40" t="s">
        <v>48</v>
      </c>
      <c r="P101" s="40" t="s">
        <v>48</v>
      </c>
      <c r="Q101" s="40" t="s">
        <v>48</v>
      </c>
      <c r="R101" s="40" t="s">
        <v>48</v>
      </c>
      <c r="S101" s="40" t="s">
        <v>48</v>
      </c>
      <c r="T101" s="40" t="s">
        <v>48</v>
      </c>
      <c r="V101" s="33"/>
      <c r="W101" s="38" t="str">
        <f>Notes!U102</f>
        <v xml:space="preserve">               Utilities</v>
      </c>
      <c r="X101" s="4" t="s">
        <v>734</v>
      </c>
      <c r="Y101" s="44" t="s">
        <v>48</v>
      </c>
      <c r="Z101" s="42" t="s">
        <v>48</v>
      </c>
      <c r="AA101" s="40" t="s">
        <v>48</v>
      </c>
      <c r="AB101" s="40" t="s">
        <v>48</v>
      </c>
      <c r="AC101" s="40" t="s">
        <v>48</v>
      </c>
      <c r="AD101" s="40" t="s">
        <v>48</v>
      </c>
      <c r="AE101" s="40" t="s">
        <v>48</v>
      </c>
      <c r="AF101" s="40" t="s">
        <v>48</v>
      </c>
      <c r="AG101" s="40" t="s">
        <v>48</v>
      </c>
      <c r="AH101" s="40" t="s">
        <v>48</v>
      </c>
      <c r="AI101" s="40" t="s">
        <v>48</v>
      </c>
      <c r="AJ101" s="40" t="s">
        <v>48</v>
      </c>
      <c r="AK101" s="40" t="s">
        <v>48</v>
      </c>
      <c r="AL101" s="40" t="s">
        <v>48</v>
      </c>
      <c r="AM101" s="40" t="s">
        <v>48</v>
      </c>
      <c r="AN101" s="40" t="s">
        <v>48</v>
      </c>
      <c r="AP101" s="33"/>
      <c r="AQ101" s="38" t="str">
        <f>Notes!U102</f>
        <v xml:space="preserve">               Utilities</v>
      </c>
      <c r="AR101" s="4" t="s">
        <v>734</v>
      </c>
      <c r="AS101" s="44" t="s">
        <v>48</v>
      </c>
      <c r="AT101" s="42" t="s">
        <v>48</v>
      </c>
      <c r="AU101" s="40" t="s">
        <v>48</v>
      </c>
      <c r="AV101" s="40" t="s">
        <v>48</v>
      </c>
      <c r="AW101" s="40" t="s">
        <v>48</v>
      </c>
      <c r="AX101" s="40" t="s">
        <v>48</v>
      </c>
      <c r="AY101" s="40" t="s">
        <v>48</v>
      </c>
      <c r="AZ101" s="40" t="s">
        <v>48</v>
      </c>
      <c r="BA101" s="40" t="s">
        <v>48</v>
      </c>
      <c r="BB101" s="40" t="s">
        <v>48</v>
      </c>
      <c r="BC101" s="40" t="s">
        <v>48</v>
      </c>
      <c r="BD101" s="40" t="s">
        <v>48</v>
      </c>
      <c r="BE101" s="40" t="s">
        <v>48</v>
      </c>
      <c r="BF101" s="40" t="s">
        <v>48</v>
      </c>
      <c r="BG101" s="40" t="s">
        <v>48</v>
      </c>
      <c r="BH101" s="40" t="s">
        <v>48</v>
      </c>
      <c r="BJ101" s="33"/>
      <c r="BK101" s="38" t="str">
        <f>Notes!U102</f>
        <v xml:space="preserve">               Utilities</v>
      </c>
      <c r="BL101" s="4" t="s">
        <v>734</v>
      </c>
      <c r="BM101" s="44" t="s">
        <v>48</v>
      </c>
      <c r="BN101" s="42" t="s">
        <v>48</v>
      </c>
      <c r="BO101" s="40" t="s">
        <v>48</v>
      </c>
      <c r="BP101" s="40" t="s">
        <v>48</v>
      </c>
      <c r="BQ101" s="40" t="s">
        <v>48</v>
      </c>
      <c r="BR101" s="40" t="s">
        <v>48</v>
      </c>
      <c r="BS101" s="40" t="s">
        <v>48</v>
      </c>
      <c r="BT101" s="40" t="s">
        <v>48</v>
      </c>
      <c r="BU101" s="40" t="s">
        <v>48</v>
      </c>
      <c r="BV101" s="40" t="s">
        <v>48</v>
      </c>
      <c r="BW101" s="40" t="s">
        <v>48</v>
      </c>
      <c r="BX101" s="40" t="s">
        <v>48</v>
      </c>
      <c r="BY101" s="40" t="s">
        <v>48</v>
      </c>
      <c r="BZ101" s="40" t="s">
        <v>48</v>
      </c>
      <c r="CA101" s="40" t="s">
        <v>48</v>
      </c>
      <c r="CB101" s="40" t="s">
        <v>48</v>
      </c>
      <c r="CD101" s="33"/>
      <c r="CE101" s="38" t="str">
        <f>Notes!U102</f>
        <v xml:space="preserve">               Utilities</v>
      </c>
      <c r="CF101" s="4" t="s">
        <v>734</v>
      </c>
      <c r="CG101" s="44" t="s">
        <v>48</v>
      </c>
      <c r="CH101" s="42" t="s">
        <v>48</v>
      </c>
      <c r="CI101" s="40" t="s">
        <v>48</v>
      </c>
      <c r="CJ101" s="40" t="s">
        <v>48</v>
      </c>
      <c r="CK101" s="40" t="s">
        <v>48</v>
      </c>
      <c r="CL101" s="40" t="s">
        <v>48</v>
      </c>
      <c r="CM101" s="40" t="s">
        <v>48</v>
      </c>
      <c r="CN101" s="40" t="s">
        <v>48</v>
      </c>
      <c r="CO101" s="40" t="s">
        <v>48</v>
      </c>
      <c r="CP101" s="40" t="s">
        <v>48</v>
      </c>
      <c r="CQ101" s="40" t="s">
        <v>48</v>
      </c>
      <c r="CR101" s="40" t="s">
        <v>48</v>
      </c>
      <c r="CS101" s="40" t="s">
        <v>48</v>
      </c>
      <c r="CT101" s="40" t="s">
        <v>48</v>
      </c>
      <c r="CU101" s="40" t="s">
        <v>48</v>
      </c>
      <c r="CV101" s="40" t="s">
        <v>48</v>
      </c>
      <c r="CX101" s="33"/>
      <c r="CY101" s="38" t="str">
        <f>Notes!U102</f>
        <v xml:space="preserve">               Utilities</v>
      </c>
      <c r="CZ101" s="4" t="s">
        <v>734</v>
      </c>
      <c r="DA101" s="44" t="s">
        <v>48</v>
      </c>
      <c r="DB101" s="42" t="s">
        <v>48</v>
      </c>
      <c r="DC101" s="40" t="s">
        <v>48</v>
      </c>
      <c r="DD101" s="40" t="s">
        <v>48</v>
      </c>
      <c r="DE101" s="40" t="s">
        <v>48</v>
      </c>
      <c r="DF101" s="40" t="s">
        <v>48</v>
      </c>
      <c r="DG101" s="40" t="s">
        <v>48</v>
      </c>
      <c r="DH101" s="40" t="s">
        <v>48</v>
      </c>
      <c r="DI101" s="40" t="s">
        <v>48</v>
      </c>
      <c r="DJ101" s="40" t="s">
        <v>48</v>
      </c>
      <c r="DK101" s="40" t="s">
        <v>48</v>
      </c>
      <c r="DL101" s="40" t="s">
        <v>48</v>
      </c>
      <c r="DM101" s="40" t="s">
        <v>48</v>
      </c>
      <c r="DN101" s="40" t="s">
        <v>48</v>
      </c>
      <c r="DO101" s="40" t="s">
        <v>48</v>
      </c>
      <c r="DP101" s="40" t="s">
        <v>48</v>
      </c>
    </row>
    <row r="102" spans="1:120" x14ac:dyDescent="0.35">
      <c r="A102" s="12">
        <v>95</v>
      </c>
      <c r="B102" s="33"/>
      <c r="C102" s="38" t="str">
        <f>Notes!U103</f>
        <v xml:space="preserve">               Electricity, gas and steam</v>
      </c>
      <c r="D102" s="4" t="s">
        <v>735</v>
      </c>
      <c r="E102" s="44">
        <v>1.4967649643524827</v>
      </c>
      <c r="F102" s="42" t="s">
        <v>48</v>
      </c>
      <c r="G102" s="40" t="s">
        <v>48</v>
      </c>
      <c r="H102" s="40" t="s">
        <v>48</v>
      </c>
      <c r="I102" s="40" t="s">
        <v>48</v>
      </c>
      <c r="J102" s="40" t="s">
        <v>48</v>
      </c>
      <c r="K102" s="40" t="s">
        <v>48</v>
      </c>
      <c r="L102" s="40" t="s">
        <v>48</v>
      </c>
      <c r="M102" s="40" t="s">
        <v>48</v>
      </c>
      <c r="N102" s="40" t="s">
        <v>48</v>
      </c>
      <c r="O102" s="40" t="s">
        <v>48</v>
      </c>
      <c r="P102" s="40" t="s">
        <v>48</v>
      </c>
      <c r="Q102" s="40" t="s">
        <v>48</v>
      </c>
      <c r="R102" s="40" t="s">
        <v>48</v>
      </c>
      <c r="S102" s="40" t="s">
        <v>48</v>
      </c>
      <c r="T102" s="40" t="s">
        <v>48</v>
      </c>
      <c r="V102" s="33"/>
      <c r="W102" s="38" t="str">
        <f>Notes!U103</f>
        <v xml:space="preserve">               Electricity, gas and steam</v>
      </c>
      <c r="X102" s="4" t="s">
        <v>735</v>
      </c>
      <c r="Y102" s="44">
        <v>1.4584792904345436</v>
      </c>
      <c r="Z102" s="42" t="s">
        <v>48</v>
      </c>
      <c r="AA102" s="40" t="s">
        <v>48</v>
      </c>
      <c r="AB102" s="40" t="s">
        <v>48</v>
      </c>
      <c r="AC102" s="40" t="s">
        <v>48</v>
      </c>
      <c r="AD102" s="40" t="s">
        <v>48</v>
      </c>
      <c r="AE102" s="40" t="s">
        <v>48</v>
      </c>
      <c r="AF102" s="40" t="s">
        <v>48</v>
      </c>
      <c r="AG102" s="40" t="s">
        <v>48</v>
      </c>
      <c r="AH102" s="40" t="s">
        <v>48</v>
      </c>
      <c r="AI102" s="40" t="s">
        <v>48</v>
      </c>
      <c r="AJ102" s="40" t="s">
        <v>48</v>
      </c>
      <c r="AK102" s="40" t="s">
        <v>48</v>
      </c>
      <c r="AL102" s="40" t="s">
        <v>48</v>
      </c>
      <c r="AM102" s="40" t="s">
        <v>48</v>
      </c>
      <c r="AN102" s="40" t="s">
        <v>48</v>
      </c>
      <c r="AP102" s="33"/>
      <c r="AQ102" s="38" t="str">
        <f>Notes!U103</f>
        <v xml:space="preserve">               Electricity, gas and steam</v>
      </c>
      <c r="AR102" s="4" t="s">
        <v>735</v>
      </c>
      <c r="AS102" s="44">
        <v>1.8867051912352681</v>
      </c>
      <c r="AT102" s="42" t="s">
        <v>48</v>
      </c>
      <c r="AU102" s="40" t="s">
        <v>48</v>
      </c>
      <c r="AV102" s="40" t="s">
        <v>48</v>
      </c>
      <c r="AW102" s="40" t="s">
        <v>48</v>
      </c>
      <c r="AX102" s="40" t="s">
        <v>48</v>
      </c>
      <c r="AY102" s="40" t="s">
        <v>48</v>
      </c>
      <c r="AZ102" s="40" t="s">
        <v>48</v>
      </c>
      <c r="BA102" s="40" t="s">
        <v>48</v>
      </c>
      <c r="BB102" s="40" t="s">
        <v>48</v>
      </c>
      <c r="BC102" s="40" t="s">
        <v>48</v>
      </c>
      <c r="BD102" s="40" t="s">
        <v>48</v>
      </c>
      <c r="BE102" s="40" t="s">
        <v>48</v>
      </c>
      <c r="BF102" s="40" t="s">
        <v>48</v>
      </c>
      <c r="BG102" s="40" t="s">
        <v>48</v>
      </c>
      <c r="BH102" s="40" t="s">
        <v>48</v>
      </c>
      <c r="BJ102" s="33"/>
      <c r="BK102" s="38" t="str">
        <f>Notes!U103</f>
        <v xml:space="preserve">               Electricity, gas and steam</v>
      </c>
      <c r="BL102" s="4" t="s">
        <v>735</v>
      </c>
      <c r="BM102" s="44">
        <v>0.6903657484593213</v>
      </c>
      <c r="BN102" s="42" t="s">
        <v>48</v>
      </c>
      <c r="BO102" s="40" t="s">
        <v>48</v>
      </c>
      <c r="BP102" s="40" t="s">
        <v>48</v>
      </c>
      <c r="BQ102" s="40" t="s">
        <v>48</v>
      </c>
      <c r="BR102" s="40" t="s">
        <v>48</v>
      </c>
      <c r="BS102" s="40" t="s">
        <v>48</v>
      </c>
      <c r="BT102" s="40" t="s">
        <v>48</v>
      </c>
      <c r="BU102" s="40" t="s">
        <v>48</v>
      </c>
      <c r="BV102" s="40" t="s">
        <v>48</v>
      </c>
      <c r="BW102" s="40" t="s">
        <v>48</v>
      </c>
      <c r="BX102" s="40" t="s">
        <v>48</v>
      </c>
      <c r="BY102" s="40" t="s">
        <v>48</v>
      </c>
      <c r="BZ102" s="40" t="s">
        <v>48</v>
      </c>
      <c r="CA102" s="40" t="s">
        <v>48</v>
      </c>
      <c r="CB102" s="40" t="s">
        <v>48</v>
      </c>
      <c r="CD102" s="33"/>
      <c r="CE102" s="38" t="str">
        <f>Notes!U103</f>
        <v xml:space="preserve">               Electricity, gas and steam</v>
      </c>
      <c r="CF102" s="4" t="s">
        <v>735</v>
      </c>
      <c r="CG102" s="44">
        <v>1.6462309098111332</v>
      </c>
      <c r="CH102" s="42" t="s">
        <v>48</v>
      </c>
      <c r="CI102" s="40" t="s">
        <v>48</v>
      </c>
      <c r="CJ102" s="40" t="s">
        <v>48</v>
      </c>
      <c r="CK102" s="40" t="s">
        <v>48</v>
      </c>
      <c r="CL102" s="40" t="s">
        <v>48</v>
      </c>
      <c r="CM102" s="40" t="s">
        <v>48</v>
      </c>
      <c r="CN102" s="40" t="s">
        <v>48</v>
      </c>
      <c r="CO102" s="40" t="s">
        <v>48</v>
      </c>
      <c r="CP102" s="40" t="s">
        <v>48</v>
      </c>
      <c r="CQ102" s="40" t="s">
        <v>48</v>
      </c>
      <c r="CR102" s="40" t="s">
        <v>48</v>
      </c>
      <c r="CS102" s="40" t="s">
        <v>48</v>
      </c>
      <c r="CT102" s="40" t="s">
        <v>48</v>
      </c>
      <c r="CU102" s="40" t="s">
        <v>48</v>
      </c>
      <c r="CV102" s="40" t="s">
        <v>48</v>
      </c>
      <c r="CX102" s="33"/>
      <c r="CY102" s="38" t="str">
        <f>Notes!U103</f>
        <v xml:space="preserve">               Electricity, gas and steam</v>
      </c>
      <c r="CZ102" s="4" t="s">
        <v>735</v>
      </c>
      <c r="DA102" s="44">
        <v>0.89050041937008828</v>
      </c>
      <c r="DB102" s="42" t="s">
        <v>48</v>
      </c>
      <c r="DC102" s="40" t="s">
        <v>48</v>
      </c>
      <c r="DD102" s="40" t="s">
        <v>48</v>
      </c>
      <c r="DE102" s="40" t="s">
        <v>48</v>
      </c>
      <c r="DF102" s="40" t="s">
        <v>48</v>
      </c>
      <c r="DG102" s="40" t="s">
        <v>48</v>
      </c>
      <c r="DH102" s="40" t="s">
        <v>48</v>
      </c>
      <c r="DI102" s="40" t="s">
        <v>48</v>
      </c>
      <c r="DJ102" s="40" t="s">
        <v>48</v>
      </c>
      <c r="DK102" s="40" t="s">
        <v>48</v>
      </c>
      <c r="DL102" s="40" t="s">
        <v>48</v>
      </c>
      <c r="DM102" s="40" t="s">
        <v>48</v>
      </c>
      <c r="DN102" s="40" t="s">
        <v>48</v>
      </c>
      <c r="DO102" s="40" t="s">
        <v>48</v>
      </c>
      <c r="DP102" s="40" t="s">
        <v>48</v>
      </c>
    </row>
    <row r="103" spans="1:120" x14ac:dyDescent="0.35">
      <c r="A103" s="12">
        <v>96</v>
      </c>
      <c r="B103" s="33"/>
      <c r="C103" s="38" t="str">
        <f>Notes!U104</f>
        <v xml:space="preserve">               Water supply and sewage</v>
      </c>
      <c r="D103" s="4" t="s">
        <v>736</v>
      </c>
      <c r="E103" s="44">
        <v>0.42039837150366421</v>
      </c>
      <c r="F103" s="42" t="s">
        <v>48</v>
      </c>
      <c r="G103" s="40" t="s">
        <v>48</v>
      </c>
      <c r="H103" s="40" t="s">
        <v>48</v>
      </c>
      <c r="I103" s="40" t="s">
        <v>48</v>
      </c>
      <c r="J103" s="40" t="s">
        <v>48</v>
      </c>
      <c r="K103" s="40" t="s">
        <v>48</v>
      </c>
      <c r="L103" s="40" t="s">
        <v>48</v>
      </c>
      <c r="M103" s="40" t="s">
        <v>48</v>
      </c>
      <c r="N103" s="40" t="s">
        <v>48</v>
      </c>
      <c r="O103" s="40" t="s">
        <v>48</v>
      </c>
      <c r="P103" s="40" t="s">
        <v>48</v>
      </c>
      <c r="Q103" s="40" t="s">
        <v>48</v>
      </c>
      <c r="R103" s="40" t="s">
        <v>48</v>
      </c>
      <c r="S103" s="40" t="s">
        <v>48</v>
      </c>
      <c r="T103" s="40" t="s">
        <v>48</v>
      </c>
      <c r="V103" s="33"/>
      <c r="W103" s="38" t="str">
        <f>Notes!U104</f>
        <v xml:space="preserve">               Water supply and sewage</v>
      </c>
      <c r="X103" s="4" t="s">
        <v>736</v>
      </c>
      <c r="Y103" s="44">
        <v>0.34784033544123494</v>
      </c>
      <c r="Z103" s="42" t="s">
        <v>48</v>
      </c>
      <c r="AA103" s="40" t="s">
        <v>48</v>
      </c>
      <c r="AB103" s="40" t="s">
        <v>48</v>
      </c>
      <c r="AC103" s="40" t="s">
        <v>48</v>
      </c>
      <c r="AD103" s="40" t="s">
        <v>48</v>
      </c>
      <c r="AE103" s="40" t="s">
        <v>48</v>
      </c>
      <c r="AF103" s="40" t="s">
        <v>48</v>
      </c>
      <c r="AG103" s="40" t="s">
        <v>48</v>
      </c>
      <c r="AH103" s="40" t="s">
        <v>48</v>
      </c>
      <c r="AI103" s="40" t="s">
        <v>48</v>
      </c>
      <c r="AJ103" s="40" t="s">
        <v>48</v>
      </c>
      <c r="AK103" s="40" t="s">
        <v>48</v>
      </c>
      <c r="AL103" s="40" t="s">
        <v>48</v>
      </c>
      <c r="AM103" s="40" t="s">
        <v>48</v>
      </c>
      <c r="AN103" s="40" t="s">
        <v>48</v>
      </c>
      <c r="AP103" s="33"/>
      <c r="AQ103" s="38" t="str">
        <f>Notes!U104</f>
        <v xml:space="preserve">               Water supply and sewage</v>
      </c>
      <c r="AR103" s="4" t="s">
        <v>736</v>
      </c>
      <c r="AS103" s="44">
        <v>0.11504237132396718</v>
      </c>
      <c r="AT103" s="42" t="s">
        <v>48</v>
      </c>
      <c r="AU103" s="40" t="s">
        <v>48</v>
      </c>
      <c r="AV103" s="40" t="s">
        <v>48</v>
      </c>
      <c r="AW103" s="40" t="s">
        <v>48</v>
      </c>
      <c r="AX103" s="40" t="s">
        <v>48</v>
      </c>
      <c r="AY103" s="40" t="s">
        <v>48</v>
      </c>
      <c r="AZ103" s="40" t="s">
        <v>48</v>
      </c>
      <c r="BA103" s="40" t="s">
        <v>48</v>
      </c>
      <c r="BB103" s="40" t="s">
        <v>48</v>
      </c>
      <c r="BC103" s="40" t="s">
        <v>48</v>
      </c>
      <c r="BD103" s="40" t="s">
        <v>48</v>
      </c>
      <c r="BE103" s="40" t="s">
        <v>48</v>
      </c>
      <c r="BF103" s="40" t="s">
        <v>48</v>
      </c>
      <c r="BG103" s="40" t="s">
        <v>48</v>
      </c>
      <c r="BH103" s="40" t="s">
        <v>48</v>
      </c>
      <c r="BJ103" s="33"/>
      <c r="BK103" s="38" t="str">
        <f>Notes!U104</f>
        <v xml:space="preserve">               Water supply and sewage</v>
      </c>
      <c r="BL103" s="4" t="s">
        <v>736</v>
      </c>
      <c r="BM103" s="44" t="s">
        <v>48</v>
      </c>
      <c r="BN103" s="42" t="s">
        <v>48</v>
      </c>
      <c r="BO103" s="40" t="s">
        <v>48</v>
      </c>
      <c r="BP103" s="40" t="s">
        <v>48</v>
      </c>
      <c r="BQ103" s="40" t="s">
        <v>48</v>
      </c>
      <c r="BR103" s="40" t="s">
        <v>48</v>
      </c>
      <c r="BS103" s="40" t="s">
        <v>48</v>
      </c>
      <c r="BT103" s="40" t="s">
        <v>48</v>
      </c>
      <c r="BU103" s="40" t="s">
        <v>48</v>
      </c>
      <c r="BV103" s="40" t="s">
        <v>48</v>
      </c>
      <c r="BW103" s="40" t="s">
        <v>48</v>
      </c>
      <c r="BX103" s="40" t="s">
        <v>48</v>
      </c>
      <c r="BY103" s="40" t="s">
        <v>48</v>
      </c>
      <c r="BZ103" s="40" t="s">
        <v>48</v>
      </c>
      <c r="CA103" s="40" t="s">
        <v>48</v>
      </c>
      <c r="CB103" s="40" t="s">
        <v>48</v>
      </c>
      <c r="CD103" s="33"/>
      <c r="CE103" s="38" t="str">
        <f>Notes!U104</f>
        <v xml:space="preserve">               Water supply and sewage</v>
      </c>
      <c r="CF103" s="4" t="s">
        <v>736</v>
      </c>
      <c r="CG103" s="44">
        <v>0.10037938544468059</v>
      </c>
      <c r="CH103" s="42" t="s">
        <v>48</v>
      </c>
      <c r="CI103" s="40" t="s">
        <v>48</v>
      </c>
      <c r="CJ103" s="40" t="s">
        <v>48</v>
      </c>
      <c r="CK103" s="40" t="s">
        <v>48</v>
      </c>
      <c r="CL103" s="40" t="s">
        <v>48</v>
      </c>
      <c r="CM103" s="40" t="s">
        <v>48</v>
      </c>
      <c r="CN103" s="40" t="s">
        <v>48</v>
      </c>
      <c r="CO103" s="40" t="s">
        <v>48</v>
      </c>
      <c r="CP103" s="40" t="s">
        <v>48</v>
      </c>
      <c r="CQ103" s="40" t="s">
        <v>48</v>
      </c>
      <c r="CR103" s="40" t="s">
        <v>48</v>
      </c>
      <c r="CS103" s="40" t="s">
        <v>48</v>
      </c>
      <c r="CT103" s="40" t="s">
        <v>48</v>
      </c>
      <c r="CU103" s="40" t="s">
        <v>48</v>
      </c>
      <c r="CV103" s="40" t="s">
        <v>48</v>
      </c>
      <c r="CX103" s="33"/>
      <c r="CY103" s="38" t="str">
        <f>Notes!U104</f>
        <v xml:space="preserve">               Water supply and sewage</v>
      </c>
      <c r="CZ103" s="4" t="s">
        <v>736</v>
      </c>
      <c r="DA103" s="44" t="s">
        <v>48</v>
      </c>
      <c r="DB103" s="42" t="s">
        <v>48</v>
      </c>
      <c r="DC103" s="40" t="s">
        <v>48</v>
      </c>
      <c r="DD103" s="40" t="s">
        <v>48</v>
      </c>
      <c r="DE103" s="40" t="s">
        <v>48</v>
      </c>
      <c r="DF103" s="40" t="s">
        <v>48</v>
      </c>
      <c r="DG103" s="40" t="s">
        <v>48</v>
      </c>
      <c r="DH103" s="40" t="s">
        <v>48</v>
      </c>
      <c r="DI103" s="40" t="s">
        <v>48</v>
      </c>
      <c r="DJ103" s="40" t="s">
        <v>48</v>
      </c>
      <c r="DK103" s="40" t="s">
        <v>48</v>
      </c>
      <c r="DL103" s="40" t="s">
        <v>48</v>
      </c>
      <c r="DM103" s="40" t="s">
        <v>48</v>
      </c>
      <c r="DN103" s="40" t="s">
        <v>48</v>
      </c>
      <c r="DO103" s="40" t="s">
        <v>48</v>
      </c>
      <c r="DP103" s="40" t="s">
        <v>48</v>
      </c>
    </row>
    <row r="104" spans="1:120" x14ac:dyDescent="0.35">
      <c r="A104" s="12">
        <v>97</v>
      </c>
      <c r="B104" s="33"/>
      <c r="C104" s="38" t="str">
        <f>Notes!U105</f>
        <v xml:space="preserve">               Construction</v>
      </c>
      <c r="D104" s="4" t="s">
        <v>737</v>
      </c>
      <c r="E104" s="44">
        <v>13.952812986690871</v>
      </c>
      <c r="F104" s="42" t="s">
        <v>48</v>
      </c>
      <c r="G104" s="40" t="s">
        <v>48</v>
      </c>
      <c r="H104" s="40" t="s">
        <v>48</v>
      </c>
      <c r="I104" s="40" t="s">
        <v>48</v>
      </c>
      <c r="J104" s="40" t="s">
        <v>48</v>
      </c>
      <c r="K104" s="40" t="s">
        <v>48</v>
      </c>
      <c r="L104" s="40" t="s">
        <v>48</v>
      </c>
      <c r="M104" s="40" t="s">
        <v>48</v>
      </c>
      <c r="N104" s="40" t="s">
        <v>48</v>
      </c>
      <c r="O104" s="40" t="s">
        <v>48</v>
      </c>
      <c r="P104" s="40" t="s">
        <v>48</v>
      </c>
      <c r="Q104" s="40" t="s">
        <v>48</v>
      </c>
      <c r="R104" s="40" t="s">
        <v>48</v>
      </c>
      <c r="S104" s="40" t="s">
        <v>48</v>
      </c>
      <c r="T104" s="40" t="s">
        <v>48</v>
      </c>
      <c r="V104" s="33"/>
      <c r="W104" s="38" t="str">
        <f>Notes!U105</f>
        <v xml:space="preserve">               Construction</v>
      </c>
      <c r="X104" s="4" t="s">
        <v>737</v>
      </c>
      <c r="Y104" s="44">
        <v>12.394614583297809</v>
      </c>
      <c r="Z104" s="42" t="s">
        <v>48</v>
      </c>
      <c r="AA104" s="40" t="s">
        <v>48</v>
      </c>
      <c r="AB104" s="40" t="s">
        <v>48</v>
      </c>
      <c r="AC104" s="40" t="s">
        <v>48</v>
      </c>
      <c r="AD104" s="40" t="s">
        <v>48</v>
      </c>
      <c r="AE104" s="40" t="s">
        <v>48</v>
      </c>
      <c r="AF104" s="40" t="s">
        <v>48</v>
      </c>
      <c r="AG104" s="40" t="s">
        <v>48</v>
      </c>
      <c r="AH104" s="40" t="s">
        <v>48</v>
      </c>
      <c r="AI104" s="40" t="s">
        <v>48</v>
      </c>
      <c r="AJ104" s="40" t="s">
        <v>48</v>
      </c>
      <c r="AK104" s="40" t="s">
        <v>48</v>
      </c>
      <c r="AL104" s="40" t="s">
        <v>48</v>
      </c>
      <c r="AM104" s="40" t="s">
        <v>48</v>
      </c>
      <c r="AN104" s="40" t="s">
        <v>48</v>
      </c>
      <c r="AP104" s="33"/>
      <c r="AQ104" s="38" t="str">
        <f>Notes!U105</f>
        <v xml:space="preserve">               Construction</v>
      </c>
      <c r="AR104" s="4" t="s">
        <v>737</v>
      </c>
      <c r="AS104" s="44">
        <v>7.4141178465023643</v>
      </c>
      <c r="AT104" s="42" t="s">
        <v>48</v>
      </c>
      <c r="AU104" s="40" t="s">
        <v>48</v>
      </c>
      <c r="AV104" s="40" t="s">
        <v>48</v>
      </c>
      <c r="AW104" s="40" t="s">
        <v>48</v>
      </c>
      <c r="AX104" s="40" t="s">
        <v>48</v>
      </c>
      <c r="AY104" s="40" t="s">
        <v>48</v>
      </c>
      <c r="AZ104" s="40" t="s">
        <v>48</v>
      </c>
      <c r="BA104" s="40" t="s">
        <v>48</v>
      </c>
      <c r="BB104" s="40" t="s">
        <v>48</v>
      </c>
      <c r="BC104" s="40" t="s">
        <v>48</v>
      </c>
      <c r="BD104" s="40" t="s">
        <v>48</v>
      </c>
      <c r="BE104" s="40" t="s">
        <v>48</v>
      </c>
      <c r="BF104" s="40" t="s">
        <v>48</v>
      </c>
      <c r="BG104" s="40" t="s">
        <v>48</v>
      </c>
      <c r="BH104" s="40" t="s">
        <v>48</v>
      </c>
      <c r="BJ104" s="33"/>
      <c r="BK104" s="38" t="str">
        <f>Notes!U105</f>
        <v xml:space="preserve">               Construction</v>
      </c>
      <c r="BL104" s="4" t="s">
        <v>737</v>
      </c>
      <c r="BM104" s="44">
        <v>5.7870414535231376</v>
      </c>
      <c r="BN104" s="42" t="s">
        <v>48</v>
      </c>
      <c r="BO104" s="40" t="s">
        <v>48</v>
      </c>
      <c r="BP104" s="40" t="s">
        <v>48</v>
      </c>
      <c r="BQ104" s="40" t="s">
        <v>48</v>
      </c>
      <c r="BR104" s="40" t="s">
        <v>48</v>
      </c>
      <c r="BS104" s="40" t="s">
        <v>48</v>
      </c>
      <c r="BT104" s="40" t="s">
        <v>48</v>
      </c>
      <c r="BU104" s="40" t="s">
        <v>48</v>
      </c>
      <c r="BV104" s="40" t="s">
        <v>48</v>
      </c>
      <c r="BW104" s="40" t="s">
        <v>48</v>
      </c>
      <c r="BX104" s="40" t="s">
        <v>48</v>
      </c>
      <c r="BY104" s="40" t="s">
        <v>48</v>
      </c>
      <c r="BZ104" s="40" t="s">
        <v>48</v>
      </c>
      <c r="CA104" s="40" t="s">
        <v>48</v>
      </c>
      <c r="CB104" s="40" t="s">
        <v>48</v>
      </c>
      <c r="CD104" s="33"/>
      <c r="CE104" s="38" t="str">
        <f>Notes!U105</f>
        <v xml:space="preserve">               Construction</v>
      </c>
      <c r="CF104" s="4" t="s">
        <v>737</v>
      </c>
      <c r="CG104" s="44">
        <v>6.469134671698991</v>
      </c>
      <c r="CH104" s="42" t="s">
        <v>48</v>
      </c>
      <c r="CI104" s="40" t="s">
        <v>48</v>
      </c>
      <c r="CJ104" s="40" t="s">
        <v>48</v>
      </c>
      <c r="CK104" s="40" t="s">
        <v>48</v>
      </c>
      <c r="CL104" s="40" t="s">
        <v>48</v>
      </c>
      <c r="CM104" s="40" t="s">
        <v>48</v>
      </c>
      <c r="CN104" s="40" t="s">
        <v>48</v>
      </c>
      <c r="CO104" s="40" t="s">
        <v>48</v>
      </c>
      <c r="CP104" s="40" t="s">
        <v>48</v>
      </c>
      <c r="CQ104" s="40" t="s">
        <v>48</v>
      </c>
      <c r="CR104" s="40" t="s">
        <v>48</v>
      </c>
      <c r="CS104" s="40" t="s">
        <v>48</v>
      </c>
      <c r="CT104" s="40" t="s">
        <v>48</v>
      </c>
      <c r="CU104" s="40" t="s">
        <v>48</v>
      </c>
      <c r="CV104" s="40" t="s">
        <v>48</v>
      </c>
      <c r="CX104" s="33"/>
      <c r="CY104" s="38" t="str">
        <f>Notes!U105</f>
        <v xml:space="preserve">               Construction</v>
      </c>
      <c r="CZ104" s="4" t="s">
        <v>737</v>
      </c>
      <c r="DA104" s="44">
        <v>7.464684991651338</v>
      </c>
      <c r="DB104" s="42" t="s">
        <v>48</v>
      </c>
      <c r="DC104" s="40" t="s">
        <v>48</v>
      </c>
      <c r="DD104" s="40" t="s">
        <v>48</v>
      </c>
      <c r="DE104" s="40" t="s">
        <v>48</v>
      </c>
      <c r="DF104" s="40" t="s">
        <v>48</v>
      </c>
      <c r="DG104" s="40" t="s">
        <v>48</v>
      </c>
      <c r="DH104" s="40" t="s">
        <v>48</v>
      </c>
      <c r="DI104" s="40" t="s">
        <v>48</v>
      </c>
      <c r="DJ104" s="40" t="s">
        <v>48</v>
      </c>
      <c r="DK104" s="40" t="s">
        <v>48</v>
      </c>
      <c r="DL104" s="40" t="s">
        <v>48</v>
      </c>
      <c r="DM104" s="40" t="s">
        <v>48</v>
      </c>
      <c r="DN104" s="40" t="s">
        <v>48</v>
      </c>
      <c r="DO104" s="40" t="s">
        <v>48</v>
      </c>
      <c r="DP104" s="40" t="s">
        <v>48</v>
      </c>
    </row>
    <row r="105" spans="1:120" x14ac:dyDescent="0.35">
      <c r="A105" s="12">
        <v>98</v>
      </c>
      <c r="B105" s="33"/>
      <c r="C105" s="38" t="str">
        <f>Notes!U106</f>
        <v xml:space="preserve">               Services</v>
      </c>
      <c r="D105" s="4" t="s">
        <v>738</v>
      </c>
      <c r="E105" s="44">
        <v>1.1017606183889705</v>
      </c>
      <c r="F105" s="42" t="s">
        <v>48</v>
      </c>
      <c r="G105" s="40" t="s">
        <v>48</v>
      </c>
      <c r="H105" s="40" t="s">
        <v>48</v>
      </c>
      <c r="I105" s="40" t="s">
        <v>48</v>
      </c>
      <c r="J105" s="40" t="s">
        <v>48</v>
      </c>
      <c r="K105" s="40" t="s">
        <v>48</v>
      </c>
      <c r="L105" s="40" t="s">
        <v>48</v>
      </c>
      <c r="M105" s="40" t="s">
        <v>48</v>
      </c>
      <c r="N105" s="40" t="s">
        <v>48</v>
      </c>
      <c r="O105" s="40" t="s">
        <v>48</v>
      </c>
      <c r="P105" s="40" t="s">
        <v>48</v>
      </c>
      <c r="Q105" s="40" t="s">
        <v>48</v>
      </c>
      <c r="R105" s="40" t="s">
        <v>48</v>
      </c>
      <c r="S105" s="40" t="s">
        <v>48</v>
      </c>
      <c r="T105" s="40" t="s">
        <v>48</v>
      </c>
      <c r="V105" s="33"/>
      <c r="W105" s="38" t="str">
        <f>Notes!U106</f>
        <v xml:space="preserve">               Services</v>
      </c>
      <c r="X105" s="4" t="s">
        <v>738</v>
      </c>
      <c r="Y105" s="44">
        <v>0.80559777783776321</v>
      </c>
      <c r="Z105" s="42" t="s">
        <v>48</v>
      </c>
      <c r="AA105" s="40" t="s">
        <v>48</v>
      </c>
      <c r="AB105" s="40" t="s">
        <v>48</v>
      </c>
      <c r="AC105" s="40" t="s">
        <v>48</v>
      </c>
      <c r="AD105" s="40" t="s">
        <v>48</v>
      </c>
      <c r="AE105" s="40" t="s">
        <v>48</v>
      </c>
      <c r="AF105" s="40" t="s">
        <v>48</v>
      </c>
      <c r="AG105" s="40" t="s">
        <v>48</v>
      </c>
      <c r="AH105" s="40" t="s">
        <v>48</v>
      </c>
      <c r="AI105" s="40" t="s">
        <v>48</v>
      </c>
      <c r="AJ105" s="40" t="s">
        <v>48</v>
      </c>
      <c r="AK105" s="40" t="s">
        <v>48</v>
      </c>
      <c r="AL105" s="40" t="s">
        <v>48</v>
      </c>
      <c r="AM105" s="40" t="s">
        <v>48</v>
      </c>
      <c r="AN105" s="40" t="s">
        <v>48</v>
      </c>
      <c r="AP105" s="33"/>
      <c r="AQ105" s="38" t="str">
        <f>Notes!U106</f>
        <v xml:space="preserve">               Services</v>
      </c>
      <c r="AR105" s="4" t="s">
        <v>738</v>
      </c>
      <c r="AS105" s="44">
        <v>2.59090570495882</v>
      </c>
      <c r="AT105" s="42" t="s">
        <v>48</v>
      </c>
      <c r="AU105" s="40" t="s">
        <v>48</v>
      </c>
      <c r="AV105" s="40" t="s">
        <v>48</v>
      </c>
      <c r="AW105" s="40" t="s">
        <v>48</v>
      </c>
      <c r="AX105" s="40" t="s">
        <v>48</v>
      </c>
      <c r="AY105" s="40" t="s">
        <v>48</v>
      </c>
      <c r="AZ105" s="40" t="s">
        <v>48</v>
      </c>
      <c r="BA105" s="40" t="s">
        <v>48</v>
      </c>
      <c r="BB105" s="40" t="s">
        <v>48</v>
      </c>
      <c r="BC105" s="40" t="s">
        <v>48</v>
      </c>
      <c r="BD105" s="40" t="s">
        <v>48</v>
      </c>
      <c r="BE105" s="40" t="s">
        <v>48</v>
      </c>
      <c r="BF105" s="40" t="s">
        <v>48</v>
      </c>
      <c r="BG105" s="40" t="s">
        <v>48</v>
      </c>
      <c r="BH105" s="40" t="s">
        <v>48</v>
      </c>
      <c r="BJ105" s="33"/>
      <c r="BK105" s="38" t="str">
        <f>Notes!U106</f>
        <v xml:space="preserve">               Services</v>
      </c>
      <c r="BL105" s="4" t="s">
        <v>738</v>
      </c>
      <c r="BM105" s="44">
        <v>0.56045853313232108</v>
      </c>
      <c r="BN105" s="42" t="s">
        <v>48</v>
      </c>
      <c r="BO105" s="40" t="s">
        <v>48</v>
      </c>
      <c r="BP105" s="40" t="s">
        <v>48</v>
      </c>
      <c r="BQ105" s="40" t="s">
        <v>48</v>
      </c>
      <c r="BR105" s="40" t="s">
        <v>48</v>
      </c>
      <c r="BS105" s="40" t="s">
        <v>48</v>
      </c>
      <c r="BT105" s="40" t="s">
        <v>48</v>
      </c>
      <c r="BU105" s="40" t="s">
        <v>48</v>
      </c>
      <c r="BV105" s="40" t="s">
        <v>48</v>
      </c>
      <c r="BW105" s="40" t="s">
        <v>48</v>
      </c>
      <c r="BX105" s="40" t="s">
        <v>48</v>
      </c>
      <c r="BY105" s="40" t="s">
        <v>48</v>
      </c>
      <c r="BZ105" s="40" t="s">
        <v>48</v>
      </c>
      <c r="CA105" s="40" t="s">
        <v>48</v>
      </c>
      <c r="CB105" s="40" t="s">
        <v>48</v>
      </c>
      <c r="CD105" s="33"/>
      <c r="CE105" s="38" t="str">
        <f>Notes!U106</f>
        <v xml:space="preserve">               Services</v>
      </c>
      <c r="CF105" s="4" t="s">
        <v>738</v>
      </c>
      <c r="CG105" s="44">
        <v>2.2606759528321825</v>
      </c>
      <c r="CH105" s="42" t="s">
        <v>48</v>
      </c>
      <c r="CI105" s="40" t="s">
        <v>48</v>
      </c>
      <c r="CJ105" s="40" t="s">
        <v>48</v>
      </c>
      <c r="CK105" s="40" t="s">
        <v>48</v>
      </c>
      <c r="CL105" s="40" t="s">
        <v>48</v>
      </c>
      <c r="CM105" s="40" t="s">
        <v>48</v>
      </c>
      <c r="CN105" s="40" t="s">
        <v>48</v>
      </c>
      <c r="CO105" s="40" t="s">
        <v>48</v>
      </c>
      <c r="CP105" s="40" t="s">
        <v>48</v>
      </c>
      <c r="CQ105" s="40" t="s">
        <v>48</v>
      </c>
      <c r="CR105" s="40" t="s">
        <v>48</v>
      </c>
      <c r="CS105" s="40" t="s">
        <v>48</v>
      </c>
      <c r="CT105" s="40" t="s">
        <v>48</v>
      </c>
      <c r="CU105" s="40" t="s">
        <v>48</v>
      </c>
      <c r="CV105" s="40" t="s">
        <v>48</v>
      </c>
      <c r="CX105" s="33"/>
      <c r="CY105" s="38" t="str">
        <f>Notes!U106</f>
        <v xml:space="preserve">               Services</v>
      </c>
      <c r="CZ105" s="4" t="s">
        <v>738</v>
      </c>
      <c r="DA105" s="44">
        <v>0.72293354632335793</v>
      </c>
      <c r="DB105" s="42" t="s">
        <v>48</v>
      </c>
      <c r="DC105" s="40" t="s">
        <v>48</v>
      </c>
      <c r="DD105" s="40" t="s">
        <v>48</v>
      </c>
      <c r="DE105" s="40" t="s">
        <v>48</v>
      </c>
      <c r="DF105" s="40" t="s">
        <v>48</v>
      </c>
      <c r="DG105" s="40" t="s">
        <v>48</v>
      </c>
      <c r="DH105" s="40" t="s">
        <v>48</v>
      </c>
      <c r="DI105" s="40" t="s">
        <v>48</v>
      </c>
      <c r="DJ105" s="40" t="s">
        <v>48</v>
      </c>
      <c r="DK105" s="40" t="s">
        <v>48</v>
      </c>
      <c r="DL105" s="40" t="s">
        <v>48</v>
      </c>
      <c r="DM105" s="40" t="s">
        <v>48</v>
      </c>
      <c r="DN105" s="40" t="s">
        <v>48</v>
      </c>
      <c r="DO105" s="40" t="s">
        <v>48</v>
      </c>
      <c r="DP105" s="40" t="s">
        <v>48</v>
      </c>
    </row>
    <row r="106" spans="1:120" x14ac:dyDescent="0.35">
      <c r="A106" s="12">
        <v>99</v>
      </c>
      <c r="B106" s="33"/>
      <c r="C106" s="38" t="str">
        <f>Notes!U107</f>
        <v xml:space="preserve">               Trade and food services</v>
      </c>
      <c r="D106" s="4" t="s">
        <v>739</v>
      </c>
      <c r="E106" s="44">
        <v>0.46331911674196913</v>
      </c>
      <c r="F106" s="42" t="s">
        <v>48</v>
      </c>
      <c r="G106" s="40" t="s">
        <v>48</v>
      </c>
      <c r="H106" s="40" t="s">
        <v>48</v>
      </c>
      <c r="I106" s="40" t="s">
        <v>48</v>
      </c>
      <c r="J106" s="40" t="s">
        <v>48</v>
      </c>
      <c r="K106" s="40" t="s">
        <v>48</v>
      </c>
      <c r="L106" s="40" t="s">
        <v>48</v>
      </c>
      <c r="M106" s="40" t="s">
        <v>48</v>
      </c>
      <c r="N106" s="40" t="s">
        <v>48</v>
      </c>
      <c r="O106" s="40" t="s">
        <v>48</v>
      </c>
      <c r="P106" s="40" t="s">
        <v>48</v>
      </c>
      <c r="Q106" s="40" t="s">
        <v>48</v>
      </c>
      <c r="R106" s="40" t="s">
        <v>48</v>
      </c>
      <c r="S106" s="40" t="s">
        <v>48</v>
      </c>
      <c r="T106" s="40" t="s">
        <v>48</v>
      </c>
      <c r="V106" s="33"/>
      <c r="W106" s="38" t="str">
        <f>Notes!U107</f>
        <v xml:space="preserve">               Trade and food services</v>
      </c>
      <c r="X106" s="4" t="s">
        <v>739</v>
      </c>
      <c r="Y106" s="44">
        <v>0.43222328683341621</v>
      </c>
      <c r="Z106" s="42" t="s">
        <v>48</v>
      </c>
      <c r="AA106" s="40" t="s">
        <v>48</v>
      </c>
      <c r="AB106" s="40" t="s">
        <v>48</v>
      </c>
      <c r="AC106" s="40" t="s">
        <v>48</v>
      </c>
      <c r="AD106" s="40" t="s">
        <v>48</v>
      </c>
      <c r="AE106" s="40" t="s">
        <v>48</v>
      </c>
      <c r="AF106" s="40" t="s">
        <v>48</v>
      </c>
      <c r="AG106" s="40" t="s">
        <v>48</v>
      </c>
      <c r="AH106" s="40" t="s">
        <v>48</v>
      </c>
      <c r="AI106" s="40" t="s">
        <v>48</v>
      </c>
      <c r="AJ106" s="40" t="s">
        <v>48</v>
      </c>
      <c r="AK106" s="40" t="s">
        <v>48</v>
      </c>
      <c r="AL106" s="40" t="s">
        <v>48</v>
      </c>
      <c r="AM106" s="40" t="s">
        <v>48</v>
      </c>
      <c r="AN106" s="40" t="s">
        <v>48</v>
      </c>
      <c r="AP106" s="33"/>
      <c r="AQ106" s="38" t="str">
        <f>Notes!U107</f>
        <v xml:space="preserve">               Trade and food services</v>
      </c>
      <c r="AR106" s="4" t="s">
        <v>739</v>
      </c>
      <c r="AS106" s="44">
        <v>0.10908153000166153</v>
      </c>
      <c r="AT106" s="42" t="s">
        <v>48</v>
      </c>
      <c r="AU106" s="40" t="s">
        <v>48</v>
      </c>
      <c r="AV106" s="40" t="s">
        <v>48</v>
      </c>
      <c r="AW106" s="40" t="s">
        <v>48</v>
      </c>
      <c r="AX106" s="40" t="s">
        <v>48</v>
      </c>
      <c r="AY106" s="40" t="s">
        <v>48</v>
      </c>
      <c r="AZ106" s="40" t="s">
        <v>48</v>
      </c>
      <c r="BA106" s="40" t="s">
        <v>48</v>
      </c>
      <c r="BB106" s="40" t="s">
        <v>48</v>
      </c>
      <c r="BC106" s="40" t="s">
        <v>48</v>
      </c>
      <c r="BD106" s="40" t="s">
        <v>48</v>
      </c>
      <c r="BE106" s="40" t="s">
        <v>48</v>
      </c>
      <c r="BF106" s="40" t="s">
        <v>48</v>
      </c>
      <c r="BG106" s="40" t="s">
        <v>48</v>
      </c>
      <c r="BH106" s="40" t="s">
        <v>48</v>
      </c>
      <c r="BJ106" s="33"/>
      <c r="BK106" s="38" t="str">
        <f>Notes!U107</f>
        <v xml:space="preserve">               Trade and food services</v>
      </c>
      <c r="BL106" s="4" t="s">
        <v>739</v>
      </c>
      <c r="BM106" s="44">
        <v>0.15252591698647508</v>
      </c>
      <c r="BN106" s="42" t="s">
        <v>48</v>
      </c>
      <c r="BO106" s="40" t="s">
        <v>48</v>
      </c>
      <c r="BP106" s="40" t="s">
        <v>48</v>
      </c>
      <c r="BQ106" s="40" t="s">
        <v>48</v>
      </c>
      <c r="BR106" s="40" t="s">
        <v>48</v>
      </c>
      <c r="BS106" s="40" t="s">
        <v>48</v>
      </c>
      <c r="BT106" s="40" t="s">
        <v>48</v>
      </c>
      <c r="BU106" s="40" t="s">
        <v>48</v>
      </c>
      <c r="BV106" s="40" t="s">
        <v>48</v>
      </c>
      <c r="BW106" s="40" t="s">
        <v>48</v>
      </c>
      <c r="BX106" s="40" t="s">
        <v>48</v>
      </c>
      <c r="BY106" s="40" t="s">
        <v>48</v>
      </c>
      <c r="BZ106" s="40" t="s">
        <v>48</v>
      </c>
      <c r="CA106" s="40" t="s">
        <v>48</v>
      </c>
      <c r="CB106" s="40" t="s">
        <v>48</v>
      </c>
      <c r="CD106" s="33"/>
      <c r="CE106" s="38" t="str">
        <f>Notes!U107</f>
        <v xml:space="preserve">               Trade and food services</v>
      </c>
      <c r="CF106" s="4" t="s">
        <v>739</v>
      </c>
      <c r="CG106" s="44">
        <v>9.51782966477423E-2</v>
      </c>
      <c r="CH106" s="42" t="s">
        <v>48</v>
      </c>
      <c r="CI106" s="40" t="s">
        <v>48</v>
      </c>
      <c r="CJ106" s="40" t="s">
        <v>48</v>
      </c>
      <c r="CK106" s="40" t="s">
        <v>48</v>
      </c>
      <c r="CL106" s="40" t="s">
        <v>48</v>
      </c>
      <c r="CM106" s="40" t="s">
        <v>48</v>
      </c>
      <c r="CN106" s="40" t="s">
        <v>48</v>
      </c>
      <c r="CO106" s="40" t="s">
        <v>48</v>
      </c>
      <c r="CP106" s="40" t="s">
        <v>48</v>
      </c>
      <c r="CQ106" s="40" t="s">
        <v>48</v>
      </c>
      <c r="CR106" s="40" t="s">
        <v>48</v>
      </c>
      <c r="CS106" s="40" t="s">
        <v>48</v>
      </c>
      <c r="CT106" s="40" t="s">
        <v>48</v>
      </c>
      <c r="CU106" s="40" t="s">
        <v>48</v>
      </c>
      <c r="CV106" s="40" t="s">
        <v>48</v>
      </c>
      <c r="CX106" s="33"/>
      <c r="CY106" s="38" t="str">
        <f>Notes!U107</f>
        <v xml:space="preserve">               Trade and food services</v>
      </c>
      <c r="CZ106" s="4" t="s">
        <v>739</v>
      </c>
      <c r="DA106" s="44">
        <v>0.19674265900992416</v>
      </c>
      <c r="DB106" s="42" t="s">
        <v>48</v>
      </c>
      <c r="DC106" s="40" t="s">
        <v>48</v>
      </c>
      <c r="DD106" s="40" t="s">
        <v>48</v>
      </c>
      <c r="DE106" s="40" t="s">
        <v>48</v>
      </c>
      <c r="DF106" s="40" t="s">
        <v>48</v>
      </c>
      <c r="DG106" s="40" t="s">
        <v>48</v>
      </c>
      <c r="DH106" s="40" t="s">
        <v>48</v>
      </c>
      <c r="DI106" s="40" t="s">
        <v>48</v>
      </c>
      <c r="DJ106" s="40" t="s">
        <v>48</v>
      </c>
      <c r="DK106" s="40" t="s">
        <v>48</v>
      </c>
      <c r="DL106" s="40" t="s">
        <v>48</v>
      </c>
      <c r="DM106" s="40" t="s">
        <v>48</v>
      </c>
      <c r="DN106" s="40" t="s">
        <v>48</v>
      </c>
      <c r="DO106" s="40" t="s">
        <v>48</v>
      </c>
      <c r="DP106" s="40" t="s">
        <v>48</v>
      </c>
    </row>
    <row r="107" spans="1:120" x14ac:dyDescent="0.35">
      <c r="A107" s="12">
        <v>100</v>
      </c>
      <c r="B107" s="33"/>
      <c r="C107" s="38" t="str">
        <f>Notes!U108</f>
        <v xml:space="preserve">               Wholesale and retail trade</v>
      </c>
      <c r="D107" s="4" t="s">
        <v>378</v>
      </c>
      <c r="E107" s="44">
        <v>1.4774379774379689</v>
      </c>
      <c r="F107" s="42" t="s">
        <v>48</v>
      </c>
      <c r="G107" s="40" t="s">
        <v>48</v>
      </c>
      <c r="H107" s="40" t="s">
        <v>48</v>
      </c>
      <c r="I107" s="40" t="s">
        <v>48</v>
      </c>
      <c r="J107" s="40" t="s">
        <v>48</v>
      </c>
      <c r="K107" s="40" t="s">
        <v>48</v>
      </c>
      <c r="L107" s="40" t="s">
        <v>48</v>
      </c>
      <c r="M107" s="40" t="s">
        <v>48</v>
      </c>
      <c r="N107" s="40" t="s">
        <v>48</v>
      </c>
      <c r="O107" s="40" t="s">
        <v>48</v>
      </c>
      <c r="P107" s="40" t="s">
        <v>48</v>
      </c>
      <c r="Q107" s="40" t="s">
        <v>48</v>
      </c>
      <c r="R107" s="40" t="s">
        <v>48</v>
      </c>
      <c r="S107" s="40" t="s">
        <v>48</v>
      </c>
      <c r="T107" s="40" t="s">
        <v>48</v>
      </c>
      <c r="V107" s="33"/>
      <c r="W107" s="38" t="str">
        <f>Notes!U108</f>
        <v xml:space="preserve">               Wholesale and retail trade</v>
      </c>
      <c r="X107" s="4" t="s">
        <v>378</v>
      </c>
      <c r="Y107" s="44">
        <v>1.1936160789877983</v>
      </c>
      <c r="Z107" s="42" t="s">
        <v>48</v>
      </c>
      <c r="AA107" s="40" t="s">
        <v>48</v>
      </c>
      <c r="AB107" s="40" t="s">
        <v>48</v>
      </c>
      <c r="AC107" s="40" t="s">
        <v>48</v>
      </c>
      <c r="AD107" s="40" t="s">
        <v>48</v>
      </c>
      <c r="AE107" s="40" t="s">
        <v>48</v>
      </c>
      <c r="AF107" s="40" t="s">
        <v>48</v>
      </c>
      <c r="AG107" s="40" t="s">
        <v>48</v>
      </c>
      <c r="AH107" s="40" t="s">
        <v>48</v>
      </c>
      <c r="AI107" s="40" t="s">
        <v>48</v>
      </c>
      <c r="AJ107" s="40" t="s">
        <v>48</v>
      </c>
      <c r="AK107" s="40" t="s">
        <v>48</v>
      </c>
      <c r="AL107" s="40" t="s">
        <v>48</v>
      </c>
      <c r="AM107" s="40" t="s">
        <v>48</v>
      </c>
      <c r="AN107" s="40" t="s">
        <v>48</v>
      </c>
      <c r="AP107" s="33"/>
      <c r="AQ107" s="38" t="str">
        <f>Notes!U108</f>
        <v xml:space="preserve">               Wholesale and retail trade</v>
      </c>
      <c r="AR107" s="4" t="s">
        <v>378</v>
      </c>
      <c r="AS107" s="44" t="s">
        <v>48</v>
      </c>
      <c r="AT107" s="42" t="s">
        <v>48</v>
      </c>
      <c r="AU107" s="40" t="s">
        <v>48</v>
      </c>
      <c r="AV107" s="40" t="s">
        <v>48</v>
      </c>
      <c r="AW107" s="40" t="s">
        <v>48</v>
      </c>
      <c r="AX107" s="40" t="s">
        <v>48</v>
      </c>
      <c r="AY107" s="40" t="s">
        <v>48</v>
      </c>
      <c r="AZ107" s="40" t="s">
        <v>48</v>
      </c>
      <c r="BA107" s="40" t="s">
        <v>48</v>
      </c>
      <c r="BB107" s="40" t="s">
        <v>48</v>
      </c>
      <c r="BC107" s="40" t="s">
        <v>48</v>
      </c>
      <c r="BD107" s="40" t="s">
        <v>48</v>
      </c>
      <c r="BE107" s="40" t="s">
        <v>48</v>
      </c>
      <c r="BF107" s="40" t="s">
        <v>48</v>
      </c>
      <c r="BG107" s="40" t="s">
        <v>48</v>
      </c>
      <c r="BH107" s="40" t="s">
        <v>48</v>
      </c>
      <c r="BJ107" s="33"/>
      <c r="BK107" s="38" t="str">
        <f>Notes!U108</f>
        <v xml:space="preserve">               Wholesale and retail trade</v>
      </c>
      <c r="BL107" s="4" t="s">
        <v>378</v>
      </c>
      <c r="BM107" s="44" t="s">
        <v>48</v>
      </c>
      <c r="BN107" s="42" t="s">
        <v>48</v>
      </c>
      <c r="BO107" s="40" t="s">
        <v>48</v>
      </c>
      <c r="BP107" s="40" t="s">
        <v>48</v>
      </c>
      <c r="BQ107" s="40" t="s">
        <v>48</v>
      </c>
      <c r="BR107" s="40" t="s">
        <v>48</v>
      </c>
      <c r="BS107" s="40" t="s">
        <v>48</v>
      </c>
      <c r="BT107" s="40" t="s">
        <v>48</v>
      </c>
      <c r="BU107" s="40" t="s">
        <v>48</v>
      </c>
      <c r="BV107" s="40" t="s">
        <v>48</v>
      </c>
      <c r="BW107" s="40" t="s">
        <v>48</v>
      </c>
      <c r="BX107" s="40" t="s">
        <v>48</v>
      </c>
      <c r="BY107" s="40" t="s">
        <v>48</v>
      </c>
      <c r="BZ107" s="40" t="s">
        <v>48</v>
      </c>
      <c r="CA107" s="40" t="s">
        <v>48</v>
      </c>
      <c r="CB107" s="40" t="s">
        <v>48</v>
      </c>
      <c r="CD107" s="33"/>
      <c r="CE107" s="38" t="str">
        <f>Notes!U108</f>
        <v xml:space="preserve">               Wholesale and retail trade</v>
      </c>
      <c r="CF107" s="4" t="s">
        <v>378</v>
      </c>
      <c r="CG107" s="44" t="s">
        <v>48</v>
      </c>
      <c r="CH107" s="42" t="s">
        <v>48</v>
      </c>
      <c r="CI107" s="40" t="s">
        <v>48</v>
      </c>
      <c r="CJ107" s="40" t="s">
        <v>48</v>
      </c>
      <c r="CK107" s="40" t="s">
        <v>48</v>
      </c>
      <c r="CL107" s="40" t="s">
        <v>48</v>
      </c>
      <c r="CM107" s="40" t="s">
        <v>48</v>
      </c>
      <c r="CN107" s="40" t="s">
        <v>48</v>
      </c>
      <c r="CO107" s="40" t="s">
        <v>48</v>
      </c>
      <c r="CP107" s="40" t="s">
        <v>48</v>
      </c>
      <c r="CQ107" s="40" t="s">
        <v>48</v>
      </c>
      <c r="CR107" s="40" t="s">
        <v>48</v>
      </c>
      <c r="CS107" s="40" t="s">
        <v>48</v>
      </c>
      <c r="CT107" s="40" t="s">
        <v>48</v>
      </c>
      <c r="CU107" s="40" t="s">
        <v>48</v>
      </c>
      <c r="CV107" s="40" t="s">
        <v>48</v>
      </c>
      <c r="CX107" s="33"/>
      <c r="CY107" s="38" t="str">
        <f>Notes!U108</f>
        <v xml:space="preserve">               Wholesale and retail trade</v>
      </c>
      <c r="CZ107" s="4" t="s">
        <v>378</v>
      </c>
      <c r="DA107" s="44" t="s">
        <v>48</v>
      </c>
      <c r="DB107" s="42" t="s">
        <v>48</v>
      </c>
      <c r="DC107" s="40" t="s">
        <v>48</v>
      </c>
      <c r="DD107" s="40" t="s">
        <v>48</v>
      </c>
      <c r="DE107" s="40" t="s">
        <v>48</v>
      </c>
      <c r="DF107" s="40" t="s">
        <v>48</v>
      </c>
      <c r="DG107" s="40" t="s">
        <v>48</v>
      </c>
      <c r="DH107" s="40" t="s">
        <v>48</v>
      </c>
      <c r="DI107" s="40" t="s">
        <v>48</v>
      </c>
      <c r="DJ107" s="40" t="s">
        <v>48</v>
      </c>
      <c r="DK107" s="40" t="s">
        <v>48</v>
      </c>
      <c r="DL107" s="40" t="s">
        <v>48</v>
      </c>
      <c r="DM107" s="40" t="s">
        <v>48</v>
      </c>
      <c r="DN107" s="40" t="s">
        <v>48</v>
      </c>
      <c r="DO107" s="40" t="s">
        <v>48</v>
      </c>
      <c r="DP107" s="40" t="s">
        <v>48</v>
      </c>
    </row>
    <row r="108" spans="1:120" x14ac:dyDescent="0.35">
      <c r="A108" s="12">
        <v>101</v>
      </c>
      <c r="B108" s="33"/>
      <c r="C108" s="38" t="str">
        <f>Notes!U109</f>
        <v xml:space="preserve">               Accommodation</v>
      </c>
      <c r="D108" s="4" t="s">
        <v>740</v>
      </c>
      <c r="E108" s="44">
        <v>3.9372440227481644</v>
      </c>
      <c r="F108" s="42" t="s">
        <v>48</v>
      </c>
      <c r="G108" s="40" t="s">
        <v>48</v>
      </c>
      <c r="H108" s="40" t="s">
        <v>48</v>
      </c>
      <c r="I108" s="40" t="s">
        <v>48</v>
      </c>
      <c r="J108" s="40" t="s">
        <v>48</v>
      </c>
      <c r="K108" s="40" t="s">
        <v>48</v>
      </c>
      <c r="L108" s="40" t="s">
        <v>48</v>
      </c>
      <c r="M108" s="40" t="s">
        <v>48</v>
      </c>
      <c r="N108" s="40" t="s">
        <v>48</v>
      </c>
      <c r="O108" s="40" t="s">
        <v>48</v>
      </c>
      <c r="P108" s="40" t="s">
        <v>48</v>
      </c>
      <c r="Q108" s="40" t="s">
        <v>48</v>
      </c>
      <c r="R108" s="40" t="s">
        <v>48</v>
      </c>
      <c r="S108" s="40" t="s">
        <v>48</v>
      </c>
      <c r="T108" s="40" t="s">
        <v>48</v>
      </c>
      <c r="V108" s="33"/>
      <c r="W108" s="38" t="str">
        <f>Notes!U109</f>
        <v xml:space="preserve">               Accommodation</v>
      </c>
      <c r="X108" s="4" t="s">
        <v>740</v>
      </c>
      <c r="Y108" s="44">
        <v>3.0755004947722</v>
      </c>
      <c r="Z108" s="42" t="s">
        <v>48</v>
      </c>
      <c r="AA108" s="40" t="s">
        <v>48</v>
      </c>
      <c r="AB108" s="40" t="s">
        <v>48</v>
      </c>
      <c r="AC108" s="40" t="s">
        <v>48</v>
      </c>
      <c r="AD108" s="40" t="s">
        <v>48</v>
      </c>
      <c r="AE108" s="40" t="s">
        <v>48</v>
      </c>
      <c r="AF108" s="40" t="s">
        <v>48</v>
      </c>
      <c r="AG108" s="40" t="s">
        <v>48</v>
      </c>
      <c r="AH108" s="40" t="s">
        <v>48</v>
      </c>
      <c r="AI108" s="40" t="s">
        <v>48</v>
      </c>
      <c r="AJ108" s="40" t="s">
        <v>48</v>
      </c>
      <c r="AK108" s="40" t="s">
        <v>48</v>
      </c>
      <c r="AL108" s="40" t="s">
        <v>48</v>
      </c>
      <c r="AM108" s="40" t="s">
        <v>48</v>
      </c>
      <c r="AN108" s="40" t="s">
        <v>48</v>
      </c>
      <c r="AP108" s="33"/>
      <c r="AQ108" s="38" t="str">
        <f>Notes!U109</f>
        <v xml:space="preserve">               Accommodation</v>
      </c>
      <c r="AR108" s="4" t="s">
        <v>740</v>
      </c>
      <c r="AS108" s="44" t="s">
        <v>48</v>
      </c>
      <c r="AT108" s="42" t="s">
        <v>48</v>
      </c>
      <c r="AU108" s="40" t="s">
        <v>48</v>
      </c>
      <c r="AV108" s="40" t="s">
        <v>48</v>
      </c>
      <c r="AW108" s="40" t="s">
        <v>48</v>
      </c>
      <c r="AX108" s="40" t="s">
        <v>48</v>
      </c>
      <c r="AY108" s="40" t="s">
        <v>48</v>
      </c>
      <c r="AZ108" s="40" t="s">
        <v>48</v>
      </c>
      <c r="BA108" s="40" t="s">
        <v>48</v>
      </c>
      <c r="BB108" s="40" t="s">
        <v>48</v>
      </c>
      <c r="BC108" s="40" t="s">
        <v>48</v>
      </c>
      <c r="BD108" s="40" t="s">
        <v>48</v>
      </c>
      <c r="BE108" s="40" t="s">
        <v>48</v>
      </c>
      <c r="BF108" s="40" t="s">
        <v>48</v>
      </c>
      <c r="BG108" s="40" t="s">
        <v>48</v>
      </c>
      <c r="BH108" s="40" t="s">
        <v>48</v>
      </c>
      <c r="BJ108" s="33"/>
      <c r="BK108" s="38" t="str">
        <f>Notes!U109</f>
        <v xml:space="preserve">               Accommodation</v>
      </c>
      <c r="BL108" s="4" t="s">
        <v>740</v>
      </c>
      <c r="BM108" s="44" t="s">
        <v>48</v>
      </c>
      <c r="BN108" s="42" t="s">
        <v>48</v>
      </c>
      <c r="BO108" s="40" t="s">
        <v>48</v>
      </c>
      <c r="BP108" s="40" t="s">
        <v>48</v>
      </c>
      <c r="BQ108" s="40" t="s">
        <v>48</v>
      </c>
      <c r="BR108" s="40" t="s">
        <v>48</v>
      </c>
      <c r="BS108" s="40" t="s">
        <v>48</v>
      </c>
      <c r="BT108" s="40" t="s">
        <v>48</v>
      </c>
      <c r="BU108" s="40" t="s">
        <v>48</v>
      </c>
      <c r="BV108" s="40" t="s">
        <v>48</v>
      </c>
      <c r="BW108" s="40" t="s">
        <v>48</v>
      </c>
      <c r="BX108" s="40" t="s">
        <v>48</v>
      </c>
      <c r="BY108" s="40" t="s">
        <v>48</v>
      </c>
      <c r="BZ108" s="40" t="s">
        <v>48</v>
      </c>
      <c r="CA108" s="40" t="s">
        <v>48</v>
      </c>
      <c r="CB108" s="40" t="s">
        <v>48</v>
      </c>
      <c r="CD108" s="33"/>
      <c r="CE108" s="38" t="str">
        <f>Notes!U109</f>
        <v xml:space="preserve">               Accommodation</v>
      </c>
      <c r="CF108" s="4" t="s">
        <v>740</v>
      </c>
      <c r="CG108" s="44" t="s">
        <v>48</v>
      </c>
      <c r="CH108" s="42" t="s">
        <v>48</v>
      </c>
      <c r="CI108" s="40" t="s">
        <v>48</v>
      </c>
      <c r="CJ108" s="40" t="s">
        <v>48</v>
      </c>
      <c r="CK108" s="40" t="s">
        <v>48</v>
      </c>
      <c r="CL108" s="40" t="s">
        <v>48</v>
      </c>
      <c r="CM108" s="40" t="s">
        <v>48</v>
      </c>
      <c r="CN108" s="40" t="s">
        <v>48</v>
      </c>
      <c r="CO108" s="40" t="s">
        <v>48</v>
      </c>
      <c r="CP108" s="40" t="s">
        <v>48</v>
      </c>
      <c r="CQ108" s="40" t="s">
        <v>48</v>
      </c>
      <c r="CR108" s="40" t="s">
        <v>48</v>
      </c>
      <c r="CS108" s="40" t="s">
        <v>48</v>
      </c>
      <c r="CT108" s="40" t="s">
        <v>48</v>
      </c>
      <c r="CU108" s="40" t="s">
        <v>48</v>
      </c>
      <c r="CV108" s="40" t="s">
        <v>48</v>
      </c>
      <c r="CX108" s="33"/>
      <c r="CY108" s="38" t="str">
        <f>Notes!U109</f>
        <v xml:space="preserve">               Accommodation</v>
      </c>
      <c r="CZ108" s="4" t="s">
        <v>740</v>
      </c>
      <c r="DA108" s="44" t="s">
        <v>48</v>
      </c>
      <c r="DB108" s="42" t="s">
        <v>48</v>
      </c>
      <c r="DC108" s="40" t="s">
        <v>48</v>
      </c>
      <c r="DD108" s="40" t="s">
        <v>48</v>
      </c>
      <c r="DE108" s="40" t="s">
        <v>48</v>
      </c>
      <c r="DF108" s="40" t="s">
        <v>48</v>
      </c>
      <c r="DG108" s="40" t="s">
        <v>48</v>
      </c>
      <c r="DH108" s="40" t="s">
        <v>48</v>
      </c>
      <c r="DI108" s="40" t="s">
        <v>48</v>
      </c>
      <c r="DJ108" s="40" t="s">
        <v>48</v>
      </c>
      <c r="DK108" s="40" t="s">
        <v>48</v>
      </c>
      <c r="DL108" s="40" t="s">
        <v>48</v>
      </c>
      <c r="DM108" s="40" t="s">
        <v>48</v>
      </c>
      <c r="DN108" s="40" t="s">
        <v>48</v>
      </c>
      <c r="DO108" s="40" t="s">
        <v>48</v>
      </c>
      <c r="DP108" s="40" t="s">
        <v>48</v>
      </c>
    </row>
    <row r="109" spans="1:120" x14ac:dyDescent="0.35">
      <c r="A109" s="12">
        <v>102</v>
      </c>
      <c r="B109" s="33"/>
      <c r="C109" s="38" t="str">
        <f>Notes!U110</f>
        <v xml:space="preserve">               Restaurants and food services</v>
      </c>
      <c r="D109" s="4" t="s">
        <v>741</v>
      </c>
      <c r="E109" s="44">
        <v>1.7901785170737841</v>
      </c>
      <c r="F109" s="42" t="s">
        <v>48</v>
      </c>
      <c r="G109" s="40" t="s">
        <v>48</v>
      </c>
      <c r="H109" s="40" t="s">
        <v>48</v>
      </c>
      <c r="I109" s="40" t="s">
        <v>48</v>
      </c>
      <c r="J109" s="40" t="s">
        <v>48</v>
      </c>
      <c r="K109" s="40" t="s">
        <v>48</v>
      </c>
      <c r="L109" s="40" t="s">
        <v>48</v>
      </c>
      <c r="M109" s="40" t="s">
        <v>48</v>
      </c>
      <c r="N109" s="40" t="s">
        <v>48</v>
      </c>
      <c r="O109" s="40" t="s">
        <v>48</v>
      </c>
      <c r="P109" s="40" t="s">
        <v>48</v>
      </c>
      <c r="Q109" s="40" t="s">
        <v>48</v>
      </c>
      <c r="R109" s="40" t="s">
        <v>48</v>
      </c>
      <c r="S109" s="40" t="s">
        <v>48</v>
      </c>
      <c r="T109" s="40" t="s">
        <v>48</v>
      </c>
      <c r="V109" s="33"/>
      <c r="W109" s="38" t="str">
        <f>Notes!U110</f>
        <v xml:space="preserve">               Restaurants and food services</v>
      </c>
      <c r="X109" s="4" t="s">
        <v>741</v>
      </c>
      <c r="Y109" s="44">
        <v>1.4246705430358484</v>
      </c>
      <c r="Z109" s="42" t="s">
        <v>48</v>
      </c>
      <c r="AA109" s="40" t="s">
        <v>48</v>
      </c>
      <c r="AB109" s="40" t="s">
        <v>48</v>
      </c>
      <c r="AC109" s="40" t="s">
        <v>48</v>
      </c>
      <c r="AD109" s="40" t="s">
        <v>48</v>
      </c>
      <c r="AE109" s="40" t="s">
        <v>48</v>
      </c>
      <c r="AF109" s="40" t="s">
        <v>48</v>
      </c>
      <c r="AG109" s="40" t="s">
        <v>48</v>
      </c>
      <c r="AH109" s="40" t="s">
        <v>48</v>
      </c>
      <c r="AI109" s="40" t="s">
        <v>48</v>
      </c>
      <c r="AJ109" s="40" t="s">
        <v>48</v>
      </c>
      <c r="AK109" s="40" t="s">
        <v>48</v>
      </c>
      <c r="AL109" s="40" t="s">
        <v>48</v>
      </c>
      <c r="AM109" s="40" t="s">
        <v>48</v>
      </c>
      <c r="AN109" s="40" t="s">
        <v>48</v>
      </c>
      <c r="AP109" s="33"/>
      <c r="AQ109" s="38" t="str">
        <f>Notes!U110</f>
        <v xml:space="preserve">               Restaurants and food services</v>
      </c>
      <c r="AR109" s="4" t="s">
        <v>741</v>
      </c>
      <c r="AS109" s="44" t="s">
        <v>48</v>
      </c>
      <c r="AT109" s="42" t="s">
        <v>48</v>
      </c>
      <c r="AU109" s="40" t="s">
        <v>48</v>
      </c>
      <c r="AV109" s="40" t="s">
        <v>48</v>
      </c>
      <c r="AW109" s="40" t="s">
        <v>48</v>
      </c>
      <c r="AX109" s="40" t="s">
        <v>48</v>
      </c>
      <c r="AY109" s="40" t="s">
        <v>48</v>
      </c>
      <c r="AZ109" s="40" t="s">
        <v>48</v>
      </c>
      <c r="BA109" s="40" t="s">
        <v>48</v>
      </c>
      <c r="BB109" s="40" t="s">
        <v>48</v>
      </c>
      <c r="BC109" s="40" t="s">
        <v>48</v>
      </c>
      <c r="BD109" s="40" t="s">
        <v>48</v>
      </c>
      <c r="BE109" s="40" t="s">
        <v>48</v>
      </c>
      <c r="BF109" s="40" t="s">
        <v>48</v>
      </c>
      <c r="BG109" s="40" t="s">
        <v>48</v>
      </c>
      <c r="BH109" s="40" t="s">
        <v>48</v>
      </c>
      <c r="BJ109" s="33"/>
      <c r="BK109" s="38" t="str">
        <f>Notes!U110</f>
        <v xml:space="preserve">               Restaurants and food services</v>
      </c>
      <c r="BL109" s="4" t="s">
        <v>741</v>
      </c>
      <c r="BM109" s="44" t="s">
        <v>48</v>
      </c>
      <c r="BN109" s="42" t="s">
        <v>48</v>
      </c>
      <c r="BO109" s="40" t="s">
        <v>48</v>
      </c>
      <c r="BP109" s="40" t="s">
        <v>48</v>
      </c>
      <c r="BQ109" s="40" t="s">
        <v>48</v>
      </c>
      <c r="BR109" s="40" t="s">
        <v>48</v>
      </c>
      <c r="BS109" s="40" t="s">
        <v>48</v>
      </c>
      <c r="BT109" s="40" t="s">
        <v>48</v>
      </c>
      <c r="BU109" s="40" t="s">
        <v>48</v>
      </c>
      <c r="BV109" s="40" t="s">
        <v>48</v>
      </c>
      <c r="BW109" s="40" t="s">
        <v>48</v>
      </c>
      <c r="BX109" s="40" t="s">
        <v>48</v>
      </c>
      <c r="BY109" s="40" t="s">
        <v>48</v>
      </c>
      <c r="BZ109" s="40" t="s">
        <v>48</v>
      </c>
      <c r="CA109" s="40" t="s">
        <v>48</v>
      </c>
      <c r="CB109" s="40" t="s">
        <v>48</v>
      </c>
      <c r="CD109" s="33"/>
      <c r="CE109" s="38" t="str">
        <f>Notes!U110</f>
        <v xml:space="preserve">               Restaurants and food services</v>
      </c>
      <c r="CF109" s="4" t="s">
        <v>741</v>
      </c>
      <c r="CG109" s="44" t="s">
        <v>48</v>
      </c>
      <c r="CH109" s="42" t="s">
        <v>48</v>
      </c>
      <c r="CI109" s="40" t="s">
        <v>48</v>
      </c>
      <c r="CJ109" s="40" t="s">
        <v>48</v>
      </c>
      <c r="CK109" s="40" t="s">
        <v>48</v>
      </c>
      <c r="CL109" s="40" t="s">
        <v>48</v>
      </c>
      <c r="CM109" s="40" t="s">
        <v>48</v>
      </c>
      <c r="CN109" s="40" t="s">
        <v>48</v>
      </c>
      <c r="CO109" s="40" t="s">
        <v>48</v>
      </c>
      <c r="CP109" s="40" t="s">
        <v>48</v>
      </c>
      <c r="CQ109" s="40" t="s">
        <v>48</v>
      </c>
      <c r="CR109" s="40" t="s">
        <v>48</v>
      </c>
      <c r="CS109" s="40" t="s">
        <v>48</v>
      </c>
      <c r="CT109" s="40" t="s">
        <v>48</v>
      </c>
      <c r="CU109" s="40" t="s">
        <v>48</v>
      </c>
      <c r="CV109" s="40" t="s">
        <v>48</v>
      </c>
      <c r="CX109" s="33"/>
      <c r="CY109" s="38" t="str">
        <f>Notes!U110</f>
        <v xml:space="preserve">               Restaurants and food services</v>
      </c>
      <c r="CZ109" s="4" t="s">
        <v>741</v>
      </c>
      <c r="DA109" s="44" t="s">
        <v>48</v>
      </c>
      <c r="DB109" s="42" t="s">
        <v>48</v>
      </c>
      <c r="DC109" s="40" t="s">
        <v>48</v>
      </c>
      <c r="DD109" s="40" t="s">
        <v>48</v>
      </c>
      <c r="DE109" s="40" t="s">
        <v>48</v>
      </c>
      <c r="DF109" s="40" t="s">
        <v>48</v>
      </c>
      <c r="DG109" s="40" t="s">
        <v>48</v>
      </c>
      <c r="DH109" s="40" t="s">
        <v>48</v>
      </c>
      <c r="DI109" s="40" t="s">
        <v>48</v>
      </c>
      <c r="DJ109" s="40" t="s">
        <v>48</v>
      </c>
      <c r="DK109" s="40" t="s">
        <v>48</v>
      </c>
      <c r="DL109" s="40" t="s">
        <v>48</v>
      </c>
      <c r="DM109" s="40" t="s">
        <v>48</v>
      </c>
      <c r="DN109" s="40" t="s">
        <v>48</v>
      </c>
      <c r="DO109" s="40" t="s">
        <v>48</v>
      </c>
      <c r="DP109" s="40" t="s">
        <v>48</v>
      </c>
    </row>
    <row r="110" spans="1:120" x14ac:dyDescent="0.35">
      <c r="A110" s="12">
        <v>103</v>
      </c>
      <c r="B110" s="33"/>
      <c r="C110" s="38" t="str">
        <f>Notes!U111</f>
        <v xml:space="preserve">               Transport and communication</v>
      </c>
      <c r="D110" s="4" t="s">
        <v>382</v>
      </c>
      <c r="E110" s="44">
        <v>5.1828727343000143</v>
      </c>
      <c r="F110" s="42" t="s">
        <v>48</v>
      </c>
      <c r="G110" s="40" t="s">
        <v>48</v>
      </c>
      <c r="H110" s="40" t="s">
        <v>48</v>
      </c>
      <c r="I110" s="40" t="s">
        <v>48</v>
      </c>
      <c r="J110" s="40" t="s">
        <v>48</v>
      </c>
      <c r="K110" s="40" t="s">
        <v>48</v>
      </c>
      <c r="L110" s="40" t="s">
        <v>48</v>
      </c>
      <c r="M110" s="40" t="s">
        <v>48</v>
      </c>
      <c r="N110" s="40" t="s">
        <v>48</v>
      </c>
      <c r="O110" s="40" t="s">
        <v>48</v>
      </c>
      <c r="P110" s="40" t="s">
        <v>48</v>
      </c>
      <c r="Q110" s="40" t="s">
        <v>48</v>
      </c>
      <c r="R110" s="40" t="s">
        <v>48</v>
      </c>
      <c r="S110" s="40" t="s">
        <v>48</v>
      </c>
      <c r="T110" s="40" t="s">
        <v>48</v>
      </c>
      <c r="V110" s="33"/>
      <c r="W110" s="38" t="str">
        <f>Notes!U111</f>
        <v xml:space="preserve">               Transport and communication</v>
      </c>
      <c r="X110" s="4" t="s">
        <v>382</v>
      </c>
      <c r="Y110" s="44">
        <v>5.4630064018307838</v>
      </c>
      <c r="Z110" s="42" t="s">
        <v>48</v>
      </c>
      <c r="AA110" s="40" t="s">
        <v>48</v>
      </c>
      <c r="AB110" s="40" t="s">
        <v>48</v>
      </c>
      <c r="AC110" s="40" t="s">
        <v>48</v>
      </c>
      <c r="AD110" s="40" t="s">
        <v>48</v>
      </c>
      <c r="AE110" s="40" t="s">
        <v>48</v>
      </c>
      <c r="AF110" s="40" t="s">
        <v>48</v>
      </c>
      <c r="AG110" s="40" t="s">
        <v>48</v>
      </c>
      <c r="AH110" s="40" t="s">
        <v>48</v>
      </c>
      <c r="AI110" s="40" t="s">
        <v>48</v>
      </c>
      <c r="AJ110" s="40" t="s">
        <v>48</v>
      </c>
      <c r="AK110" s="40" t="s">
        <v>48</v>
      </c>
      <c r="AL110" s="40" t="s">
        <v>48</v>
      </c>
      <c r="AM110" s="40" t="s">
        <v>48</v>
      </c>
      <c r="AN110" s="40" t="s">
        <v>48</v>
      </c>
      <c r="AP110" s="33"/>
      <c r="AQ110" s="38" t="str">
        <f>Notes!U111</f>
        <v xml:space="preserve">               Transport and communication</v>
      </c>
      <c r="AR110" s="4" t="s">
        <v>382</v>
      </c>
      <c r="AS110" s="44">
        <v>4.7141306115418828</v>
      </c>
      <c r="AT110" s="42" t="s">
        <v>48</v>
      </c>
      <c r="AU110" s="40" t="s">
        <v>48</v>
      </c>
      <c r="AV110" s="40" t="s">
        <v>48</v>
      </c>
      <c r="AW110" s="40" t="s">
        <v>48</v>
      </c>
      <c r="AX110" s="40" t="s">
        <v>48</v>
      </c>
      <c r="AY110" s="40" t="s">
        <v>48</v>
      </c>
      <c r="AZ110" s="40" t="s">
        <v>48</v>
      </c>
      <c r="BA110" s="40" t="s">
        <v>48</v>
      </c>
      <c r="BB110" s="40" t="s">
        <v>48</v>
      </c>
      <c r="BC110" s="40" t="s">
        <v>48</v>
      </c>
      <c r="BD110" s="40" t="s">
        <v>48</v>
      </c>
      <c r="BE110" s="40" t="s">
        <v>48</v>
      </c>
      <c r="BF110" s="40" t="s">
        <v>48</v>
      </c>
      <c r="BG110" s="40" t="s">
        <v>48</v>
      </c>
      <c r="BH110" s="40" t="s">
        <v>48</v>
      </c>
      <c r="BJ110" s="33"/>
      <c r="BK110" s="38" t="str">
        <f>Notes!U111</f>
        <v xml:space="preserve">               Transport and communication</v>
      </c>
      <c r="BL110" s="4" t="s">
        <v>382</v>
      </c>
      <c r="BM110" s="44">
        <v>5.0740570034043415</v>
      </c>
      <c r="BN110" s="42" t="s">
        <v>48</v>
      </c>
      <c r="BO110" s="40" t="s">
        <v>48</v>
      </c>
      <c r="BP110" s="40" t="s">
        <v>48</v>
      </c>
      <c r="BQ110" s="40" t="s">
        <v>48</v>
      </c>
      <c r="BR110" s="40" t="s">
        <v>48</v>
      </c>
      <c r="BS110" s="40" t="s">
        <v>48</v>
      </c>
      <c r="BT110" s="40" t="s">
        <v>48</v>
      </c>
      <c r="BU110" s="40" t="s">
        <v>48</v>
      </c>
      <c r="BV110" s="40" t="s">
        <v>48</v>
      </c>
      <c r="BW110" s="40" t="s">
        <v>48</v>
      </c>
      <c r="BX110" s="40" t="s">
        <v>48</v>
      </c>
      <c r="BY110" s="40" t="s">
        <v>48</v>
      </c>
      <c r="BZ110" s="40" t="s">
        <v>48</v>
      </c>
      <c r="CA110" s="40" t="s">
        <v>48</v>
      </c>
      <c r="CB110" s="40" t="s">
        <v>48</v>
      </c>
      <c r="CD110" s="33"/>
      <c r="CE110" s="38" t="str">
        <f>Notes!U111</f>
        <v xml:space="preserve">               Transport and communication</v>
      </c>
      <c r="CF110" s="4" t="s">
        <v>382</v>
      </c>
      <c r="CG110" s="44">
        <v>4.1132804222190664</v>
      </c>
      <c r="CH110" s="42" t="s">
        <v>48</v>
      </c>
      <c r="CI110" s="40" t="s">
        <v>48</v>
      </c>
      <c r="CJ110" s="40" t="s">
        <v>48</v>
      </c>
      <c r="CK110" s="40" t="s">
        <v>48</v>
      </c>
      <c r="CL110" s="40" t="s">
        <v>48</v>
      </c>
      <c r="CM110" s="40" t="s">
        <v>48</v>
      </c>
      <c r="CN110" s="40" t="s">
        <v>48</v>
      </c>
      <c r="CO110" s="40" t="s">
        <v>48</v>
      </c>
      <c r="CP110" s="40" t="s">
        <v>48</v>
      </c>
      <c r="CQ110" s="40" t="s">
        <v>48</v>
      </c>
      <c r="CR110" s="40" t="s">
        <v>48</v>
      </c>
      <c r="CS110" s="40" t="s">
        <v>48</v>
      </c>
      <c r="CT110" s="40" t="s">
        <v>48</v>
      </c>
      <c r="CU110" s="40" t="s">
        <v>48</v>
      </c>
      <c r="CV110" s="40" t="s">
        <v>48</v>
      </c>
      <c r="CX110" s="33"/>
      <c r="CY110" s="38" t="str">
        <f>Notes!U111</f>
        <v xml:space="preserve">               Transport and communication</v>
      </c>
      <c r="CZ110" s="4" t="s">
        <v>382</v>
      </c>
      <c r="DA110" s="44">
        <v>6.5450087863180562</v>
      </c>
      <c r="DB110" s="42" t="s">
        <v>48</v>
      </c>
      <c r="DC110" s="40" t="s">
        <v>48</v>
      </c>
      <c r="DD110" s="40" t="s">
        <v>48</v>
      </c>
      <c r="DE110" s="40" t="s">
        <v>48</v>
      </c>
      <c r="DF110" s="40" t="s">
        <v>48</v>
      </c>
      <c r="DG110" s="40" t="s">
        <v>48</v>
      </c>
      <c r="DH110" s="40" t="s">
        <v>48</v>
      </c>
      <c r="DI110" s="40" t="s">
        <v>48</v>
      </c>
      <c r="DJ110" s="40" t="s">
        <v>48</v>
      </c>
      <c r="DK110" s="40" t="s">
        <v>48</v>
      </c>
      <c r="DL110" s="40" t="s">
        <v>48</v>
      </c>
      <c r="DM110" s="40" t="s">
        <v>48</v>
      </c>
      <c r="DN110" s="40" t="s">
        <v>48</v>
      </c>
      <c r="DO110" s="40" t="s">
        <v>48</v>
      </c>
      <c r="DP110" s="40" t="s">
        <v>48</v>
      </c>
    </row>
    <row r="111" spans="1:120" x14ac:dyDescent="0.35">
      <c r="A111" s="12">
        <v>104</v>
      </c>
      <c r="B111" s="33"/>
      <c r="C111" s="38" t="str">
        <f>Notes!U112</f>
        <v xml:space="preserve">               Transportation and storage</v>
      </c>
      <c r="D111" s="4" t="s">
        <v>384</v>
      </c>
      <c r="E111" s="44">
        <v>15.975033391500828</v>
      </c>
      <c r="F111" s="42" t="s">
        <v>48</v>
      </c>
      <c r="G111" s="40" t="s">
        <v>48</v>
      </c>
      <c r="H111" s="40" t="s">
        <v>48</v>
      </c>
      <c r="I111" s="40" t="s">
        <v>48</v>
      </c>
      <c r="J111" s="40" t="s">
        <v>48</v>
      </c>
      <c r="K111" s="40" t="s">
        <v>48</v>
      </c>
      <c r="L111" s="40" t="s">
        <v>48</v>
      </c>
      <c r="M111" s="40" t="s">
        <v>48</v>
      </c>
      <c r="N111" s="40" t="s">
        <v>48</v>
      </c>
      <c r="O111" s="40" t="s">
        <v>48</v>
      </c>
      <c r="P111" s="40" t="s">
        <v>48</v>
      </c>
      <c r="Q111" s="40" t="s">
        <v>48</v>
      </c>
      <c r="R111" s="40" t="s">
        <v>48</v>
      </c>
      <c r="S111" s="40" t="s">
        <v>48</v>
      </c>
      <c r="T111" s="40" t="s">
        <v>48</v>
      </c>
      <c r="V111" s="33"/>
      <c r="W111" s="38" t="str">
        <f>Notes!U112</f>
        <v xml:space="preserve">               Transportation and storage</v>
      </c>
      <c r="X111" s="4" t="s">
        <v>384</v>
      </c>
      <c r="Y111" s="44">
        <v>11.396812735964369</v>
      </c>
      <c r="Z111" s="42" t="s">
        <v>48</v>
      </c>
      <c r="AA111" s="40" t="s">
        <v>48</v>
      </c>
      <c r="AB111" s="40" t="s">
        <v>48</v>
      </c>
      <c r="AC111" s="40" t="s">
        <v>48</v>
      </c>
      <c r="AD111" s="40" t="s">
        <v>48</v>
      </c>
      <c r="AE111" s="40" t="s">
        <v>48</v>
      </c>
      <c r="AF111" s="40" t="s">
        <v>48</v>
      </c>
      <c r="AG111" s="40" t="s">
        <v>48</v>
      </c>
      <c r="AH111" s="40" t="s">
        <v>48</v>
      </c>
      <c r="AI111" s="40" t="s">
        <v>48</v>
      </c>
      <c r="AJ111" s="40" t="s">
        <v>48</v>
      </c>
      <c r="AK111" s="40" t="s">
        <v>48</v>
      </c>
      <c r="AL111" s="40" t="s">
        <v>48</v>
      </c>
      <c r="AM111" s="40" t="s">
        <v>48</v>
      </c>
      <c r="AN111" s="40" t="s">
        <v>48</v>
      </c>
      <c r="AP111" s="33"/>
      <c r="AQ111" s="38" t="str">
        <f>Notes!U112</f>
        <v xml:space="preserve">               Transportation and storage</v>
      </c>
      <c r="AR111" s="4" t="s">
        <v>384</v>
      </c>
      <c r="AS111" s="44">
        <v>16.422948104295202</v>
      </c>
      <c r="AT111" s="42" t="s">
        <v>48</v>
      </c>
      <c r="AU111" s="40" t="s">
        <v>48</v>
      </c>
      <c r="AV111" s="40" t="s">
        <v>48</v>
      </c>
      <c r="AW111" s="40" t="s">
        <v>48</v>
      </c>
      <c r="AX111" s="40" t="s">
        <v>48</v>
      </c>
      <c r="AY111" s="40" t="s">
        <v>48</v>
      </c>
      <c r="AZ111" s="40" t="s">
        <v>48</v>
      </c>
      <c r="BA111" s="40" t="s">
        <v>48</v>
      </c>
      <c r="BB111" s="40" t="s">
        <v>48</v>
      </c>
      <c r="BC111" s="40" t="s">
        <v>48</v>
      </c>
      <c r="BD111" s="40" t="s">
        <v>48</v>
      </c>
      <c r="BE111" s="40" t="s">
        <v>48</v>
      </c>
      <c r="BF111" s="40" t="s">
        <v>48</v>
      </c>
      <c r="BG111" s="40" t="s">
        <v>48</v>
      </c>
      <c r="BH111" s="40" t="s">
        <v>48</v>
      </c>
      <c r="BJ111" s="33"/>
      <c r="BK111" s="38" t="str">
        <f>Notes!U112</f>
        <v xml:space="preserve">               Transportation and storage</v>
      </c>
      <c r="BL111" s="4" t="s">
        <v>384</v>
      </c>
      <c r="BM111" s="44" t="s">
        <v>48</v>
      </c>
      <c r="BN111" s="42" t="s">
        <v>48</v>
      </c>
      <c r="BO111" s="40" t="s">
        <v>48</v>
      </c>
      <c r="BP111" s="40" t="s">
        <v>48</v>
      </c>
      <c r="BQ111" s="40" t="s">
        <v>48</v>
      </c>
      <c r="BR111" s="40" t="s">
        <v>48</v>
      </c>
      <c r="BS111" s="40" t="s">
        <v>48</v>
      </c>
      <c r="BT111" s="40" t="s">
        <v>48</v>
      </c>
      <c r="BU111" s="40" t="s">
        <v>48</v>
      </c>
      <c r="BV111" s="40" t="s">
        <v>48</v>
      </c>
      <c r="BW111" s="40" t="s">
        <v>48</v>
      </c>
      <c r="BX111" s="40" t="s">
        <v>48</v>
      </c>
      <c r="BY111" s="40" t="s">
        <v>48</v>
      </c>
      <c r="BZ111" s="40" t="s">
        <v>48</v>
      </c>
      <c r="CA111" s="40" t="s">
        <v>48</v>
      </c>
      <c r="CB111" s="40" t="s">
        <v>48</v>
      </c>
      <c r="CD111" s="33"/>
      <c r="CE111" s="38" t="str">
        <f>Notes!U112</f>
        <v xml:space="preserve">               Transportation and storage</v>
      </c>
      <c r="CF111" s="4" t="s">
        <v>384</v>
      </c>
      <c r="CG111" s="44">
        <v>14.32972407406897</v>
      </c>
      <c r="CH111" s="42" t="s">
        <v>48</v>
      </c>
      <c r="CI111" s="40" t="s">
        <v>48</v>
      </c>
      <c r="CJ111" s="40" t="s">
        <v>48</v>
      </c>
      <c r="CK111" s="40" t="s">
        <v>48</v>
      </c>
      <c r="CL111" s="40" t="s">
        <v>48</v>
      </c>
      <c r="CM111" s="40" t="s">
        <v>48</v>
      </c>
      <c r="CN111" s="40" t="s">
        <v>48</v>
      </c>
      <c r="CO111" s="40" t="s">
        <v>48</v>
      </c>
      <c r="CP111" s="40" t="s">
        <v>48</v>
      </c>
      <c r="CQ111" s="40" t="s">
        <v>48</v>
      </c>
      <c r="CR111" s="40" t="s">
        <v>48</v>
      </c>
      <c r="CS111" s="40" t="s">
        <v>48</v>
      </c>
      <c r="CT111" s="40" t="s">
        <v>48</v>
      </c>
      <c r="CU111" s="40" t="s">
        <v>48</v>
      </c>
      <c r="CV111" s="40" t="s">
        <v>48</v>
      </c>
      <c r="CX111" s="33"/>
      <c r="CY111" s="38" t="str">
        <f>Notes!U112</f>
        <v xml:space="preserve">               Transportation and storage</v>
      </c>
      <c r="CZ111" s="4" t="s">
        <v>384</v>
      </c>
      <c r="DA111" s="44" t="s">
        <v>48</v>
      </c>
      <c r="DB111" s="42" t="s">
        <v>48</v>
      </c>
      <c r="DC111" s="40" t="s">
        <v>48</v>
      </c>
      <c r="DD111" s="40" t="s">
        <v>48</v>
      </c>
      <c r="DE111" s="40" t="s">
        <v>48</v>
      </c>
      <c r="DF111" s="40" t="s">
        <v>48</v>
      </c>
      <c r="DG111" s="40" t="s">
        <v>48</v>
      </c>
      <c r="DH111" s="40" t="s">
        <v>48</v>
      </c>
      <c r="DI111" s="40" t="s">
        <v>48</v>
      </c>
      <c r="DJ111" s="40" t="s">
        <v>48</v>
      </c>
      <c r="DK111" s="40" t="s">
        <v>48</v>
      </c>
      <c r="DL111" s="40" t="s">
        <v>48</v>
      </c>
      <c r="DM111" s="40" t="s">
        <v>48</v>
      </c>
      <c r="DN111" s="40" t="s">
        <v>48</v>
      </c>
      <c r="DO111" s="40" t="s">
        <v>48</v>
      </c>
      <c r="DP111" s="40" t="s">
        <v>48</v>
      </c>
    </row>
    <row r="112" spans="1:120" x14ac:dyDescent="0.35">
      <c r="A112" s="12">
        <v>105</v>
      </c>
      <c r="B112" s="33"/>
      <c r="C112" s="38" t="str">
        <f>Notes!U113</f>
        <v xml:space="preserve">               Information and communication</v>
      </c>
      <c r="D112" s="4" t="s">
        <v>386</v>
      </c>
      <c r="E112" s="44">
        <v>10.545820656468633</v>
      </c>
      <c r="F112" s="42" t="s">
        <v>48</v>
      </c>
      <c r="G112" s="40" t="s">
        <v>48</v>
      </c>
      <c r="H112" s="40" t="s">
        <v>48</v>
      </c>
      <c r="I112" s="40" t="s">
        <v>48</v>
      </c>
      <c r="J112" s="40" t="s">
        <v>48</v>
      </c>
      <c r="K112" s="40" t="s">
        <v>48</v>
      </c>
      <c r="L112" s="40" t="s">
        <v>48</v>
      </c>
      <c r="M112" s="40" t="s">
        <v>48</v>
      </c>
      <c r="N112" s="40" t="s">
        <v>48</v>
      </c>
      <c r="O112" s="40" t="s">
        <v>48</v>
      </c>
      <c r="P112" s="40" t="s">
        <v>48</v>
      </c>
      <c r="Q112" s="40" t="s">
        <v>48</v>
      </c>
      <c r="R112" s="40" t="s">
        <v>48</v>
      </c>
      <c r="S112" s="40" t="s">
        <v>48</v>
      </c>
      <c r="T112" s="40" t="s">
        <v>48</v>
      </c>
      <c r="V112" s="33"/>
      <c r="W112" s="38" t="str">
        <f>Notes!U113</f>
        <v xml:space="preserve">               Information and communication</v>
      </c>
      <c r="X112" s="4" t="s">
        <v>386</v>
      </c>
      <c r="Y112" s="44">
        <v>7.1494780895646208</v>
      </c>
      <c r="Z112" s="42" t="s">
        <v>48</v>
      </c>
      <c r="AA112" s="40" t="s">
        <v>48</v>
      </c>
      <c r="AB112" s="40" t="s">
        <v>48</v>
      </c>
      <c r="AC112" s="40" t="s">
        <v>48</v>
      </c>
      <c r="AD112" s="40" t="s">
        <v>48</v>
      </c>
      <c r="AE112" s="40" t="s">
        <v>48</v>
      </c>
      <c r="AF112" s="40" t="s">
        <v>48</v>
      </c>
      <c r="AG112" s="40" t="s">
        <v>48</v>
      </c>
      <c r="AH112" s="40" t="s">
        <v>48</v>
      </c>
      <c r="AI112" s="40" t="s">
        <v>48</v>
      </c>
      <c r="AJ112" s="40" t="s">
        <v>48</v>
      </c>
      <c r="AK112" s="40" t="s">
        <v>48</v>
      </c>
      <c r="AL112" s="40" t="s">
        <v>48</v>
      </c>
      <c r="AM112" s="40" t="s">
        <v>48</v>
      </c>
      <c r="AN112" s="40" t="s">
        <v>48</v>
      </c>
      <c r="AP112" s="33"/>
      <c r="AQ112" s="38" t="str">
        <f>Notes!U113</f>
        <v xml:space="preserve">               Information and communication</v>
      </c>
      <c r="AR112" s="4" t="s">
        <v>386</v>
      </c>
      <c r="AS112" s="44">
        <v>16.422948104295202</v>
      </c>
      <c r="AT112" s="42" t="s">
        <v>48</v>
      </c>
      <c r="AU112" s="40" t="s">
        <v>48</v>
      </c>
      <c r="AV112" s="40" t="s">
        <v>48</v>
      </c>
      <c r="AW112" s="40" t="s">
        <v>48</v>
      </c>
      <c r="AX112" s="40" t="s">
        <v>48</v>
      </c>
      <c r="AY112" s="40" t="s">
        <v>48</v>
      </c>
      <c r="AZ112" s="40" t="s">
        <v>48</v>
      </c>
      <c r="BA112" s="40" t="s">
        <v>48</v>
      </c>
      <c r="BB112" s="40" t="s">
        <v>48</v>
      </c>
      <c r="BC112" s="40" t="s">
        <v>48</v>
      </c>
      <c r="BD112" s="40" t="s">
        <v>48</v>
      </c>
      <c r="BE112" s="40" t="s">
        <v>48</v>
      </c>
      <c r="BF112" s="40" t="s">
        <v>48</v>
      </c>
      <c r="BG112" s="40" t="s">
        <v>48</v>
      </c>
      <c r="BH112" s="40" t="s">
        <v>48</v>
      </c>
      <c r="BJ112" s="33"/>
      <c r="BK112" s="38" t="str">
        <f>Notes!U113</f>
        <v xml:space="preserve">               Information and communication</v>
      </c>
      <c r="BL112" s="4" t="s">
        <v>386</v>
      </c>
      <c r="BM112" s="44" t="s">
        <v>48</v>
      </c>
      <c r="BN112" s="42" t="s">
        <v>48</v>
      </c>
      <c r="BO112" s="40" t="s">
        <v>48</v>
      </c>
      <c r="BP112" s="40" t="s">
        <v>48</v>
      </c>
      <c r="BQ112" s="40" t="s">
        <v>48</v>
      </c>
      <c r="BR112" s="40" t="s">
        <v>48</v>
      </c>
      <c r="BS112" s="40" t="s">
        <v>48</v>
      </c>
      <c r="BT112" s="40" t="s">
        <v>48</v>
      </c>
      <c r="BU112" s="40" t="s">
        <v>48</v>
      </c>
      <c r="BV112" s="40" t="s">
        <v>48</v>
      </c>
      <c r="BW112" s="40" t="s">
        <v>48</v>
      </c>
      <c r="BX112" s="40" t="s">
        <v>48</v>
      </c>
      <c r="BY112" s="40" t="s">
        <v>48</v>
      </c>
      <c r="BZ112" s="40" t="s">
        <v>48</v>
      </c>
      <c r="CA112" s="40" t="s">
        <v>48</v>
      </c>
      <c r="CB112" s="40" t="s">
        <v>48</v>
      </c>
      <c r="CD112" s="33"/>
      <c r="CE112" s="38" t="str">
        <f>Notes!U113</f>
        <v xml:space="preserve">               Information and communication</v>
      </c>
      <c r="CF112" s="4" t="s">
        <v>386</v>
      </c>
      <c r="CG112" s="44">
        <v>14.32972407406897</v>
      </c>
      <c r="CH112" s="42" t="s">
        <v>48</v>
      </c>
      <c r="CI112" s="40" t="s">
        <v>48</v>
      </c>
      <c r="CJ112" s="40" t="s">
        <v>48</v>
      </c>
      <c r="CK112" s="40" t="s">
        <v>48</v>
      </c>
      <c r="CL112" s="40" t="s">
        <v>48</v>
      </c>
      <c r="CM112" s="40" t="s">
        <v>48</v>
      </c>
      <c r="CN112" s="40" t="s">
        <v>48</v>
      </c>
      <c r="CO112" s="40" t="s">
        <v>48</v>
      </c>
      <c r="CP112" s="40" t="s">
        <v>48</v>
      </c>
      <c r="CQ112" s="40" t="s">
        <v>48</v>
      </c>
      <c r="CR112" s="40" t="s">
        <v>48</v>
      </c>
      <c r="CS112" s="40" t="s">
        <v>48</v>
      </c>
      <c r="CT112" s="40" t="s">
        <v>48</v>
      </c>
      <c r="CU112" s="40" t="s">
        <v>48</v>
      </c>
      <c r="CV112" s="40" t="s">
        <v>48</v>
      </c>
      <c r="CX112" s="33"/>
      <c r="CY112" s="38" t="str">
        <f>Notes!U113</f>
        <v xml:space="preserve">               Information and communication</v>
      </c>
      <c r="CZ112" s="4" t="s">
        <v>386</v>
      </c>
      <c r="DA112" s="44" t="s">
        <v>48</v>
      </c>
      <c r="DB112" s="42" t="s">
        <v>48</v>
      </c>
      <c r="DC112" s="40" t="s">
        <v>48</v>
      </c>
      <c r="DD112" s="40" t="s">
        <v>48</v>
      </c>
      <c r="DE112" s="40" t="s">
        <v>48</v>
      </c>
      <c r="DF112" s="40" t="s">
        <v>48</v>
      </c>
      <c r="DG112" s="40" t="s">
        <v>48</v>
      </c>
      <c r="DH112" s="40" t="s">
        <v>48</v>
      </c>
      <c r="DI112" s="40" t="s">
        <v>48</v>
      </c>
      <c r="DJ112" s="40" t="s">
        <v>48</v>
      </c>
      <c r="DK112" s="40" t="s">
        <v>48</v>
      </c>
      <c r="DL112" s="40" t="s">
        <v>48</v>
      </c>
      <c r="DM112" s="40" t="s">
        <v>48</v>
      </c>
      <c r="DN112" s="40" t="s">
        <v>48</v>
      </c>
      <c r="DO112" s="40" t="s">
        <v>48</v>
      </c>
      <c r="DP112" s="40" t="s">
        <v>48</v>
      </c>
    </row>
    <row r="113" spans="1:120" x14ac:dyDescent="0.35">
      <c r="A113" s="12">
        <v>106</v>
      </c>
      <c r="B113" s="33"/>
      <c r="C113" s="38" t="str">
        <f>Notes!U114</f>
        <v xml:space="preserve">               Finance and business services</v>
      </c>
      <c r="D113" s="4" t="s">
        <v>742</v>
      </c>
      <c r="E113" s="44">
        <v>3.4132533361955026</v>
      </c>
      <c r="F113" s="42" t="s">
        <v>48</v>
      </c>
      <c r="G113" s="40" t="s">
        <v>48</v>
      </c>
      <c r="H113" s="40" t="s">
        <v>48</v>
      </c>
      <c r="I113" s="40" t="s">
        <v>48</v>
      </c>
      <c r="J113" s="40" t="s">
        <v>48</v>
      </c>
      <c r="K113" s="40" t="s">
        <v>48</v>
      </c>
      <c r="L113" s="40" t="s">
        <v>48</v>
      </c>
      <c r="M113" s="40" t="s">
        <v>48</v>
      </c>
      <c r="N113" s="40" t="s">
        <v>48</v>
      </c>
      <c r="O113" s="40" t="s">
        <v>48</v>
      </c>
      <c r="P113" s="40" t="s">
        <v>48</v>
      </c>
      <c r="Q113" s="40" t="s">
        <v>48</v>
      </c>
      <c r="R113" s="40" t="s">
        <v>48</v>
      </c>
      <c r="S113" s="40" t="s">
        <v>48</v>
      </c>
      <c r="T113" s="40" t="s">
        <v>48</v>
      </c>
      <c r="V113" s="33"/>
      <c r="W113" s="38" t="str">
        <f>Notes!U114</f>
        <v xml:space="preserve">               Finance and business services</v>
      </c>
      <c r="X113" s="4" t="s">
        <v>742</v>
      </c>
      <c r="Y113" s="44">
        <v>2.6686614887742843</v>
      </c>
      <c r="Z113" s="42" t="s">
        <v>48</v>
      </c>
      <c r="AA113" s="40" t="s">
        <v>48</v>
      </c>
      <c r="AB113" s="40" t="s">
        <v>48</v>
      </c>
      <c r="AC113" s="40" t="s">
        <v>48</v>
      </c>
      <c r="AD113" s="40" t="s">
        <v>48</v>
      </c>
      <c r="AE113" s="40" t="s">
        <v>48</v>
      </c>
      <c r="AF113" s="40" t="s">
        <v>48</v>
      </c>
      <c r="AG113" s="40" t="s">
        <v>48</v>
      </c>
      <c r="AH113" s="40" t="s">
        <v>48</v>
      </c>
      <c r="AI113" s="40" t="s">
        <v>48</v>
      </c>
      <c r="AJ113" s="40" t="s">
        <v>48</v>
      </c>
      <c r="AK113" s="40" t="s">
        <v>48</v>
      </c>
      <c r="AL113" s="40" t="s">
        <v>48</v>
      </c>
      <c r="AM113" s="40" t="s">
        <v>48</v>
      </c>
      <c r="AN113" s="40" t="s">
        <v>48</v>
      </c>
      <c r="AP113" s="33"/>
      <c r="AQ113" s="38" t="str">
        <f>Notes!U114</f>
        <v xml:space="preserve">               Finance and business services</v>
      </c>
      <c r="AR113" s="4" t="s">
        <v>742</v>
      </c>
      <c r="AS113" s="44" t="s">
        <v>48</v>
      </c>
      <c r="AT113" s="42" t="s">
        <v>48</v>
      </c>
      <c r="AU113" s="40" t="s">
        <v>48</v>
      </c>
      <c r="AV113" s="40" t="s">
        <v>48</v>
      </c>
      <c r="AW113" s="40" t="s">
        <v>48</v>
      </c>
      <c r="AX113" s="40" t="s">
        <v>48</v>
      </c>
      <c r="AY113" s="40" t="s">
        <v>48</v>
      </c>
      <c r="AZ113" s="40" t="s">
        <v>48</v>
      </c>
      <c r="BA113" s="40" t="s">
        <v>48</v>
      </c>
      <c r="BB113" s="40" t="s">
        <v>48</v>
      </c>
      <c r="BC113" s="40" t="s">
        <v>48</v>
      </c>
      <c r="BD113" s="40" t="s">
        <v>48</v>
      </c>
      <c r="BE113" s="40" t="s">
        <v>48</v>
      </c>
      <c r="BF113" s="40" t="s">
        <v>48</v>
      </c>
      <c r="BG113" s="40" t="s">
        <v>48</v>
      </c>
      <c r="BH113" s="40" t="s">
        <v>48</v>
      </c>
      <c r="BJ113" s="33"/>
      <c r="BK113" s="38" t="str">
        <f>Notes!U114</f>
        <v xml:space="preserve">               Finance and business services</v>
      </c>
      <c r="BL113" s="4" t="s">
        <v>742</v>
      </c>
      <c r="BM113" s="44" t="s">
        <v>48</v>
      </c>
      <c r="BN113" s="42" t="s">
        <v>48</v>
      </c>
      <c r="BO113" s="40" t="s">
        <v>48</v>
      </c>
      <c r="BP113" s="40" t="s">
        <v>48</v>
      </c>
      <c r="BQ113" s="40" t="s">
        <v>48</v>
      </c>
      <c r="BR113" s="40" t="s">
        <v>48</v>
      </c>
      <c r="BS113" s="40" t="s">
        <v>48</v>
      </c>
      <c r="BT113" s="40" t="s">
        <v>48</v>
      </c>
      <c r="BU113" s="40" t="s">
        <v>48</v>
      </c>
      <c r="BV113" s="40" t="s">
        <v>48</v>
      </c>
      <c r="BW113" s="40" t="s">
        <v>48</v>
      </c>
      <c r="BX113" s="40" t="s">
        <v>48</v>
      </c>
      <c r="BY113" s="40" t="s">
        <v>48</v>
      </c>
      <c r="BZ113" s="40" t="s">
        <v>48</v>
      </c>
      <c r="CA113" s="40" t="s">
        <v>48</v>
      </c>
      <c r="CB113" s="40" t="s">
        <v>48</v>
      </c>
      <c r="CD113" s="33"/>
      <c r="CE113" s="38" t="str">
        <f>Notes!U114</f>
        <v xml:space="preserve">               Finance and business services</v>
      </c>
      <c r="CF113" s="4" t="s">
        <v>742</v>
      </c>
      <c r="CG113" s="44" t="s">
        <v>48</v>
      </c>
      <c r="CH113" s="42" t="s">
        <v>48</v>
      </c>
      <c r="CI113" s="40" t="s">
        <v>48</v>
      </c>
      <c r="CJ113" s="40" t="s">
        <v>48</v>
      </c>
      <c r="CK113" s="40" t="s">
        <v>48</v>
      </c>
      <c r="CL113" s="40" t="s">
        <v>48</v>
      </c>
      <c r="CM113" s="40" t="s">
        <v>48</v>
      </c>
      <c r="CN113" s="40" t="s">
        <v>48</v>
      </c>
      <c r="CO113" s="40" t="s">
        <v>48</v>
      </c>
      <c r="CP113" s="40" t="s">
        <v>48</v>
      </c>
      <c r="CQ113" s="40" t="s">
        <v>48</v>
      </c>
      <c r="CR113" s="40" t="s">
        <v>48</v>
      </c>
      <c r="CS113" s="40" t="s">
        <v>48</v>
      </c>
      <c r="CT113" s="40" t="s">
        <v>48</v>
      </c>
      <c r="CU113" s="40" t="s">
        <v>48</v>
      </c>
      <c r="CV113" s="40" t="s">
        <v>48</v>
      </c>
      <c r="CX113" s="33"/>
      <c r="CY113" s="38" t="str">
        <f>Notes!U114</f>
        <v xml:space="preserve">               Finance and business services</v>
      </c>
      <c r="CZ113" s="4" t="s">
        <v>742</v>
      </c>
      <c r="DA113" s="44" t="s">
        <v>48</v>
      </c>
      <c r="DB113" s="42" t="s">
        <v>48</v>
      </c>
      <c r="DC113" s="40" t="s">
        <v>48</v>
      </c>
      <c r="DD113" s="40" t="s">
        <v>48</v>
      </c>
      <c r="DE113" s="40" t="s">
        <v>48</v>
      </c>
      <c r="DF113" s="40" t="s">
        <v>48</v>
      </c>
      <c r="DG113" s="40" t="s">
        <v>48</v>
      </c>
      <c r="DH113" s="40" t="s">
        <v>48</v>
      </c>
      <c r="DI113" s="40" t="s">
        <v>48</v>
      </c>
      <c r="DJ113" s="40" t="s">
        <v>48</v>
      </c>
      <c r="DK113" s="40" t="s">
        <v>48</v>
      </c>
      <c r="DL113" s="40" t="s">
        <v>48</v>
      </c>
      <c r="DM113" s="40" t="s">
        <v>48</v>
      </c>
      <c r="DN113" s="40" t="s">
        <v>48</v>
      </c>
      <c r="DO113" s="40" t="s">
        <v>48</v>
      </c>
      <c r="DP113" s="40" t="s">
        <v>48</v>
      </c>
    </row>
    <row r="114" spans="1:120" x14ac:dyDescent="0.35">
      <c r="A114" s="12">
        <v>107</v>
      </c>
      <c r="B114" s="33"/>
      <c r="C114" s="38" t="str">
        <f>Notes!U115</f>
        <v xml:space="preserve">               Finance and insurance</v>
      </c>
      <c r="D114" s="4" t="s">
        <v>743</v>
      </c>
      <c r="E114" s="44">
        <v>2.0159593988366931</v>
      </c>
      <c r="F114" s="42" t="s">
        <v>48</v>
      </c>
      <c r="G114" s="40" t="s">
        <v>48</v>
      </c>
      <c r="H114" s="40" t="s">
        <v>48</v>
      </c>
      <c r="I114" s="40" t="s">
        <v>48</v>
      </c>
      <c r="J114" s="40" t="s">
        <v>48</v>
      </c>
      <c r="K114" s="40" t="s">
        <v>48</v>
      </c>
      <c r="L114" s="40" t="s">
        <v>48</v>
      </c>
      <c r="M114" s="40" t="s">
        <v>48</v>
      </c>
      <c r="N114" s="40" t="s">
        <v>48</v>
      </c>
      <c r="O114" s="40" t="s">
        <v>48</v>
      </c>
      <c r="P114" s="40" t="s">
        <v>48</v>
      </c>
      <c r="Q114" s="40" t="s">
        <v>48</v>
      </c>
      <c r="R114" s="40" t="s">
        <v>48</v>
      </c>
      <c r="S114" s="40" t="s">
        <v>48</v>
      </c>
      <c r="T114" s="40" t="s">
        <v>48</v>
      </c>
      <c r="V114" s="33"/>
      <c r="W114" s="38" t="str">
        <f>Notes!U115</f>
        <v xml:space="preserve">               Finance and insurance</v>
      </c>
      <c r="X114" s="4" t="s">
        <v>743</v>
      </c>
      <c r="Y114" s="44">
        <v>1.578673157625464</v>
      </c>
      <c r="Z114" s="42" t="s">
        <v>48</v>
      </c>
      <c r="AA114" s="40" t="s">
        <v>48</v>
      </c>
      <c r="AB114" s="40" t="s">
        <v>48</v>
      </c>
      <c r="AC114" s="40" t="s">
        <v>48</v>
      </c>
      <c r="AD114" s="40" t="s">
        <v>48</v>
      </c>
      <c r="AE114" s="40" t="s">
        <v>48</v>
      </c>
      <c r="AF114" s="40" t="s">
        <v>48</v>
      </c>
      <c r="AG114" s="40" t="s">
        <v>48</v>
      </c>
      <c r="AH114" s="40" t="s">
        <v>48</v>
      </c>
      <c r="AI114" s="40" t="s">
        <v>48</v>
      </c>
      <c r="AJ114" s="40" t="s">
        <v>48</v>
      </c>
      <c r="AK114" s="40" t="s">
        <v>48</v>
      </c>
      <c r="AL114" s="40" t="s">
        <v>48</v>
      </c>
      <c r="AM114" s="40" t="s">
        <v>48</v>
      </c>
      <c r="AN114" s="40" t="s">
        <v>48</v>
      </c>
      <c r="AP114" s="33"/>
      <c r="AQ114" s="38" t="str">
        <f>Notes!U115</f>
        <v xml:space="preserve">               Finance and insurance</v>
      </c>
      <c r="AR114" s="4" t="s">
        <v>743</v>
      </c>
      <c r="AS114" s="44" t="s">
        <v>48</v>
      </c>
      <c r="AT114" s="42" t="s">
        <v>48</v>
      </c>
      <c r="AU114" s="40" t="s">
        <v>48</v>
      </c>
      <c r="AV114" s="40" t="s">
        <v>48</v>
      </c>
      <c r="AW114" s="40" t="s">
        <v>48</v>
      </c>
      <c r="AX114" s="40" t="s">
        <v>48</v>
      </c>
      <c r="AY114" s="40" t="s">
        <v>48</v>
      </c>
      <c r="AZ114" s="40" t="s">
        <v>48</v>
      </c>
      <c r="BA114" s="40" t="s">
        <v>48</v>
      </c>
      <c r="BB114" s="40" t="s">
        <v>48</v>
      </c>
      <c r="BC114" s="40" t="s">
        <v>48</v>
      </c>
      <c r="BD114" s="40" t="s">
        <v>48</v>
      </c>
      <c r="BE114" s="40" t="s">
        <v>48</v>
      </c>
      <c r="BF114" s="40" t="s">
        <v>48</v>
      </c>
      <c r="BG114" s="40" t="s">
        <v>48</v>
      </c>
      <c r="BH114" s="40" t="s">
        <v>48</v>
      </c>
      <c r="BJ114" s="33"/>
      <c r="BK114" s="38" t="str">
        <f>Notes!U115</f>
        <v xml:space="preserve">               Finance and insurance</v>
      </c>
      <c r="BL114" s="4" t="s">
        <v>743</v>
      </c>
      <c r="BM114" s="44" t="s">
        <v>48</v>
      </c>
      <c r="BN114" s="42" t="s">
        <v>48</v>
      </c>
      <c r="BO114" s="40" t="s">
        <v>48</v>
      </c>
      <c r="BP114" s="40" t="s">
        <v>48</v>
      </c>
      <c r="BQ114" s="40" t="s">
        <v>48</v>
      </c>
      <c r="BR114" s="40" t="s">
        <v>48</v>
      </c>
      <c r="BS114" s="40" t="s">
        <v>48</v>
      </c>
      <c r="BT114" s="40" t="s">
        <v>48</v>
      </c>
      <c r="BU114" s="40" t="s">
        <v>48</v>
      </c>
      <c r="BV114" s="40" t="s">
        <v>48</v>
      </c>
      <c r="BW114" s="40" t="s">
        <v>48</v>
      </c>
      <c r="BX114" s="40" t="s">
        <v>48</v>
      </c>
      <c r="BY114" s="40" t="s">
        <v>48</v>
      </c>
      <c r="BZ114" s="40" t="s">
        <v>48</v>
      </c>
      <c r="CA114" s="40" t="s">
        <v>48</v>
      </c>
      <c r="CB114" s="40" t="s">
        <v>48</v>
      </c>
      <c r="CD114" s="33"/>
      <c r="CE114" s="38" t="str">
        <f>Notes!U115</f>
        <v xml:space="preserve">               Finance and insurance</v>
      </c>
      <c r="CF114" s="4" t="s">
        <v>743</v>
      </c>
      <c r="CG114" s="44" t="s">
        <v>48</v>
      </c>
      <c r="CH114" s="42" t="s">
        <v>48</v>
      </c>
      <c r="CI114" s="40" t="s">
        <v>48</v>
      </c>
      <c r="CJ114" s="40" t="s">
        <v>48</v>
      </c>
      <c r="CK114" s="40" t="s">
        <v>48</v>
      </c>
      <c r="CL114" s="40" t="s">
        <v>48</v>
      </c>
      <c r="CM114" s="40" t="s">
        <v>48</v>
      </c>
      <c r="CN114" s="40" t="s">
        <v>48</v>
      </c>
      <c r="CO114" s="40" t="s">
        <v>48</v>
      </c>
      <c r="CP114" s="40" t="s">
        <v>48</v>
      </c>
      <c r="CQ114" s="40" t="s">
        <v>48</v>
      </c>
      <c r="CR114" s="40" t="s">
        <v>48</v>
      </c>
      <c r="CS114" s="40" t="s">
        <v>48</v>
      </c>
      <c r="CT114" s="40" t="s">
        <v>48</v>
      </c>
      <c r="CU114" s="40" t="s">
        <v>48</v>
      </c>
      <c r="CV114" s="40" t="s">
        <v>48</v>
      </c>
      <c r="CX114" s="33"/>
      <c r="CY114" s="38" t="str">
        <f>Notes!U115</f>
        <v xml:space="preserve">               Finance and insurance</v>
      </c>
      <c r="CZ114" s="4" t="s">
        <v>743</v>
      </c>
      <c r="DA114" s="44" t="s">
        <v>48</v>
      </c>
      <c r="DB114" s="42" t="s">
        <v>48</v>
      </c>
      <c r="DC114" s="40" t="s">
        <v>48</v>
      </c>
      <c r="DD114" s="40" t="s">
        <v>48</v>
      </c>
      <c r="DE114" s="40" t="s">
        <v>48</v>
      </c>
      <c r="DF114" s="40" t="s">
        <v>48</v>
      </c>
      <c r="DG114" s="40" t="s">
        <v>48</v>
      </c>
      <c r="DH114" s="40" t="s">
        <v>48</v>
      </c>
      <c r="DI114" s="40" t="s">
        <v>48</v>
      </c>
      <c r="DJ114" s="40" t="s">
        <v>48</v>
      </c>
      <c r="DK114" s="40" t="s">
        <v>48</v>
      </c>
      <c r="DL114" s="40" t="s">
        <v>48</v>
      </c>
      <c r="DM114" s="40" t="s">
        <v>48</v>
      </c>
      <c r="DN114" s="40" t="s">
        <v>48</v>
      </c>
      <c r="DO114" s="40" t="s">
        <v>48</v>
      </c>
      <c r="DP114" s="40" t="s">
        <v>48</v>
      </c>
    </row>
    <row r="115" spans="1:120" x14ac:dyDescent="0.35">
      <c r="A115" s="12">
        <v>108</v>
      </c>
      <c r="B115" s="33"/>
      <c r="C115" s="38" t="str">
        <f>Notes!U116</f>
        <v xml:space="preserve">               Real estate activities</v>
      </c>
      <c r="D115" s="4" t="s">
        <v>744</v>
      </c>
      <c r="E115" s="44">
        <v>5.7934143722837073</v>
      </c>
      <c r="F115" s="42" t="s">
        <v>48</v>
      </c>
      <c r="G115" s="40" t="s">
        <v>48</v>
      </c>
      <c r="H115" s="40" t="s">
        <v>48</v>
      </c>
      <c r="I115" s="40" t="s">
        <v>48</v>
      </c>
      <c r="J115" s="40" t="s">
        <v>48</v>
      </c>
      <c r="K115" s="40" t="s">
        <v>48</v>
      </c>
      <c r="L115" s="40" t="s">
        <v>48</v>
      </c>
      <c r="M115" s="40" t="s">
        <v>48</v>
      </c>
      <c r="N115" s="40" t="s">
        <v>48</v>
      </c>
      <c r="O115" s="40" t="s">
        <v>48</v>
      </c>
      <c r="P115" s="40" t="s">
        <v>48</v>
      </c>
      <c r="Q115" s="40" t="s">
        <v>48</v>
      </c>
      <c r="R115" s="40" t="s">
        <v>48</v>
      </c>
      <c r="S115" s="40" t="s">
        <v>48</v>
      </c>
      <c r="T115" s="40" t="s">
        <v>48</v>
      </c>
      <c r="V115" s="33"/>
      <c r="W115" s="38" t="str">
        <f>Notes!U116</f>
        <v xml:space="preserve">               Real estate activities</v>
      </c>
      <c r="X115" s="4" t="s">
        <v>744</v>
      </c>
      <c r="Y115" s="44">
        <v>4.5688110415054393</v>
      </c>
      <c r="Z115" s="42" t="s">
        <v>48</v>
      </c>
      <c r="AA115" s="40" t="s">
        <v>48</v>
      </c>
      <c r="AB115" s="40" t="s">
        <v>48</v>
      </c>
      <c r="AC115" s="40" t="s">
        <v>48</v>
      </c>
      <c r="AD115" s="40" t="s">
        <v>48</v>
      </c>
      <c r="AE115" s="40" t="s">
        <v>48</v>
      </c>
      <c r="AF115" s="40" t="s">
        <v>48</v>
      </c>
      <c r="AG115" s="40" t="s">
        <v>48</v>
      </c>
      <c r="AH115" s="40" t="s">
        <v>48</v>
      </c>
      <c r="AI115" s="40" t="s">
        <v>48</v>
      </c>
      <c r="AJ115" s="40" t="s">
        <v>48</v>
      </c>
      <c r="AK115" s="40" t="s">
        <v>48</v>
      </c>
      <c r="AL115" s="40" t="s">
        <v>48</v>
      </c>
      <c r="AM115" s="40" t="s">
        <v>48</v>
      </c>
      <c r="AN115" s="40" t="s">
        <v>48</v>
      </c>
      <c r="AP115" s="33"/>
      <c r="AQ115" s="38" t="str">
        <f>Notes!U116</f>
        <v xml:space="preserve">               Real estate activities</v>
      </c>
      <c r="AR115" s="4" t="s">
        <v>744</v>
      </c>
      <c r="AS115" s="44" t="s">
        <v>48</v>
      </c>
      <c r="AT115" s="42" t="s">
        <v>48</v>
      </c>
      <c r="AU115" s="40" t="s">
        <v>48</v>
      </c>
      <c r="AV115" s="40" t="s">
        <v>48</v>
      </c>
      <c r="AW115" s="40" t="s">
        <v>48</v>
      </c>
      <c r="AX115" s="40" t="s">
        <v>48</v>
      </c>
      <c r="AY115" s="40" t="s">
        <v>48</v>
      </c>
      <c r="AZ115" s="40" t="s">
        <v>48</v>
      </c>
      <c r="BA115" s="40" t="s">
        <v>48</v>
      </c>
      <c r="BB115" s="40" t="s">
        <v>48</v>
      </c>
      <c r="BC115" s="40" t="s">
        <v>48</v>
      </c>
      <c r="BD115" s="40" t="s">
        <v>48</v>
      </c>
      <c r="BE115" s="40" t="s">
        <v>48</v>
      </c>
      <c r="BF115" s="40" t="s">
        <v>48</v>
      </c>
      <c r="BG115" s="40" t="s">
        <v>48</v>
      </c>
      <c r="BH115" s="40" t="s">
        <v>48</v>
      </c>
      <c r="BJ115" s="33"/>
      <c r="BK115" s="38" t="str">
        <f>Notes!U116</f>
        <v xml:space="preserve">               Real estate activities</v>
      </c>
      <c r="BL115" s="4" t="s">
        <v>744</v>
      </c>
      <c r="BM115" s="44">
        <v>-0.45632992207650336</v>
      </c>
      <c r="BN115" s="42" t="s">
        <v>48</v>
      </c>
      <c r="BO115" s="40" t="s">
        <v>48</v>
      </c>
      <c r="BP115" s="40" t="s">
        <v>48</v>
      </c>
      <c r="BQ115" s="40" t="s">
        <v>48</v>
      </c>
      <c r="BR115" s="40" t="s">
        <v>48</v>
      </c>
      <c r="BS115" s="40" t="s">
        <v>48</v>
      </c>
      <c r="BT115" s="40" t="s">
        <v>48</v>
      </c>
      <c r="BU115" s="40" t="s">
        <v>48</v>
      </c>
      <c r="BV115" s="40" t="s">
        <v>48</v>
      </c>
      <c r="BW115" s="40" t="s">
        <v>48</v>
      </c>
      <c r="BX115" s="40" t="s">
        <v>48</v>
      </c>
      <c r="BY115" s="40" t="s">
        <v>48</v>
      </c>
      <c r="BZ115" s="40" t="s">
        <v>48</v>
      </c>
      <c r="CA115" s="40" t="s">
        <v>48</v>
      </c>
      <c r="CB115" s="40" t="s">
        <v>48</v>
      </c>
      <c r="CD115" s="33"/>
      <c r="CE115" s="38" t="str">
        <f>Notes!U116</f>
        <v xml:space="preserve">               Real estate activities</v>
      </c>
      <c r="CF115" s="4" t="s">
        <v>744</v>
      </c>
      <c r="CG115" s="44" t="s">
        <v>48</v>
      </c>
      <c r="CH115" s="42" t="s">
        <v>48</v>
      </c>
      <c r="CI115" s="40" t="s">
        <v>48</v>
      </c>
      <c r="CJ115" s="40" t="s">
        <v>48</v>
      </c>
      <c r="CK115" s="40" t="s">
        <v>48</v>
      </c>
      <c r="CL115" s="40" t="s">
        <v>48</v>
      </c>
      <c r="CM115" s="40" t="s">
        <v>48</v>
      </c>
      <c r="CN115" s="40" t="s">
        <v>48</v>
      </c>
      <c r="CO115" s="40" t="s">
        <v>48</v>
      </c>
      <c r="CP115" s="40" t="s">
        <v>48</v>
      </c>
      <c r="CQ115" s="40" t="s">
        <v>48</v>
      </c>
      <c r="CR115" s="40" t="s">
        <v>48</v>
      </c>
      <c r="CS115" s="40" t="s">
        <v>48</v>
      </c>
      <c r="CT115" s="40" t="s">
        <v>48</v>
      </c>
      <c r="CU115" s="40" t="s">
        <v>48</v>
      </c>
      <c r="CV115" s="40" t="s">
        <v>48</v>
      </c>
      <c r="CX115" s="33"/>
      <c r="CY115" s="38" t="str">
        <f>Notes!U116</f>
        <v xml:space="preserve">               Real estate activities</v>
      </c>
      <c r="CZ115" s="4" t="s">
        <v>744</v>
      </c>
      <c r="DA115" s="44">
        <v>-0.58861840681858524</v>
      </c>
      <c r="DB115" s="42" t="s">
        <v>48</v>
      </c>
      <c r="DC115" s="40" t="s">
        <v>48</v>
      </c>
      <c r="DD115" s="40" t="s">
        <v>48</v>
      </c>
      <c r="DE115" s="40" t="s">
        <v>48</v>
      </c>
      <c r="DF115" s="40" t="s">
        <v>48</v>
      </c>
      <c r="DG115" s="40" t="s">
        <v>48</v>
      </c>
      <c r="DH115" s="40" t="s">
        <v>48</v>
      </c>
      <c r="DI115" s="40" t="s">
        <v>48</v>
      </c>
      <c r="DJ115" s="40" t="s">
        <v>48</v>
      </c>
      <c r="DK115" s="40" t="s">
        <v>48</v>
      </c>
      <c r="DL115" s="40" t="s">
        <v>48</v>
      </c>
      <c r="DM115" s="40" t="s">
        <v>48</v>
      </c>
      <c r="DN115" s="40" t="s">
        <v>48</v>
      </c>
      <c r="DO115" s="40" t="s">
        <v>48</v>
      </c>
      <c r="DP115" s="40" t="s">
        <v>48</v>
      </c>
    </row>
    <row r="116" spans="1:120" x14ac:dyDescent="0.35">
      <c r="A116" s="12">
        <v>109</v>
      </c>
      <c r="B116" s="33"/>
      <c r="C116" s="38" t="str">
        <f>Notes!U117</f>
        <v xml:space="preserve">               Business services</v>
      </c>
      <c r="D116" s="4" t="s">
        <v>745</v>
      </c>
      <c r="E116" s="44">
        <v>0.92756978505772214</v>
      </c>
      <c r="F116" s="42" t="s">
        <v>48</v>
      </c>
      <c r="G116" s="40" t="s">
        <v>48</v>
      </c>
      <c r="H116" s="40" t="s">
        <v>48</v>
      </c>
      <c r="I116" s="40" t="s">
        <v>48</v>
      </c>
      <c r="J116" s="40" t="s">
        <v>48</v>
      </c>
      <c r="K116" s="40" t="s">
        <v>48</v>
      </c>
      <c r="L116" s="40" t="s">
        <v>48</v>
      </c>
      <c r="M116" s="40" t="s">
        <v>48</v>
      </c>
      <c r="N116" s="40" t="s">
        <v>48</v>
      </c>
      <c r="O116" s="40" t="s">
        <v>48</v>
      </c>
      <c r="P116" s="40" t="s">
        <v>48</v>
      </c>
      <c r="Q116" s="40" t="s">
        <v>48</v>
      </c>
      <c r="R116" s="40" t="s">
        <v>48</v>
      </c>
      <c r="S116" s="40" t="s">
        <v>48</v>
      </c>
      <c r="T116" s="40" t="s">
        <v>48</v>
      </c>
      <c r="V116" s="33"/>
      <c r="W116" s="38" t="str">
        <f>Notes!U117</f>
        <v xml:space="preserve">               Business services</v>
      </c>
      <c r="X116" s="4" t="s">
        <v>745</v>
      </c>
      <c r="Y116" s="44">
        <v>0.72658174214898408</v>
      </c>
      <c r="Z116" s="42" t="s">
        <v>48</v>
      </c>
      <c r="AA116" s="40" t="s">
        <v>48</v>
      </c>
      <c r="AB116" s="40" t="s">
        <v>48</v>
      </c>
      <c r="AC116" s="40" t="s">
        <v>48</v>
      </c>
      <c r="AD116" s="40" t="s">
        <v>48</v>
      </c>
      <c r="AE116" s="40" t="s">
        <v>48</v>
      </c>
      <c r="AF116" s="40" t="s">
        <v>48</v>
      </c>
      <c r="AG116" s="40" t="s">
        <v>48</v>
      </c>
      <c r="AH116" s="40" t="s">
        <v>48</v>
      </c>
      <c r="AI116" s="40" t="s">
        <v>48</v>
      </c>
      <c r="AJ116" s="40" t="s">
        <v>48</v>
      </c>
      <c r="AK116" s="40" t="s">
        <v>48</v>
      </c>
      <c r="AL116" s="40" t="s">
        <v>48</v>
      </c>
      <c r="AM116" s="40" t="s">
        <v>48</v>
      </c>
      <c r="AN116" s="40" t="s">
        <v>48</v>
      </c>
      <c r="AP116" s="33"/>
      <c r="AQ116" s="38" t="str">
        <f>Notes!U117</f>
        <v xml:space="preserve">               Business services</v>
      </c>
      <c r="AR116" s="4" t="s">
        <v>745</v>
      </c>
      <c r="AS116" s="44" t="s">
        <v>48</v>
      </c>
      <c r="AT116" s="42" t="s">
        <v>48</v>
      </c>
      <c r="AU116" s="40" t="s">
        <v>48</v>
      </c>
      <c r="AV116" s="40" t="s">
        <v>48</v>
      </c>
      <c r="AW116" s="40" t="s">
        <v>48</v>
      </c>
      <c r="AX116" s="40" t="s">
        <v>48</v>
      </c>
      <c r="AY116" s="40" t="s">
        <v>48</v>
      </c>
      <c r="AZ116" s="40" t="s">
        <v>48</v>
      </c>
      <c r="BA116" s="40" t="s">
        <v>48</v>
      </c>
      <c r="BB116" s="40" t="s">
        <v>48</v>
      </c>
      <c r="BC116" s="40" t="s">
        <v>48</v>
      </c>
      <c r="BD116" s="40" t="s">
        <v>48</v>
      </c>
      <c r="BE116" s="40" t="s">
        <v>48</v>
      </c>
      <c r="BF116" s="40" t="s">
        <v>48</v>
      </c>
      <c r="BG116" s="40" t="s">
        <v>48</v>
      </c>
      <c r="BH116" s="40" t="s">
        <v>48</v>
      </c>
      <c r="BJ116" s="33"/>
      <c r="BK116" s="38" t="str">
        <f>Notes!U117</f>
        <v xml:space="preserve">               Business services</v>
      </c>
      <c r="BL116" s="4" t="s">
        <v>745</v>
      </c>
      <c r="BM116" s="44" t="s">
        <v>48</v>
      </c>
      <c r="BN116" s="42" t="s">
        <v>48</v>
      </c>
      <c r="BO116" s="40" t="s">
        <v>48</v>
      </c>
      <c r="BP116" s="40" t="s">
        <v>48</v>
      </c>
      <c r="BQ116" s="40" t="s">
        <v>48</v>
      </c>
      <c r="BR116" s="40" t="s">
        <v>48</v>
      </c>
      <c r="BS116" s="40" t="s">
        <v>48</v>
      </c>
      <c r="BT116" s="40" t="s">
        <v>48</v>
      </c>
      <c r="BU116" s="40" t="s">
        <v>48</v>
      </c>
      <c r="BV116" s="40" t="s">
        <v>48</v>
      </c>
      <c r="BW116" s="40" t="s">
        <v>48</v>
      </c>
      <c r="BX116" s="40" t="s">
        <v>48</v>
      </c>
      <c r="BY116" s="40" t="s">
        <v>48</v>
      </c>
      <c r="BZ116" s="40" t="s">
        <v>48</v>
      </c>
      <c r="CA116" s="40" t="s">
        <v>48</v>
      </c>
      <c r="CB116" s="40" t="s">
        <v>48</v>
      </c>
      <c r="CD116" s="33"/>
      <c r="CE116" s="38" t="str">
        <f>Notes!U117</f>
        <v xml:space="preserve">               Business services</v>
      </c>
      <c r="CF116" s="4" t="s">
        <v>745</v>
      </c>
      <c r="CG116" s="44" t="s">
        <v>48</v>
      </c>
      <c r="CH116" s="42" t="s">
        <v>48</v>
      </c>
      <c r="CI116" s="40" t="s">
        <v>48</v>
      </c>
      <c r="CJ116" s="40" t="s">
        <v>48</v>
      </c>
      <c r="CK116" s="40" t="s">
        <v>48</v>
      </c>
      <c r="CL116" s="40" t="s">
        <v>48</v>
      </c>
      <c r="CM116" s="40" t="s">
        <v>48</v>
      </c>
      <c r="CN116" s="40" t="s">
        <v>48</v>
      </c>
      <c r="CO116" s="40" t="s">
        <v>48</v>
      </c>
      <c r="CP116" s="40" t="s">
        <v>48</v>
      </c>
      <c r="CQ116" s="40" t="s">
        <v>48</v>
      </c>
      <c r="CR116" s="40" t="s">
        <v>48</v>
      </c>
      <c r="CS116" s="40" t="s">
        <v>48</v>
      </c>
      <c r="CT116" s="40" t="s">
        <v>48</v>
      </c>
      <c r="CU116" s="40" t="s">
        <v>48</v>
      </c>
      <c r="CV116" s="40" t="s">
        <v>48</v>
      </c>
      <c r="CX116" s="33"/>
      <c r="CY116" s="38" t="str">
        <f>Notes!U117</f>
        <v xml:space="preserve">               Business services</v>
      </c>
      <c r="CZ116" s="4" t="s">
        <v>745</v>
      </c>
      <c r="DA116" s="44" t="s">
        <v>48</v>
      </c>
      <c r="DB116" s="42" t="s">
        <v>48</v>
      </c>
      <c r="DC116" s="40" t="s">
        <v>48</v>
      </c>
      <c r="DD116" s="40" t="s">
        <v>48</v>
      </c>
      <c r="DE116" s="40" t="s">
        <v>48</v>
      </c>
      <c r="DF116" s="40" t="s">
        <v>48</v>
      </c>
      <c r="DG116" s="40" t="s">
        <v>48</v>
      </c>
      <c r="DH116" s="40" t="s">
        <v>48</v>
      </c>
      <c r="DI116" s="40" t="s">
        <v>48</v>
      </c>
      <c r="DJ116" s="40" t="s">
        <v>48</v>
      </c>
      <c r="DK116" s="40" t="s">
        <v>48</v>
      </c>
      <c r="DL116" s="40" t="s">
        <v>48</v>
      </c>
      <c r="DM116" s="40" t="s">
        <v>48</v>
      </c>
      <c r="DN116" s="40" t="s">
        <v>48</v>
      </c>
      <c r="DO116" s="40" t="s">
        <v>48</v>
      </c>
      <c r="DP116" s="40" t="s">
        <v>48</v>
      </c>
    </row>
    <row r="117" spans="1:120" x14ac:dyDescent="0.35">
      <c r="A117" s="12">
        <v>110</v>
      </c>
      <c r="B117" s="33"/>
      <c r="C117" s="38" t="str">
        <f>Notes!U118</f>
        <v xml:space="preserve">               Public and social services</v>
      </c>
      <c r="D117" s="4" t="s">
        <v>388</v>
      </c>
      <c r="E117" s="44">
        <v>0.14310355020283125</v>
      </c>
      <c r="F117" s="42" t="s">
        <v>48</v>
      </c>
      <c r="G117" s="40" t="s">
        <v>48</v>
      </c>
      <c r="H117" s="40" t="s">
        <v>48</v>
      </c>
      <c r="I117" s="40" t="s">
        <v>48</v>
      </c>
      <c r="J117" s="40" t="s">
        <v>48</v>
      </c>
      <c r="K117" s="40" t="s">
        <v>48</v>
      </c>
      <c r="L117" s="40" t="s">
        <v>48</v>
      </c>
      <c r="M117" s="40" t="s">
        <v>48</v>
      </c>
      <c r="N117" s="40" t="s">
        <v>48</v>
      </c>
      <c r="O117" s="40" t="s">
        <v>48</v>
      </c>
      <c r="P117" s="40" t="s">
        <v>48</v>
      </c>
      <c r="Q117" s="40" t="s">
        <v>48</v>
      </c>
      <c r="R117" s="40" t="s">
        <v>48</v>
      </c>
      <c r="S117" s="40" t="s">
        <v>48</v>
      </c>
      <c r="T117" s="40" t="s">
        <v>48</v>
      </c>
      <c r="V117" s="33"/>
      <c r="W117" s="38" t="str">
        <f>Notes!U118</f>
        <v xml:space="preserve">               Public and social services</v>
      </c>
      <c r="X117" s="4" t="s">
        <v>388</v>
      </c>
      <c r="Y117" s="44">
        <v>0.11325287568695368</v>
      </c>
      <c r="Z117" s="42" t="s">
        <v>48</v>
      </c>
      <c r="AA117" s="40" t="s">
        <v>48</v>
      </c>
      <c r="AB117" s="40" t="s">
        <v>48</v>
      </c>
      <c r="AC117" s="40" t="s">
        <v>48</v>
      </c>
      <c r="AD117" s="40" t="s">
        <v>48</v>
      </c>
      <c r="AE117" s="40" t="s">
        <v>48</v>
      </c>
      <c r="AF117" s="40" t="s">
        <v>48</v>
      </c>
      <c r="AG117" s="40" t="s">
        <v>48</v>
      </c>
      <c r="AH117" s="40" t="s">
        <v>48</v>
      </c>
      <c r="AI117" s="40" t="s">
        <v>48</v>
      </c>
      <c r="AJ117" s="40" t="s">
        <v>48</v>
      </c>
      <c r="AK117" s="40" t="s">
        <v>48</v>
      </c>
      <c r="AL117" s="40" t="s">
        <v>48</v>
      </c>
      <c r="AM117" s="40" t="s">
        <v>48</v>
      </c>
      <c r="AN117" s="40" t="s">
        <v>48</v>
      </c>
      <c r="AP117" s="33"/>
      <c r="AQ117" s="38" t="str">
        <f>Notes!U118</f>
        <v xml:space="preserve">               Public and social services</v>
      </c>
      <c r="AR117" s="4" t="s">
        <v>388</v>
      </c>
      <c r="AS117" s="44" t="s">
        <v>48</v>
      </c>
      <c r="AT117" s="42" t="s">
        <v>48</v>
      </c>
      <c r="AU117" s="40" t="s">
        <v>48</v>
      </c>
      <c r="AV117" s="40" t="s">
        <v>48</v>
      </c>
      <c r="AW117" s="40" t="s">
        <v>48</v>
      </c>
      <c r="AX117" s="40" t="s">
        <v>48</v>
      </c>
      <c r="AY117" s="40" t="s">
        <v>48</v>
      </c>
      <c r="AZ117" s="40" t="s">
        <v>48</v>
      </c>
      <c r="BA117" s="40" t="s">
        <v>48</v>
      </c>
      <c r="BB117" s="40" t="s">
        <v>48</v>
      </c>
      <c r="BC117" s="40" t="s">
        <v>48</v>
      </c>
      <c r="BD117" s="40" t="s">
        <v>48</v>
      </c>
      <c r="BE117" s="40" t="s">
        <v>48</v>
      </c>
      <c r="BF117" s="40" t="s">
        <v>48</v>
      </c>
      <c r="BG117" s="40" t="s">
        <v>48</v>
      </c>
      <c r="BH117" s="40" t="s">
        <v>48</v>
      </c>
      <c r="BJ117" s="33"/>
      <c r="BK117" s="38" t="str">
        <f>Notes!U118</f>
        <v xml:space="preserve">               Public and social services</v>
      </c>
      <c r="BL117" s="4" t="s">
        <v>388</v>
      </c>
      <c r="BM117" s="44" t="s">
        <v>48</v>
      </c>
      <c r="BN117" s="42" t="s">
        <v>48</v>
      </c>
      <c r="BO117" s="40" t="s">
        <v>48</v>
      </c>
      <c r="BP117" s="40" t="s">
        <v>48</v>
      </c>
      <c r="BQ117" s="40" t="s">
        <v>48</v>
      </c>
      <c r="BR117" s="40" t="s">
        <v>48</v>
      </c>
      <c r="BS117" s="40" t="s">
        <v>48</v>
      </c>
      <c r="BT117" s="40" t="s">
        <v>48</v>
      </c>
      <c r="BU117" s="40" t="s">
        <v>48</v>
      </c>
      <c r="BV117" s="40" t="s">
        <v>48</v>
      </c>
      <c r="BW117" s="40" t="s">
        <v>48</v>
      </c>
      <c r="BX117" s="40" t="s">
        <v>48</v>
      </c>
      <c r="BY117" s="40" t="s">
        <v>48</v>
      </c>
      <c r="BZ117" s="40" t="s">
        <v>48</v>
      </c>
      <c r="CA117" s="40" t="s">
        <v>48</v>
      </c>
      <c r="CB117" s="40" t="s">
        <v>48</v>
      </c>
      <c r="CD117" s="33"/>
      <c r="CE117" s="38" t="str">
        <f>Notes!U118</f>
        <v xml:space="preserve">               Public and social services</v>
      </c>
      <c r="CF117" s="4" t="s">
        <v>388</v>
      </c>
      <c r="CG117" s="44" t="s">
        <v>48</v>
      </c>
      <c r="CH117" s="42" t="s">
        <v>48</v>
      </c>
      <c r="CI117" s="40" t="s">
        <v>48</v>
      </c>
      <c r="CJ117" s="40" t="s">
        <v>48</v>
      </c>
      <c r="CK117" s="40" t="s">
        <v>48</v>
      </c>
      <c r="CL117" s="40" t="s">
        <v>48</v>
      </c>
      <c r="CM117" s="40" t="s">
        <v>48</v>
      </c>
      <c r="CN117" s="40" t="s">
        <v>48</v>
      </c>
      <c r="CO117" s="40" t="s">
        <v>48</v>
      </c>
      <c r="CP117" s="40" t="s">
        <v>48</v>
      </c>
      <c r="CQ117" s="40" t="s">
        <v>48</v>
      </c>
      <c r="CR117" s="40" t="s">
        <v>48</v>
      </c>
      <c r="CS117" s="40" t="s">
        <v>48</v>
      </c>
      <c r="CT117" s="40" t="s">
        <v>48</v>
      </c>
      <c r="CU117" s="40" t="s">
        <v>48</v>
      </c>
      <c r="CV117" s="40" t="s">
        <v>48</v>
      </c>
      <c r="CX117" s="33"/>
      <c r="CY117" s="38" t="str">
        <f>Notes!U118</f>
        <v xml:space="preserve">               Public and social services</v>
      </c>
      <c r="CZ117" s="4" t="s">
        <v>388</v>
      </c>
      <c r="DA117" s="44" t="s">
        <v>48</v>
      </c>
      <c r="DB117" s="42" t="s">
        <v>48</v>
      </c>
      <c r="DC117" s="40" t="s">
        <v>48</v>
      </c>
      <c r="DD117" s="40" t="s">
        <v>48</v>
      </c>
      <c r="DE117" s="40" t="s">
        <v>48</v>
      </c>
      <c r="DF117" s="40" t="s">
        <v>48</v>
      </c>
      <c r="DG117" s="40" t="s">
        <v>48</v>
      </c>
      <c r="DH117" s="40" t="s">
        <v>48</v>
      </c>
      <c r="DI117" s="40" t="s">
        <v>48</v>
      </c>
      <c r="DJ117" s="40" t="s">
        <v>48</v>
      </c>
      <c r="DK117" s="40" t="s">
        <v>48</v>
      </c>
      <c r="DL117" s="40" t="s">
        <v>48</v>
      </c>
      <c r="DM117" s="40" t="s">
        <v>48</v>
      </c>
      <c r="DN117" s="40" t="s">
        <v>48</v>
      </c>
      <c r="DO117" s="40" t="s">
        <v>48</v>
      </c>
      <c r="DP117" s="40" t="s">
        <v>48</v>
      </c>
    </row>
    <row r="118" spans="1:120" x14ac:dyDescent="0.35">
      <c r="A118" s="12">
        <v>111</v>
      </c>
      <c r="B118" s="33"/>
      <c r="C118" s="38" t="str">
        <f>Notes!U119</f>
        <v xml:space="preserve">               Public administration</v>
      </c>
      <c r="D118" s="4" t="s">
        <v>746</v>
      </c>
      <c r="E118" s="44">
        <v>0.84401193776974581</v>
      </c>
      <c r="F118" s="42" t="s">
        <v>48</v>
      </c>
      <c r="G118" s="40" t="s">
        <v>48</v>
      </c>
      <c r="H118" s="40" t="s">
        <v>48</v>
      </c>
      <c r="I118" s="40" t="s">
        <v>48</v>
      </c>
      <c r="J118" s="40" t="s">
        <v>48</v>
      </c>
      <c r="K118" s="40" t="s">
        <v>48</v>
      </c>
      <c r="L118" s="40" t="s">
        <v>48</v>
      </c>
      <c r="M118" s="40" t="s">
        <v>48</v>
      </c>
      <c r="N118" s="40" t="s">
        <v>48</v>
      </c>
      <c r="O118" s="40" t="s">
        <v>48</v>
      </c>
      <c r="P118" s="40" t="s">
        <v>48</v>
      </c>
      <c r="Q118" s="40" t="s">
        <v>48</v>
      </c>
      <c r="R118" s="40" t="s">
        <v>48</v>
      </c>
      <c r="S118" s="40" t="s">
        <v>48</v>
      </c>
      <c r="T118" s="40" t="s">
        <v>48</v>
      </c>
      <c r="V118" s="33"/>
      <c r="W118" s="38" t="str">
        <f>Notes!U119</f>
        <v xml:space="preserve">               Public administration</v>
      </c>
      <c r="X118" s="4" t="s">
        <v>746</v>
      </c>
      <c r="Y118" s="44">
        <v>0.68955083854846766</v>
      </c>
      <c r="Z118" s="42" t="s">
        <v>48</v>
      </c>
      <c r="AA118" s="40" t="s">
        <v>48</v>
      </c>
      <c r="AB118" s="40" t="s">
        <v>48</v>
      </c>
      <c r="AC118" s="40" t="s">
        <v>48</v>
      </c>
      <c r="AD118" s="40" t="s">
        <v>48</v>
      </c>
      <c r="AE118" s="40" t="s">
        <v>48</v>
      </c>
      <c r="AF118" s="40" t="s">
        <v>48</v>
      </c>
      <c r="AG118" s="40" t="s">
        <v>48</v>
      </c>
      <c r="AH118" s="40" t="s">
        <v>48</v>
      </c>
      <c r="AI118" s="40" t="s">
        <v>48</v>
      </c>
      <c r="AJ118" s="40" t="s">
        <v>48</v>
      </c>
      <c r="AK118" s="40" t="s">
        <v>48</v>
      </c>
      <c r="AL118" s="40" t="s">
        <v>48</v>
      </c>
      <c r="AM118" s="40" t="s">
        <v>48</v>
      </c>
      <c r="AN118" s="40" t="s">
        <v>48</v>
      </c>
      <c r="AP118" s="33"/>
      <c r="AQ118" s="38" t="str">
        <f>Notes!U119</f>
        <v xml:space="preserve">               Public administration</v>
      </c>
      <c r="AR118" s="4" t="s">
        <v>746</v>
      </c>
      <c r="AS118" s="44" t="s">
        <v>48</v>
      </c>
      <c r="AT118" s="42" t="s">
        <v>48</v>
      </c>
      <c r="AU118" s="40" t="s">
        <v>48</v>
      </c>
      <c r="AV118" s="40" t="s">
        <v>48</v>
      </c>
      <c r="AW118" s="40" t="s">
        <v>48</v>
      </c>
      <c r="AX118" s="40" t="s">
        <v>48</v>
      </c>
      <c r="AY118" s="40" t="s">
        <v>48</v>
      </c>
      <c r="AZ118" s="40" t="s">
        <v>48</v>
      </c>
      <c r="BA118" s="40" t="s">
        <v>48</v>
      </c>
      <c r="BB118" s="40" t="s">
        <v>48</v>
      </c>
      <c r="BC118" s="40" t="s">
        <v>48</v>
      </c>
      <c r="BD118" s="40" t="s">
        <v>48</v>
      </c>
      <c r="BE118" s="40" t="s">
        <v>48</v>
      </c>
      <c r="BF118" s="40" t="s">
        <v>48</v>
      </c>
      <c r="BG118" s="40" t="s">
        <v>48</v>
      </c>
      <c r="BH118" s="40" t="s">
        <v>48</v>
      </c>
      <c r="BJ118" s="33"/>
      <c r="BK118" s="38" t="str">
        <f>Notes!U119</f>
        <v xml:space="preserve">               Public administration</v>
      </c>
      <c r="BL118" s="4" t="s">
        <v>746</v>
      </c>
      <c r="BM118" s="44" t="s">
        <v>48</v>
      </c>
      <c r="BN118" s="42" t="s">
        <v>48</v>
      </c>
      <c r="BO118" s="40" t="s">
        <v>48</v>
      </c>
      <c r="BP118" s="40" t="s">
        <v>48</v>
      </c>
      <c r="BQ118" s="40" t="s">
        <v>48</v>
      </c>
      <c r="BR118" s="40" t="s">
        <v>48</v>
      </c>
      <c r="BS118" s="40" t="s">
        <v>48</v>
      </c>
      <c r="BT118" s="40" t="s">
        <v>48</v>
      </c>
      <c r="BU118" s="40" t="s">
        <v>48</v>
      </c>
      <c r="BV118" s="40" t="s">
        <v>48</v>
      </c>
      <c r="BW118" s="40" t="s">
        <v>48</v>
      </c>
      <c r="BX118" s="40" t="s">
        <v>48</v>
      </c>
      <c r="BY118" s="40" t="s">
        <v>48</v>
      </c>
      <c r="BZ118" s="40" t="s">
        <v>48</v>
      </c>
      <c r="CA118" s="40" t="s">
        <v>48</v>
      </c>
      <c r="CB118" s="40" t="s">
        <v>48</v>
      </c>
      <c r="CD118" s="33"/>
      <c r="CE118" s="38" t="str">
        <f>Notes!U119</f>
        <v xml:space="preserve">               Public administration</v>
      </c>
      <c r="CF118" s="4" t="s">
        <v>746</v>
      </c>
      <c r="CG118" s="44" t="s">
        <v>48</v>
      </c>
      <c r="CH118" s="42" t="s">
        <v>48</v>
      </c>
      <c r="CI118" s="40" t="s">
        <v>48</v>
      </c>
      <c r="CJ118" s="40" t="s">
        <v>48</v>
      </c>
      <c r="CK118" s="40" t="s">
        <v>48</v>
      </c>
      <c r="CL118" s="40" t="s">
        <v>48</v>
      </c>
      <c r="CM118" s="40" t="s">
        <v>48</v>
      </c>
      <c r="CN118" s="40" t="s">
        <v>48</v>
      </c>
      <c r="CO118" s="40" t="s">
        <v>48</v>
      </c>
      <c r="CP118" s="40" t="s">
        <v>48</v>
      </c>
      <c r="CQ118" s="40" t="s">
        <v>48</v>
      </c>
      <c r="CR118" s="40" t="s">
        <v>48</v>
      </c>
      <c r="CS118" s="40" t="s">
        <v>48</v>
      </c>
      <c r="CT118" s="40" t="s">
        <v>48</v>
      </c>
      <c r="CU118" s="40" t="s">
        <v>48</v>
      </c>
      <c r="CV118" s="40" t="s">
        <v>48</v>
      </c>
      <c r="CX118" s="33"/>
      <c r="CY118" s="38" t="str">
        <f>Notes!U119</f>
        <v xml:space="preserve">               Public administration</v>
      </c>
      <c r="CZ118" s="4" t="s">
        <v>746</v>
      </c>
      <c r="DA118" s="44" t="s">
        <v>48</v>
      </c>
      <c r="DB118" s="42" t="s">
        <v>48</v>
      </c>
      <c r="DC118" s="40" t="s">
        <v>48</v>
      </c>
      <c r="DD118" s="40" t="s">
        <v>48</v>
      </c>
      <c r="DE118" s="40" t="s">
        <v>48</v>
      </c>
      <c r="DF118" s="40" t="s">
        <v>48</v>
      </c>
      <c r="DG118" s="40" t="s">
        <v>48</v>
      </c>
      <c r="DH118" s="40" t="s">
        <v>48</v>
      </c>
      <c r="DI118" s="40" t="s">
        <v>48</v>
      </c>
      <c r="DJ118" s="40" t="s">
        <v>48</v>
      </c>
      <c r="DK118" s="40" t="s">
        <v>48</v>
      </c>
      <c r="DL118" s="40" t="s">
        <v>48</v>
      </c>
      <c r="DM118" s="40" t="s">
        <v>48</v>
      </c>
      <c r="DN118" s="40" t="s">
        <v>48</v>
      </c>
      <c r="DO118" s="40" t="s">
        <v>48</v>
      </c>
      <c r="DP118" s="40" t="s">
        <v>48</v>
      </c>
    </row>
    <row r="119" spans="1:120" x14ac:dyDescent="0.35">
      <c r="A119" s="12">
        <v>112</v>
      </c>
      <c r="B119" s="33"/>
      <c r="C119" s="38" t="str">
        <f>Notes!U120</f>
        <v xml:space="preserve">               Education</v>
      </c>
      <c r="D119" s="4" t="s">
        <v>747</v>
      </c>
      <c r="E119" s="44">
        <v>3.8787290992534071</v>
      </c>
      <c r="F119" s="42" t="s">
        <v>48</v>
      </c>
      <c r="G119" s="40" t="s">
        <v>48</v>
      </c>
      <c r="H119" s="40" t="s">
        <v>48</v>
      </c>
      <c r="I119" s="40" t="s">
        <v>48</v>
      </c>
      <c r="J119" s="40" t="s">
        <v>48</v>
      </c>
      <c r="K119" s="40" t="s">
        <v>48</v>
      </c>
      <c r="L119" s="40" t="s">
        <v>48</v>
      </c>
      <c r="M119" s="40" t="s">
        <v>48</v>
      </c>
      <c r="N119" s="40" t="s">
        <v>48</v>
      </c>
      <c r="O119" s="40" t="s">
        <v>48</v>
      </c>
      <c r="P119" s="40" t="s">
        <v>48</v>
      </c>
      <c r="Q119" s="40" t="s">
        <v>48</v>
      </c>
      <c r="R119" s="40" t="s">
        <v>48</v>
      </c>
      <c r="S119" s="40" t="s">
        <v>48</v>
      </c>
      <c r="T119" s="40" t="s">
        <v>48</v>
      </c>
      <c r="V119" s="33"/>
      <c r="W119" s="38" t="str">
        <f>Notes!U120</f>
        <v xml:space="preserve">               Education</v>
      </c>
      <c r="X119" s="4" t="s">
        <v>747</v>
      </c>
      <c r="Y119" s="44">
        <v>3.0394255851210334</v>
      </c>
      <c r="Z119" s="42" t="s">
        <v>48</v>
      </c>
      <c r="AA119" s="40" t="s">
        <v>48</v>
      </c>
      <c r="AB119" s="40" t="s">
        <v>48</v>
      </c>
      <c r="AC119" s="40" t="s">
        <v>48</v>
      </c>
      <c r="AD119" s="40" t="s">
        <v>48</v>
      </c>
      <c r="AE119" s="40" t="s">
        <v>48</v>
      </c>
      <c r="AF119" s="40" t="s">
        <v>48</v>
      </c>
      <c r="AG119" s="40" t="s">
        <v>48</v>
      </c>
      <c r="AH119" s="40" t="s">
        <v>48</v>
      </c>
      <c r="AI119" s="40" t="s">
        <v>48</v>
      </c>
      <c r="AJ119" s="40" t="s">
        <v>48</v>
      </c>
      <c r="AK119" s="40" t="s">
        <v>48</v>
      </c>
      <c r="AL119" s="40" t="s">
        <v>48</v>
      </c>
      <c r="AM119" s="40" t="s">
        <v>48</v>
      </c>
      <c r="AN119" s="40" t="s">
        <v>48</v>
      </c>
      <c r="AP119" s="33"/>
      <c r="AQ119" s="38" t="str">
        <f>Notes!U120</f>
        <v xml:space="preserve">               Education</v>
      </c>
      <c r="AR119" s="4" t="s">
        <v>747</v>
      </c>
      <c r="AS119" s="44" t="s">
        <v>48</v>
      </c>
      <c r="AT119" s="42" t="s">
        <v>48</v>
      </c>
      <c r="AU119" s="40" t="s">
        <v>48</v>
      </c>
      <c r="AV119" s="40" t="s">
        <v>48</v>
      </c>
      <c r="AW119" s="40" t="s">
        <v>48</v>
      </c>
      <c r="AX119" s="40" t="s">
        <v>48</v>
      </c>
      <c r="AY119" s="40" t="s">
        <v>48</v>
      </c>
      <c r="AZ119" s="40" t="s">
        <v>48</v>
      </c>
      <c r="BA119" s="40" t="s">
        <v>48</v>
      </c>
      <c r="BB119" s="40" t="s">
        <v>48</v>
      </c>
      <c r="BC119" s="40" t="s">
        <v>48</v>
      </c>
      <c r="BD119" s="40" t="s">
        <v>48</v>
      </c>
      <c r="BE119" s="40" t="s">
        <v>48</v>
      </c>
      <c r="BF119" s="40" t="s">
        <v>48</v>
      </c>
      <c r="BG119" s="40" t="s">
        <v>48</v>
      </c>
      <c r="BH119" s="40" t="s">
        <v>48</v>
      </c>
      <c r="BJ119" s="33"/>
      <c r="BK119" s="38" t="str">
        <f>Notes!U120</f>
        <v xml:space="preserve">               Education</v>
      </c>
      <c r="BL119" s="4" t="s">
        <v>747</v>
      </c>
      <c r="BM119" s="44">
        <v>-0.45632992207650336</v>
      </c>
      <c r="BN119" s="42" t="s">
        <v>48</v>
      </c>
      <c r="BO119" s="40" t="s">
        <v>48</v>
      </c>
      <c r="BP119" s="40" t="s">
        <v>48</v>
      </c>
      <c r="BQ119" s="40" t="s">
        <v>48</v>
      </c>
      <c r="BR119" s="40" t="s">
        <v>48</v>
      </c>
      <c r="BS119" s="40" t="s">
        <v>48</v>
      </c>
      <c r="BT119" s="40" t="s">
        <v>48</v>
      </c>
      <c r="BU119" s="40" t="s">
        <v>48</v>
      </c>
      <c r="BV119" s="40" t="s">
        <v>48</v>
      </c>
      <c r="BW119" s="40" t="s">
        <v>48</v>
      </c>
      <c r="BX119" s="40" t="s">
        <v>48</v>
      </c>
      <c r="BY119" s="40" t="s">
        <v>48</v>
      </c>
      <c r="BZ119" s="40" t="s">
        <v>48</v>
      </c>
      <c r="CA119" s="40" t="s">
        <v>48</v>
      </c>
      <c r="CB119" s="40" t="s">
        <v>48</v>
      </c>
      <c r="CD119" s="33"/>
      <c r="CE119" s="38" t="str">
        <f>Notes!U120</f>
        <v xml:space="preserve">               Education</v>
      </c>
      <c r="CF119" s="4" t="s">
        <v>747</v>
      </c>
      <c r="CG119" s="44" t="s">
        <v>48</v>
      </c>
      <c r="CH119" s="42" t="s">
        <v>48</v>
      </c>
      <c r="CI119" s="40" t="s">
        <v>48</v>
      </c>
      <c r="CJ119" s="40" t="s">
        <v>48</v>
      </c>
      <c r="CK119" s="40" t="s">
        <v>48</v>
      </c>
      <c r="CL119" s="40" t="s">
        <v>48</v>
      </c>
      <c r="CM119" s="40" t="s">
        <v>48</v>
      </c>
      <c r="CN119" s="40" t="s">
        <v>48</v>
      </c>
      <c r="CO119" s="40" t="s">
        <v>48</v>
      </c>
      <c r="CP119" s="40" t="s">
        <v>48</v>
      </c>
      <c r="CQ119" s="40" t="s">
        <v>48</v>
      </c>
      <c r="CR119" s="40" t="s">
        <v>48</v>
      </c>
      <c r="CS119" s="40" t="s">
        <v>48</v>
      </c>
      <c r="CT119" s="40" t="s">
        <v>48</v>
      </c>
      <c r="CU119" s="40" t="s">
        <v>48</v>
      </c>
      <c r="CV119" s="40" t="s">
        <v>48</v>
      </c>
      <c r="CX119" s="33"/>
      <c r="CY119" s="38" t="str">
        <f>Notes!U120</f>
        <v xml:space="preserve">               Education</v>
      </c>
      <c r="CZ119" s="4" t="s">
        <v>747</v>
      </c>
      <c r="DA119" s="44">
        <v>-0.58861840681858524</v>
      </c>
      <c r="DB119" s="42" t="s">
        <v>48</v>
      </c>
      <c r="DC119" s="40" t="s">
        <v>48</v>
      </c>
      <c r="DD119" s="40" t="s">
        <v>48</v>
      </c>
      <c r="DE119" s="40" t="s">
        <v>48</v>
      </c>
      <c r="DF119" s="40" t="s">
        <v>48</v>
      </c>
      <c r="DG119" s="40" t="s">
        <v>48</v>
      </c>
      <c r="DH119" s="40" t="s">
        <v>48</v>
      </c>
      <c r="DI119" s="40" t="s">
        <v>48</v>
      </c>
      <c r="DJ119" s="40" t="s">
        <v>48</v>
      </c>
      <c r="DK119" s="40" t="s">
        <v>48</v>
      </c>
      <c r="DL119" s="40" t="s">
        <v>48</v>
      </c>
      <c r="DM119" s="40" t="s">
        <v>48</v>
      </c>
      <c r="DN119" s="40" t="s">
        <v>48</v>
      </c>
      <c r="DO119" s="40" t="s">
        <v>48</v>
      </c>
      <c r="DP119" s="40" t="s">
        <v>48</v>
      </c>
    </row>
    <row r="120" spans="1:120" x14ac:dyDescent="0.35">
      <c r="A120" s="12">
        <v>113</v>
      </c>
      <c r="B120" s="33"/>
      <c r="C120" s="38" t="str">
        <f>Notes!U121</f>
        <v xml:space="preserve">               Health and social work</v>
      </c>
      <c r="D120" s="4" t="s">
        <v>746</v>
      </c>
      <c r="E120" s="44">
        <v>0.24169772066620393</v>
      </c>
      <c r="F120" s="42">
        <v>9.9077078818110564E-2</v>
      </c>
      <c r="G120" s="40" t="s">
        <v>48</v>
      </c>
      <c r="H120" s="40" t="s">
        <v>48</v>
      </c>
      <c r="I120" s="40" t="s">
        <v>48</v>
      </c>
      <c r="J120" s="40" t="s">
        <v>48</v>
      </c>
      <c r="K120" s="40" t="s">
        <v>48</v>
      </c>
      <c r="L120" s="40" t="s">
        <v>48</v>
      </c>
      <c r="M120" s="40" t="s">
        <v>48</v>
      </c>
      <c r="N120" s="40" t="s">
        <v>48</v>
      </c>
      <c r="O120" s="40" t="s">
        <v>48</v>
      </c>
      <c r="P120" s="40" t="s">
        <v>48</v>
      </c>
      <c r="Q120" s="40" t="s">
        <v>48</v>
      </c>
      <c r="R120" s="40" t="s">
        <v>48</v>
      </c>
      <c r="S120" s="40" t="s">
        <v>48</v>
      </c>
      <c r="T120" s="40" t="s">
        <v>48</v>
      </c>
      <c r="V120" s="33"/>
      <c r="W120" s="38" t="str">
        <f>Notes!U121</f>
        <v xml:space="preserve">               Health and social work</v>
      </c>
      <c r="X120" s="4" t="s">
        <v>746</v>
      </c>
      <c r="Y120" s="44">
        <v>0.18879740630741415</v>
      </c>
      <c r="Z120" s="42">
        <v>9.9077078804610252E-2</v>
      </c>
      <c r="AA120" s="40" t="s">
        <v>48</v>
      </c>
      <c r="AB120" s="40" t="s">
        <v>48</v>
      </c>
      <c r="AC120" s="40" t="s">
        <v>48</v>
      </c>
      <c r="AD120" s="40" t="s">
        <v>48</v>
      </c>
      <c r="AE120" s="40" t="s">
        <v>48</v>
      </c>
      <c r="AF120" s="40" t="s">
        <v>48</v>
      </c>
      <c r="AG120" s="40" t="s">
        <v>48</v>
      </c>
      <c r="AH120" s="40" t="s">
        <v>48</v>
      </c>
      <c r="AI120" s="40" t="s">
        <v>48</v>
      </c>
      <c r="AJ120" s="40" t="s">
        <v>48</v>
      </c>
      <c r="AK120" s="40" t="s">
        <v>48</v>
      </c>
      <c r="AL120" s="40" t="s">
        <v>48</v>
      </c>
      <c r="AM120" s="40" t="s">
        <v>48</v>
      </c>
      <c r="AN120" s="40" t="s">
        <v>48</v>
      </c>
      <c r="AP120" s="33"/>
      <c r="AQ120" s="38" t="str">
        <f>Notes!U121</f>
        <v xml:space="preserve">               Health and social work</v>
      </c>
      <c r="AR120" s="4" t="s">
        <v>746</v>
      </c>
      <c r="AS120" s="44" t="s">
        <v>48</v>
      </c>
      <c r="AT120" s="42" t="s">
        <v>48</v>
      </c>
      <c r="AU120" s="40" t="s">
        <v>48</v>
      </c>
      <c r="AV120" s="40" t="s">
        <v>48</v>
      </c>
      <c r="AW120" s="40" t="s">
        <v>48</v>
      </c>
      <c r="AX120" s="40" t="s">
        <v>48</v>
      </c>
      <c r="AY120" s="40" t="s">
        <v>48</v>
      </c>
      <c r="AZ120" s="40" t="s">
        <v>48</v>
      </c>
      <c r="BA120" s="40" t="s">
        <v>48</v>
      </c>
      <c r="BB120" s="40" t="s">
        <v>48</v>
      </c>
      <c r="BC120" s="40" t="s">
        <v>48</v>
      </c>
      <c r="BD120" s="40" t="s">
        <v>48</v>
      </c>
      <c r="BE120" s="40" t="s">
        <v>48</v>
      </c>
      <c r="BF120" s="40" t="s">
        <v>48</v>
      </c>
      <c r="BG120" s="40" t="s">
        <v>48</v>
      </c>
      <c r="BH120" s="40" t="s">
        <v>48</v>
      </c>
      <c r="BJ120" s="33"/>
      <c r="BK120" s="38" t="str">
        <f>Notes!U121</f>
        <v xml:space="preserve">               Health and social work</v>
      </c>
      <c r="BL120" s="4" t="s">
        <v>746</v>
      </c>
      <c r="BM120" s="44" t="s">
        <v>48</v>
      </c>
      <c r="BN120" s="42" t="s">
        <v>48</v>
      </c>
      <c r="BO120" s="40" t="s">
        <v>48</v>
      </c>
      <c r="BP120" s="40" t="s">
        <v>48</v>
      </c>
      <c r="BQ120" s="40" t="s">
        <v>48</v>
      </c>
      <c r="BR120" s="40" t="s">
        <v>48</v>
      </c>
      <c r="BS120" s="40" t="s">
        <v>48</v>
      </c>
      <c r="BT120" s="40" t="s">
        <v>48</v>
      </c>
      <c r="BU120" s="40" t="s">
        <v>48</v>
      </c>
      <c r="BV120" s="40" t="s">
        <v>48</v>
      </c>
      <c r="BW120" s="40" t="s">
        <v>48</v>
      </c>
      <c r="BX120" s="40" t="s">
        <v>48</v>
      </c>
      <c r="BY120" s="40" t="s">
        <v>48</v>
      </c>
      <c r="BZ120" s="40" t="s">
        <v>48</v>
      </c>
      <c r="CA120" s="40" t="s">
        <v>48</v>
      </c>
      <c r="CB120" s="40" t="s">
        <v>48</v>
      </c>
      <c r="CD120" s="33"/>
      <c r="CE120" s="38" t="str">
        <f>Notes!U121</f>
        <v xml:space="preserve">               Health and social work</v>
      </c>
      <c r="CF120" s="4" t="s">
        <v>746</v>
      </c>
      <c r="CG120" s="44" t="s">
        <v>48</v>
      </c>
      <c r="CH120" s="42" t="s">
        <v>48</v>
      </c>
      <c r="CI120" s="40" t="s">
        <v>48</v>
      </c>
      <c r="CJ120" s="40" t="s">
        <v>48</v>
      </c>
      <c r="CK120" s="40" t="s">
        <v>48</v>
      </c>
      <c r="CL120" s="40" t="s">
        <v>48</v>
      </c>
      <c r="CM120" s="40" t="s">
        <v>48</v>
      </c>
      <c r="CN120" s="40" t="s">
        <v>48</v>
      </c>
      <c r="CO120" s="40" t="s">
        <v>48</v>
      </c>
      <c r="CP120" s="40" t="s">
        <v>48</v>
      </c>
      <c r="CQ120" s="40" t="s">
        <v>48</v>
      </c>
      <c r="CR120" s="40" t="s">
        <v>48</v>
      </c>
      <c r="CS120" s="40" t="s">
        <v>48</v>
      </c>
      <c r="CT120" s="40" t="s">
        <v>48</v>
      </c>
      <c r="CU120" s="40" t="s">
        <v>48</v>
      </c>
      <c r="CV120" s="40" t="s">
        <v>48</v>
      </c>
      <c r="CX120" s="33"/>
      <c r="CY120" s="38" t="str">
        <f>Notes!U121</f>
        <v xml:space="preserve">               Health and social work</v>
      </c>
      <c r="CZ120" s="4" t="s">
        <v>746</v>
      </c>
      <c r="DA120" s="44" t="s">
        <v>48</v>
      </c>
      <c r="DB120" s="42" t="s">
        <v>48</v>
      </c>
      <c r="DC120" s="40" t="s">
        <v>48</v>
      </c>
      <c r="DD120" s="40" t="s">
        <v>48</v>
      </c>
      <c r="DE120" s="40" t="s">
        <v>48</v>
      </c>
      <c r="DF120" s="40" t="s">
        <v>48</v>
      </c>
      <c r="DG120" s="40" t="s">
        <v>48</v>
      </c>
      <c r="DH120" s="40" t="s">
        <v>48</v>
      </c>
      <c r="DI120" s="40" t="s">
        <v>48</v>
      </c>
      <c r="DJ120" s="40" t="s">
        <v>48</v>
      </c>
      <c r="DK120" s="40" t="s">
        <v>48</v>
      </c>
      <c r="DL120" s="40" t="s">
        <v>48</v>
      </c>
      <c r="DM120" s="40" t="s">
        <v>48</v>
      </c>
      <c r="DN120" s="40" t="s">
        <v>48</v>
      </c>
      <c r="DO120" s="40" t="s">
        <v>48</v>
      </c>
      <c r="DP120" s="40" t="s">
        <v>48</v>
      </c>
    </row>
    <row r="121" spans="1:120" x14ac:dyDescent="0.35">
      <c r="A121" s="12">
        <v>114</v>
      </c>
      <c r="B121" s="33"/>
      <c r="C121" s="38" t="str">
        <f>Notes!U122</f>
        <v xml:space="preserve">               Other services</v>
      </c>
      <c r="D121" s="4" t="s">
        <v>747</v>
      </c>
      <c r="E121" s="44" t="s">
        <v>48</v>
      </c>
      <c r="F121" s="42" t="s">
        <v>48</v>
      </c>
      <c r="G121" s="40" t="s">
        <v>48</v>
      </c>
      <c r="H121" s="40" t="s">
        <v>48</v>
      </c>
      <c r="I121" s="40" t="s">
        <v>48</v>
      </c>
      <c r="J121" s="40" t="s">
        <v>48</v>
      </c>
      <c r="K121" s="40" t="s">
        <v>48</v>
      </c>
      <c r="L121" s="40" t="s">
        <v>48</v>
      </c>
      <c r="M121" s="40" t="s">
        <v>48</v>
      </c>
      <c r="N121" s="40" t="s">
        <v>48</v>
      </c>
      <c r="O121" s="40" t="s">
        <v>48</v>
      </c>
      <c r="P121" s="40" t="s">
        <v>48</v>
      </c>
      <c r="Q121" s="40" t="s">
        <v>48</v>
      </c>
      <c r="R121" s="40" t="s">
        <v>48</v>
      </c>
      <c r="S121" s="40" t="s">
        <v>48</v>
      </c>
      <c r="T121" s="40" t="s">
        <v>48</v>
      </c>
      <c r="V121" s="33"/>
      <c r="W121" s="38" t="str">
        <f>Notes!U122</f>
        <v xml:space="preserve">               Other services</v>
      </c>
      <c r="X121" s="4" t="s">
        <v>747</v>
      </c>
      <c r="Y121" s="44">
        <v>-9.4979147018241797E-2</v>
      </c>
      <c r="Z121" s="42">
        <v>8.6956829065631958E-2</v>
      </c>
      <c r="AA121" s="40" t="s">
        <v>48</v>
      </c>
      <c r="AB121" s="40" t="s">
        <v>48</v>
      </c>
      <c r="AC121" s="40" t="s">
        <v>48</v>
      </c>
      <c r="AD121" s="40" t="s">
        <v>48</v>
      </c>
      <c r="AE121" s="40" t="s">
        <v>48</v>
      </c>
      <c r="AF121" s="40" t="s">
        <v>48</v>
      </c>
      <c r="AG121" s="40" t="s">
        <v>48</v>
      </c>
      <c r="AH121" s="40" t="s">
        <v>48</v>
      </c>
      <c r="AI121" s="40" t="s">
        <v>48</v>
      </c>
      <c r="AJ121" s="40" t="s">
        <v>48</v>
      </c>
      <c r="AK121" s="40" t="s">
        <v>48</v>
      </c>
      <c r="AL121" s="40" t="s">
        <v>48</v>
      </c>
      <c r="AM121" s="40" t="s">
        <v>48</v>
      </c>
      <c r="AN121" s="40" t="s">
        <v>48</v>
      </c>
      <c r="AP121" s="33"/>
      <c r="AQ121" s="38" t="str">
        <f>Notes!U122</f>
        <v xml:space="preserve">               Other services</v>
      </c>
      <c r="AR121" s="4" t="s">
        <v>747</v>
      </c>
      <c r="AS121" s="44" t="s">
        <v>48</v>
      </c>
      <c r="AT121" s="42" t="s">
        <v>48</v>
      </c>
      <c r="AU121" s="40" t="s">
        <v>48</v>
      </c>
      <c r="AV121" s="40" t="s">
        <v>48</v>
      </c>
      <c r="AW121" s="40" t="s">
        <v>48</v>
      </c>
      <c r="AX121" s="40" t="s">
        <v>48</v>
      </c>
      <c r="AY121" s="40" t="s">
        <v>48</v>
      </c>
      <c r="AZ121" s="40" t="s">
        <v>48</v>
      </c>
      <c r="BA121" s="40" t="s">
        <v>48</v>
      </c>
      <c r="BB121" s="40" t="s">
        <v>48</v>
      </c>
      <c r="BC121" s="40" t="s">
        <v>48</v>
      </c>
      <c r="BD121" s="40" t="s">
        <v>48</v>
      </c>
      <c r="BE121" s="40" t="s">
        <v>48</v>
      </c>
      <c r="BF121" s="40" t="s">
        <v>48</v>
      </c>
      <c r="BG121" s="40" t="s">
        <v>48</v>
      </c>
      <c r="BH121" s="40" t="s">
        <v>48</v>
      </c>
      <c r="BJ121" s="33"/>
      <c r="BK121" s="38" t="str">
        <f>Notes!U122</f>
        <v xml:space="preserve">               Other services</v>
      </c>
      <c r="BL121" s="4" t="s">
        <v>747</v>
      </c>
      <c r="BM121" s="44">
        <v>-0.45632992207650336</v>
      </c>
      <c r="BN121" s="42">
        <v>8.6956829064965824E-2</v>
      </c>
      <c r="BO121" s="40" t="s">
        <v>48</v>
      </c>
      <c r="BP121" s="40" t="s">
        <v>48</v>
      </c>
      <c r="BQ121" s="40" t="s">
        <v>48</v>
      </c>
      <c r="BR121" s="40" t="s">
        <v>48</v>
      </c>
      <c r="BS121" s="40" t="s">
        <v>48</v>
      </c>
      <c r="BT121" s="40" t="s">
        <v>48</v>
      </c>
      <c r="BU121" s="40" t="s">
        <v>48</v>
      </c>
      <c r="BV121" s="40" t="s">
        <v>48</v>
      </c>
      <c r="BW121" s="40" t="s">
        <v>48</v>
      </c>
      <c r="BX121" s="40" t="s">
        <v>48</v>
      </c>
      <c r="BY121" s="40" t="s">
        <v>48</v>
      </c>
      <c r="BZ121" s="40" t="s">
        <v>48</v>
      </c>
      <c r="CA121" s="40" t="s">
        <v>48</v>
      </c>
      <c r="CB121" s="40" t="s">
        <v>48</v>
      </c>
      <c r="CD121" s="33"/>
      <c r="CE121" s="38" t="str">
        <f>Notes!U122</f>
        <v xml:space="preserve">               Other services</v>
      </c>
      <c r="CF121" s="4" t="s">
        <v>747</v>
      </c>
      <c r="CG121" s="44" t="s">
        <v>48</v>
      </c>
      <c r="CH121" s="42" t="s">
        <v>48</v>
      </c>
      <c r="CI121" s="40" t="s">
        <v>48</v>
      </c>
      <c r="CJ121" s="40" t="s">
        <v>48</v>
      </c>
      <c r="CK121" s="40" t="s">
        <v>48</v>
      </c>
      <c r="CL121" s="40" t="s">
        <v>48</v>
      </c>
      <c r="CM121" s="40" t="s">
        <v>48</v>
      </c>
      <c r="CN121" s="40" t="s">
        <v>48</v>
      </c>
      <c r="CO121" s="40" t="s">
        <v>48</v>
      </c>
      <c r="CP121" s="40" t="s">
        <v>48</v>
      </c>
      <c r="CQ121" s="40" t="s">
        <v>48</v>
      </c>
      <c r="CR121" s="40" t="s">
        <v>48</v>
      </c>
      <c r="CS121" s="40" t="s">
        <v>48</v>
      </c>
      <c r="CT121" s="40" t="s">
        <v>48</v>
      </c>
      <c r="CU121" s="40" t="s">
        <v>48</v>
      </c>
      <c r="CV121" s="40" t="s">
        <v>48</v>
      </c>
      <c r="CX121" s="33"/>
      <c r="CY121" s="38" t="str">
        <f>Notes!U122</f>
        <v xml:space="preserve">               Other services</v>
      </c>
      <c r="CZ121" s="4" t="s">
        <v>747</v>
      </c>
      <c r="DA121" s="44">
        <v>-0.58861840681858524</v>
      </c>
      <c r="DB121" s="42" t="s">
        <v>48</v>
      </c>
      <c r="DC121" s="40" t="s">
        <v>48</v>
      </c>
      <c r="DD121" s="40" t="s">
        <v>48</v>
      </c>
      <c r="DE121" s="40" t="s">
        <v>48</v>
      </c>
      <c r="DF121" s="40" t="s">
        <v>48</v>
      </c>
      <c r="DG121" s="40" t="s">
        <v>48</v>
      </c>
      <c r="DH121" s="40" t="s">
        <v>48</v>
      </c>
      <c r="DI121" s="40" t="s">
        <v>48</v>
      </c>
      <c r="DJ121" s="40" t="s">
        <v>48</v>
      </c>
      <c r="DK121" s="40" t="s">
        <v>48</v>
      </c>
      <c r="DL121" s="40" t="s">
        <v>48</v>
      </c>
      <c r="DM121" s="40" t="s">
        <v>48</v>
      </c>
      <c r="DN121" s="40" t="s">
        <v>48</v>
      </c>
      <c r="DO121" s="40" t="s">
        <v>48</v>
      </c>
      <c r="DP121" s="40" t="s">
        <v>48</v>
      </c>
    </row>
    <row r="122" spans="1:120" x14ac:dyDescent="0.35">
      <c r="A122" s="12">
        <v>115</v>
      </c>
      <c r="B122" s="33"/>
      <c r="C122" s="38" t="str">
        <f>Notes!U123</f>
        <v xml:space="preserve">               </v>
      </c>
      <c r="D122" s="4" t="s">
        <v>386</v>
      </c>
      <c r="E122" s="44"/>
      <c r="F122" s="42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V122" s="33"/>
      <c r="W122" s="38" t="str">
        <f>Notes!U123</f>
        <v xml:space="preserve">               </v>
      </c>
      <c r="X122" s="4" t="s">
        <v>386</v>
      </c>
      <c r="Y122" s="44"/>
      <c r="Z122" s="42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P122" s="33"/>
      <c r="AQ122" s="38" t="str">
        <f>Notes!U123</f>
        <v xml:space="preserve">               </v>
      </c>
      <c r="AR122" s="4" t="s">
        <v>386</v>
      </c>
      <c r="AS122" s="44"/>
      <c r="AT122" s="42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J122" s="33"/>
      <c r="BK122" s="38" t="str">
        <f>Notes!U123</f>
        <v xml:space="preserve">               </v>
      </c>
      <c r="BL122" s="4" t="s">
        <v>386</v>
      </c>
      <c r="BM122" s="44"/>
      <c r="BN122" s="42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D122" s="33"/>
      <c r="CE122" s="38" t="str">
        <f>Notes!U123</f>
        <v xml:space="preserve">               </v>
      </c>
      <c r="CF122" s="4" t="s">
        <v>386</v>
      </c>
      <c r="CG122" s="44"/>
      <c r="CH122" s="42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X122" s="33"/>
      <c r="CY122" s="38" t="str">
        <f>Notes!U123</f>
        <v xml:space="preserve">               </v>
      </c>
      <c r="CZ122" s="4" t="s">
        <v>386</v>
      </c>
      <c r="DA122" s="44"/>
      <c r="DB122" s="42"/>
      <c r="DC122" s="40"/>
      <c r="DD122" s="40"/>
      <c r="DE122" s="40"/>
      <c r="DF122" s="40"/>
      <c r="DG122" s="40"/>
      <c r="DH122" s="40"/>
      <c r="DI122" s="40"/>
      <c r="DJ122" s="40"/>
      <c r="DK122" s="40"/>
      <c r="DL122" s="40"/>
      <c r="DM122" s="40"/>
      <c r="DN122" s="40"/>
      <c r="DO122" s="40"/>
      <c r="DP122" s="40"/>
    </row>
    <row r="123" spans="1:120" x14ac:dyDescent="0.35">
      <c r="A123" s="12">
        <v>116</v>
      </c>
      <c r="B123" s="33"/>
      <c r="C123" s="38" t="str">
        <f>Notes!U124</f>
        <v xml:space="preserve">               </v>
      </c>
      <c r="D123" s="4" t="s">
        <v>388</v>
      </c>
      <c r="E123" s="44"/>
      <c r="F123" s="42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V123" s="33"/>
      <c r="W123" s="38" t="str">
        <f>Notes!U124</f>
        <v xml:space="preserve">               </v>
      </c>
      <c r="X123" s="4" t="s">
        <v>388</v>
      </c>
      <c r="Y123" s="44"/>
      <c r="Z123" s="42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P123" s="33"/>
      <c r="AQ123" s="38" t="str">
        <f>Notes!U124</f>
        <v xml:space="preserve">               </v>
      </c>
      <c r="AR123" s="4" t="s">
        <v>388</v>
      </c>
      <c r="AS123" s="44"/>
      <c r="AT123" s="42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J123" s="33"/>
      <c r="BK123" s="38" t="str">
        <f>Notes!U124</f>
        <v xml:space="preserve">               </v>
      </c>
      <c r="BL123" s="4" t="s">
        <v>388</v>
      </c>
      <c r="BM123" s="44"/>
      <c r="BN123" s="42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D123" s="33"/>
      <c r="CE123" s="38" t="str">
        <f>Notes!U124</f>
        <v xml:space="preserve">               </v>
      </c>
      <c r="CF123" s="4" t="s">
        <v>388</v>
      </c>
      <c r="CG123" s="44"/>
      <c r="CH123" s="42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X123" s="33"/>
      <c r="CY123" s="38" t="str">
        <f>Notes!U124</f>
        <v xml:space="preserve">               </v>
      </c>
      <c r="CZ123" s="4" t="s">
        <v>388</v>
      </c>
      <c r="DA123" s="44"/>
      <c r="DB123" s="42"/>
      <c r="DC123" s="40"/>
      <c r="DD123" s="40"/>
      <c r="DE123" s="40"/>
      <c r="DF123" s="40"/>
      <c r="DG123" s="40"/>
      <c r="DH123" s="40"/>
      <c r="DI123" s="40"/>
      <c r="DJ123" s="40"/>
      <c r="DK123" s="40"/>
      <c r="DL123" s="40"/>
      <c r="DM123" s="40"/>
      <c r="DN123" s="40"/>
      <c r="DO123" s="40"/>
      <c r="DP123" s="40"/>
    </row>
    <row r="124" spans="1:120" x14ac:dyDescent="0.35">
      <c r="A124" s="12">
        <v>117</v>
      </c>
      <c r="B124" s="33"/>
      <c r="C124" s="38" t="str">
        <f>Notes!U125</f>
        <v xml:space="preserve">               </v>
      </c>
      <c r="D124" s="4"/>
      <c r="E124" s="44"/>
      <c r="F124" s="42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V124" s="33"/>
      <c r="W124" s="38" t="str">
        <f>Notes!U125</f>
        <v xml:space="preserve">               </v>
      </c>
      <c r="X124" s="4"/>
      <c r="Y124" s="44"/>
      <c r="Z124" s="42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P124" s="33"/>
      <c r="AQ124" s="38" t="str">
        <f>Notes!U125</f>
        <v xml:space="preserve">               </v>
      </c>
      <c r="AR124" s="4"/>
      <c r="AS124" s="44"/>
      <c r="AT124" s="42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J124" s="33"/>
      <c r="BK124" s="38" t="str">
        <f>Notes!U125</f>
        <v xml:space="preserve">               </v>
      </c>
      <c r="BL124" s="4"/>
      <c r="BM124" s="44"/>
      <c r="BN124" s="42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D124" s="33"/>
      <c r="CE124" s="38" t="str">
        <f>Notes!U125</f>
        <v xml:space="preserve">               </v>
      </c>
      <c r="CF124" s="4"/>
      <c r="CG124" s="44"/>
      <c r="CH124" s="42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X124" s="33"/>
      <c r="CY124" s="38" t="str">
        <f>Notes!U125</f>
        <v xml:space="preserve">               </v>
      </c>
      <c r="CZ124" s="4"/>
      <c r="DA124" s="44"/>
      <c r="DB124" s="42"/>
      <c r="DC124" s="40"/>
      <c r="DD124" s="40"/>
      <c r="DE124" s="40"/>
      <c r="DF124" s="40"/>
      <c r="DG124" s="40"/>
      <c r="DH124" s="40"/>
      <c r="DI124" s="40"/>
      <c r="DJ124" s="40"/>
      <c r="DK124" s="40"/>
      <c r="DL124" s="40"/>
      <c r="DM124" s="40"/>
      <c r="DN124" s="40"/>
      <c r="DO124" s="40"/>
      <c r="DP124" s="40"/>
    </row>
    <row r="125" spans="1:120" x14ac:dyDescent="0.35">
      <c r="A125" s="12">
        <v>118</v>
      </c>
      <c r="B125" s="33"/>
      <c r="C125" s="38" t="str">
        <f>Notes!U126</f>
        <v xml:space="preserve">               </v>
      </c>
      <c r="D125" s="4"/>
      <c r="E125" s="44"/>
      <c r="F125" s="42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V125" s="33"/>
      <c r="W125" s="38" t="str">
        <f>Notes!U126</f>
        <v xml:space="preserve">               </v>
      </c>
      <c r="X125" s="4"/>
      <c r="Y125" s="44"/>
      <c r="Z125" s="42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P125" s="33"/>
      <c r="AQ125" s="38" t="str">
        <f>Notes!U126</f>
        <v xml:space="preserve">               </v>
      </c>
      <c r="AR125" s="4"/>
      <c r="AS125" s="44"/>
      <c r="AT125" s="42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J125" s="33"/>
      <c r="BK125" s="38" t="str">
        <f>Notes!U126</f>
        <v xml:space="preserve">               </v>
      </c>
      <c r="BL125" s="4"/>
      <c r="BM125" s="44"/>
      <c r="BN125" s="42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D125" s="33"/>
      <c r="CE125" s="38" t="str">
        <f>Notes!U126</f>
        <v xml:space="preserve">               </v>
      </c>
      <c r="CF125" s="4"/>
      <c r="CG125" s="44"/>
      <c r="CH125" s="42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X125" s="33"/>
      <c r="CY125" s="38" t="str">
        <f>Notes!U126</f>
        <v xml:space="preserve">               </v>
      </c>
      <c r="CZ125" s="4"/>
      <c r="DA125" s="44"/>
      <c r="DB125" s="42"/>
      <c r="DC125" s="40"/>
      <c r="DD125" s="40"/>
      <c r="DE125" s="40"/>
      <c r="DF125" s="40"/>
      <c r="DG125" s="40"/>
      <c r="DH125" s="40"/>
      <c r="DI125" s="40"/>
      <c r="DJ125" s="40"/>
      <c r="DK125" s="40"/>
      <c r="DL125" s="40"/>
      <c r="DM125" s="40"/>
      <c r="DN125" s="40"/>
      <c r="DO125" s="40"/>
      <c r="DP125" s="40"/>
    </row>
    <row r="126" spans="1:120" x14ac:dyDescent="0.35">
      <c r="A126" s="12">
        <v>119</v>
      </c>
      <c r="B126" s="33"/>
      <c r="C126" s="38" t="str">
        <f>Notes!U127</f>
        <v xml:space="preserve">               </v>
      </c>
      <c r="D126" s="4"/>
      <c r="E126" s="44"/>
      <c r="F126" s="42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V126" s="33"/>
      <c r="W126" s="38" t="str">
        <f>Notes!U127</f>
        <v xml:space="preserve">               </v>
      </c>
      <c r="X126" s="4"/>
      <c r="Y126" s="44"/>
      <c r="Z126" s="42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P126" s="33"/>
      <c r="AQ126" s="38" t="str">
        <f>Notes!U127</f>
        <v xml:space="preserve">               </v>
      </c>
      <c r="AR126" s="4"/>
      <c r="AS126" s="44"/>
      <c r="AT126" s="42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J126" s="33"/>
      <c r="BK126" s="38" t="str">
        <f>Notes!U127</f>
        <v xml:space="preserve">               </v>
      </c>
      <c r="BL126" s="4"/>
      <c r="BM126" s="44"/>
      <c r="BN126" s="42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D126" s="33"/>
      <c r="CE126" s="38" t="str">
        <f>Notes!U127</f>
        <v xml:space="preserve">               </v>
      </c>
      <c r="CF126" s="4"/>
      <c r="CG126" s="44"/>
      <c r="CH126" s="42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X126" s="33"/>
      <c r="CY126" s="38" t="str">
        <f>Notes!U127</f>
        <v xml:space="preserve">               </v>
      </c>
      <c r="CZ126" s="4"/>
      <c r="DA126" s="44"/>
      <c r="DB126" s="42"/>
      <c r="DC126" s="40"/>
      <c r="DD126" s="40"/>
      <c r="DE126" s="40"/>
      <c r="DF126" s="40"/>
      <c r="DG126" s="40"/>
      <c r="DH126" s="40"/>
      <c r="DI126" s="40"/>
      <c r="DJ126" s="40"/>
      <c r="DK126" s="40"/>
      <c r="DL126" s="40"/>
      <c r="DM126" s="40"/>
      <c r="DN126" s="40"/>
      <c r="DO126" s="40"/>
      <c r="DP126" s="40"/>
    </row>
    <row r="127" spans="1:120" x14ac:dyDescent="0.35">
      <c r="A127" s="12">
        <v>120</v>
      </c>
      <c r="B127" s="33"/>
      <c r="C127" s="38" t="str">
        <f>Notes!U128</f>
        <v xml:space="preserve">               </v>
      </c>
      <c r="D127" s="4"/>
      <c r="E127" s="44"/>
      <c r="F127" s="42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V127" s="33"/>
      <c r="W127" s="38" t="str">
        <f>Notes!U128</f>
        <v xml:space="preserve">               </v>
      </c>
      <c r="X127" s="4"/>
      <c r="Y127" s="44"/>
      <c r="Z127" s="42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P127" s="33"/>
      <c r="AQ127" s="38" t="str">
        <f>Notes!U128</f>
        <v xml:space="preserve">               </v>
      </c>
      <c r="AR127" s="4"/>
      <c r="AS127" s="44"/>
      <c r="AT127" s="42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J127" s="33"/>
      <c r="BK127" s="38" t="str">
        <f>Notes!U128</f>
        <v xml:space="preserve">               </v>
      </c>
      <c r="BL127" s="4"/>
      <c r="BM127" s="44"/>
      <c r="BN127" s="42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D127" s="33"/>
      <c r="CE127" s="38" t="str">
        <f>Notes!U128</f>
        <v xml:space="preserve">               </v>
      </c>
      <c r="CF127" s="4"/>
      <c r="CG127" s="44"/>
      <c r="CH127" s="42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X127" s="33"/>
      <c r="CY127" s="38" t="str">
        <f>Notes!U128</f>
        <v xml:space="preserve">               </v>
      </c>
      <c r="CZ127" s="4"/>
      <c r="DA127" s="44"/>
      <c r="DB127" s="42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40"/>
      <c r="DN127" s="40"/>
      <c r="DO127" s="40"/>
      <c r="DP127" s="40"/>
    </row>
    <row r="128" spans="1:120" x14ac:dyDescent="0.35">
      <c r="A128" s="12">
        <v>121</v>
      </c>
      <c r="B128" s="33"/>
      <c r="C128" s="38" t="str">
        <f>Notes!U129</f>
        <v xml:space="preserve">               </v>
      </c>
      <c r="D128" s="4"/>
      <c r="E128" s="44"/>
      <c r="F128" s="42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V128" s="33"/>
      <c r="W128" s="38" t="str">
        <f>Notes!U129</f>
        <v xml:space="preserve">               </v>
      </c>
      <c r="X128" s="4"/>
      <c r="Y128" s="44"/>
      <c r="Z128" s="42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P128" s="33"/>
      <c r="AQ128" s="38" t="str">
        <f>Notes!U129</f>
        <v xml:space="preserve">               </v>
      </c>
      <c r="AR128" s="4"/>
      <c r="AS128" s="44"/>
      <c r="AT128" s="42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J128" s="33"/>
      <c r="BK128" s="38" t="str">
        <f>Notes!U129</f>
        <v xml:space="preserve">               </v>
      </c>
      <c r="BL128" s="4"/>
      <c r="BM128" s="44"/>
      <c r="BN128" s="42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D128" s="33"/>
      <c r="CE128" s="38" t="str">
        <f>Notes!U129</f>
        <v xml:space="preserve">               </v>
      </c>
      <c r="CF128" s="4"/>
      <c r="CG128" s="44"/>
      <c r="CH128" s="42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X128" s="33"/>
      <c r="CY128" s="38" t="str">
        <f>Notes!U129</f>
        <v xml:space="preserve">               </v>
      </c>
      <c r="CZ128" s="4"/>
      <c r="DA128" s="44"/>
      <c r="DB128" s="42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40"/>
      <c r="DO128" s="40"/>
      <c r="DP128" s="40"/>
    </row>
    <row r="129" spans="1:120" x14ac:dyDescent="0.35">
      <c r="A129" s="12">
        <v>122</v>
      </c>
      <c r="B129" s="33"/>
      <c r="C129" s="38" t="str">
        <f>Notes!U130</f>
        <v xml:space="preserve">               </v>
      </c>
      <c r="D129" s="4"/>
      <c r="E129" s="44"/>
      <c r="F129" s="42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V129" s="33"/>
      <c r="W129" s="38" t="str">
        <f>Notes!U130</f>
        <v xml:space="preserve">               </v>
      </c>
      <c r="X129" s="4"/>
      <c r="Y129" s="44"/>
      <c r="Z129" s="42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P129" s="33"/>
      <c r="AQ129" s="38" t="str">
        <f>Notes!U130</f>
        <v xml:space="preserve">               </v>
      </c>
      <c r="AR129" s="4"/>
      <c r="AS129" s="44"/>
      <c r="AT129" s="42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J129" s="33"/>
      <c r="BK129" s="38" t="str">
        <f>Notes!U130</f>
        <v xml:space="preserve">               </v>
      </c>
      <c r="BL129" s="4"/>
      <c r="BM129" s="44"/>
      <c r="BN129" s="42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D129" s="33"/>
      <c r="CE129" s="38" t="str">
        <f>Notes!U130</f>
        <v xml:space="preserve">               </v>
      </c>
      <c r="CF129" s="4"/>
      <c r="CG129" s="44"/>
      <c r="CH129" s="42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X129" s="33"/>
      <c r="CY129" s="38" t="str">
        <f>Notes!U130</f>
        <v xml:space="preserve">               </v>
      </c>
      <c r="CZ129" s="4"/>
      <c r="DA129" s="44"/>
      <c r="DB129" s="42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40"/>
      <c r="DP129" s="40"/>
    </row>
    <row r="130" spans="1:120" x14ac:dyDescent="0.35">
      <c r="A130" s="12">
        <v>123</v>
      </c>
      <c r="B130" s="33"/>
      <c r="C130" s="38" t="str">
        <f>Notes!U131</f>
        <v xml:space="preserve">               </v>
      </c>
      <c r="D130" s="4"/>
      <c r="E130" s="44"/>
      <c r="F130" s="42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V130" s="33"/>
      <c r="W130" s="38" t="str">
        <f>Notes!U131</f>
        <v xml:space="preserve">               </v>
      </c>
      <c r="X130" s="4"/>
      <c r="Y130" s="44"/>
      <c r="Z130" s="42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P130" s="33"/>
      <c r="AQ130" s="38" t="str">
        <f>Notes!U131</f>
        <v xml:space="preserve">               </v>
      </c>
      <c r="AR130" s="4"/>
      <c r="AS130" s="44"/>
      <c r="AT130" s="42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J130" s="33"/>
      <c r="BK130" s="38" t="str">
        <f>Notes!U131</f>
        <v xml:space="preserve">               </v>
      </c>
      <c r="BL130" s="4"/>
      <c r="BM130" s="44"/>
      <c r="BN130" s="42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D130" s="33"/>
      <c r="CE130" s="38" t="str">
        <f>Notes!U131</f>
        <v xml:space="preserve">               </v>
      </c>
      <c r="CF130" s="4"/>
      <c r="CG130" s="44"/>
      <c r="CH130" s="42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X130" s="33"/>
      <c r="CY130" s="38" t="str">
        <f>Notes!U131</f>
        <v xml:space="preserve">               </v>
      </c>
      <c r="CZ130" s="4"/>
      <c r="DA130" s="44"/>
      <c r="DB130" s="42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40"/>
    </row>
    <row r="131" spans="1:120" x14ac:dyDescent="0.35">
      <c r="A131" s="12">
        <v>124</v>
      </c>
      <c r="B131" s="33"/>
      <c r="C131" s="38" t="str">
        <f>Notes!U132</f>
        <v xml:space="preserve">               </v>
      </c>
      <c r="D131" s="4"/>
      <c r="E131" s="44"/>
      <c r="F131" s="42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V131" s="33"/>
      <c r="W131" s="38" t="str">
        <f>Notes!U132</f>
        <v xml:space="preserve">               </v>
      </c>
      <c r="X131" s="4"/>
      <c r="Y131" s="44"/>
      <c r="Z131" s="42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P131" s="33"/>
      <c r="AQ131" s="38" t="str">
        <f>Notes!U132</f>
        <v xml:space="preserve">               </v>
      </c>
      <c r="AR131" s="4"/>
      <c r="AS131" s="44"/>
      <c r="AT131" s="42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J131" s="33"/>
      <c r="BK131" s="38" t="str">
        <f>Notes!U132</f>
        <v xml:space="preserve">               </v>
      </c>
      <c r="BL131" s="4"/>
      <c r="BM131" s="44"/>
      <c r="BN131" s="42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D131" s="33"/>
      <c r="CE131" s="38" t="str">
        <f>Notes!U132</f>
        <v xml:space="preserve">               </v>
      </c>
      <c r="CF131" s="4"/>
      <c r="CG131" s="44"/>
      <c r="CH131" s="42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X131" s="33"/>
      <c r="CY131" s="38" t="str">
        <f>Notes!U132</f>
        <v xml:space="preserve">               </v>
      </c>
      <c r="CZ131" s="4"/>
      <c r="DA131" s="44"/>
      <c r="DB131" s="42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</row>
    <row r="132" spans="1:120" x14ac:dyDescent="0.35">
      <c r="A132" s="12">
        <v>125</v>
      </c>
      <c r="B132" s="33"/>
      <c r="C132" s="38" t="str">
        <f>Notes!U133</f>
        <v xml:space="preserve">               </v>
      </c>
      <c r="D132" s="4"/>
      <c r="E132" s="44"/>
      <c r="F132" s="42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V132" s="33"/>
      <c r="W132" s="38" t="str">
        <f>Notes!U133</f>
        <v xml:space="preserve">               </v>
      </c>
      <c r="X132" s="4"/>
      <c r="Y132" s="44"/>
      <c r="Z132" s="42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P132" s="33"/>
      <c r="AQ132" s="38" t="str">
        <f>Notes!U133</f>
        <v xml:space="preserve">               </v>
      </c>
      <c r="AR132" s="4"/>
      <c r="AS132" s="44"/>
      <c r="AT132" s="42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J132" s="33"/>
      <c r="BK132" s="38" t="str">
        <f>Notes!U133</f>
        <v xml:space="preserve">               </v>
      </c>
      <c r="BL132" s="4"/>
      <c r="BM132" s="44"/>
      <c r="BN132" s="42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D132" s="33"/>
      <c r="CE132" s="38" t="str">
        <f>Notes!U133</f>
        <v xml:space="preserve">               </v>
      </c>
      <c r="CF132" s="4"/>
      <c r="CG132" s="44"/>
      <c r="CH132" s="42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X132" s="33"/>
      <c r="CY132" s="38" t="str">
        <f>Notes!U133</f>
        <v xml:space="preserve">               </v>
      </c>
      <c r="CZ132" s="4"/>
      <c r="DA132" s="44"/>
      <c r="DB132" s="42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</row>
    <row r="133" spans="1:120" x14ac:dyDescent="0.35">
      <c r="A133" s="12">
        <v>126</v>
      </c>
      <c r="B133" s="33"/>
      <c r="C133" s="38" t="str">
        <f>Notes!U134</f>
        <v xml:space="preserve">               </v>
      </c>
      <c r="D133" s="4"/>
      <c r="E133" s="44"/>
      <c r="F133" s="42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V133" s="33"/>
      <c r="W133" s="38" t="str">
        <f>Notes!U134</f>
        <v xml:space="preserve">               </v>
      </c>
      <c r="X133" s="4"/>
      <c r="Y133" s="44"/>
      <c r="Z133" s="42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P133" s="33"/>
      <c r="AQ133" s="38" t="str">
        <f>Notes!U134</f>
        <v xml:space="preserve">               </v>
      </c>
      <c r="AR133" s="4"/>
      <c r="AS133" s="44"/>
      <c r="AT133" s="42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J133" s="33"/>
      <c r="BK133" s="38" t="str">
        <f>Notes!U134</f>
        <v xml:space="preserve">               </v>
      </c>
      <c r="BL133" s="4"/>
      <c r="BM133" s="44"/>
      <c r="BN133" s="42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D133" s="33"/>
      <c r="CE133" s="38" t="str">
        <f>Notes!U134</f>
        <v xml:space="preserve">               </v>
      </c>
      <c r="CF133" s="4"/>
      <c r="CG133" s="44"/>
      <c r="CH133" s="42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X133" s="33"/>
      <c r="CY133" s="38" t="str">
        <f>Notes!U134</f>
        <v xml:space="preserve">               </v>
      </c>
      <c r="CZ133" s="4"/>
      <c r="DA133" s="44"/>
      <c r="DB133" s="42"/>
      <c r="DC133" s="40"/>
      <c r="DD133" s="40"/>
      <c r="DE133" s="40"/>
      <c r="DF133" s="40"/>
      <c r="DG133" s="40"/>
      <c r="DH133" s="40"/>
      <c r="DI133" s="40"/>
      <c r="DJ133" s="40"/>
      <c r="DK133" s="40"/>
      <c r="DL133" s="40"/>
      <c r="DM133" s="40"/>
      <c r="DN133" s="40"/>
      <c r="DO133" s="40"/>
      <c r="DP133" s="40"/>
    </row>
    <row r="134" spans="1:120" x14ac:dyDescent="0.35">
      <c r="A134" s="12">
        <v>127</v>
      </c>
      <c r="B134" s="33"/>
      <c r="C134" s="38" t="str">
        <f>Notes!U135</f>
        <v xml:space="preserve">               </v>
      </c>
      <c r="D134" s="4"/>
      <c r="E134" s="44"/>
      <c r="F134" s="42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V134" s="33"/>
      <c r="W134" s="38" t="str">
        <f>Notes!U135</f>
        <v xml:space="preserve">               </v>
      </c>
      <c r="X134" s="4"/>
      <c r="Y134" s="44"/>
      <c r="Z134" s="42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P134" s="33"/>
      <c r="AQ134" s="38" t="str">
        <f>Notes!U135</f>
        <v xml:space="preserve">               </v>
      </c>
      <c r="AR134" s="4"/>
      <c r="AS134" s="44"/>
      <c r="AT134" s="42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J134" s="33"/>
      <c r="BK134" s="38" t="str">
        <f>Notes!U135</f>
        <v xml:space="preserve">               </v>
      </c>
      <c r="BL134" s="4"/>
      <c r="BM134" s="44"/>
      <c r="BN134" s="42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D134" s="33"/>
      <c r="CE134" s="38" t="str">
        <f>Notes!U135</f>
        <v xml:space="preserve">               </v>
      </c>
      <c r="CF134" s="4"/>
      <c r="CG134" s="44"/>
      <c r="CH134" s="42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X134" s="33"/>
      <c r="CY134" s="38" t="str">
        <f>Notes!U135</f>
        <v xml:space="preserve">               </v>
      </c>
      <c r="CZ134" s="4"/>
      <c r="DA134" s="44"/>
      <c r="DB134" s="42"/>
      <c r="DC134" s="40"/>
      <c r="DD134" s="40"/>
      <c r="DE134" s="40"/>
      <c r="DF134" s="40"/>
      <c r="DG134" s="40"/>
      <c r="DH134" s="40"/>
      <c r="DI134" s="40"/>
      <c r="DJ134" s="40"/>
      <c r="DK134" s="40"/>
      <c r="DL134" s="40"/>
      <c r="DM134" s="40"/>
      <c r="DN134" s="40"/>
      <c r="DO134" s="40"/>
      <c r="DP134" s="40"/>
    </row>
    <row r="135" spans="1:120" x14ac:dyDescent="0.35">
      <c r="A135" s="12">
        <v>128</v>
      </c>
      <c r="B135" s="33"/>
      <c r="C135" s="38" t="str">
        <f>Notes!U136</f>
        <v xml:space="preserve">               </v>
      </c>
      <c r="D135" s="4"/>
      <c r="E135" s="44"/>
      <c r="F135" s="42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V135" s="33"/>
      <c r="W135" s="38" t="str">
        <f>Notes!U136</f>
        <v xml:space="preserve">               </v>
      </c>
      <c r="X135" s="4"/>
      <c r="Y135" s="44"/>
      <c r="Z135" s="42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P135" s="33"/>
      <c r="AQ135" s="38" t="str">
        <f>Notes!U136</f>
        <v xml:space="preserve">               </v>
      </c>
      <c r="AR135" s="4"/>
      <c r="AS135" s="44"/>
      <c r="AT135" s="42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J135" s="33"/>
      <c r="BK135" s="38" t="str">
        <f>Notes!U136</f>
        <v xml:space="preserve">               </v>
      </c>
      <c r="BL135" s="4"/>
      <c r="BM135" s="44"/>
      <c r="BN135" s="42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D135" s="33"/>
      <c r="CE135" s="38" t="str">
        <f>Notes!U136</f>
        <v xml:space="preserve">               </v>
      </c>
      <c r="CF135" s="4"/>
      <c r="CG135" s="44"/>
      <c r="CH135" s="42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X135" s="33"/>
      <c r="CY135" s="38" t="str">
        <f>Notes!U136</f>
        <v xml:space="preserve">               </v>
      </c>
      <c r="CZ135" s="4"/>
      <c r="DA135" s="44"/>
      <c r="DB135" s="42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40"/>
      <c r="DN135" s="40"/>
      <c r="DO135" s="40"/>
      <c r="DP135" s="40"/>
    </row>
    <row r="136" spans="1:120" x14ac:dyDescent="0.35">
      <c r="A136" s="12">
        <v>129</v>
      </c>
      <c r="B136" s="33"/>
      <c r="C136" s="38" t="str">
        <f>Notes!U137</f>
        <v xml:space="preserve">               </v>
      </c>
      <c r="D136" s="4"/>
      <c r="E136" s="44"/>
      <c r="F136" s="42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V136" s="33"/>
      <c r="W136" s="38" t="str">
        <f>Notes!U137</f>
        <v xml:space="preserve">               </v>
      </c>
      <c r="X136" s="4"/>
      <c r="Y136" s="44"/>
      <c r="Z136" s="42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P136" s="33"/>
      <c r="AQ136" s="38" t="str">
        <f>Notes!U137</f>
        <v xml:space="preserve">               </v>
      </c>
      <c r="AR136" s="4"/>
      <c r="AS136" s="44"/>
      <c r="AT136" s="42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J136" s="33"/>
      <c r="BK136" s="38" t="str">
        <f>Notes!U137</f>
        <v xml:space="preserve">               </v>
      </c>
      <c r="BL136" s="4"/>
      <c r="BM136" s="44"/>
      <c r="BN136" s="42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D136" s="33"/>
      <c r="CE136" s="38" t="str">
        <f>Notes!U137</f>
        <v xml:space="preserve">               </v>
      </c>
      <c r="CF136" s="4"/>
      <c r="CG136" s="44"/>
      <c r="CH136" s="42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X136" s="33"/>
      <c r="CY136" s="38" t="str">
        <f>Notes!U137</f>
        <v xml:space="preserve">               </v>
      </c>
      <c r="CZ136" s="4"/>
      <c r="DA136" s="44"/>
      <c r="DB136" s="42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</row>
    <row r="137" spans="1:120" x14ac:dyDescent="0.35">
      <c r="A137" s="12">
        <v>130</v>
      </c>
      <c r="B137" s="33"/>
      <c r="C137" s="38" t="str">
        <f>Notes!U138</f>
        <v xml:space="preserve">               </v>
      </c>
      <c r="D137" s="4"/>
      <c r="E137" s="44"/>
      <c r="F137" s="42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V137" s="33"/>
      <c r="W137" s="38" t="str">
        <f>Notes!U138</f>
        <v xml:space="preserve">               </v>
      </c>
      <c r="X137" s="4"/>
      <c r="Y137" s="44"/>
      <c r="Z137" s="42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P137" s="33"/>
      <c r="AQ137" s="38" t="str">
        <f>Notes!U138</f>
        <v xml:space="preserve">               </v>
      </c>
      <c r="AR137" s="4"/>
      <c r="AS137" s="44"/>
      <c r="AT137" s="42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J137" s="33"/>
      <c r="BK137" s="38" t="str">
        <f>Notes!U138</f>
        <v xml:space="preserve">               </v>
      </c>
      <c r="BL137" s="4"/>
      <c r="BM137" s="44"/>
      <c r="BN137" s="42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D137" s="33"/>
      <c r="CE137" s="38" t="str">
        <f>Notes!U138</f>
        <v xml:space="preserve">               </v>
      </c>
      <c r="CF137" s="4"/>
      <c r="CG137" s="44"/>
      <c r="CH137" s="42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X137" s="33"/>
      <c r="CY137" s="38" t="str">
        <f>Notes!U138</f>
        <v xml:space="preserve">               </v>
      </c>
      <c r="CZ137" s="4"/>
      <c r="DA137" s="44"/>
      <c r="DB137" s="42"/>
      <c r="DC137" s="40"/>
      <c r="DD137" s="40"/>
      <c r="DE137" s="40"/>
      <c r="DF137" s="40"/>
      <c r="DG137" s="40"/>
      <c r="DH137" s="40"/>
      <c r="DI137" s="40"/>
      <c r="DJ137" s="40"/>
      <c r="DK137" s="40"/>
      <c r="DL137" s="40"/>
      <c r="DM137" s="40"/>
      <c r="DN137" s="40"/>
      <c r="DO137" s="40"/>
      <c r="DP137" s="40"/>
    </row>
    <row r="138" spans="1:120" x14ac:dyDescent="0.35">
      <c r="A138" s="12">
        <v>131</v>
      </c>
      <c r="B138" s="33"/>
      <c r="C138" s="38" t="str">
        <f>Notes!U139</f>
        <v xml:space="preserve">               </v>
      </c>
      <c r="D138" s="4"/>
      <c r="E138" s="44"/>
      <c r="F138" s="42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V138" s="33"/>
      <c r="W138" s="38" t="str">
        <f>Notes!U139</f>
        <v xml:space="preserve">               </v>
      </c>
      <c r="X138" s="4"/>
      <c r="Y138" s="44"/>
      <c r="Z138" s="42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P138" s="33"/>
      <c r="AQ138" s="38" t="str">
        <f>Notes!U139</f>
        <v xml:space="preserve">               </v>
      </c>
      <c r="AR138" s="4"/>
      <c r="AS138" s="44"/>
      <c r="AT138" s="42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J138" s="33"/>
      <c r="BK138" s="38" t="str">
        <f>Notes!U139</f>
        <v xml:space="preserve">               </v>
      </c>
      <c r="BL138" s="4"/>
      <c r="BM138" s="44"/>
      <c r="BN138" s="42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D138" s="33"/>
      <c r="CE138" s="38" t="str">
        <f>Notes!U139</f>
        <v xml:space="preserve">               </v>
      </c>
      <c r="CF138" s="4"/>
      <c r="CG138" s="44"/>
      <c r="CH138" s="42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X138" s="33"/>
      <c r="CY138" s="38" t="str">
        <f>Notes!U139</f>
        <v xml:space="preserve">               </v>
      </c>
      <c r="CZ138" s="4"/>
      <c r="DA138" s="44"/>
      <c r="DB138" s="42"/>
      <c r="DC138" s="40"/>
      <c r="DD138" s="40"/>
      <c r="DE138" s="40"/>
      <c r="DF138" s="40"/>
      <c r="DG138" s="40"/>
      <c r="DH138" s="40"/>
      <c r="DI138" s="40"/>
      <c r="DJ138" s="40"/>
      <c r="DK138" s="40"/>
      <c r="DL138" s="40"/>
      <c r="DM138" s="40"/>
      <c r="DN138" s="40"/>
      <c r="DO138" s="40"/>
      <c r="DP138" s="40"/>
    </row>
    <row r="139" spans="1:120" x14ac:dyDescent="0.35">
      <c r="A139" s="12">
        <v>132</v>
      </c>
      <c r="B139" s="33"/>
      <c r="C139" s="38" t="str">
        <f>Notes!U140</f>
        <v xml:space="preserve">               </v>
      </c>
      <c r="D139" s="4"/>
      <c r="E139" s="44"/>
      <c r="F139" s="42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V139" s="33"/>
      <c r="W139" s="38" t="str">
        <f>Notes!U140</f>
        <v xml:space="preserve">               </v>
      </c>
      <c r="X139" s="4"/>
      <c r="Y139" s="44"/>
      <c r="Z139" s="42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P139" s="33"/>
      <c r="AQ139" s="38" t="str">
        <f>Notes!U140</f>
        <v xml:space="preserve">               </v>
      </c>
      <c r="AR139" s="4"/>
      <c r="AS139" s="44"/>
      <c r="AT139" s="42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J139" s="33"/>
      <c r="BK139" s="38" t="str">
        <f>Notes!U140</f>
        <v xml:space="preserve">               </v>
      </c>
      <c r="BL139" s="4"/>
      <c r="BM139" s="44"/>
      <c r="BN139" s="42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D139" s="33"/>
      <c r="CE139" s="38" t="str">
        <f>Notes!U140</f>
        <v xml:space="preserve">               </v>
      </c>
      <c r="CF139" s="4"/>
      <c r="CG139" s="44"/>
      <c r="CH139" s="42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X139" s="33"/>
      <c r="CY139" s="38" t="str">
        <f>Notes!U140</f>
        <v xml:space="preserve">               </v>
      </c>
      <c r="CZ139" s="4"/>
      <c r="DA139" s="44"/>
      <c r="DB139" s="42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40"/>
      <c r="DP139" s="40"/>
    </row>
    <row r="140" spans="1:120" x14ac:dyDescent="0.35">
      <c r="A140" s="12">
        <v>133</v>
      </c>
      <c r="B140" s="33"/>
      <c r="C140" s="38" t="str">
        <f>Notes!U141</f>
        <v xml:space="preserve">               </v>
      </c>
      <c r="D140" s="4"/>
      <c r="E140" s="44"/>
      <c r="F140" s="42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V140" s="33"/>
      <c r="W140" s="38" t="str">
        <f>Notes!U141</f>
        <v xml:space="preserve">               </v>
      </c>
      <c r="X140" s="4"/>
      <c r="Y140" s="44"/>
      <c r="Z140" s="42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P140" s="33"/>
      <c r="AQ140" s="38" t="str">
        <f>Notes!U141</f>
        <v xml:space="preserve">               </v>
      </c>
      <c r="AR140" s="4"/>
      <c r="AS140" s="44"/>
      <c r="AT140" s="42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J140" s="33"/>
      <c r="BK140" s="38" t="str">
        <f>Notes!U141</f>
        <v xml:space="preserve">               </v>
      </c>
      <c r="BL140" s="4"/>
      <c r="BM140" s="44"/>
      <c r="BN140" s="42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D140" s="33"/>
      <c r="CE140" s="38" t="str">
        <f>Notes!U141</f>
        <v xml:space="preserve">               </v>
      </c>
      <c r="CF140" s="4"/>
      <c r="CG140" s="44"/>
      <c r="CH140" s="42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X140" s="33"/>
      <c r="CY140" s="38" t="str">
        <f>Notes!U141</f>
        <v xml:space="preserve">               </v>
      </c>
      <c r="CZ140" s="4"/>
      <c r="DA140" s="44"/>
      <c r="DB140" s="42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</row>
    <row r="141" spans="1:120" x14ac:dyDescent="0.35">
      <c r="A141" s="12">
        <v>134</v>
      </c>
      <c r="B141" s="33"/>
      <c r="C141" s="38" t="str">
        <f>Notes!U142</f>
        <v xml:space="preserve">               </v>
      </c>
      <c r="D141" s="4"/>
      <c r="E141" s="44"/>
      <c r="F141" s="42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V141" s="33"/>
      <c r="W141" s="38" t="str">
        <f>Notes!U142</f>
        <v xml:space="preserve">               </v>
      </c>
      <c r="X141" s="4"/>
      <c r="Y141" s="44"/>
      <c r="Z141" s="42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P141" s="33"/>
      <c r="AQ141" s="38" t="str">
        <f>Notes!U142</f>
        <v xml:space="preserve">               </v>
      </c>
      <c r="AR141" s="4"/>
      <c r="AS141" s="44"/>
      <c r="AT141" s="42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J141" s="33"/>
      <c r="BK141" s="38" t="str">
        <f>Notes!U142</f>
        <v xml:space="preserve">               </v>
      </c>
      <c r="BL141" s="4"/>
      <c r="BM141" s="44"/>
      <c r="BN141" s="42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D141" s="33"/>
      <c r="CE141" s="38" t="str">
        <f>Notes!U142</f>
        <v xml:space="preserve">               </v>
      </c>
      <c r="CF141" s="4"/>
      <c r="CG141" s="44"/>
      <c r="CH141" s="42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X141" s="33"/>
      <c r="CY141" s="38" t="str">
        <f>Notes!U142</f>
        <v xml:space="preserve">               </v>
      </c>
      <c r="CZ141" s="4"/>
      <c r="DA141" s="44"/>
      <c r="DB141" s="42"/>
      <c r="DC141" s="40"/>
      <c r="DD141" s="40"/>
      <c r="DE141" s="40"/>
      <c r="DF141" s="40"/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</row>
    <row r="142" spans="1:120" x14ac:dyDescent="0.35">
      <c r="A142" s="12">
        <v>135</v>
      </c>
      <c r="B142" s="33"/>
      <c r="C142" s="38" t="str">
        <f>Notes!U143</f>
        <v xml:space="preserve">               </v>
      </c>
      <c r="D142" s="4"/>
      <c r="E142" s="44"/>
      <c r="F142" s="42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V142" s="33"/>
      <c r="W142" s="38" t="str">
        <f>Notes!U143</f>
        <v xml:space="preserve">               </v>
      </c>
      <c r="X142" s="4"/>
      <c r="Y142" s="44"/>
      <c r="Z142" s="42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P142" s="33"/>
      <c r="AQ142" s="38" t="str">
        <f>Notes!U143</f>
        <v xml:space="preserve">               </v>
      </c>
      <c r="AR142" s="4"/>
      <c r="AS142" s="44"/>
      <c r="AT142" s="42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J142" s="33"/>
      <c r="BK142" s="38" t="str">
        <f>Notes!U143</f>
        <v xml:space="preserve">               </v>
      </c>
      <c r="BL142" s="4"/>
      <c r="BM142" s="44"/>
      <c r="BN142" s="42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D142" s="33"/>
      <c r="CE142" s="38" t="str">
        <f>Notes!U143</f>
        <v xml:space="preserve">               </v>
      </c>
      <c r="CF142" s="4"/>
      <c r="CG142" s="44"/>
      <c r="CH142" s="42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X142" s="33"/>
      <c r="CY142" s="38" t="str">
        <f>Notes!U143</f>
        <v xml:space="preserve">               </v>
      </c>
      <c r="CZ142" s="4"/>
      <c r="DA142" s="44"/>
      <c r="DB142" s="42"/>
      <c r="DC142" s="40"/>
      <c r="DD142" s="40"/>
      <c r="DE142" s="40"/>
      <c r="DF142" s="40"/>
      <c r="DG142" s="40"/>
      <c r="DH142" s="40"/>
      <c r="DI142" s="40"/>
      <c r="DJ142" s="40"/>
      <c r="DK142" s="40"/>
      <c r="DL142" s="40"/>
      <c r="DM142" s="40"/>
      <c r="DN142" s="40"/>
      <c r="DO142" s="40"/>
      <c r="DP142" s="40"/>
    </row>
    <row r="143" spans="1:120" x14ac:dyDescent="0.35">
      <c r="A143" s="12">
        <v>136</v>
      </c>
      <c r="B143" s="33"/>
      <c r="C143" s="38" t="str">
        <f>Notes!U144</f>
        <v xml:space="preserve">               </v>
      </c>
      <c r="D143" s="4"/>
      <c r="E143" s="44"/>
      <c r="F143" s="42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V143" s="33"/>
      <c r="W143" s="38" t="str">
        <f>Notes!U144</f>
        <v xml:space="preserve">               </v>
      </c>
      <c r="X143" s="4"/>
      <c r="Y143" s="44"/>
      <c r="Z143" s="42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P143" s="33"/>
      <c r="AQ143" s="38" t="str">
        <f>Notes!U144</f>
        <v xml:space="preserve">               </v>
      </c>
      <c r="AR143" s="4"/>
      <c r="AS143" s="44"/>
      <c r="AT143" s="42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J143" s="33"/>
      <c r="BK143" s="38" t="str">
        <f>Notes!U144</f>
        <v xml:space="preserve">               </v>
      </c>
      <c r="BL143" s="4"/>
      <c r="BM143" s="44"/>
      <c r="BN143" s="42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D143" s="33"/>
      <c r="CE143" s="38" t="str">
        <f>Notes!U144</f>
        <v xml:space="preserve">               </v>
      </c>
      <c r="CF143" s="4"/>
      <c r="CG143" s="44"/>
      <c r="CH143" s="42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X143" s="33"/>
      <c r="CY143" s="38" t="str">
        <f>Notes!U144</f>
        <v xml:space="preserve">               </v>
      </c>
      <c r="CZ143" s="4"/>
      <c r="DA143" s="44"/>
      <c r="DB143" s="42"/>
      <c r="DC143" s="40"/>
      <c r="DD143" s="40"/>
      <c r="DE143" s="40"/>
      <c r="DF143" s="40"/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</row>
    <row r="144" spans="1:120" x14ac:dyDescent="0.35">
      <c r="A144" s="12">
        <v>137</v>
      </c>
      <c r="B144" s="33"/>
      <c r="C144" s="38" t="str">
        <f>Notes!U145</f>
        <v xml:space="preserve">               </v>
      </c>
      <c r="D144" s="4"/>
      <c r="E144" s="44"/>
      <c r="F144" s="42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V144" s="33"/>
      <c r="W144" s="38" t="str">
        <f>Notes!U145</f>
        <v xml:space="preserve">               </v>
      </c>
      <c r="X144" s="4"/>
      <c r="Y144" s="44"/>
      <c r="Z144" s="42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P144" s="33"/>
      <c r="AQ144" s="38" t="str">
        <f>Notes!U145</f>
        <v xml:space="preserve">               </v>
      </c>
      <c r="AR144" s="4"/>
      <c r="AS144" s="44"/>
      <c r="AT144" s="42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J144" s="33"/>
      <c r="BK144" s="38" t="str">
        <f>Notes!U145</f>
        <v xml:space="preserve">               </v>
      </c>
      <c r="BL144" s="4"/>
      <c r="BM144" s="44"/>
      <c r="BN144" s="42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D144" s="33"/>
      <c r="CE144" s="38" t="str">
        <f>Notes!U145</f>
        <v xml:space="preserve">               </v>
      </c>
      <c r="CF144" s="4"/>
      <c r="CG144" s="44"/>
      <c r="CH144" s="42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X144" s="33"/>
      <c r="CY144" s="38" t="str">
        <f>Notes!U145</f>
        <v xml:space="preserve">               </v>
      </c>
      <c r="CZ144" s="4"/>
      <c r="DA144" s="44"/>
      <c r="DB144" s="42"/>
      <c r="DC144" s="40"/>
      <c r="DD144" s="40"/>
      <c r="DE144" s="40"/>
      <c r="DF144" s="40"/>
      <c r="DG144" s="40"/>
      <c r="DH144" s="40"/>
      <c r="DI144" s="40"/>
      <c r="DJ144" s="40"/>
      <c r="DK144" s="40"/>
      <c r="DL144" s="40"/>
      <c r="DM144" s="40"/>
      <c r="DN144" s="40"/>
      <c r="DO144" s="40"/>
      <c r="DP144" s="40"/>
    </row>
    <row r="145" spans="1:120" x14ac:dyDescent="0.35">
      <c r="A145" s="12">
        <v>138</v>
      </c>
      <c r="B145" s="33"/>
      <c r="C145" s="38" t="str">
        <f>Notes!U146</f>
        <v xml:space="preserve">               </v>
      </c>
      <c r="D145" s="4"/>
      <c r="E145" s="44"/>
      <c r="F145" s="42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V145" s="33"/>
      <c r="W145" s="38" t="str">
        <f>Notes!U146</f>
        <v xml:space="preserve">               </v>
      </c>
      <c r="X145" s="4"/>
      <c r="Y145" s="44"/>
      <c r="Z145" s="42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P145" s="33"/>
      <c r="AQ145" s="38" t="str">
        <f>Notes!U146</f>
        <v xml:space="preserve">               </v>
      </c>
      <c r="AR145" s="4"/>
      <c r="AS145" s="44"/>
      <c r="AT145" s="42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J145" s="33"/>
      <c r="BK145" s="38" t="str">
        <f>Notes!U146</f>
        <v xml:space="preserve">               </v>
      </c>
      <c r="BL145" s="4"/>
      <c r="BM145" s="44"/>
      <c r="BN145" s="42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D145" s="33"/>
      <c r="CE145" s="38" t="str">
        <f>Notes!U146</f>
        <v xml:space="preserve">               </v>
      </c>
      <c r="CF145" s="4"/>
      <c r="CG145" s="44"/>
      <c r="CH145" s="42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X145" s="33"/>
      <c r="CY145" s="38" t="str">
        <f>Notes!U146</f>
        <v xml:space="preserve">               </v>
      </c>
      <c r="CZ145" s="4"/>
      <c r="DA145" s="44"/>
      <c r="DB145" s="42"/>
      <c r="DC145" s="40"/>
      <c r="DD145" s="40"/>
      <c r="DE145" s="40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</row>
    <row r="146" spans="1:120" x14ac:dyDescent="0.35">
      <c r="A146" s="12">
        <v>139</v>
      </c>
      <c r="B146" s="33"/>
      <c r="C146" s="38" t="str">
        <f>Notes!U147</f>
        <v xml:space="preserve">               </v>
      </c>
      <c r="D146" s="4"/>
      <c r="E146" s="44"/>
      <c r="F146" s="42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V146" s="33"/>
      <c r="W146" s="38" t="str">
        <f>Notes!U147</f>
        <v xml:space="preserve">               </v>
      </c>
      <c r="X146" s="4"/>
      <c r="Y146" s="44"/>
      <c r="Z146" s="42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P146" s="33"/>
      <c r="AQ146" s="38" t="str">
        <f>Notes!U147</f>
        <v xml:space="preserve">               </v>
      </c>
      <c r="AR146" s="4"/>
      <c r="AS146" s="44"/>
      <c r="AT146" s="42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J146" s="33"/>
      <c r="BK146" s="38" t="str">
        <f>Notes!U147</f>
        <v xml:space="preserve">               </v>
      </c>
      <c r="BL146" s="4"/>
      <c r="BM146" s="44"/>
      <c r="BN146" s="42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D146" s="33"/>
      <c r="CE146" s="38" t="str">
        <f>Notes!U147</f>
        <v xml:space="preserve">               </v>
      </c>
      <c r="CF146" s="4"/>
      <c r="CG146" s="44"/>
      <c r="CH146" s="42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X146" s="33"/>
      <c r="CY146" s="38" t="str">
        <f>Notes!U147</f>
        <v xml:space="preserve">               </v>
      </c>
      <c r="CZ146" s="4"/>
      <c r="DA146" s="44"/>
      <c r="DB146" s="42"/>
      <c r="DC146" s="40"/>
      <c r="DD146" s="40"/>
      <c r="DE146" s="40"/>
      <c r="DF146" s="40"/>
      <c r="DG146" s="40"/>
      <c r="DH146" s="40"/>
      <c r="DI146" s="40"/>
      <c r="DJ146" s="40"/>
      <c r="DK146" s="40"/>
      <c r="DL146" s="40"/>
      <c r="DM146" s="40"/>
      <c r="DN146" s="40"/>
      <c r="DO146" s="40"/>
      <c r="DP146" s="40"/>
    </row>
    <row r="147" spans="1:120" x14ac:dyDescent="0.35">
      <c r="A147" s="12">
        <v>140</v>
      </c>
      <c r="B147" s="33"/>
      <c r="C147" s="38" t="str">
        <f>Notes!U148</f>
        <v xml:space="preserve">               </v>
      </c>
      <c r="D147" s="4"/>
      <c r="E147" s="44"/>
      <c r="F147" s="42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V147" s="33"/>
      <c r="W147" s="38" t="str">
        <f>Notes!U148</f>
        <v xml:space="preserve">               </v>
      </c>
      <c r="X147" s="4"/>
      <c r="Y147" s="44"/>
      <c r="Z147" s="42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P147" s="33"/>
      <c r="AQ147" s="38" t="str">
        <f>Notes!U148</f>
        <v xml:space="preserve">               </v>
      </c>
      <c r="AR147" s="4"/>
      <c r="AS147" s="44"/>
      <c r="AT147" s="42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J147" s="33"/>
      <c r="BK147" s="38" t="str">
        <f>Notes!U148</f>
        <v xml:space="preserve">               </v>
      </c>
      <c r="BL147" s="4"/>
      <c r="BM147" s="44"/>
      <c r="BN147" s="42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D147" s="33"/>
      <c r="CE147" s="38" t="str">
        <f>Notes!U148</f>
        <v xml:space="preserve">               </v>
      </c>
      <c r="CF147" s="4"/>
      <c r="CG147" s="44"/>
      <c r="CH147" s="42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X147" s="33"/>
      <c r="CY147" s="38" t="str">
        <f>Notes!U148</f>
        <v xml:space="preserve">               </v>
      </c>
      <c r="CZ147" s="4"/>
      <c r="DA147" s="44"/>
      <c r="DB147" s="42"/>
      <c r="DC147" s="40"/>
      <c r="DD147" s="40"/>
      <c r="DE147" s="40"/>
      <c r="DF147" s="40"/>
      <c r="DG147" s="40"/>
      <c r="DH147" s="40"/>
      <c r="DI147" s="40"/>
      <c r="DJ147" s="40"/>
      <c r="DK147" s="40"/>
      <c r="DL147" s="40"/>
      <c r="DM147" s="40"/>
      <c r="DN147" s="40"/>
      <c r="DO147" s="40"/>
      <c r="DP147" s="40"/>
    </row>
    <row r="148" spans="1:120" x14ac:dyDescent="0.35">
      <c r="A148" s="12">
        <v>141</v>
      </c>
      <c r="B148" s="33"/>
      <c r="C148" s="38" t="str">
        <f>Notes!U149</f>
        <v xml:space="preserve">               </v>
      </c>
      <c r="D148" s="4"/>
      <c r="E148" s="44"/>
      <c r="F148" s="42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V148" s="33"/>
      <c r="W148" s="38" t="str">
        <f>Notes!U149</f>
        <v xml:space="preserve">               </v>
      </c>
      <c r="X148" s="4"/>
      <c r="Y148" s="44"/>
      <c r="Z148" s="42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P148" s="33"/>
      <c r="AQ148" s="38" t="str">
        <f>Notes!U149</f>
        <v xml:space="preserve">               </v>
      </c>
      <c r="AR148" s="4"/>
      <c r="AS148" s="44"/>
      <c r="AT148" s="42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J148" s="33"/>
      <c r="BK148" s="38" t="str">
        <f>Notes!U149</f>
        <v xml:space="preserve">               </v>
      </c>
      <c r="BL148" s="4"/>
      <c r="BM148" s="44"/>
      <c r="BN148" s="42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D148" s="33"/>
      <c r="CE148" s="38" t="str">
        <f>Notes!U149</f>
        <v xml:space="preserve">               </v>
      </c>
      <c r="CF148" s="4"/>
      <c r="CG148" s="44"/>
      <c r="CH148" s="42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  <c r="CX148" s="33"/>
      <c r="CY148" s="38" t="str">
        <f>Notes!U149</f>
        <v xml:space="preserve">               </v>
      </c>
      <c r="CZ148" s="4"/>
      <c r="DA148" s="44"/>
      <c r="DB148" s="42"/>
      <c r="DC148" s="40"/>
      <c r="DD148" s="40"/>
      <c r="DE148" s="40"/>
      <c r="DF148" s="40"/>
      <c r="DG148" s="40"/>
      <c r="DH148" s="40"/>
      <c r="DI148" s="40"/>
      <c r="DJ148" s="40"/>
      <c r="DK148" s="40"/>
      <c r="DL148" s="40"/>
      <c r="DM148" s="40"/>
      <c r="DN148" s="40"/>
      <c r="DO148" s="40"/>
      <c r="DP148" s="40"/>
    </row>
    <row r="149" spans="1:120" x14ac:dyDescent="0.35">
      <c r="A149" s="12">
        <v>142</v>
      </c>
      <c r="B149" s="33"/>
      <c r="C149" s="38" t="str">
        <f>Notes!U150</f>
        <v xml:space="preserve">               </v>
      </c>
      <c r="D149" s="4"/>
      <c r="E149" s="44"/>
      <c r="F149" s="42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V149" s="33"/>
      <c r="W149" s="38" t="str">
        <f>Notes!U150</f>
        <v xml:space="preserve">               </v>
      </c>
      <c r="X149" s="4"/>
      <c r="Y149" s="44"/>
      <c r="Z149" s="42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P149" s="33"/>
      <c r="AQ149" s="38" t="str">
        <f>Notes!U150</f>
        <v xml:space="preserve">               </v>
      </c>
      <c r="AR149" s="4"/>
      <c r="AS149" s="44"/>
      <c r="AT149" s="42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J149" s="33"/>
      <c r="BK149" s="38" t="str">
        <f>Notes!U150</f>
        <v xml:space="preserve">               </v>
      </c>
      <c r="BL149" s="4"/>
      <c r="BM149" s="44"/>
      <c r="BN149" s="42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D149" s="33"/>
      <c r="CE149" s="38" t="str">
        <f>Notes!U150</f>
        <v xml:space="preserve">               </v>
      </c>
      <c r="CF149" s="4"/>
      <c r="CG149" s="44"/>
      <c r="CH149" s="42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X149" s="33"/>
      <c r="CY149" s="38" t="str">
        <f>Notes!U150</f>
        <v xml:space="preserve">               </v>
      </c>
      <c r="CZ149" s="4"/>
      <c r="DA149" s="44"/>
      <c r="DB149" s="42"/>
      <c r="DC149" s="40"/>
      <c r="DD149" s="40"/>
      <c r="DE149" s="40"/>
      <c r="DF149" s="40"/>
      <c r="DG149" s="40"/>
      <c r="DH149" s="40"/>
      <c r="DI149" s="40"/>
      <c r="DJ149" s="40"/>
      <c r="DK149" s="40"/>
      <c r="DL149" s="40"/>
      <c r="DM149" s="40"/>
      <c r="DN149" s="40"/>
      <c r="DO149" s="40"/>
      <c r="DP149" s="40"/>
    </row>
    <row r="150" spans="1:120" x14ac:dyDescent="0.35">
      <c r="A150" s="12">
        <v>143</v>
      </c>
      <c r="B150" s="33"/>
      <c r="C150" s="38" t="str">
        <f>Notes!U151</f>
        <v xml:space="preserve">               </v>
      </c>
      <c r="D150" s="4"/>
      <c r="E150" s="44"/>
      <c r="F150" s="42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V150" s="33"/>
      <c r="W150" s="38" t="str">
        <f>Notes!U151</f>
        <v xml:space="preserve">               </v>
      </c>
      <c r="X150" s="4"/>
      <c r="Y150" s="44"/>
      <c r="Z150" s="42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P150" s="33"/>
      <c r="AQ150" s="38" t="str">
        <f>Notes!U151</f>
        <v xml:space="preserve">               </v>
      </c>
      <c r="AR150" s="4"/>
      <c r="AS150" s="44"/>
      <c r="AT150" s="42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J150" s="33"/>
      <c r="BK150" s="38" t="str">
        <f>Notes!U151</f>
        <v xml:space="preserve">               </v>
      </c>
      <c r="BL150" s="4"/>
      <c r="BM150" s="44"/>
      <c r="BN150" s="42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D150" s="33"/>
      <c r="CE150" s="38" t="str">
        <f>Notes!U151</f>
        <v xml:space="preserve">               </v>
      </c>
      <c r="CF150" s="4"/>
      <c r="CG150" s="44"/>
      <c r="CH150" s="42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X150" s="33"/>
      <c r="CY150" s="38" t="str">
        <f>Notes!U151</f>
        <v xml:space="preserve">               </v>
      </c>
      <c r="CZ150" s="4"/>
      <c r="DA150" s="44"/>
      <c r="DB150" s="42"/>
      <c r="DC150" s="40"/>
      <c r="DD150" s="40"/>
      <c r="DE150" s="40"/>
      <c r="DF150" s="40"/>
      <c r="DG150" s="40"/>
      <c r="DH150" s="40"/>
      <c r="DI150" s="40"/>
      <c r="DJ150" s="40"/>
      <c r="DK150" s="40"/>
      <c r="DL150" s="40"/>
      <c r="DM150" s="40"/>
      <c r="DN150" s="40"/>
      <c r="DO150" s="40"/>
      <c r="DP150" s="40"/>
    </row>
    <row r="151" spans="1:120" x14ac:dyDescent="0.35">
      <c r="A151" s="12">
        <v>144</v>
      </c>
      <c r="B151" s="33"/>
      <c r="C151" s="38" t="str">
        <f>Notes!U152</f>
        <v xml:space="preserve">               </v>
      </c>
      <c r="D151" s="4"/>
      <c r="E151" s="44"/>
      <c r="F151" s="42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V151" s="33"/>
      <c r="W151" s="38" t="str">
        <f>Notes!U152</f>
        <v xml:space="preserve">               </v>
      </c>
      <c r="X151" s="4"/>
      <c r="Y151" s="44"/>
      <c r="Z151" s="42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P151" s="33"/>
      <c r="AQ151" s="38" t="str">
        <f>Notes!U152</f>
        <v xml:space="preserve">               </v>
      </c>
      <c r="AR151" s="4"/>
      <c r="AS151" s="44"/>
      <c r="AT151" s="42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J151" s="33"/>
      <c r="BK151" s="38" t="str">
        <f>Notes!U152</f>
        <v xml:space="preserve">               </v>
      </c>
      <c r="BL151" s="4"/>
      <c r="BM151" s="44"/>
      <c r="BN151" s="42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D151" s="33"/>
      <c r="CE151" s="38" t="str">
        <f>Notes!U152</f>
        <v xml:space="preserve">               </v>
      </c>
      <c r="CF151" s="4"/>
      <c r="CG151" s="44"/>
      <c r="CH151" s="42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  <c r="CX151" s="33"/>
      <c r="CY151" s="38" t="str">
        <f>Notes!U152</f>
        <v xml:space="preserve">               </v>
      </c>
      <c r="CZ151" s="4"/>
      <c r="DA151" s="44"/>
      <c r="DB151" s="42"/>
      <c r="DC151" s="40"/>
      <c r="DD151" s="40"/>
      <c r="DE151" s="40"/>
      <c r="DF151" s="40"/>
      <c r="DG151" s="40"/>
      <c r="DH151" s="40"/>
      <c r="DI151" s="40"/>
      <c r="DJ151" s="40"/>
      <c r="DK151" s="40"/>
      <c r="DL151" s="40"/>
      <c r="DM151" s="40"/>
      <c r="DN151" s="40"/>
      <c r="DO151" s="40"/>
      <c r="DP151" s="40"/>
    </row>
    <row r="152" spans="1:120" x14ac:dyDescent="0.35">
      <c r="A152" s="12">
        <v>145</v>
      </c>
      <c r="B152" s="33"/>
      <c r="C152" s="38" t="str">
        <f>Notes!U153</f>
        <v xml:space="preserve">               </v>
      </c>
      <c r="D152" s="4"/>
      <c r="E152" s="44"/>
      <c r="F152" s="42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V152" s="33"/>
      <c r="W152" s="38" t="str">
        <f>Notes!U153</f>
        <v xml:space="preserve">               </v>
      </c>
      <c r="X152" s="4"/>
      <c r="Y152" s="44"/>
      <c r="Z152" s="42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P152" s="33"/>
      <c r="AQ152" s="38" t="str">
        <f>Notes!U153</f>
        <v xml:space="preserve">               </v>
      </c>
      <c r="AR152" s="4"/>
      <c r="AS152" s="44"/>
      <c r="AT152" s="42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J152" s="33"/>
      <c r="BK152" s="38" t="str">
        <f>Notes!U153</f>
        <v xml:space="preserve">               </v>
      </c>
      <c r="BL152" s="4"/>
      <c r="BM152" s="44"/>
      <c r="BN152" s="42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D152" s="33"/>
      <c r="CE152" s="38" t="str">
        <f>Notes!U153</f>
        <v xml:space="preserve">               </v>
      </c>
      <c r="CF152" s="4"/>
      <c r="CG152" s="44"/>
      <c r="CH152" s="42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  <c r="CX152" s="33"/>
      <c r="CY152" s="38" t="str">
        <f>Notes!U153</f>
        <v xml:space="preserve">               </v>
      </c>
      <c r="CZ152" s="4"/>
      <c r="DA152" s="44"/>
      <c r="DB152" s="42"/>
      <c r="DC152" s="40"/>
      <c r="DD152" s="40"/>
      <c r="DE152" s="40"/>
      <c r="DF152" s="40"/>
      <c r="DG152" s="40"/>
      <c r="DH152" s="40"/>
      <c r="DI152" s="40"/>
      <c r="DJ152" s="40"/>
      <c r="DK152" s="40"/>
      <c r="DL152" s="40"/>
      <c r="DM152" s="40"/>
      <c r="DN152" s="40"/>
      <c r="DO152" s="40"/>
      <c r="DP152" s="40"/>
    </row>
    <row r="153" spans="1:120" x14ac:dyDescent="0.35">
      <c r="A153" s="12">
        <v>146</v>
      </c>
      <c r="B153" s="33"/>
      <c r="C153" s="38" t="str">
        <f>Notes!U154</f>
        <v xml:space="preserve">               </v>
      </c>
      <c r="D153" s="4"/>
      <c r="E153" s="44"/>
      <c r="F153" s="42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V153" s="33"/>
      <c r="W153" s="38" t="str">
        <f>Notes!U154</f>
        <v xml:space="preserve">               </v>
      </c>
      <c r="X153" s="4"/>
      <c r="Y153" s="44"/>
      <c r="Z153" s="42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P153" s="33"/>
      <c r="AQ153" s="38" t="str">
        <f>Notes!U154</f>
        <v xml:space="preserve">               </v>
      </c>
      <c r="AR153" s="4"/>
      <c r="AS153" s="44"/>
      <c r="AT153" s="42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J153" s="33"/>
      <c r="BK153" s="38" t="str">
        <f>Notes!U154</f>
        <v xml:space="preserve">               </v>
      </c>
      <c r="BL153" s="4"/>
      <c r="BM153" s="44"/>
      <c r="BN153" s="42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D153" s="33"/>
      <c r="CE153" s="38" t="str">
        <f>Notes!U154</f>
        <v xml:space="preserve">               </v>
      </c>
      <c r="CF153" s="4"/>
      <c r="CG153" s="44"/>
      <c r="CH153" s="42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X153" s="33"/>
      <c r="CY153" s="38" t="str">
        <f>Notes!U154</f>
        <v xml:space="preserve">               </v>
      </c>
      <c r="CZ153" s="4"/>
      <c r="DA153" s="44"/>
      <c r="DB153" s="42"/>
      <c r="DC153" s="40"/>
      <c r="DD153" s="40"/>
      <c r="DE153" s="40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</row>
    <row r="154" spans="1:120" x14ac:dyDescent="0.35">
      <c r="A154" s="12">
        <v>147</v>
      </c>
      <c r="B154" s="33"/>
      <c r="C154" s="38" t="str">
        <f>Notes!U155</f>
        <v xml:space="preserve">               </v>
      </c>
      <c r="D154" s="4"/>
      <c r="E154" s="44"/>
      <c r="F154" s="42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V154" s="33"/>
      <c r="W154" s="38" t="str">
        <f>Notes!U155</f>
        <v xml:space="preserve">               </v>
      </c>
      <c r="X154" s="4"/>
      <c r="Y154" s="44"/>
      <c r="Z154" s="42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P154" s="33"/>
      <c r="AQ154" s="38" t="str">
        <f>Notes!U155</f>
        <v xml:space="preserve">               </v>
      </c>
      <c r="AR154" s="4"/>
      <c r="AS154" s="44"/>
      <c r="AT154" s="42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J154" s="33"/>
      <c r="BK154" s="38" t="str">
        <f>Notes!U155</f>
        <v xml:space="preserve">               </v>
      </c>
      <c r="BL154" s="4"/>
      <c r="BM154" s="44"/>
      <c r="BN154" s="42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D154" s="33"/>
      <c r="CE154" s="38" t="str">
        <f>Notes!U155</f>
        <v xml:space="preserve">               </v>
      </c>
      <c r="CF154" s="4"/>
      <c r="CG154" s="44"/>
      <c r="CH154" s="42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X154" s="33"/>
      <c r="CY154" s="38" t="str">
        <f>Notes!U155</f>
        <v xml:space="preserve">               </v>
      </c>
      <c r="CZ154" s="4"/>
      <c r="DA154" s="44"/>
      <c r="DB154" s="42"/>
      <c r="DC154" s="40"/>
      <c r="DD154" s="40"/>
      <c r="DE154" s="40"/>
      <c r="DF154" s="40"/>
      <c r="DG154" s="40"/>
      <c r="DH154" s="40"/>
      <c r="DI154" s="40"/>
      <c r="DJ154" s="40"/>
      <c r="DK154" s="40"/>
      <c r="DL154" s="40"/>
      <c r="DM154" s="40"/>
      <c r="DN154" s="40"/>
      <c r="DO154" s="40"/>
      <c r="DP154" s="40"/>
    </row>
    <row r="155" spans="1:120" x14ac:dyDescent="0.35">
      <c r="A155" s="12">
        <v>148</v>
      </c>
      <c r="B155" s="33"/>
      <c r="C155" s="38" t="str">
        <f>Notes!U156</f>
        <v xml:space="preserve">               </v>
      </c>
      <c r="D155" s="4"/>
      <c r="E155" s="44"/>
      <c r="F155" s="42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V155" s="33"/>
      <c r="W155" s="38" t="str">
        <f>Notes!U156</f>
        <v xml:space="preserve">               </v>
      </c>
      <c r="X155" s="4"/>
      <c r="Y155" s="44"/>
      <c r="Z155" s="42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P155" s="33"/>
      <c r="AQ155" s="38" t="str">
        <f>Notes!U156</f>
        <v xml:space="preserve">               </v>
      </c>
      <c r="AR155" s="4"/>
      <c r="AS155" s="44"/>
      <c r="AT155" s="42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J155" s="33"/>
      <c r="BK155" s="38" t="str">
        <f>Notes!U156</f>
        <v xml:space="preserve">               </v>
      </c>
      <c r="BL155" s="4"/>
      <c r="BM155" s="44"/>
      <c r="BN155" s="42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D155" s="33"/>
      <c r="CE155" s="38" t="str">
        <f>Notes!U156</f>
        <v xml:space="preserve">               </v>
      </c>
      <c r="CF155" s="4"/>
      <c r="CG155" s="44"/>
      <c r="CH155" s="42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X155" s="33"/>
      <c r="CY155" s="38" t="str">
        <f>Notes!U156</f>
        <v xml:space="preserve">               </v>
      </c>
      <c r="CZ155" s="4"/>
      <c r="DA155" s="44"/>
      <c r="DB155" s="42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</row>
    <row r="156" spans="1:120" x14ac:dyDescent="0.35">
      <c r="A156" s="12">
        <v>149</v>
      </c>
      <c r="B156" s="33"/>
      <c r="C156" s="38" t="str">
        <f>Notes!U157</f>
        <v xml:space="preserve">               </v>
      </c>
      <c r="D156" s="4"/>
      <c r="E156" s="44"/>
      <c r="F156" s="42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V156" s="33"/>
      <c r="W156" s="38" t="str">
        <f>Notes!U157</f>
        <v xml:space="preserve">               </v>
      </c>
      <c r="X156" s="4"/>
      <c r="Y156" s="44"/>
      <c r="Z156" s="42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P156" s="33"/>
      <c r="AQ156" s="38" t="str">
        <f>Notes!U157</f>
        <v xml:space="preserve">               </v>
      </c>
      <c r="AR156" s="4"/>
      <c r="AS156" s="44"/>
      <c r="AT156" s="42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J156" s="33"/>
      <c r="BK156" s="38" t="str">
        <f>Notes!U157</f>
        <v xml:space="preserve">               </v>
      </c>
      <c r="BL156" s="4"/>
      <c r="BM156" s="44"/>
      <c r="BN156" s="42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D156" s="33"/>
      <c r="CE156" s="38" t="str">
        <f>Notes!U157</f>
        <v xml:space="preserve">               </v>
      </c>
      <c r="CF156" s="4"/>
      <c r="CG156" s="44"/>
      <c r="CH156" s="42"/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X156" s="33"/>
      <c r="CY156" s="38" t="str">
        <f>Notes!U157</f>
        <v xml:space="preserve">               </v>
      </c>
      <c r="CZ156" s="4"/>
      <c r="DA156" s="44"/>
      <c r="DB156" s="42"/>
      <c r="DC156" s="40"/>
      <c r="DD156" s="40"/>
      <c r="DE156" s="40"/>
      <c r="DF156" s="40"/>
      <c r="DG156" s="40"/>
      <c r="DH156" s="40"/>
      <c r="DI156" s="40"/>
      <c r="DJ156" s="40"/>
      <c r="DK156" s="40"/>
      <c r="DL156" s="40"/>
      <c r="DM156" s="40"/>
      <c r="DN156" s="40"/>
      <c r="DO156" s="40"/>
      <c r="DP156" s="40"/>
    </row>
    <row r="157" spans="1:120" x14ac:dyDescent="0.35">
      <c r="A157" s="12">
        <v>150</v>
      </c>
      <c r="B157" s="33"/>
      <c r="C157" s="38" t="str">
        <f>Notes!U158</f>
        <v xml:space="preserve">               </v>
      </c>
      <c r="D157" s="4"/>
      <c r="E157" s="45"/>
      <c r="F157" s="42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V157" s="33"/>
      <c r="W157" s="38" t="str">
        <f>Notes!U158</f>
        <v xml:space="preserve">               </v>
      </c>
      <c r="X157" s="4"/>
      <c r="Y157" s="44"/>
      <c r="Z157" s="42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P157" s="33"/>
      <c r="AQ157" s="38" t="str">
        <f>Notes!U158</f>
        <v xml:space="preserve">               </v>
      </c>
      <c r="AR157" s="4"/>
      <c r="AS157" s="44"/>
      <c r="AT157" s="42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J157" s="33"/>
      <c r="BK157" s="38" t="str">
        <f>Notes!U158</f>
        <v xml:space="preserve">               </v>
      </c>
      <c r="BL157" s="4"/>
      <c r="BM157" s="44"/>
      <c r="BN157" s="42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D157" s="33"/>
      <c r="CE157" s="38" t="str">
        <f>Notes!U158</f>
        <v xml:space="preserve">               </v>
      </c>
      <c r="CF157" s="4"/>
      <c r="CG157" s="44"/>
      <c r="CH157" s="42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X157" s="33"/>
      <c r="CY157" s="38" t="str">
        <f>Notes!U158</f>
        <v xml:space="preserve">               </v>
      </c>
      <c r="CZ157" s="4"/>
      <c r="DA157" s="44"/>
      <c r="DB157" s="42"/>
      <c r="DC157" s="40"/>
      <c r="DD157" s="40"/>
      <c r="DE157" s="40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</row>
    <row r="158" spans="1:120" x14ac:dyDescent="0.35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</row>
  </sheetData>
  <sheetProtection sheet="1" objects="1" scenarios="1"/>
  <conditionalFormatting sqref="E8:T157">
    <cfRule type="cellIs" dxfId="13" priority="6" operator="equal">
      <formula>"Eps"</formula>
    </cfRule>
  </conditionalFormatting>
  <conditionalFormatting sqref="Y8:AN157">
    <cfRule type="cellIs" dxfId="12" priority="5" operator="equal">
      <formula>"Eps"</formula>
    </cfRule>
  </conditionalFormatting>
  <conditionalFormatting sqref="AS8:BH157">
    <cfRule type="cellIs" dxfId="11" priority="4" operator="equal">
      <formula>"Eps"</formula>
    </cfRule>
  </conditionalFormatting>
  <conditionalFormatting sqref="BM8:CB157">
    <cfRule type="cellIs" dxfId="10" priority="3" operator="equal">
      <formula>"Eps"</formula>
    </cfRule>
  </conditionalFormatting>
  <conditionalFormatting sqref="CG8:CV157">
    <cfRule type="cellIs" dxfId="9" priority="2" operator="equal">
      <formula>"Eps"</formula>
    </cfRule>
  </conditionalFormatting>
  <conditionalFormatting sqref="DA8:DP157">
    <cfRule type="cellIs" dxfId="8" priority="1" operator="equal">
      <formula>"Eps"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6A3F-C89A-4A7E-82B5-FCC71C2AF6B9}">
  <sheetPr>
    <tabColor theme="8" tint="-0.499984740745262"/>
  </sheetPr>
  <dimension ref="A1:BK158"/>
  <sheetViews>
    <sheetView zoomScale="85" zoomScaleNormal="85" workbookViewId="0">
      <pane ySplit="7" topLeftCell="A8" activePane="bottomLeft" state="frozen"/>
      <selection activeCell="K75" sqref="K75"/>
      <selection pane="bottomLeft" activeCell="E15" sqref="E15"/>
    </sheetView>
  </sheetViews>
  <sheetFormatPr defaultColWidth="0" defaultRowHeight="14.5" zeroHeight="1" x14ac:dyDescent="0.35"/>
  <cols>
    <col min="1" max="2" width="2.453125" customWidth="1"/>
    <col min="3" max="3" width="28.90625" customWidth="1"/>
    <col min="4" max="4" width="9.08984375" hidden="1" customWidth="1"/>
    <col min="5" max="20" width="9.08984375" customWidth="1"/>
    <col min="21" max="22" width="2.453125" customWidth="1"/>
    <col min="23" max="23" width="28.90625" customWidth="1"/>
    <col min="24" max="24" width="9.08984375" hidden="1" customWidth="1"/>
    <col min="25" max="40" width="9.08984375" customWidth="1"/>
    <col min="41" max="42" width="2.453125" customWidth="1"/>
    <col min="43" max="43" width="28.90625" customWidth="1"/>
    <col min="44" max="44" width="9.08984375" hidden="1" customWidth="1"/>
    <col min="45" max="60" width="9.08984375" customWidth="1"/>
    <col min="61" max="61" width="2.453125" customWidth="1"/>
    <col min="62" max="16384" width="9.08984375" hidden="1"/>
  </cols>
  <sheetData>
    <row r="1" spans="1:63" ht="18.5" x14ac:dyDescent="0.45">
      <c r="A1" s="9" t="s">
        <v>54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7" t="s">
        <v>70</v>
      </c>
      <c r="M1" s="8" t="str">
        <f>C5</f>
        <v>Total factor income (YF)</v>
      </c>
    </row>
    <row r="2" spans="1:63" x14ac:dyDescent="0.35">
      <c r="L2" s="8"/>
      <c r="M2" s="8" t="str">
        <f>W5</f>
        <v>Total factor supply (QFS)</v>
      </c>
    </row>
    <row r="3" spans="1:63" x14ac:dyDescent="0.35">
      <c r="L3" s="8"/>
      <c r="M3" s="8" t="str">
        <f>AQ5</f>
        <v>Average economywide wages or rents (WF)</v>
      </c>
    </row>
    <row r="4" spans="1:63" x14ac:dyDescent="0.35"/>
    <row r="5" spans="1:63" ht="15.5" x14ac:dyDescent="0.35">
      <c r="B5" s="13"/>
      <c r="C5" s="11" t="s">
        <v>55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V5" s="13"/>
      <c r="W5" s="11" t="s">
        <v>56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P5" s="13"/>
      <c r="AQ5" s="11" t="s">
        <v>57</v>
      </c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63" x14ac:dyDescent="0.35">
      <c r="B6" s="29"/>
      <c r="C6" s="35" t="s">
        <v>71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V6" s="29"/>
      <c r="W6" s="35" t="s">
        <v>81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P6" s="29"/>
      <c r="AQ6" s="35" t="s">
        <v>72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</row>
    <row r="7" spans="1:63" x14ac:dyDescent="0.35">
      <c r="B7" s="29"/>
      <c r="C7" s="34"/>
      <c r="D7" s="34"/>
      <c r="E7" s="43" t="s">
        <v>42</v>
      </c>
      <c r="F7" s="41" t="s">
        <v>588</v>
      </c>
      <c r="G7" s="39" t="s">
        <v>589</v>
      </c>
      <c r="H7" s="39" t="s">
        <v>590</v>
      </c>
      <c r="I7" s="39" t="s">
        <v>465</v>
      </c>
      <c r="J7" s="39" t="s">
        <v>455</v>
      </c>
      <c r="K7" s="39" t="s">
        <v>456</v>
      </c>
      <c r="L7" s="39" t="s">
        <v>457</v>
      </c>
      <c r="M7" s="39" t="s">
        <v>458</v>
      </c>
      <c r="N7" s="39" t="s">
        <v>459</v>
      </c>
      <c r="O7" s="39" t="s">
        <v>460</v>
      </c>
      <c r="P7" s="39" t="s">
        <v>43</v>
      </c>
      <c r="Q7" s="39" t="s">
        <v>44</v>
      </c>
      <c r="R7" s="39" t="s">
        <v>45</v>
      </c>
      <c r="S7" s="39" t="s">
        <v>46</v>
      </c>
      <c r="T7" s="39" t="s">
        <v>47</v>
      </c>
      <c r="V7" s="29"/>
      <c r="W7" s="34"/>
      <c r="X7" s="34"/>
      <c r="Y7" s="43" t="s">
        <v>42</v>
      </c>
      <c r="Z7" s="41" t="s">
        <v>588</v>
      </c>
      <c r="AA7" s="39" t="s">
        <v>589</v>
      </c>
      <c r="AB7" s="39" t="s">
        <v>590</v>
      </c>
      <c r="AC7" s="39" t="s">
        <v>465</v>
      </c>
      <c r="AD7" s="39" t="s">
        <v>455</v>
      </c>
      <c r="AE7" s="39" t="s">
        <v>456</v>
      </c>
      <c r="AF7" s="39" t="s">
        <v>457</v>
      </c>
      <c r="AG7" s="39" t="s">
        <v>458</v>
      </c>
      <c r="AH7" s="39" t="s">
        <v>459</v>
      </c>
      <c r="AI7" s="39" t="s">
        <v>460</v>
      </c>
      <c r="AJ7" s="39" t="s">
        <v>43</v>
      </c>
      <c r="AK7" s="39" t="s">
        <v>44</v>
      </c>
      <c r="AL7" s="39" t="s">
        <v>45</v>
      </c>
      <c r="AM7" s="39" t="s">
        <v>46</v>
      </c>
      <c r="AN7" s="39" t="s">
        <v>47</v>
      </c>
      <c r="AP7" s="29"/>
      <c r="AQ7" s="34"/>
      <c r="AR7" s="34"/>
      <c r="AS7" s="43" t="s">
        <v>42</v>
      </c>
      <c r="AT7" s="41" t="s">
        <v>588</v>
      </c>
      <c r="AU7" s="39" t="s">
        <v>589</v>
      </c>
      <c r="AV7" s="39" t="s">
        <v>590</v>
      </c>
      <c r="AW7" s="39" t="s">
        <v>465</v>
      </c>
      <c r="AX7" s="39" t="s">
        <v>455</v>
      </c>
      <c r="AY7" s="39" t="s">
        <v>456</v>
      </c>
      <c r="AZ7" s="39" t="s">
        <v>457</v>
      </c>
      <c r="BA7" s="39" t="s">
        <v>458</v>
      </c>
      <c r="BB7" s="39" t="s">
        <v>459</v>
      </c>
      <c r="BC7" s="39" t="s">
        <v>460</v>
      </c>
      <c r="BD7" s="39" t="s">
        <v>43</v>
      </c>
      <c r="BE7" s="39" t="s">
        <v>44</v>
      </c>
      <c r="BF7" s="39" t="s">
        <v>45</v>
      </c>
      <c r="BG7" s="39" t="s">
        <v>46</v>
      </c>
      <c r="BH7" s="39" t="s">
        <v>47</v>
      </c>
    </row>
    <row r="8" spans="1:63" x14ac:dyDescent="0.35">
      <c r="A8" s="12">
        <v>1</v>
      </c>
      <c r="B8" s="33"/>
      <c r="C8" s="38" t="str">
        <f>Notes!V9</f>
        <v>Labor</v>
      </c>
      <c r="D8" s="4" t="s">
        <v>391</v>
      </c>
      <c r="E8" s="90">
        <v>3897.2865532429551</v>
      </c>
      <c r="F8" s="42" t="s">
        <v>48</v>
      </c>
      <c r="G8" s="40" t="s">
        <v>48</v>
      </c>
      <c r="H8" s="40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V8" s="33"/>
      <c r="W8" s="38" t="str">
        <f>Notes!V9</f>
        <v>Labor</v>
      </c>
      <c r="X8" s="4" t="s">
        <v>391</v>
      </c>
      <c r="Y8" s="90">
        <v>3890.8736987286529</v>
      </c>
      <c r="Z8" s="42" t="s">
        <v>48</v>
      </c>
      <c r="AA8" s="40" t="s">
        <v>48</v>
      </c>
      <c r="AB8" s="40" t="s">
        <v>48</v>
      </c>
      <c r="AC8" s="40" t="s">
        <v>48</v>
      </c>
      <c r="AD8" s="40" t="s">
        <v>48</v>
      </c>
      <c r="AE8" s="40" t="s">
        <v>48</v>
      </c>
      <c r="AF8" s="40" t="s">
        <v>48</v>
      </c>
      <c r="AG8" s="40" t="s">
        <v>48</v>
      </c>
      <c r="AH8" s="40" t="s">
        <v>48</v>
      </c>
      <c r="AI8" s="40" t="s">
        <v>48</v>
      </c>
      <c r="AJ8" s="40" t="s">
        <v>48</v>
      </c>
      <c r="AK8" s="40" t="s">
        <v>48</v>
      </c>
      <c r="AL8" s="40" t="s">
        <v>48</v>
      </c>
      <c r="AM8" s="40" t="s">
        <v>48</v>
      </c>
      <c r="AN8" s="40" t="s">
        <v>48</v>
      </c>
      <c r="AP8" s="33"/>
      <c r="AQ8" s="38" t="str">
        <f>Notes!V9</f>
        <v>Labor</v>
      </c>
      <c r="AR8" s="4" t="s">
        <v>391</v>
      </c>
      <c r="AS8" s="44">
        <v>1</v>
      </c>
      <c r="AT8" s="42" t="s">
        <v>48</v>
      </c>
      <c r="AU8" s="40" t="s">
        <v>48</v>
      </c>
      <c r="AV8" s="40" t="s">
        <v>48</v>
      </c>
      <c r="AW8" s="40" t="s">
        <v>48</v>
      </c>
      <c r="AX8" s="40" t="s">
        <v>48</v>
      </c>
      <c r="AY8" s="40" t="s">
        <v>48</v>
      </c>
      <c r="AZ8" s="40" t="s">
        <v>48</v>
      </c>
      <c r="BA8" s="40" t="s">
        <v>48</v>
      </c>
      <c r="BB8" s="40" t="s">
        <v>48</v>
      </c>
      <c r="BC8" s="40" t="s">
        <v>48</v>
      </c>
      <c r="BD8" s="40" t="s">
        <v>48</v>
      </c>
      <c r="BE8" s="40" t="s">
        <v>48</v>
      </c>
      <c r="BF8" s="40" t="s">
        <v>48</v>
      </c>
      <c r="BG8" s="40" t="s">
        <v>48</v>
      </c>
      <c r="BH8" s="40" t="s">
        <v>48</v>
      </c>
    </row>
    <row r="9" spans="1:63" x14ac:dyDescent="0.35">
      <c r="A9" s="12">
        <v>2</v>
      </c>
      <c r="B9" s="33"/>
      <c r="C9" s="38" t="str">
        <f>Notes!V10</f>
        <v xml:space="preserve">      Labor - uneducated</v>
      </c>
      <c r="D9" s="4" t="s">
        <v>534</v>
      </c>
      <c r="E9" s="90">
        <v>858.08964479827875</v>
      </c>
      <c r="F9" s="47" t="s">
        <v>48</v>
      </c>
      <c r="G9" s="48" t="s">
        <v>48</v>
      </c>
      <c r="H9" s="48" t="s">
        <v>48</v>
      </c>
      <c r="I9" s="48" t="s">
        <v>48</v>
      </c>
      <c r="J9" s="48" t="s">
        <v>48</v>
      </c>
      <c r="K9" s="48" t="s">
        <v>48</v>
      </c>
      <c r="L9" s="48" t="s">
        <v>48</v>
      </c>
      <c r="M9" s="48" t="s">
        <v>48</v>
      </c>
      <c r="N9" s="48" t="s">
        <v>48</v>
      </c>
      <c r="O9" s="48" t="s">
        <v>48</v>
      </c>
      <c r="P9" s="48" t="s">
        <v>48</v>
      </c>
      <c r="Q9" s="48" t="s">
        <v>48</v>
      </c>
      <c r="R9" s="48" t="s">
        <v>48</v>
      </c>
      <c r="S9" s="48" t="s">
        <v>48</v>
      </c>
      <c r="T9" s="48" t="s">
        <v>48</v>
      </c>
      <c r="U9" s="49"/>
      <c r="V9" s="33"/>
      <c r="W9" s="38" t="str">
        <f>Notes!V10</f>
        <v xml:space="preserve">      Labor - uneducated</v>
      </c>
      <c r="X9" s="4" t="s">
        <v>534</v>
      </c>
      <c r="Y9" s="90">
        <v>856.67768702274861</v>
      </c>
      <c r="Z9" s="42" t="s">
        <v>48</v>
      </c>
      <c r="AA9" s="48" t="s">
        <v>48</v>
      </c>
      <c r="AB9" s="48" t="s">
        <v>48</v>
      </c>
      <c r="AC9" s="48" t="s">
        <v>48</v>
      </c>
      <c r="AD9" s="48" t="s">
        <v>48</v>
      </c>
      <c r="AE9" s="48" t="s">
        <v>48</v>
      </c>
      <c r="AF9" s="48" t="s">
        <v>48</v>
      </c>
      <c r="AG9" s="48" t="s">
        <v>48</v>
      </c>
      <c r="AH9" s="48" t="s">
        <v>48</v>
      </c>
      <c r="AI9" s="48" t="s">
        <v>48</v>
      </c>
      <c r="AJ9" s="48" t="s">
        <v>48</v>
      </c>
      <c r="AK9" s="48" t="s">
        <v>48</v>
      </c>
      <c r="AL9" s="48" t="s">
        <v>48</v>
      </c>
      <c r="AM9" s="48" t="s">
        <v>48</v>
      </c>
      <c r="AN9" s="48" t="s">
        <v>48</v>
      </c>
      <c r="AO9" s="49"/>
      <c r="AP9" s="50"/>
      <c r="AQ9" s="38" t="str">
        <f>Notes!V10</f>
        <v xml:space="preserve">      Labor - uneducated</v>
      </c>
      <c r="AR9" s="4" t="s">
        <v>534</v>
      </c>
      <c r="AS9" s="44">
        <v>1</v>
      </c>
      <c r="AT9" s="42" t="s">
        <v>48</v>
      </c>
      <c r="AU9" s="40" t="s">
        <v>48</v>
      </c>
      <c r="AV9" s="48" t="s">
        <v>48</v>
      </c>
      <c r="AW9" s="48" t="s">
        <v>48</v>
      </c>
      <c r="AX9" s="48" t="s">
        <v>48</v>
      </c>
      <c r="AY9" s="48" t="s">
        <v>48</v>
      </c>
      <c r="AZ9" s="48" t="s">
        <v>48</v>
      </c>
      <c r="BA9" s="48" t="s">
        <v>48</v>
      </c>
      <c r="BB9" s="48" t="s">
        <v>48</v>
      </c>
      <c r="BC9" s="48" t="s">
        <v>48</v>
      </c>
      <c r="BD9" s="48" t="s">
        <v>48</v>
      </c>
      <c r="BE9" s="48" t="s">
        <v>48</v>
      </c>
      <c r="BF9" s="48" t="s">
        <v>48</v>
      </c>
      <c r="BG9" s="48" t="s">
        <v>48</v>
      </c>
      <c r="BH9" s="48" t="s">
        <v>48</v>
      </c>
      <c r="BI9" s="49"/>
      <c r="BJ9" s="49"/>
      <c r="BK9" s="49"/>
    </row>
    <row r="10" spans="1:63" x14ac:dyDescent="0.35">
      <c r="A10" s="12">
        <v>3</v>
      </c>
      <c r="B10" s="33"/>
      <c r="C10" s="38" t="str">
        <f>Notes!V11</f>
        <v xml:space="preserve">      Labor - primary</v>
      </c>
      <c r="D10" s="4" t="s">
        <v>536</v>
      </c>
      <c r="E10" s="93">
        <v>978.33534318369391</v>
      </c>
      <c r="F10" s="42" t="s">
        <v>48</v>
      </c>
      <c r="G10" s="40" t="s">
        <v>48</v>
      </c>
      <c r="H10" s="40" t="s">
        <v>48</v>
      </c>
      <c r="I10" s="40" t="s">
        <v>48</v>
      </c>
      <c r="J10" s="40" t="s">
        <v>48</v>
      </c>
      <c r="K10" s="40" t="s">
        <v>48</v>
      </c>
      <c r="L10" s="40" t="s">
        <v>48</v>
      </c>
      <c r="M10" s="40" t="s">
        <v>48</v>
      </c>
      <c r="N10" s="40" t="s">
        <v>48</v>
      </c>
      <c r="O10" s="40" t="s">
        <v>48</v>
      </c>
      <c r="P10" s="40" t="s">
        <v>48</v>
      </c>
      <c r="Q10" s="40" t="s">
        <v>48</v>
      </c>
      <c r="R10" s="40" t="s">
        <v>48</v>
      </c>
      <c r="S10" s="40" t="s">
        <v>48</v>
      </c>
      <c r="T10" s="40" t="s">
        <v>48</v>
      </c>
      <c r="V10" s="33"/>
      <c r="W10" s="38" t="str">
        <f>Notes!V11</f>
        <v xml:space="preserve">      Labor - primary</v>
      </c>
      <c r="X10" s="4" t="s">
        <v>536</v>
      </c>
      <c r="Y10" s="93">
        <v>976.72552513815754</v>
      </c>
      <c r="Z10" s="47" t="s">
        <v>48</v>
      </c>
      <c r="AA10" s="40" t="s">
        <v>48</v>
      </c>
      <c r="AB10" s="40" t="s">
        <v>48</v>
      </c>
      <c r="AC10" s="40" t="s">
        <v>48</v>
      </c>
      <c r="AD10" s="40" t="s">
        <v>48</v>
      </c>
      <c r="AE10" s="40" t="s">
        <v>48</v>
      </c>
      <c r="AF10" s="40" t="s">
        <v>48</v>
      </c>
      <c r="AG10" s="40" t="s">
        <v>48</v>
      </c>
      <c r="AH10" s="40" t="s">
        <v>48</v>
      </c>
      <c r="AI10" s="40" t="s">
        <v>48</v>
      </c>
      <c r="AJ10" s="40" t="s">
        <v>48</v>
      </c>
      <c r="AK10" s="40" t="s">
        <v>48</v>
      </c>
      <c r="AL10" s="40" t="s">
        <v>48</v>
      </c>
      <c r="AM10" s="40" t="s">
        <v>48</v>
      </c>
      <c r="AN10" s="40" t="s">
        <v>48</v>
      </c>
      <c r="AP10" s="33"/>
      <c r="AQ10" s="38" t="str">
        <f>Notes!V11</f>
        <v xml:space="preserve">      Labor - primary</v>
      </c>
      <c r="AR10" s="4" t="s">
        <v>536</v>
      </c>
      <c r="AS10" s="44">
        <v>1</v>
      </c>
      <c r="AT10" s="42" t="s">
        <v>48</v>
      </c>
      <c r="AU10" s="48" t="s">
        <v>48</v>
      </c>
      <c r="AV10" s="40" t="s">
        <v>48</v>
      </c>
      <c r="AW10" s="40" t="s">
        <v>48</v>
      </c>
      <c r="AX10" s="40" t="s">
        <v>48</v>
      </c>
      <c r="AY10" s="40" t="s">
        <v>48</v>
      </c>
      <c r="AZ10" s="40" t="s">
        <v>48</v>
      </c>
      <c r="BA10" s="40" t="s">
        <v>48</v>
      </c>
      <c r="BB10" s="40" t="s">
        <v>48</v>
      </c>
      <c r="BC10" s="40" t="s">
        <v>48</v>
      </c>
      <c r="BD10" s="40" t="s">
        <v>48</v>
      </c>
      <c r="BE10" s="40" t="s">
        <v>48</v>
      </c>
      <c r="BF10" s="40" t="s">
        <v>48</v>
      </c>
      <c r="BG10" s="40" t="s">
        <v>48</v>
      </c>
      <c r="BH10" s="40" t="s">
        <v>48</v>
      </c>
    </row>
    <row r="11" spans="1:63" x14ac:dyDescent="0.35">
      <c r="A11" s="12">
        <v>4</v>
      </c>
      <c r="B11" s="33"/>
      <c r="C11" s="38" t="str">
        <f>Notes!V12</f>
        <v xml:space="preserve">      Labor - secondary</v>
      </c>
      <c r="D11" s="4" t="s">
        <v>537</v>
      </c>
      <c r="E11" s="93">
        <v>403.26566043535223</v>
      </c>
      <c r="F11" s="42" t="s">
        <v>48</v>
      </c>
      <c r="G11" s="40" t="s">
        <v>48</v>
      </c>
      <c r="H11" s="40" t="s">
        <v>48</v>
      </c>
      <c r="I11" s="40" t="s">
        <v>48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48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V11" s="33"/>
      <c r="W11" s="38" t="str">
        <f>Notes!V12</f>
        <v xml:space="preserve">      Labor - secondary</v>
      </c>
      <c r="X11" s="4" t="s">
        <v>537</v>
      </c>
      <c r="Y11" s="93">
        <v>402.6021002953276</v>
      </c>
      <c r="Z11" s="47" t="s">
        <v>48</v>
      </c>
      <c r="AA11" s="40" t="s">
        <v>48</v>
      </c>
      <c r="AB11" s="40" t="s">
        <v>48</v>
      </c>
      <c r="AC11" s="40" t="s">
        <v>48</v>
      </c>
      <c r="AD11" s="40" t="s">
        <v>48</v>
      </c>
      <c r="AE11" s="40" t="s">
        <v>48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40" t="s">
        <v>48</v>
      </c>
      <c r="AK11" s="40" t="s">
        <v>48</v>
      </c>
      <c r="AL11" s="40" t="s">
        <v>48</v>
      </c>
      <c r="AM11" s="40" t="s">
        <v>48</v>
      </c>
      <c r="AN11" s="40" t="s">
        <v>48</v>
      </c>
      <c r="AP11" s="33"/>
      <c r="AQ11" s="38" t="str">
        <f>Notes!V12</f>
        <v xml:space="preserve">      Labor - secondary</v>
      </c>
      <c r="AR11" s="4" t="s">
        <v>537</v>
      </c>
      <c r="AS11" s="44">
        <v>1</v>
      </c>
      <c r="AT11" s="42" t="s">
        <v>48</v>
      </c>
      <c r="AU11" s="48" t="s">
        <v>48</v>
      </c>
      <c r="AV11" s="40" t="s">
        <v>48</v>
      </c>
      <c r="AW11" s="40" t="s">
        <v>48</v>
      </c>
      <c r="AX11" s="40" t="s">
        <v>48</v>
      </c>
      <c r="AY11" s="40" t="s">
        <v>48</v>
      </c>
      <c r="AZ11" s="40" t="s">
        <v>48</v>
      </c>
      <c r="BA11" s="40" t="s">
        <v>48</v>
      </c>
      <c r="BB11" s="40" t="s">
        <v>48</v>
      </c>
      <c r="BC11" s="40" t="s">
        <v>48</v>
      </c>
      <c r="BD11" s="40" t="s">
        <v>48</v>
      </c>
      <c r="BE11" s="40" t="s">
        <v>48</v>
      </c>
      <c r="BF11" s="40" t="s">
        <v>48</v>
      </c>
      <c r="BG11" s="40" t="s">
        <v>48</v>
      </c>
      <c r="BH11" s="40" t="s">
        <v>48</v>
      </c>
    </row>
    <row r="12" spans="1:63" x14ac:dyDescent="0.35">
      <c r="A12" s="12">
        <v>5</v>
      </c>
      <c r="B12" s="33"/>
      <c r="C12" s="38" t="str">
        <f>Notes!V13</f>
        <v xml:space="preserve">      Labor - tertiary</v>
      </c>
      <c r="D12" s="4" t="s">
        <v>538</v>
      </c>
      <c r="E12" s="93">
        <v>1657.59590482563</v>
      </c>
      <c r="F12" s="42" t="s">
        <v>48</v>
      </c>
      <c r="G12" s="40" t="s">
        <v>48</v>
      </c>
      <c r="H12" s="40" t="s">
        <v>48</v>
      </c>
      <c r="I12" s="40" t="s">
        <v>48</v>
      </c>
      <c r="J12" s="40" t="s">
        <v>48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V12" s="33"/>
      <c r="W12" s="38" t="str">
        <f>Notes!V13</f>
        <v xml:space="preserve">      Labor - tertiary</v>
      </c>
      <c r="X12" s="4" t="s">
        <v>538</v>
      </c>
      <c r="Y12" s="93">
        <v>1654.868386272419</v>
      </c>
      <c r="Z12" s="47" t="s">
        <v>48</v>
      </c>
      <c r="AA12" s="40" t="s">
        <v>48</v>
      </c>
      <c r="AB12" s="40" t="s">
        <v>48</v>
      </c>
      <c r="AC12" s="40" t="s">
        <v>48</v>
      </c>
      <c r="AD12" s="40" t="s">
        <v>48</v>
      </c>
      <c r="AE12" s="40" t="s">
        <v>48</v>
      </c>
      <c r="AF12" s="40" t="s">
        <v>48</v>
      </c>
      <c r="AG12" s="40" t="s">
        <v>48</v>
      </c>
      <c r="AH12" s="40" t="s">
        <v>48</v>
      </c>
      <c r="AI12" s="40" t="s">
        <v>48</v>
      </c>
      <c r="AJ12" s="40" t="s">
        <v>48</v>
      </c>
      <c r="AK12" s="40" t="s">
        <v>48</v>
      </c>
      <c r="AL12" s="40" t="s">
        <v>48</v>
      </c>
      <c r="AM12" s="40" t="s">
        <v>48</v>
      </c>
      <c r="AN12" s="40" t="s">
        <v>48</v>
      </c>
      <c r="AP12" s="33"/>
      <c r="AQ12" s="38" t="str">
        <f>Notes!V13</f>
        <v xml:space="preserve">      Labor - tertiary</v>
      </c>
      <c r="AR12" s="4" t="s">
        <v>538</v>
      </c>
      <c r="AS12" s="44">
        <v>1</v>
      </c>
      <c r="AT12" s="42" t="s">
        <v>48</v>
      </c>
      <c r="AU12" s="48" t="s">
        <v>48</v>
      </c>
      <c r="AV12" s="40" t="s">
        <v>48</v>
      </c>
      <c r="AW12" s="40" t="s">
        <v>48</v>
      </c>
      <c r="AX12" s="40" t="s">
        <v>48</v>
      </c>
      <c r="AY12" s="40" t="s">
        <v>48</v>
      </c>
      <c r="AZ12" s="40" t="s">
        <v>48</v>
      </c>
      <c r="BA12" s="40" t="s">
        <v>48</v>
      </c>
      <c r="BB12" s="40" t="s">
        <v>48</v>
      </c>
      <c r="BC12" s="40" t="s">
        <v>48</v>
      </c>
      <c r="BD12" s="40" t="s">
        <v>48</v>
      </c>
      <c r="BE12" s="40" t="s">
        <v>48</v>
      </c>
      <c r="BF12" s="40" t="s">
        <v>48</v>
      </c>
      <c r="BG12" s="40" t="s">
        <v>48</v>
      </c>
      <c r="BH12" s="40" t="s">
        <v>48</v>
      </c>
    </row>
    <row r="13" spans="1:63" x14ac:dyDescent="0.35">
      <c r="A13" s="12">
        <v>6</v>
      </c>
      <c r="B13" s="33"/>
      <c r="C13" s="38" t="str">
        <f>Notes!V14</f>
        <v xml:space="preserve">   Labor - rural</v>
      </c>
      <c r="D13" s="4" t="s">
        <v>539</v>
      </c>
      <c r="E13" s="93">
        <v>1806.7371290003252</v>
      </c>
      <c r="F13" s="42" t="s">
        <v>48</v>
      </c>
      <c r="G13" s="40" t="s">
        <v>48</v>
      </c>
      <c r="H13" s="40" t="s">
        <v>48</v>
      </c>
      <c r="I13" s="40" t="s">
        <v>48</v>
      </c>
      <c r="J13" s="40" t="s">
        <v>48</v>
      </c>
      <c r="K13" s="40" t="s">
        <v>48</v>
      </c>
      <c r="L13" s="40" t="s">
        <v>48</v>
      </c>
      <c r="M13" s="40" t="s">
        <v>48</v>
      </c>
      <c r="N13" s="40" t="s">
        <v>48</v>
      </c>
      <c r="O13" s="40" t="s">
        <v>48</v>
      </c>
      <c r="P13" s="40" t="s">
        <v>48</v>
      </c>
      <c r="Q13" s="40" t="s">
        <v>48</v>
      </c>
      <c r="R13" s="40" t="s">
        <v>48</v>
      </c>
      <c r="S13" s="40" t="s">
        <v>48</v>
      </c>
      <c r="T13" s="40" t="s">
        <v>48</v>
      </c>
      <c r="V13" s="33"/>
      <c r="W13" s="38" t="str">
        <f>Notes!V14</f>
        <v xml:space="preserve">   Labor - rural</v>
      </c>
      <c r="X13" s="4" t="s">
        <v>539</v>
      </c>
      <c r="Y13" s="93">
        <v>1803.7642035570509</v>
      </c>
      <c r="Z13" s="47" t="s">
        <v>48</v>
      </c>
      <c r="AA13" s="40" t="s">
        <v>48</v>
      </c>
      <c r="AB13" s="40" t="s">
        <v>48</v>
      </c>
      <c r="AC13" s="40" t="s">
        <v>48</v>
      </c>
      <c r="AD13" s="40" t="s">
        <v>48</v>
      </c>
      <c r="AE13" s="40" t="s">
        <v>48</v>
      </c>
      <c r="AF13" s="40" t="s">
        <v>48</v>
      </c>
      <c r="AG13" s="40" t="s">
        <v>48</v>
      </c>
      <c r="AH13" s="40" t="s">
        <v>48</v>
      </c>
      <c r="AI13" s="40" t="s">
        <v>48</v>
      </c>
      <c r="AJ13" s="40" t="s">
        <v>48</v>
      </c>
      <c r="AK13" s="40" t="s">
        <v>48</v>
      </c>
      <c r="AL13" s="40" t="s">
        <v>48</v>
      </c>
      <c r="AM13" s="40" t="s">
        <v>48</v>
      </c>
      <c r="AN13" s="40" t="s">
        <v>48</v>
      </c>
      <c r="AP13" s="33"/>
      <c r="AQ13" s="38" t="str">
        <f>Notes!V14</f>
        <v xml:space="preserve">   Labor - rural</v>
      </c>
      <c r="AR13" s="4" t="s">
        <v>539</v>
      </c>
      <c r="AS13" s="44">
        <v>1</v>
      </c>
      <c r="AT13" s="42" t="s">
        <v>48</v>
      </c>
      <c r="AU13" s="48" t="s">
        <v>48</v>
      </c>
      <c r="AV13" s="40" t="s">
        <v>48</v>
      </c>
      <c r="AW13" s="40" t="s">
        <v>48</v>
      </c>
      <c r="AX13" s="40" t="s">
        <v>48</v>
      </c>
      <c r="AY13" s="40" t="s">
        <v>48</v>
      </c>
      <c r="AZ13" s="40" t="s">
        <v>48</v>
      </c>
      <c r="BA13" s="40" t="s">
        <v>48</v>
      </c>
      <c r="BB13" s="40" t="s">
        <v>48</v>
      </c>
      <c r="BC13" s="40" t="s">
        <v>48</v>
      </c>
      <c r="BD13" s="40" t="s">
        <v>48</v>
      </c>
      <c r="BE13" s="40" t="s">
        <v>48</v>
      </c>
      <c r="BF13" s="40" t="s">
        <v>48</v>
      </c>
      <c r="BG13" s="40" t="s">
        <v>48</v>
      </c>
      <c r="BH13" s="40" t="s">
        <v>48</v>
      </c>
    </row>
    <row r="14" spans="1:63" x14ac:dyDescent="0.35">
      <c r="A14" s="12">
        <v>7</v>
      </c>
      <c r="B14" s="33"/>
      <c r="C14" s="38" t="str">
        <f>Notes!V15</f>
        <v xml:space="preserve">      Labor - rural uneducated</v>
      </c>
      <c r="D14" s="4" t="s">
        <v>396</v>
      </c>
      <c r="E14" s="93">
        <v>695.56946734755854</v>
      </c>
      <c r="F14" s="42" t="s">
        <v>48</v>
      </c>
      <c r="G14" s="40" t="s">
        <v>48</v>
      </c>
      <c r="H14" s="40" t="s">
        <v>48</v>
      </c>
      <c r="I14" s="40" t="s">
        <v>48</v>
      </c>
      <c r="J14" s="40" t="s">
        <v>48</v>
      </c>
      <c r="K14" s="40" t="s">
        <v>48</v>
      </c>
      <c r="L14" s="40" t="s">
        <v>48</v>
      </c>
      <c r="M14" s="40" t="s">
        <v>48</v>
      </c>
      <c r="N14" s="40" t="s">
        <v>48</v>
      </c>
      <c r="O14" s="40" t="s">
        <v>48</v>
      </c>
      <c r="P14" s="40" t="s">
        <v>48</v>
      </c>
      <c r="Q14" s="40" t="s">
        <v>48</v>
      </c>
      <c r="R14" s="40" t="s">
        <v>48</v>
      </c>
      <c r="S14" s="40" t="s">
        <v>48</v>
      </c>
      <c r="T14" s="40" t="s">
        <v>48</v>
      </c>
      <c r="V14" s="33"/>
      <c r="W14" s="38" t="str">
        <f>Notes!V15</f>
        <v xml:space="preserve">      Labor - rural uneducated</v>
      </c>
      <c r="X14" s="4" t="s">
        <v>396</v>
      </c>
      <c r="Y14" s="93">
        <v>694.42493108168435</v>
      </c>
      <c r="Z14" s="47" t="s">
        <v>48</v>
      </c>
      <c r="AA14" s="40" t="s">
        <v>48</v>
      </c>
      <c r="AB14" s="40" t="s">
        <v>48</v>
      </c>
      <c r="AC14" s="40" t="s">
        <v>48</v>
      </c>
      <c r="AD14" s="40" t="s">
        <v>48</v>
      </c>
      <c r="AE14" s="40" t="s">
        <v>48</v>
      </c>
      <c r="AF14" s="40" t="s">
        <v>48</v>
      </c>
      <c r="AG14" s="40" t="s">
        <v>48</v>
      </c>
      <c r="AH14" s="40" t="s">
        <v>48</v>
      </c>
      <c r="AI14" s="40" t="s">
        <v>48</v>
      </c>
      <c r="AJ14" s="40" t="s">
        <v>48</v>
      </c>
      <c r="AK14" s="40" t="s">
        <v>48</v>
      </c>
      <c r="AL14" s="40" t="s">
        <v>48</v>
      </c>
      <c r="AM14" s="40" t="s">
        <v>48</v>
      </c>
      <c r="AN14" s="40" t="s">
        <v>48</v>
      </c>
      <c r="AP14" s="33"/>
      <c r="AQ14" s="38" t="str">
        <f>Notes!V15</f>
        <v xml:space="preserve">      Labor - rural uneducated</v>
      </c>
      <c r="AR14" s="4" t="s">
        <v>396</v>
      </c>
      <c r="AS14" s="44">
        <v>1</v>
      </c>
      <c r="AT14" s="42" t="s">
        <v>48</v>
      </c>
      <c r="AU14" s="48" t="s">
        <v>48</v>
      </c>
      <c r="AV14" s="40" t="s">
        <v>48</v>
      </c>
      <c r="AW14" s="40" t="s">
        <v>48</v>
      </c>
      <c r="AX14" s="40" t="s">
        <v>48</v>
      </c>
      <c r="AY14" s="40" t="s">
        <v>48</v>
      </c>
      <c r="AZ14" s="40" t="s">
        <v>48</v>
      </c>
      <c r="BA14" s="40" t="s">
        <v>48</v>
      </c>
      <c r="BB14" s="40" t="s">
        <v>48</v>
      </c>
      <c r="BC14" s="40" t="s">
        <v>48</v>
      </c>
      <c r="BD14" s="40" t="s">
        <v>48</v>
      </c>
      <c r="BE14" s="40" t="s">
        <v>48</v>
      </c>
      <c r="BF14" s="40" t="s">
        <v>48</v>
      </c>
      <c r="BG14" s="40" t="s">
        <v>48</v>
      </c>
      <c r="BH14" s="40" t="s">
        <v>48</v>
      </c>
    </row>
    <row r="15" spans="1:63" x14ac:dyDescent="0.35">
      <c r="A15" s="12">
        <v>8</v>
      </c>
      <c r="B15" s="33"/>
      <c r="C15" s="38" t="str">
        <f>Notes!V16</f>
        <v xml:space="preserve">      Labor - rural primary</v>
      </c>
      <c r="D15" s="4" t="s">
        <v>397</v>
      </c>
      <c r="E15" s="93">
        <v>755.36336446790847</v>
      </c>
      <c r="F15" s="42" t="s">
        <v>48</v>
      </c>
      <c r="G15" s="40" t="s">
        <v>48</v>
      </c>
      <c r="H15" s="40" t="s">
        <v>48</v>
      </c>
      <c r="I15" s="40" t="s">
        <v>48</v>
      </c>
      <c r="J15" s="40" t="s">
        <v>48</v>
      </c>
      <c r="K15" s="4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      <c r="V15" s="33"/>
      <c r="W15" s="38" t="str">
        <f>Notes!V16</f>
        <v xml:space="preserve">      Labor - rural primary</v>
      </c>
      <c r="X15" s="4" t="s">
        <v>397</v>
      </c>
      <c r="Y15" s="93">
        <v>754.12043934665053</v>
      </c>
      <c r="Z15" s="47" t="s">
        <v>48</v>
      </c>
      <c r="AA15" s="40" t="s">
        <v>48</v>
      </c>
      <c r="AB15" s="40" t="s">
        <v>48</v>
      </c>
      <c r="AC15" s="40" t="s">
        <v>48</v>
      </c>
      <c r="AD15" s="40" t="s">
        <v>48</v>
      </c>
      <c r="AE15" s="40" t="s">
        <v>48</v>
      </c>
      <c r="AF15" s="40" t="s">
        <v>48</v>
      </c>
      <c r="AG15" s="40" t="s">
        <v>48</v>
      </c>
      <c r="AH15" s="40" t="s">
        <v>48</v>
      </c>
      <c r="AI15" s="40" t="s">
        <v>48</v>
      </c>
      <c r="AJ15" s="40" t="s">
        <v>48</v>
      </c>
      <c r="AK15" s="40" t="s">
        <v>48</v>
      </c>
      <c r="AL15" s="40" t="s">
        <v>48</v>
      </c>
      <c r="AM15" s="40" t="s">
        <v>48</v>
      </c>
      <c r="AN15" s="40" t="s">
        <v>48</v>
      </c>
      <c r="AP15" s="33"/>
      <c r="AQ15" s="38" t="str">
        <f>Notes!V16</f>
        <v xml:space="preserve">      Labor - rural primary</v>
      </c>
      <c r="AR15" s="4" t="s">
        <v>397</v>
      </c>
      <c r="AS15" s="44">
        <v>1</v>
      </c>
      <c r="AT15" s="42" t="s">
        <v>48</v>
      </c>
      <c r="AU15" s="48" t="s">
        <v>48</v>
      </c>
      <c r="AV15" s="40" t="s">
        <v>48</v>
      </c>
      <c r="AW15" s="40" t="s">
        <v>48</v>
      </c>
      <c r="AX15" s="40" t="s">
        <v>48</v>
      </c>
      <c r="AY15" s="40" t="s">
        <v>48</v>
      </c>
      <c r="AZ15" s="40" t="s">
        <v>48</v>
      </c>
      <c r="BA15" s="40" t="s">
        <v>48</v>
      </c>
      <c r="BB15" s="40" t="s">
        <v>48</v>
      </c>
      <c r="BC15" s="40" t="s">
        <v>48</v>
      </c>
      <c r="BD15" s="40" t="s">
        <v>48</v>
      </c>
      <c r="BE15" s="40" t="s">
        <v>48</v>
      </c>
      <c r="BF15" s="40" t="s">
        <v>48</v>
      </c>
      <c r="BG15" s="40" t="s">
        <v>48</v>
      </c>
      <c r="BH15" s="40" t="s">
        <v>48</v>
      </c>
    </row>
    <row r="16" spans="1:63" x14ac:dyDescent="0.35">
      <c r="A16" s="12">
        <v>9</v>
      </c>
      <c r="B16" s="33"/>
      <c r="C16" s="38" t="str">
        <f>Notes!V17</f>
        <v xml:space="preserve">      Labor - rural secondary</v>
      </c>
      <c r="D16" s="4" t="s">
        <v>398</v>
      </c>
      <c r="E16" s="93">
        <v>153.14117433242853</v>
      </c>
      <c r="F16" s="42" t="s">
        <v>48</v>
      </c>
      <c r="G16" s="40" t="s">
        <v>48</v>
      </c>
      <c r="H16" s="40" t="s">
        <v>48</v>
      </c>
      <c r="I16" s="40" t="s">
        <v>48</v>
      </c>
      <c r="J16" s="40" t="s">
        <v>48</v>
      </c>
      <c r="K16" s="4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0" t="s">
        <v>48</v>
      </c>
      <c r="Q16" s="40" t="s">
        <v>48</v>
      </c>
      <c r="R16" s="40" t="s">
        <v>48</v>
      </c>
      <c r="S16" s="40" t="s">
        <v>48</v>
      </c>
      <c r="T16" s="40" t="s">
        <v>48</v>
      </c>
      <c r="V16" s="33"/>
      <c r="W16" s="38" t="str">
        <f>Notes!V17</f>
        <v xml:space="preserve">      Labor - rural secondary</v>
      </c>
      <c r="X16" s="4" t="s">
        <v>398</v>
      </c>
      <c r="Y16" s="93">
        <v>152.88918565832756</v>
      </c>
      <c r="Z16" s="47" t="s">
        <v>48</v>
      </c>
      <c r="AA16" s="40" t="s">
        <v>48</v>
      </c>
      <c r="AB16" s="40" t="s">
        <v>48</v>
      </c>
      <c r="AC16" s="40" t="s">
        <v>48</v>
      </c>
      <c r="AD16" s="40" t="s">
        <v>48</v>
      </c>
      <c r="AE16" s="40" t="s">
        <v>48</v>
      </c>
      <c r="AF16" s="40" t="s">
        <v>48</v>
      </c>
      <c r="AG16" s="40" t="s">
        <v>48</v>
      </c>
      <c r="AH16" s="40" t="s">
        <v>48</v>
      </c>
      <c r="AI16" s="40" t="s">
        <v>48</v>
      </c>
      <c r="AJ16" s="40" t="s">
        <v>48</v>
      </c>
      <c r="AK16" s="40" t="s">
        <v>48</v>
      </c>
      <c r="AL16" s="40" t="s">
        <v>48</v>
      </c>
      <c r="AM16" s="40" t="s">
        <v>48</v>
      </c>
      <c r="AN16" s="40" t="s">
        <v>48</v>
      </c>
      <c r="AP16" s="33"/>
      <c r="AQ16" s="38" t="str">
        <f>Notes!V17</f>
        <v xml:space="preserve">      Labor - rural secondary</v>
      </c>
      <c r="AR16" s="4" t="s">
        <v>398</v>
      </c>
      <c r="AS16" s="44">
        <v>1</v>
      </c>
      <c r="AT16" s="42" t="s">
        <v>48</v>
      </c>
      <c r="AU16" s="48" t="s">
        <v>48</v>
      </c>
      <c r="AV16" s="40" t="s">
        <v>48</v>
      </c>
      <c r="AW16" s="40" t="s">
        <v>48</v>
      </c>
      <c r="AX16" s="40" t="s">
        <v>48</v>
      </c>
      <c r="AY16" s="40" t="s">
        <v>48</v>
      </c>
      <c r="AZ16" s="40" t="s">
        <v>48</v>
      </c>
      <c r="BA16" s="40" t="s">
        <v>48</v>
      </c>
      <c r="BB16" s="40" t="s">
        <v>48</v>
      </c>
      <c r="BC16" s="40" t="s">
        <v>48</v>
      </c>
      <c r="BD16" s="40" t="s">
        <v>48</v>
      </c>
      <c r="BE16" s="40" t="s">
        <v>48</v>
      </c>
      <c r="BF16" s="40" t="s">
        <v>48</v>
      </c>
      <c r="BG16" s="40" t="s">
        <v>48</v>
      </c>
      <c r="BH16" s="40" t="s">
        <v>48</v>
      </c>
    </row>
    <row r="17" spans="1:60" x14ac:dyDescent="0.35">
      <c r="A17" s="12">
        <v>10</v>
      </c>
      <c r="B17" s="33"/>
      <c r="C17" s="38" t="str">
        <f>Notes!V18</f>
        <v xml:space="preserve">      Labor - rural tertiary</v>
      </c>
      <c r="D17" s="4" t="s">
        <v>399</v>
      </c>
      <c r="E17" s="90">
        <v>202.66312285242955</v>
      </c>
      <c r="F17" s="42" t="s">
        <v>48</v>
      </c>
      <c r="G17" s="40" t="s">
        <v>48</v>
      </c>
      <c r="H17" s="40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V17" s="33"/>
      <c r="W17" s="38" t="str">
        <f>Notes!V18</f>
        <v xml:space="preserve">      Labor - rural tertiary</v>
      </c>
      <c r="X17" s="4" t="s">
        <v>399</v>
      </c>
      <c r="Y17" s="90">
        <v>202.32964747038832</v>
      </c>
      <c r="Z17" s="42" t="s">
        <v>48</v>
      </c>
      <c r="AA17" s="40" t="s">
        <v>48</v>
      </c>
      <c r="AB17" s="40" t="s">
        <v>48</v>
      </c>
      <c r="AC17" s="40" t="s">
        <v>48</v>
      </c>
      <c r="AD17" s="40" t="s">
        <v>48</v>
      </c>
      <c r="AE17" s="40" t="s">
        <v>48</v>
      </c>
      <c r="AF17" s="40" t="s">
        <v>48</v>
      </c>
      <c r="AG17" s="40" t="s">
        <v>48</v>
      </c>
      <c r="AH17" s="40" t="s">
        <v>48</v>
      </c>
      <c r="AI17" s="40" t="s">
        <v>48</v>
      </c>
      <c r="AJ17" s="40" t="s">
        <v>48</v>
      </c>
      <c r="AK17" s="40" t="s">
        <v>48</v>
      </c>
      <c r="AL17" s="40" t="s">
        <v>48</v>
      </c>
      <c r="AM17" s="40" t="s">
        <v>48</v>
      </c>
      <c r="AN17" s="40" t="s">
        <v>48</v>
      </c>
      <c r="AP17" s="33"/>
      <c r="AQ17" s="38" t="str">
        <f>Notes!V18</f>
        <v xml:space="preserve">      Labor - rural tertiary</v>
      </c>
      <c r="AR17" s="4" t="s">
        <v>399</v>
      </c>
      <c r="AS17" s="44">
        <v>1</v>
      </c>
      <c r="AT17" s="42" t="s">
        <v>48</v>
      </c>
      <c r="AU17" s="40" t="s">
        <v>48</v>
      </c>
      <c r="AV17" s="40" t="s">
        <v>48</v>
      </c>
      <c r="AW17" s="40" t="s">
        <v>48</v>
      </c>
      <c r="AX17" s="40" t="s">
        <v>48</v>
      </c>
      <c r="AY17" s="40" t="s">
        <v>48</v>
      </c>
      <c r="AZ17" s="40" t="s">
        <v>48</v>
      </c>
      <c r="BA17" s="40" t="s">
        <v>48</v>
      </c>
      <c r="BB17" s="40" t="s">
        <v>48</v>
      </c>
      <c r="BC17" s="40" t="s">
        <v>48</v>
      </c>
      <c r="BD17" s="40" t="s">
        <v>48</v>
      </c>
      <c r="BE17" s="40" t="s">
        <v>48</v>
      </c>
      <c r="BF17" s="40" t="s">
        <v>48</v>
      </c>
      <c r="BG17" s="40" t="s">
        <v>48</v>
      </c>
      <c r="BH17" s="40" t="s">
        <v>48</v>
      </c>
    </row>
    <row r="18" spans="1:60" x14ac:dyDescent="0.35">
      <c r="A18" s="12">
        <v>11</v>
      </c>
      <c r="B18" s="33"/>
      <c r="C18" s="38" t="str">
        <f>Notes!V19</f>
        <v xml:space="preserve">   Labor - urban</v>
      </c>
      <c r="D18" s="4" t="s">
        <v>400</v>
      </c>
      <c r="E18" s="90">
        <v>2090.5494242426294</v>
      </c>
      <c r="F18" s="42" t="s">
        <v>48</v>
      </c>
      <c r="G18" s="40" t="s">
        <v>48</v>
      </c>
      <c r="H18" s="40" t="s">
        <v>48</v>
      </c>
      <c r="I18" s="40" t="s">
        <v>48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0" t="s">
        <v>48</v>
      </c>
      <c r="Q18" s="40" t="s">
        <v>48</v>
      </c>
      <c r="R18" s="40" t="s">
        <v>48</v>
      </c>
      <c r="S18" s="40" t="s">
        <v>48</v>
      </c>
      <c r="T18" s="40" t="s">
        <v>48</v>
      </c>
      <c r="V18" s="33"/>
      <c r="W18" s="38" t="str">
        <f>Notes!V19</f>
        <v xml:space="preserve">   Labor - urban</v>
      </c>
      <c r="X18" s="4" t="s">
        <v>400</v>
      </c>
      <c r="Y18" s="90">
        <v>2087.1094951716018</v>
      </c>
      <c r="Z18" s="42" t="s">
        <v>48</v>
      </c>
      <c r="AA18" s="40" t="s">
        <v>48</v>
      </c>
      <c r="AB18" s="40" t="s">
        <v>48</v>
      </c>
      <c r="AC18" s="40" t="s">
        <v>48</v>
      </c>
      <c r="AD18" s="40" t="s">
        <v>48</v>
      </c>
      <c r="AE18" s="40" t="s">
        <v>48</v>
      </c>
      <c r="AF18" s="40" t="s">
        <v>48</v>
      </c>
      <c r="AG18" s="40" t="s">
        <v>48</v>
      </c>
      <c r="AH18" s="40" t="s">
        <v>48</v>
      </c>
      <c r="AI18" s="40" t="s">
        <v>48</v>
      </c>
      <c r="AJ18" s="40" t="s">
        <v>48</v>
      </c>
      <c r="AK18" s="40" t="s">
        <v>48</v>
      </c>
      <c r="AL18" s="40" t="s">
        <v>48</v>
      </c>
      <c r="AM18" s="40" t="s">
        <v>48</v>
      </c>
      <c r="AN18" s="40" t="s">
        <v>48</v>
      </c>
      <c r="AP18" s="33"/>
      <c r="AQ18" s="38" t="str">
        <f>Notes!V19</f>
        <v xml:space="preserve">   Labor - urban</v>
      </c>
      <c r="AR18" s="4" t="s">
        <v>400</v>
      </c>
      <c r="AS18" s="44">
        <v>1</v>
      </c>
      <c r="AT18" s="42" t="s">
        <v>48</v>
      </c>
      <c r="AU18" s="40" t="s">
        <v>48</v>
      </c>
      <c r="AV18" s="40" t="s">
        <v>48</v>
      </c>
      <c r="AW18" s="40" t="s">
        <v>48</v>
      </c>
      <c r="AX18" s="40" t="s">
        <v>48</v>
      </c>
      <c r="AY18" s="40" t="s">
        <v>48</v>
      </c>
      <c r="AZ18" s="40" t="s">
        <v>48</v>
      </c>
      <c r="BA18" s="40" t="s">
        <v>48</v>
      </c>
      <c r="BB18" s="40" t="s">
        <v>48</v>
      </c>
      <c r="BC18" s="40" t="s">
        <v>48</v>
      </c>
      <c r="BD18" s="40" t="s">
        <v>48</v>
      </c>
      <c r="BE18" s="40" t="s">
        <v>48</v>
      </c>
      <c r="BF18" s="40" t="s">
        <v>48</v>
      </c>
      <c r="BG18" s="40" t="s">
        <v>48</v>
      </c>
      <c r="BH18" s="40" t="s">
        <v>48</v>
      </c>
    </row>
    <row r="19" spans="1:60" x14ac:dyDescent="0.35">
      <c r="A19" s="12">
        <v>12</v>
      </c>
      <c r="B19" s="33"/>
      <c r="C19" s="38" t="str">
        <f>Notes!V20</f>
        <v xml:space="preserve">      Labor - urban uneducated</v>
      </c>
      <c r="D19" s="4" t="s">
        <v>401</v>
      </c>
      <c r="E19" s="90">
        <v>162.52017745072015</v>
      </c>
      <c r="F19" s="42" t="s">
        <v>48</v>
      </c>
      <c r="G19" s="40" t="s">
        <v>48</v>
      </c>
      <c r="H19" s="40" t="s">
        <v>48</v>
      </c>
      <c r="I19" s="40" t="s">
        <v>48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0" t="s">
        <v>48</v>
      </c>
      <c r="P19" s="40" t="s">
        <v>48</v>
      </c>
      <c r="Q19" s="40" t="s">
        <v>48</v>
      </c>
      <c r="R19" s="40" t="s">
        <v>48</v>
      </c>
      <c r="S19" s="40" t="s">
        <v>48</v>
      </c>
      <c r="T19" s="40" t="s">
        <v>48</v>
      </c>
      <c r="V19" s="33"/>
      <c r="W19" s="38" t="str">
        <f>Notes!V20</f>
        <v xml:space="preserve">      Labor - urban uneducated</v>
      </c>
      <c r="X19" s="4" t="s">
        <v>401</v>
      </c>
      <c r="Y19" s="90">
        <v>162.25275594106421</v>
      </c>
      <c r="Z19" s="42" t="s">
        <v>48</v>
      </c>
      <c r="AA19" s="40" t="s">
        <v>48</v>
      </c>
      <c r="AB19" s="40" t="s">
        <v>48</v>
      </c>
      <c r="AC19" s="40" t="s">
        <v>48</v>
      </c>
      <c r="AD19" s="40" t="s">
        <v>48</v>
      </c>
      <c r="AE19" s="40" t="s">
        <v>48</v>
      </c>
      <c r="AF19" s="40" t="s">
        <v>48</v>
      </c>
      <c r="AG19" s="40" t="s">
        <v>48</v>
      </c>
      <c r="AH19" s="40" t="s">
        <v>48</v>
      </c>
      <c r="AI19" s="40" t="s">
        <v>48</v>
      </c>
      <c r="AJ19" s="40" t="s">
        <v>48</v>
      </c>
      <c r="AK19" s="40" t="s">
        <v>48</v>
      </c>
      <c r="AL19" s="40" t="s">
        <v>48</v>
      </c>
      <c r="AM19" s="40" t="s">
        <v>48</v>
      </c>
      <c r="AN19" s="40" t="s">
        <v>48</v>
      </c>
      <c r="AP19" s="33"/>
      <c r="AQ19" s="38" t="str">
        <f>Notes!V20</f>
        <v xml:space="preserve">      Labor - urban uneducated</v>
      </c>
      <c r="AR19" s="4" t="s">
        <v>401</v>
      </c>
      <c r="AS19" s="44">
        <v>1</v>
      </c>
      <c r="AT19" s="42" t="s">
        <v>48</v>
      </c>
      <c r="AU19" s="40" t="s">
        <v>48</v>
      </c>
      <c r="AV19" s="40" t="s">
        <v>48</v>
      </c>
      <c r="AW19" s="40" t="s">
        <v>48</v>
      </c>
      <c r="AX19" s="40" t="s">
        <v>48</v>
      </c>
      <c r="AY19" s="40" t="s">
        <v>48</v>
      </c>
      <c r="AZ19" s="40" t="s">
        <v>48</v>
      </c>
      <c r="BA19" s="40" t="s">
        <v>48</v>
      </c>
      <c r="BB19" s="40" t="s">
        <v>48</v>
      </c>
      <c r="BC19" s="40" t="s">
        <v>48</v>
      </c>
      <c r="BD19" s="40" t="s">
        <v>48</v>
      </c>
      <c r="BE19" s="40" t="s">
        <v>48</v>
      </c>
      <c r="BF19" s="40" t="s">
        <v>48</v>
      </c>
      <c r="BG19" s="40" t="s">
        <v>48</v>
      </c>
      <c r="BH19" s="40" t="s">
        <v>48</v>
      </c>
    </row>
    <row r="20" spans="1:60" x14ac:dyDescent="0.35">
      <c r="A20" s="12">
        <v>13</v>
      </c>
      <c r="B20" s="33"/>
      <c r="C20" s="38" t="str">
        <f>Notes!V21</f>
        <v xml:space="preserve">      Labor - urban primary</v>
      </c>
      <c r="D20" s="4" t="s">
        <v>402</v>
      </c>
      <c r="E20" s="90">
        <v>222.97197871578541</v>
      </c>
      <c r="F20" s="42" t="s">
        <v>48</v>
      </c>
      <c r="G20" s="40" t="s">
        <v>48</v>
      </c>
      <c r="H20" s="40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V20" s="33"/>
      <c r="W20" s="38" t="str">
        <f>Notes!V21</f>
        <v xml:space="preserve">      Labor - urban primary</v>
      </c>
      <c r="X20" s="4" t="s">
        <v>402</v>
      </c>
      <c r="Y20" s="90">
        <v>222.60508579150695</v>
      </c>
      <c r="Z20" s="42" t="s">
        <v>48</v>
      </c>
      <c r="AA20" s="40" t="s">
        <v>48</v>
      </c>
      <c r="AB20" s="40" t="s">
        <v>48</v>
      </c>
      <c r="AC20" s="40" t="s">
        <v>48</v>
      </c>
      <c r="AD20" s="40" t="s">
        <v>48</v>
      </c>
      <c r="AE20" s="40" t="s">
        <v>48</v>
      </c>
      <c r="AF20" s="40" t="s">
        <v>48</v>
      </c>
      <c r="AG20" s="40" t="s">
        <v>48</v>
      </c>
      <c r="AH20" s="40" t="s">
        <v>48</v>
      </c>
      <c r="AI20" s="40" t="s">
        <v>48</v>
      </c>
      <c r="AJ20" s="40" t="s">
        <v>48</v>
      </c>
      <c r="AK20" s="40" t="s">
        <v>48</v>
      </c>
      <c r="AL20" s="40" t="s">
        <v>48</v>
      </c>
      <c r="AM20" s="40" t="s">
        <v>48</v>
      </c>
      <c r="AN20" s="40" t="s">
        <v>48</v>
      </c>
      <c r="AP20" s="33"/>
      <c r="AQ20" s="38" t="str">
        <f>Notes!V21</f>
        <v xml:space="preserve">      Labor - urban primary</v>
      </c>
      <c r="AR20" s="4" t="s">
        <v>402</v>
      </c>
      <c r="AS20" s="44">
        <v>1</v>
      </c>
      <c r="AT20" s="42" t="s">
        <v>48</v>
      </c>
      <c r="AU20" s="40" t="s">
        <v>48</v>
      </c>
      <c r="AV20" s="40" t="s">
        <v>48</v>
      </c>
      <c r="AW20" s="40" t="s">
        <v>48</v>
      </c>
      <c r="AX20" s="40" t="s">
        <v>48</v>
      </c>
      <c r="AY20" s="40" t="s">
        <v>48</v>
      </c>
      <c r="AZ20" s="40" t="s">
        <v>48</v>
      </c>
      <c r="BA20" s="40" t="s">
        <v>48</v>
      </c>
      <c r="BB20" s="40" t="s">
        <v>48</v>
      </c>
      <c r="BC20" s="40" t="s">
        <v>48</v>
      </c>
      <c r="BD20" s="40" t="s">
        <v>48</v>
      </c>
      <c r="BE20" s="40" t="s">
        <v>48</v>
      </c>
      <c r="BF20" s="40" t="s">
        <v>48</v>
      </c>
      <c r="BG20" s="40" t="s">
        <v>48</v>
      </c>
      <c r="BH20" s="40" t="s">
        <v>48</v>
      </c>
    </row>
    <row r="21" spans="1:60" x14ac:dyDescent="0.35">
      <c r="A21" s="12">
        <v>14</v>
      </c>
      <c r="B21" s="33"/>
      <c r="C21" s="38" t="str">
        <f>Notes!V22</f>
        <v xml:space="preserve">      Labor - urban secondary</v>
      </c>
      <c r="D21" s="4" t="s">
        <v>403</v>
      </c>
      <c r="E21" s="90">
        <v>250.1244861029237</v>
      </c>
      <c r="F21" s="42" t="s">
        <v>48</v>
      </c>
      <c r="G21" s="40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V21" s="33"/>
      <c r="W21" s="38" t="str">
        <f>Notes!V22</f>
        <v xml:space="preserve">      Labor - urban secondary</v>
      </c>
      <c r="X21" s="4" t="s">
        <v>403</v>
      </c>
      <c r="Y21" s="90">
        <v>249.71291463700004</v>
      </c>
      <c r="Z21" s="42" t="s">
        <v>48</v>
      </c>
      <c r="AA21" s="40" t="s">
        <v>48</v>
      </c>
      <c r="AB21" s="40" t="s">
        <v>48</v>
      </c>
      <c r="AC21" s="40" t="s">
        <v>48</v>
      </c>
      <c r="AD21" s="40" t="s">
        <v>48</v>
      </c>
      <c r="AE21" s="40" t="s">
        <v>48</v>
      </c>
      <c r="AF21" s="40" t="s">
        <v>48</v>
      </c>
      <c r="AG21" s="40" t="s">
        <v>48</v>
      </c>
      <c r="AH21" s="40" t="s">
        <v>48</v>
      </c>
      <c r="AI21" s="40" t="s">
        <v>48</v>
      </c>
      <c r="AJ21" s="40" t="s">
        <v>48</v>
      </c>
      <c r="AK21" s="40" t="s">
        <v>48</v>
      </c>
      <c r="AL21" s="40" t="s">
        <v>48</v>
      </c>
      <c r="AM21" s="40" t="s">
        <v>48</v>
      </c>
      <c r="AN21" s="40" t="s">
        <v>48</v>
      </c>
      <c r="AP21" s="33"/>
      <c r="AQ21" s="38" t="str">
        <f>Notes!V22</f>
        <v xml:space="preserve">      Labor - urban secondary</v>
      </c>
      <c r="AR21" s="4" t="s">
        <v>403</v>
      </c>
      <c r="AS21" s="44">
        <v>1</v>
      </c>
      <c r="AT21" s="42" t="s">
        <v>48</v>
      </c>
      <c r="AU21" s="40" t="s">
        <v>48</v>
      </c>
      <c r="AV21" s="40" t="s">
        <v>48</v>
      </c>
      <c r="AW21" s="40" t="s">
        <v>48</v>
      </c>
      <c r="AX21" s="40" t="s">
        <v>48</v>
      </c>
      <c r="AY21" s="40" t="s">
        <v>48</v>
      </c>
      <c r="AZ21" s="40" t="s">
        <v>48</v>
      </c>
      <c r="BA21" s="40" t="s">
        <v>48</v>
      </c>
      <c r="BB21" s="40" t="s">
        <v>48</v>
      </c>
      <c r="BC21" s="40" t="s">
        <v>48</v>
      </c>
      <c r="BD21" s="40" t="s">
        <v>48</v>
      </c>
      <c r="BE21" s="40" t="s">
        <v>48</v>
      </c>
      <c r="BF21" s="40" t="s">
        <v>48</v>
      </c>
      <c r="BG21" s="40" t="s">
        <v>48</v>
      </c>
      <c r="BH21" s="40" t="s">
        <v>48</v>
      </c>
    </row>
    <row r="22" spans="1:60" x14ac:dyDescent="0.35">
      <c r="A22" s="12">
        <v>15</v>
      </c>
      <c r="B22" s="33"/>
      <c r="C22" s="38" t="str">
        <f>Notes!V23</f>
        <v xml:space="preserve">      Labor - urban tertiary</v>
      </c>
      <c r="D22" s="4" t="s">
        <v>404</v>
      </c>
      <c r="E22" s="90">
        <v>1454.9327819732005</v>
      </c>
      <c r="F22" s="42" t="s">
        <v>48</v>
      </c>
      <c r="G22" s="40" t="s">
        <v>48</v>
      </c>
      <c r="H22" s="40" t="s">
        <v>48</v>
      </c>
      <c r="I22" s="40" t="s">
        <v>48</v>
      </c>
      <c r="J22" s="40" t="s">
        <v>48</v>
      </c>
      <c r="K22" s="4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0" t="s">
        <v>48</v>
      </c>
      <c r="Q22" s="40" t="s">
        <v>48</v>
      </c>
      <c r="R22" s="40" t="s">
        <v>48</v>
      </c>
      <c r="S22" s="40" t="s">
        <v>48</v>
      </c>
      <c r="T22" s="40" t="s">
        <v>48</v>
      </c>
      <c r="V22" s="33"/>
      <c r="W22" s="38" t="str">
        <f>Notes!V23</f>
        <v xml:space="preserve">      Labor - urban tertiary</v>
      </c>
      <c r="X22" s="4" t="s">
        <v>404</v>
      </c>
      <c r="Y22" s="90">
        <v>1452.5387388020308</v>
      </c>
      <c r="Z22" s="42" t="s">
        <v>48</v>
      </c>
      <c r="AA22" s="40" t="s">
        <v>48</v>
      </c>
      <c r="AB22" s="40" t="s">
        <v>48</v>
      </c>
      <c r="AC22" s="40" t="s">
        <v>48</v>
      </c>
      <c r="AD22" s="40" t="s">
        <v>48</v>
      </c>
      <c r="AE22" s="40" t="s">
        <v>48</v>
      </c>
      <c r="AF22" s="40" t="s">
        <v>48</v>
      </c>
      <c r="AG22" s="40" t="s">
        <v>48</v>
      </c>
      <c r="AH22" s="40" t="s">
        <v>48</v>
      </c>
      <c r="AI22" s="40" t="s">
        <v>48</v>
      </c>
      <c r="AJ22" s="40" t="s">
        <v>48</v>
      </c>
      <c r="AK22" s="40" t="s">
        <v>48</v>
      </c>
      <c r="AL22" s="40" t="s">
        <v>48</v>
      </c>
      <c r="AM22" s="40" t="s">
        <v>48</v>
      </c>
      <c r="AN22" s="40" t="s">
        <v>48</v>
      </c>
      <c r="AP22" s="33"/>
      <c r="AQ22" s="38" t="str">
        <f>Notes!V23</f>
        <v xml:space="preserve">      Labor - urban tertiary</v>
      </c>
      <c r="AR22" s="4" t="s">
        <v>404</v>
      </c>
      <c r="AS22" s="44">
        <v>1</v>
      </c>
      <c r="AT22" s="42" t="s">
        <v>48</v>
      </c>
      <c r="AU22" s="40" t="s">
        <v>48</v>
      </c>
      <c r="AV22" s="40" t="s">
        <v>48</v>
      </c>
      <c r="AW22" s="40" t="s">
        <v>48</v>
      </c>
      <c r="AX22" s="40" t="s">
        <v>48</v>
      </c>
      <c r="AY22" s="40" t="s">
        <v>48</v>
      </c>
      <c r="AZ22" s="40" t="s">
        <v>48</v>
      </c>
      <c r="BA22" s="40" t="s">
        <v>48</v>
      </c>
      <c r="BB22" s="40" t="s">
        <v>48</v>
      </c>
      <c r="BC22" s="40" t="s">
        <v>48</v>
      </c>
      <c r="BD22" s="40" t="s">
        <v>48</v>
      </c>
      <c r="BE22" s="40" t="s">
        <v>48</v>
      </c>
      <c r="BF22" s="40" t="s">
        <v>48</v>
      </c>
      <c r="BG22" s="40" t="s">
        <v>48</v>
      </c>
      <c r="BH22" s="40" t="s">
        <v>48</v>
      </c>
    </row>
    <row r="23" spans="1:60" x14ac:dyDescent="0.35">
      <c r="A23" s="12">
        <v>16</v>
      </c>
      <c r="B23" s="33"/>
      <c r="C23" s="38" t="str">
        <f>Notes!V24</f>
        <v>Crop land</v>
      </c>
      <c r="D23" s="4" t="s">
        <v>7</v>
      </c>
      <c r="E23" s="90">
        <v>575.88953605485415</v>
      </c>
      <c r="F23" s="42" t="s">
        <v>48</v>
      </c>
      <c r="G23" s="40" t="s">
        <v>48</v>
      </c>
      <c r="H23" s="40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V23" s="33"/>
      <c r="W23" s="38" t="str">
        <f>Notes!V24</f>
        <v>Crop land</v>
      </c>
      <c r="X23" s="4" t="s">
        <v>7</v>
      </c>
      <c r="Y23" s="90">
        <v>575.88953605485415</v>
      </c>
      <c r="Z23" s="42" t="s">
        <v>48</v>
      </c>
      <c r="AA23" s="40" t="s">
        <v>48</v>
      </c>
      <c r="AB23" s="40" t="s">
        <v>48</v>
      </c>
      <c r="AC23" s="40" t="s">
        <v>48</v>
      </c>
      <c r="AD23" s="40" t="s">
        <v>48</v>
      </c>
      <c r="AE23" s="40" t="s">
        <v>48</v>
      </c>
      <c r="AF23" s="40" t="s">
        <v>48</v>
      </c>
      <c r="AG23" s="40" t="s">
        <v>48</v>
      </c>
      <c r="AH23" s="40" t="s">
        <v>48</v>
      </c>
      <c r="AI23" s="40" t="s">
        <v>48</v>
      </c>
      <c r="AJ23" s="40" t="s">
        <v>48</v>
      </c>
      <c r="AK23" s="40" t="s">
        <v>48</v>
      </c>
      <c r="AL23" s="40" t="s">
        <v>48</v>
      </c>
      <c r="AM23" s="40" t="s">
        <v>48</v>
      </c>
      <c r="AN23" s="40" t="s">
        <v>48</v>
      </c>
      <c r="AP23" s="33"/>
      <c r="AQ23" s="38" t="str">
        <f>Notes!V24</f>
        <v>Crop land</v>
      </c>
      <c r="AR23" s="4" t="s">
        <v>7</v>
      </c>
      <c r="AS23" s="44">
        <v>1</v>
      </c>
      <c r="AT23" s="42" t="s">
        <v>48</v>
      </c>
      <c r="AU23" s="40" t="s">
        <v>48</v>
      </c>
      <c r="AV23" s="40" t="s">
        <v>48</v>
      </c>
      <c r="AW23" s="40" t="s">
        <v>48</v>
      </c>
      <c r="AX23" s="40" t="s">
        <v>48</v>
      </c>
      <c r="AY23" s="40" t="s">
        <v>48</v>
      </c>
      <c r="AZ23" s="40" t="s">
        <v>48</v>
      </c>
      <c r="BA23" s="40" t="s">
        <v>48</v>
      </c>
      <c r="BB23" s="40" t="s">
        <v>48</v>
      </c>
      <c r="BC23" s="40" t="s">
        <v>48</v>
      </c>
      <c r="BD23" s="40" t="s">
        <v>48</v>
      </c>
      <c r="BE23" s="40" t="s">
        <v>48</v>
      </c>
      <c r="BF23" s="40" t="s">
        <v>48</v>
      </c>
      <c r="BG23" s="40" t="s">
        <v>48</v>
      </c>
      <c r="BH23" s="40" t="s">
        <v>48</v>
      </c>
    </row>
    <row r="24" spans="1:60" x14ac:dyDescent="0.35">
      <c r="A24" s="12">
        <v>17</v>
      </c>
      <c r="B24" s="33"/>
      <c r="C24" s="38" t="str">
        <f>Notes!V25</f>
        <v>Capital</v>
      </c>
      <c r="D24" s="4" t="s">
        <v>406</v>
      </c>
      <c r="E24" s="90">
        <v>2586.6527976437001</v>
      </c>
      <c r="F24" s="42" t="s">
        <v>48</v>
      </c>
      <c r="G24" s="40" t="s">
        <v>48</v>
      </c>
      <c r="H24" s="40" t="s">
        <v>48</v>
      </c>
      <c r="I24" s="40" t="s">
        <v>48</v>
      </c>
      <c r="J24" s="40" t="s">
        <v>48</v>
      </c>
      <c r="K24" s="40" t="s">
        <v>48</v>
      </c>
      <c r="L24" s="40" t="s">
        <v>48</v>
      </c>
      <c r="M24" s="40" t="s">
        <v>48</v>
      </c>
      <c r="N24" s="40" t="s">
        <v>48</v>
      </c>
      <c r="O24" s="40" t="s">
        <v>48</v>
      </c>
      <c r="P24" s="40" t="s">
        <v>48</v>
      </c>
      <c r="Q24" s="40" t="s">
        <v>48</v>
      </c>
      <c r="R24" s="40" t="s">
        <v>48</v>
      </c>
      <c r="S24" s="40" t="s">
        <v>48</v>
      </c>
      <c r="T24" s="40" t="s">
        <v>48</v>
      </c>
      <c r="V24" s="33"/>
      <c r="W24" s="38" t="str">
        <f>Notes!V25</f>
        <v>Capital</v>
      </c>
      <c r="X24" s="4" t="s">
        <v>406</v>
      </c>
      <c r="Y24" s="90">
        <v>2575.0230022866917</v>
      </c>
      <c r="Z24" s="42" t="s">
        <v>48</v>
      </c>
      <c r="AA24" s="40" t="s">
        <v>48</v>
      </c>
      <c r="AB24" s="40" t="s">
        <v>48</v>
      </c>
      <c r="AC24" s="40" t="s">
        <v>48</v>
      </c>
      <c r="AD24" s="40" t="s">
        <v>48</v>
      </c>
      <c r="AE24" s="40" t="s">
        <v>48</v>
      </c>
      <c r="AF24" s="40" t="s">
        <v>48</v>
      </c>
      <c r="AG24" s="40" t="s">
        <v>48</v>
      </c>
      <c r="AH24" s="40" t="s">
        <v>48</v>
      </c>
      <c r="AI24" s="40" t="s">
        <v>48</v>
      </c>
      <c r="AJ24" s="40" t="s">
        <v>48</v>
      </c>
      <c r="AK24" s="40" t="s">
        <v>48</v>
      </c>
      <c r="AL24" s="40" t="s">
        <v>48</v>
      </c>
      <c r="AM24" s="40" t="s">
        <v>48</v>
      </c>
      <c r="AN24" s="40" t="s">
        <v>48</v>
      </c>
      <c r="AP24" s="33"/>
      <c r="AQ24" s="38" t="str">
        <f>Notes!V25</f>
        <v>Capital</v>
      </c>
      <c r="AR24" s="4" t="s">
        <v>406</v>
      </c>
      <c r="AS24" s="44">
        <v>1</v>
      </c>
      <c r="AT24" s="42" t="s">
        <v>48</v>
      </c>
      <c r="AU24" s="40" t="s">
        <v>48</v>
      </c>
      <c r="AV24" s="40" t="s">
        <v>48</v>
      </c>
      <c r="AW24" s="40" t="s">
        <v>48</v>
      </c>
      <c r="AX24" s="40" t="s">
        <v>48</v>
      </c>
      <c r="AY24" s="40" t="s">
        <v>48</v>
      </c>
      <c r="AZ24" s="40" t="s">
        <v>48</v>
      </c>
      <c r="BA24" s="40" t="s">
        <v>48</v>
      </c>
      <c r="BB24" s="40" t="s">
        <v>48</v>
      </c>
      <c r="BC24" s="40" t="s">
        <v>48</v>
      </c>
      <c r="BD24" s="40" t="s">
        <v>48</v>
      </c>
      <c r="BE24" s="40" t="s">
        <v>48</v>
      </c>
      <c r="BF24" s="40" t="s">
        <v>48</v>
      </c>
      <c r="BG24" s="40" t="s">
        <v>48</v>
      </c>
      <c r="BH24" s="40" t="s">
        <v>48</v>
      </c>
    </row>
    <row r="25" spans="1:60" x14ac:dyDescent="0.35">
      <c r="A25" s="12">
        <v>18</v>
      </c>
      <c r="B25" s="33"/>
      <c r="C25" s="38" t="str">
        <f>Notes!V26</f>
        <v xml:space="preserve">   Capital - crops</v>
      </c>
      <c r="D25" s="4" t="s">
        <v>408</v>
      </c>
      <c r="E25" s="90">
        <v>317.37780634559647</v>
      </c>
      <c r="F25" s="42" t="s">
        <v>48</v>
      </c>
      <c r="G25" s="40" t="s">
        <v>48</v>
      </c>
      <c r="H25" s="40" t="s">
        <v>48</v>
      </c>
      <c r="I25" s="40" t="s">
        <v>48</v>
      </c>
      <c r="J25" s="40" t="s">
        <v>48</v>
      </c>
      <c r="K25" s="40" t="s">
        <v>48</v>
      </c>
      <c r="L25" s="40" t="s">
        <v>48</v>
      </c>
      <c r="M25" s="40" t="s">
        <v>48</v>
      </c>
      <c r="N25" s="40" t="s">
        <v>48</v>
      </c>
      <c r="O25" s="40" t="s">
        <v>48</v>
      </c>
      <c r="P25" s="40" t="s">
        <v>48</v>
      </c>
      <c r="Q25" s="40" t="s">
        <v>48</v>
      </c>
      <c r="R25" s="40" t="s">
        <v>48</v>
      </c>
      <c r="S25" s="40" t="s">
        <v>48</v>
      </c>
      <c r="T25" s="40" t="s">
        <v>48</v>
      </c>
      <c r="V25" s="33"/>
      <c r="W25" s="38" t="str">
        <f>Notes!V26</f>
        <v xml:space="preserve">   Capital - crops</v>
      </c>
      <c r="X25" s="4" t="s">
        <v>408</v>
      </c>
      <c r="Y25" s="90">
        <v>315.95085065134259</v>
      </c>
      <c r="Z25" s="42" t="s">
        <v>48</v>
      </c>
      <c r="AA25" s="40" t="s">
        <v>48</v>
      </c>
      <c r="AB25" s="40" t="s">
        <v>48</v>
      </c>
      <c r="AC25" s="40" t="s">
        <v>48</v>
      </c>
      <c r="AD25" s="40" t="s">
        <v>48</v>
      </c>
      <c r="AE25" s="40" t="s">
        <v>48</v>
      </c>
      <c r="AF25" s="40" t="s">
        <v>48</v>
      </c>
      <c r="AG25" s="40" t="s">
        <v>48</v>
      </c>
      <c r="AH25" s="40" t="s">
        <v>48</v>
      </c>
      <c r="AI25" s="40" t="s">
        <v>48</v>
      </c>
      <c r="AJ25" s="40" t="s">
        <v>48</v>
      </c>
      <c r="AK25" s="40" t="s">
        <v>48</v>
      </c>
      <c r="AL25" s="40" t="s">
        <v>48</v>
      </c>
      <c r="AM25" s="40" t="s">
        <v>48</v>
      </c>
      <c r="AN25" s="40" t="s">
        <v>48</v>
      </c>
      <c r="AP25" s="33"/>
      <c r="AQ25" s="38" t="str">
        <f>Notes!V26</f>
        <v xml:space="preserve">   Capital - crops</v>
      </c>
      <c r="AR25" s="4" t="s">
        <v>408</v>
      </c>
      <c r="AS25" s="44">
        <v>1</v>
      </c>
      <c r="AT25" s="42" t="s">
        <v>48</v>
      </c>
      <c r="AU25" s="40" t="s">
        <v>48</v>
      </c>
      <c r="AV25" s="40" t="s">
        <v>48</v>
      </c>
      <c r="AW25" s="40" t="s">
        <v>48</v>
      </c>
      <c r="AX25" s="40" t="s">
        <v>48</v>
      </c>
      <c r="AY25" s="40" t="s">
        <v>48</v>
      </c>
      <c r="AZ25" s="40" t="s">
        <v>48</v>
      </c>
      <c r="BA25" s="40" t="s">
        <v>48</v>
      </c>
      <c r="BB25" s="40" t="s">
        <v>48</v>
      </c>
      <c r="BC25" s="40" t="s">
        <v>48</v>
      </c>
      <c r="BD25" s="40" t="s">
        <v>48</v>
      </c>
      <c r="BE25" s="40" t="s">
        <v>48</v>
      </c>
      <c r="BF25" s="40" t="s">
        <v>48</v>
      </c>
      <c r="BG25" s="40" t="s">
        <v>48</v>
      </c>
      <c r="BH25" s="40" t="s">
        <v>48</v>
      </c>
    </row>
    <row r="26" spans="1:60" x14ac:dyDescent="0.35">
      <c r="A26" s="12">
        <v>19</v>
      </c>
      <c r="B26" s="33"/>
      <c r="C26" s="38" t="str">
        <f>Notes!V27</f>
        <v xml:space="preserve">   Capital - livestock</v>
      </c>
      <c r="D26" s="4" t="s">
        <v>409</v>
      </c>
      <c r="E26" s="90">
        <v>99.196464902153167</v>
      </c>
      <c r="F26" s="42" t="s">
        <v>48</v>
      </c>
      <c r="G26" s="40" t="s">
        <v>48</v>
      </c>
      <c r="H26" s="40" t="s">
        <v>48</v>
      </c>
      <c r="I26" s="40" t="s">
        <v>48</v>
      </c>
      <c r="J26" s="40" t="s">
        <v>48</v>
      </c>
      <c r="K26" s="40" t="s">
        <v>48</v>
      </c>
      <c r="L26" s="40" t="s">
        <v>48</v>
      </c>
      <c r="M26" s="40" t="s">
        <v>48</v>
      </c>
      <c r="N26" s="40" t="s">
        <v>48</v>
      </c>
      <c r="O26" s="40" t="s">
        <v>48</v>
      </c>
      <c r="P26" s="40" t="s">
        <v>48</v>
      </c>
      <c r="Q26" s="40" t="s">
        <v>48</v>
      </c>
      <c r="R26" s="40" t="s">
        <v>48</v>
      </c>
      <c r="S26" s="40" t="s">
        <v>48</v>
      </c>
      <c r="T26" s="40" t="s">
        <v>48</v>
      </c>
      <c r="V26" s="33"/>
      <c r="W26" s="38" t="str">
        <f>Notes!V27</f>
        <v xml:space="preserve">   Capital - livestock</v>
      </c>
      <c r="X26" s="4" t="s">
        <v>409</v>
      </c>
      <c r="Y26" s="90">
        <v>98.750469758157962</v>
      </c>
      <c r="Z26" s="42" t="s">
        <v>48</v>
      </c>
      <c r="AA26" s="40" t="s">
        <v>48</v>
      </c>
      <c r="AB26" s="40" t="s">
        <v>48</v>
      </c>
      <c r="AC26" s="40" t="s">
        <v>48</v>
      </c>
      <c r="AD26" s="40" t="s">
        <v>48</v>
      </c>
      <c r="AE26" s="40" t="s">
        <v>48</v>
      </c>
      <c r="AF26" s="40" t="s">
        <v>48</v>
      </c>
      <c r="AG26" s="40" t="s">
        <v>48</v>
      </c>
      <c r="AH26" s="40" t="s">
        <v>48</v>
      </c>
      <c r="AI26" s="40" t="s">
        <v>48</v>
      </c>
      <c r="AJ26" s="40" t="s">
        <v>48</v>
      </c>
      <c r="AK26" s="40" t="s">
        <v>48</v>
      </c>
      <c r="AL26" s="40" t="s">
        <v>48</v>
      </c>
      <c r="AM26" s="40" t="s">
        <v>48</v>
      </c>
      <c r="AN26" s="40" t="s">
        <v>48</v>
      </c>
      <c r="AP26" s="33"/>
      <c r="AQ26" s="38" t="str">
        <f>Notes!V27</f>
        <v xml:space="preserve">   Capital - livestock</v>
      </c>
      <c r="AR26" s="4" t="s">
        <v>409</v>
      </c>
      <c r="AS26" s="44">
        <v>1</v>
      </c>
      <c r="AT26" s="42" t="s">
        <v>48</v>
      </c>
      <c r="AU26" s="40" t="s">
        <v>48</v>
      </c>
      <c r="AV26" s="40" t="s">
        <v>48</v>
      </c>
      <c r="AW26" s="40" t="s">
        <v>48</v>
      </c>
      <c r="AX26" s="40" t="s">
        <v>48</v>
      </c>
      <c r="AY26" s="40" t="s">
        <v>48</v>
      </c>
      <c r="AZ26" s="40" t="s">
        <v>48</v>
      </c>
      <c r="BA26" s="40" t="s">
        <v>48</v>
      </c>
      <c r="BB26" s="40" t="s">
        <v>48</v>
      </c>
      <c r="BC26" s="40" t="s">
        <v>48</v>
      </c>
      <c r="BD26" s="40" t="s">
        <v>48</v>
      </c>
      <c r="BE26" s="40" t="s">
        <v>48</v>
      </c>
      <c r="BF26" s="40" t="s">
        <v>48</v>
      </c>
      <c r="BG26" s="40" t="s">
        <v>48</v>
      </c>
      <c r="BH26" s="40" t="s">
        <v>48</v>
      </c>
    </row>
    <row r="27" spans="1:60" x14ac:dyDescent="0.35">
      <c r="A27" s="12">
        <v>20</v>
      </c>
      <c r="B27" s="33"/>
      <c r="C27" s="38" t="str">
        <f>Notes!V28</f>
        <v xml:space="preserve">   Capital - mining</v>
      </c>
      <c r="D27" s="4" t="s">
        <v>410</v>
      </c>
      <c r="E27" s="90">
        <v>85.874048244756395</v>
      </c>
      <c r="F27" s="42" t="s">
        <v>48</v>
      </c>
      <c r="G27" s="40" t="s">
        <v>48</v>
      </c>
      <c r="H27" s="40" t="s">
        <v>48</v>
      </c>
      <c r="I27" s="40" t="s">
        <v>48</v>
      </c>
      <c r="J27" s="40" t="s">
        <v>48</v>
      </c>
      <c r="K27" s="40" t="s">
        <v>48</v>
      </c>
      <c r="L27" s="40" t="s">
        <v>48</v>
      </c>
      <c r="M27" s="40" t="s">
        <v>48</v>
      </c>
      <c r="N27" s="40" t="s">
        <v>48</v>
      </c>
      <c r="O27" s="40" t="s">
        <v>48</v>
      </c>
      <c r="P27" s="40" t="s">
        <v>48</v>
      </c>
      <c r="Q27" s="40" t="s">
        <v>48</v>
      </c>
      <c r="R27" s="40" t="s">
        <v>48</v>
      </c>
      <c r="S27" s="40" t="s">
        <v>48</v>
      </c>
      <c r="T27" s="40" t="s">
        <v>48</v>
      </c>
      <c r="V27" s="33"/>
      <c r="W27" s="38" t="str">
        <f>Notes!V28</f>
        <v xml:space="preserve">   Capital - mining</v>
      </c>
      <c r="X27" s="4" t="s">
        <v>410</v>
      </c>
      <c r="Y27" s="90">
        <v>85.487951738694917</v>
      </c>
      <c r="Z27" s="42" t="s">
        <v>48</v>
      </c>
      <c r="AA27" s="40" t="s">
        <v>48</v>
      </c>
      <c r="AB27" s="40" t="s">
        <v>48</v>
      </c>
      <c r="AC27" s="40" t="s">
        <v>48</v>
      </c>
      <c r="AD27" s="40" t="s">
        <v>48</v>
      </c>
      <c r="AE27" s="40" t="s">
        <v>48</v>
      </c>
      <c r="AF27" s="40" t="s">
        <v>48</v>
      </c>
      <c r="AG27" s="40" t="s">
        <v>48</v>
      </c>
      <c r="AH27" s="40" t="s">
        <v>48</v>
      </c>
      <c r="AI27" s="40" t="s">
        <v>48</v>
      </c>
      <c r="AJ27" s="40" t="s">
        <v>48</v>
      </c>
      <c r="AK27" s="40" t="s">
        <v>48</v>
      </c>
      <c r="AL27" s="40" t="s">
        <v>48</v>
      </c>
      <c r="AM27" s="40" t="s">
        <v>48</v>
      </c>
      <c r="AN27" s="40" t="s">
        <v>48</v>
      </c>
      <c r="AP27" s="33"/>
      <c r="AQ27" s="38" t="str">
        <f>Notes!V28</f>
        <v xml:space="preserve">   Capital - mining</v>
      </c>
      <c r="AR27" s="4" t="s">
        <v>410</v>
      </c>
      <c r="AS27" s="44">
        <v>1</v>
      </c>
      <c r="AT27" s="42" t="s">
        <v>48</v>
      </c>
      <c r="AU27" s="40" t="s">
        <v>48</v>
      </c>
      <c r="AV27" s="40" t="s">
        <v>48</v>
      </c>
      <c r="AW27" s="40" t="s">
        <v>48</v>
      </c>
      <c r="AX27" s="40" t="s">
        <v>48</v>
      </c>
      <c r="AY27" s="40" t="s">
        <v>48</v>
      </c>
      <c r="AZ27" s="40" t="s">
        <v>48</v>
      </c>
      <c r="BA27" s="40" t="s">
        <v>48</v>
      </c>
      <c r="BB27" s="40" t="s">
        <v>48</v>
      </c>
      <c r="BC27" s="40" t="s">
        <v>48</v>
      </c>
      <c r="BD27" s="40" t="s">
        <v>48</v>
      </c>
      <c r="BE27" s="40" t="s">
        <v>48</v>
      </c>
      <c r="BF27" s="40" t="s">
        <v>48</v>
      </c>
      <c r="BG27" s="40" t="s">
        <v>48</v>
      </c>
      <c r="BH27" s="40" t="s">
        <v>48</v>
      </c>
    </row>
    <row r="28" spans="1:60" x14ac:dyDescent="0.35">
      <c r="A28" s="12">
        <v>21</v>
      </c>
      <c r="B28" s="33"/>
      <c r="C28" s="38" t="str">
        <f>Notes!V29</f>
        <v xml:space="preserve">   Capital - non-primary</v>
      </c>
      <c r="D28" s="4" t="s">
        <v>553</v>
      </c>
      <c r="E28" s="90">
        <v>2084.2044781511941</v>
      </c>
      <c r="F28" s="42" t="s">
        <v>48</v>
      </c>
      <c r="G28" s="40" t="s">
        <v>48</v>
      </c>
      <c r="H28" s="40" t="s">
        <v>48</v>
      </c>
      <c r="I28" s="40" t="s">
        <v>48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0" t="s">
        <v>48</v>
      </c>
      <c r="Q28" s="40" t="s">
        <v>48</v>
      </c>
      <c r="R28" s="40" t="s">
        <v>48</v>
      </c>
      <c r="S28" s="40" t="s">
        <v>48</v>
      </c>
      <c r="T28" s="40" t="s">
        <v>48</v>
      </c>
      <c r="V28" s="33"/>
      <c r="W28" s="38" t="str">
        <f>Notes!V29</f>
        <v xml:space="preserve">   Capital - non-primary</v>
      </c>
      <c r="X28" s="4" t="s">
        <v>553</v>
      </c>
      <c r="Y28" s="90">
        <v>2074.8337301384963</v>
      </c>
      <c r="Z28" s="42" t="s">
        <v>48</v>
      </c>
      <c r="AA28" s="40" t="s">
        <v>48</v>
      </c>
      <c r="AB28" s="40" t="s">
        <v>48</v>
      </c>
      <c r="AC28" s="40" t="s">
        <v>48</v>
      </c>
      <c r="AD28" s="40" t="s">
        <v>48</v>
      </c>
      <c r="AE28" s="40" t="s">
        <v>48</v>
      </c>
      <c r="AF28" s="40" t="s">
        <v>48</v>
      </c>
      <c r="AG28" s="40" t="s">
        <v>48</v>
      </c>
      <c r="AH28" s="40" t="s">
        <v>48</v>
      </c>
      <c r="AI28" s="40" t="s">
        <v>48</v>
      </c>
      <c r="AJ28" s="40" t="s">
        <v>48</v>
      </c>
      <c r="AK28" s="40" t="s">
        <v>48</v>
      </c>
      <c r="AL28" s="40" t="s">
        <v>48</v>
      </c>
      <c r="AM28" s="40" t="s">
        <v>48</v>
      </c>
      <c r="AN28" s="40" t="s">
        <v>48</v>
      </c>
      <c r="AP28" s="33"/>
      <c r="AQ28" s="38" t="str">
        <f>Notes!V29</f>
        <v xml:space="preserve">   Capital - non-primary</v>
      </c>
      <c r="AR28" s="4" t="s">
        <v>553</v>
      </c>
      <c r="AS28" s="44">
        <v>1</v>
      </c>
      <c r="AT28" s="42" t="s">
        <v>48</v>
      </c>
      <c r="AU28" s="40" t="s">
        <v>48</v>
      </c>
      <c r="AV28" s="40" t="s">
        <v>48</v>
      </c>
      <c r="AW28" s="40" t="s">
        <v>48</v>
      </c>
      <c r="AX28" s="40" t="s">
        <v>48</v>
      </c>
      <c r="AY28" s="40" t="s">
        <v>48</v>
      </c>
      <c r="AZ28" s="40" t="s">
        <v>48</v>
      </c>
      <c r="BA28" s="40" t="s">
        <v>48</v>
      </c>
      <c r="BB28" s="40" t="s">
        <v>48</v>
      </c>
      <c r="BC28" s="40" t="s">
        <v>48</v>
      </c>
      <c r="BD28" s="40" t="s">
        <v>48</v>
      </c>
      <c r="BE28" s="40" t="s">
        <v>48</v>
      </c>
      <c r="BF28" s="40" t="s">
        <v>48</v>
      </c>
      <c r="BG28" s="40" t="s">
        <v>48</v>
      </c>
      <c r="BH28" s="40" t="s">
        <v>48</v>
      </c>
    </row>
    <row r="29" spans="1:60" x14ac:dyDescent="0.35">
      <c r="A29" s="12">
        <v>22</v>
      </c>
      <c r="B29" s="33"/>
      <c r="C29" s="38" t="str">
        <f>Notes!V30</f>
        <v xml:space="preserve">               </v>
      </c>
      <c r="D29" s="4"/>
      <c r="E29" s="90"/>
      <c r="F29" s="42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V29" s="33"/>
      <c r="W29" s="38" t="str">
        <f>Notes!V30</f>
        <v xml:space="preserve">               </v>
      </c>
      <c r="X29" s="4"/>
      <c r="Y29" s="90"/>
      <c r="Z29" s="42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P29" s="33"/>
      <c r="AQ29" s="38" t="str">
        <f>Notes!V30</f>
        <v xml:space="preserve">               </v>
      </c>
      <c r="AR29" s="4"/>
      <c r="AS29" s="44"/>
      <c r="AT29" s="42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</row>
    <row r="30" spans="1:60" x14ac:dyDescent="0.35">
      <c r="A30" s="12">
        <v>23</v>
      </c>
      <c r="B30" s="33"/>
      <c r="C30" s="38" t="str">
        <f>Notes!V31</f>
        <v xml:space="preserve">               </v>
      </c>
      <c r="D30" s="4"/>
      <c r="E30" s="90"/>
      <c r="F30" s="42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V30" s="33"/>
      <c r="W30" s="38" t="str">
        <f>Notes!V31</f>
        <v xml:space="preserve">               </v>
      </c>
      <c r="X30" s="4"/>
      <c r="Y30" s="90"/>
      <c r="Z30" s="42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P30" s="33"/>
      <c r="AQ30" s="38" t="str">
        <f>Notes!V31</f>
        <v xml:space="preserve">               </v>
      </c>
      <c r="AR30" s="4"/>
      <c r="AS30" s="44"/>
      <c r="AT30" s="42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</row>
    <row r="31" spans="1:60" x14ac:dyDescent="0.35">
      <c r="A31" s="12">
        <v>24</v>
      </c>
      <c r="B31" s="33"/>
      <c r="C31" s="38" t="str">
        <f>Notes!V32</f>
        <v xml:space="preserve">               </v>
      </c>
      <c r="D31" s="4"/>
      <c r="E31" s="90"/>
      <c r="F31" s="42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V31" s="33"/>
      <c r="W31" s="38" t="str">
        <f>Notes!V32</f>
        <v xml:space="preserve">               </v>
      </c>
      <c r="X31" s="4"/>
      <c r="Y31" s="90"/>
      <c r="Z31" s="42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P31" s="33"/>
      <c r="AQ31" s="38" t="str">
        <f>Notes!V32</f>
        <v xml:space="preserve">               </v>
      </c>
      <c r="AR31" s="4"/>
      <c r="AS31" s="44"/>
      <c r="AT31" s="42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</row>
    <row r="32" spans="1:60" x14ac:dyDescent="0.35">
      <c r="A32" s="12">
        <v>25</v>
      </c>
      <c r="B32" s="33"/>
      <c r="C32" s="38" t="str">
        <f>Notes!V33</f>
        <v xml:space="preserve">               </v>
      </c>
      <c r="D32" s="4"/>
      <c r="E32" s="90"/>
      <c r="F32" s="42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V32" s="33"/>
      <c r="W32" s="38" t="str">
        <f>Notes!V33</f>
        <v xml:space="preserve">               </v>
      </c>
      <c r="X32" s="4"/>
      <c r="Y32" s="90"/>
      <c r="Z32" s="42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P32" s="33"/>
      <c r="AQ32" s="38" t="str">
        <f>Notes!V33</f>
        <v xml:space="preserve">               </v>
      </c>
      <c r="AR32" s="4"/>
      <c r="AS32" s="44"/>
      <c r="AT32" s="42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</row>
    <row r="33" spans="1:60" x14ac:dyDescent="0.35">
      <c r="A33" s="12">
        <v>26</v>
      </c>
      <c r="B33" s="33"/>
      <c r="C33" s="38" t="str">
        <f>Notes!V34</f>
        <v xml:space="preserve">               </v>
      </c>
      <c r="D33" s="4"/>
      <c r="E33" s="90"/>
      <c r="F33" s="42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V33" s="33"/>
      <c r="W33" s="38" t="str">
        <f>Notes!V34</f>
        <v xml:space="preserve">               </v>
      </c>
      <c r="X33" s="4"/>
      <c r="Y33" s="90"/>
      <c r="Z33" s="42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P33" s="33"/>
      <c r="AQ33" s="38" t="str">
        <f>Notes!V34</f>
        <v xml:space="preserve">               </v>
      </c>
      <c r="AR33" s="4"/>
      <c r="AS33" s="44"/>
      <c r="AT33" s="42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</row>
    <row r="34" spans="1:60" x14ac:dyDescent="0.35">
      <c r="A34" s="12">
        <v>27</v>
      </c>
      <c r="B34" s="33"/>
      <c r="C34" s="38" t="str">
        <f>Notes!V35</f>
        <v xml:space="preserve">               </v>
      </c>
      <c r="D34" s="4"/>
      <c r="E34" s="90"/>
      <c r="F34" s="42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V34" s="33"/>
      <c r="W34" s="38" t="str">
        <f>Notes!V35</f>
        <v xml:space="preserve">               </v>
      </c>
      <c r="X34" s="4"/>
      <c r="Y34" s="90"/>
      <c r="Z34" s="42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P34" s="33"/>
      <c r="AQ34" s="38" t="str">
        <f>Notes!V35</f>
        <v xml:space="preserve">               </v>
      </c>
      <c r="AR34" s="4"/>
      <c r="AS34" s="44"/>
      <c r="AT34" s="42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</row>
    <row r="35" spans="1:60" x14ac:dyDescent="0.35">
      <c r="A35" s="12">
        <v>28</v>
      </c>
      <c r="B35" s="33"/>
      <c r="C35" s="38" t="str">
        <f>Notes!V36</f>
        <v xml:space="preserve">               </v>
      </c>
      <c r="D35" s="4"/>
      <c r="E35" s="90"/>
      <c r="F35" s="42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V35" s="33"/>
      <c r="W35" s="38" t="str">
        <f>Notes!V36</f>
        <v xml:space="preserve">               </v>
      </c>
      <c r="X35" s="4"/>
      <c r="Y35" s="90"/>
      <c r="Z35" s="42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P35" s="33"/>
      <c r="AQ35" s="38" t="str">
        <f>Notes!V36</f>
        <v xml:space="preserve">               </v>
      </c>
      <c r="AR35" s="4"/>
      <c r="AS35" s="44"/>
      <c r="AT35" s="42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</row>
    <row r="36" spans="1:60" x14ac:dyDescent="0.35">
      <c r="A36" s="12">
        <v>29</v>
      </c>
      <c r="B36" s="33"/>
      <c r="C36" s="38" t="str">
        <f>Notes!V37</f>
        <v xml:space="preserve">               </v>
      </c>
      <c r="D36" s="4"/>
      <c r="E36" s="90"/>
      <c r="F36" s="42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V36" s="33"/>
      <c r="W36" s="38" t="str">
        <f>Notes!V37</f>
        <v xml:space="preserve">               </v>
      </c>
      <c r="X36" s="4"/>
      <c r="Y36" s="90"/>
      <c r="Z36" s="42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P36" s="33"/>
      <c r="AQ36" s="38" t="str">
        <f>Notes!V37</f>
        <v xml:space="preserve">               </v>
      </c>
      <c r="AR36" s="4"/>
      <c r="AS36" s="44"/>
      <c r="AT36" s="42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</row>
    <row r="37" spans="1:60" x14ac:dyDescent="0.35">
      <c r="A37" s="12">
        <v>30</v>
      </c>
      <c r="B37" s="33"/>
      <c r="C37" s="38" t="str">
        <f>Notes!V38</f>
        <v xml:space="preserve">               </v>
      </c>
      <c r="D37" s="4"/>
      <c r="E37" s="90"/>
      <c r="F37" s="42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V37" s="33"/>
      <c r="W37" s="38" t="str">
        <f>Notes!V38</f>
        <v xml:space="preserve">               </v>
      </c>
      <c r="X37" s="4"/>
      <c r="Y37" s="90"/>
      <c r="Z37" s="42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P37" s="33"/>
      <c r="AQ37" s="38" t="str">
        <f>Notes!V38</f>
        <v xml:space="preserve">               </v>
      </c>
      <c r="AR37" s="4"/>
      <c r="AS37" s="44"/>
      <c r="AT37" s="42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</row>
    <row r="38" spans="1:60" x14ac:dyDescent="0.35">
      <c r="A38" s="12">
        <v>31</v>
      </c>
      <c r="B38" s="33"/>
      <c r="C38" s="38" t="str">
        <f>Notes!V39</f>
        <v xml:space="preserve">               </v>
      </c>
      <c r="D38" s="4"/>
      <c r="E38" s="90"/>
      <c r="F38" s="42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V38" s="33"/>
      <c r="W38" s="38" t="str">
        <f>Notes!V39</f>
        <v xml:space="preserve">               </v>
      </c>
      <c r="X38" s="4"/>
      <c r="Y38" s="90"/>
      <c r="Z38" s="42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P38" s="33"/>
      <c r="AQ38" s="38" t="str">
        <f>Notes!V39</f>
        <v xml:space="preserve">               </v>
      </c>
      <c r="AR38" s="4"/>
      <c r="AS38" s="44"/>
      <c r="AT38" s="42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</row>
    <row r="39" spans="1:60" x14ac:dyDescent="0.35">
      <c r="A39" s="12">
        <v>32</v>
      </c>
      <c r="B39" s="33"/>
      <c r="C39" s="38" t="str">
        <f>Notes!V40</f>
        <v xml:space="preserve">               </v>
      </c>
      <c r="D39" s="4"/>
      <c r="E39" s="90"/>
      <c r="F39" s="42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V39" s="33"/>
      <c r="W39" s="38" t="str">
        <f>Notes!V40</f>
        <v xml:space="preserve">               </v>
      </c>
      <c r="X39" s="4"/>
      <c r="Y39" s="90"/>
      <c r="Z39" s="42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P39" s="33"/>
      <c r="AQ39" s="38" t="str">
        <f>Notes!V40</f>
        <v xml:space="preserve">               </v>
      </c>
      <c r="AR39" s="4"/>
      <c r="AS39" s="44"/>
      <c r="AT39" s="42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</row>
    <row r="40" spans="1:60" x14ac:dyDescent="0.35">
      <c r="A40" s="12">
        <v>33</v>
      </c>
      <c r="B40" s="33"/>
      <c r="C40" s="38" t="str">
        <f>Notes!V41</f>
        <v xml:space="preserve">               </v>
      </c>
      <c r="D40" s="4"/>
      <c r="E40" s="90"/>
      <c r="F40" s="42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V40" s="33"/>
      <c r="W40" s="38" t="str">
        <f>Notes!V41</f>
        <v xml:space="preserve">               </v>
      </c>
      <c r="X40" s="4"/>
      <c r="Y40" s="90"/>
      <c r="Z40" s="42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P40" s="33"/>
      <c r="AQ40" s="38" t="str">
        <f>Notes!V41</f>
        <v xml:space="preserve">               </v>
      </c>
      <c r="AR40" s="4"/>
      <c r="AS40" s="44"/>
      <c r="AT40" s="42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</row>
    <row r="41" spans="1:60" x14ac:dyDescent="0.35">
      <c r="A41" s="12">
        <v>34</v>
      </c>
      <c r="B41" s="33"/>
      <c r="C41" s="38" t="str">
        <f>Notes!V42</f>
        <v xml:space="preserve">               </v>
      </c>
      <c r="D41" s="4"/>
      <c r="E41" s="90"/>
      <c r="F41" s="42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V41" s="33"/>
      <c r="W41" s="38" t="str">
        <f>Notes!V42</f>
        <v xml:space="preserve">               </v>
      </c>
      <c r="X41" s="4"/>
      <c r="Y41" s="90"/>
      <c r="Z41" s="42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P41" s="33"/>
      <c r="AQ41" s="38" t="str">
        <f>Notes!V42</f>
        <v xml:space="preserve">               </v>
      </c>
      <c r="AR41" s="4"/>
      <c r="AS41" s="44"/>
      <c r="AT41" s="42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</row>
    <row r="42" spans="1:60" x14ac:dyDescent="0.35">
      <c r="A42" s="12">
        <v>35</v>
      </c>
      <c r="B42" s="33"/>
      <c r="C42" s="38" t="str">
        <f>Notes!V43</f>
        <v xml:space="preserve">               </v>
      </c>
      <c r="D42" s="4"/>
      <c r="E42" s="90"/>
      <c r="F42" s="42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V42" s="33"/>
      <c r="W42" s="38" t="str">
        <f>Notes!V43</f>
        <v xml:space="preserve">               </v>
      </c>
      <c r="X42" s="4"/>
      <c r="Y42" s="90"/>
      <c r="Z42" s="42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P42" s="33"/>
      <c r="AQ42" s="38" t="str">
        <f>Notes!V43</f>
        <v xml:space="preserve">               </v>
      </c>
      <c r="AR42" s="4"/>
      <c r="AS42" s="44"/>
      <c r="AT42" s="42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</row>
    <row r="43" spans="1:60" x14ac:dyDescent="0.35">
      <c r="A43" s="12">
        <v>36</v>
      </c>
      <c r="B43" s="33"/>
      <c r="C43" s="38" t="str">
        <f>Notes!V44</f>
        <v xml:space="preserve">               </v>
      </c>
      <c r="D43" s="4"/>
      <c r="E43" s="90"/>
      <c r="F43" s="42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V43" s="33"/>
      <c r="W43" s="38" t="str">
        <f>Notes!V44</f>
        <v xml:space="preserve">               </v>
      </c>
      <c r="X43" s="4"/>
      <c r="Y43" s="90"/>
      <c r="Z43" s="42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P43" s="33"/>
      <c r="AQ43" s="38" t="str">
        <f>Notes!V44</f>
        <v xml:space="preserve">               </v>
      </c>
      <c r="AR43" s="4"/>
      <c r="AS43" s="44"/>
      <c r="AT43" s="42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</row>
    <row r="44" spans="1:60" x14ac:dyDescent="0.35">
      <c r="A44" s="12">
        <v>37</v>
      </c>
      <c r="B44" s="33"/>
      <c r="C44" s="38" t="str">
        <f>Notes!V45</f>
        <v xml:space="preserve">               </v>
      </c>
      <c r="D44" s="4"/>
      <c r="E44" s="90"/>
      <c r="F44" s="42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V44" s="33"/>
      <c r="W44" s="38" t="str">
        <f>Notes!V45</f>
        <v xml:space="preserve">               </v>
      </c>
      <c r="X44" s="4"/>
      <c r="Y44" s="90"/>
      <c r="Z44" s="42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P44" s="33"/>
      <c r="AQ44" s="38" t="str">
        <f>Notes!V45</f>
        <v xml:space="preserve">               </v>
      </c>
      <c r="AR44" s="4"/>
      <c r="AS44" s="44"/>
      <c r="AT44" s="42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</row>
    <row r="45" spans="1:60" x14ac:dyDescent="0.35">
      <c r="A45" s="12">
        <v>38</v>
      </c>
      <c r="B45" s="33"/>
      <c r="C45" s="38" t="str">
        <f>Notes!V46</f>
        <v xml:space="preserve">               </v>
      </c>
      <c r="D45" s="4"/>
      <c r="E45" s="90"/>
      <c r="F45" s="42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V45" s="33"/>
      <c r="W45" s="38" t="str">
        <f>Notes!V46</f>
        <v xml:space="preserve">               </v>
      </c>
      <c r="X45" s="4"/>
      <c r="Y45" s="90"/>
      <c r="Z45" s="42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P45" s="33"/>
      <c r="AQ45" s="38" t="str">
        <f>Notes!V46</f>
        <v xml:space="preserve">               </v>
      </c>
      <c r="AR45" s="4"/>
      <c r="AS45" s="44"/>
      <c r="AT45" s="42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</row>
    <row r="46" spans="1:60" x14ac:dyDescent="0.35">
      <c r="A46" s="12">
        <v>39</v>
      </c>
      <c r="B46" s="33"/>
      <c r="C46" s="38" t="str">
        <f>Notes!V47</f>
        <v xml:space="preserve">               </v>
      </c>
      <c r="D46" s="4"/>
      <c r="E46" s="90"/>
      <c r="F46" s="42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V46" s="33"/>
      <c r="W46" s="38" t="str">
        <f>Notes!V47</f>
        <v xml:space="preserve">               </v>
      </c>
      <c r="X46" s="4"/>
      <c r="Y46" s="90"/>
      <c r="Z46" s="42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P46" s="33"/>
      <c r="AQ46" s="38" t="str">
        <f>Notes!V47</f>
        <v xml:space="preserve">               </v>
      </c>
      <c r="AR46" s="4"/>
      <c r="AS46" s="44"/>
      <c r="AT46" s="42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</row>
    <row r="47" spans="1:60" x14ac:dyDescent="0.35">
      <c r="A47" s="12">
        <v>40</v>
      </c>
      <c r="B47" s="33"/>
      <c r="C47" s="38" t="str">
        <f>Notes!V48</f>
        <v xml:space="preserve">               </v>
      </c>
      <c r="D47" s="4"/>
      <c r="E47" s="90"/>
      <c r="F47" s="42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V47" s="33"/>
      <c r="W47" s="38" t="str">
        <f>Notes!V48</f>
        <v xml:space="preserve">               </v>
      </c>
      <c r="X47" s="4"/>
      <c r="Y47" s="90"/>
      <c r="Z47" s="42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P47" s="33"/>
      <c r="AQ47" s="38" t="str">
        <f>Notes!V48</f>
        <v xml:space="preserve">               </v>
      </c>
      <c r="AR47" s="4"/>
      <c r="AS47" s="44"/>
      <c r="AT47" s="42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</row>
    <row r="48" spans="1:60" x14ac:dyDescent="0.35">
      <c r="A48" s="12">
        <v>41</v>
      </c>
      <c r="B48" s="33"/>
      <c r="C48" s="38" t="str">
        <f>Notes!V49</f>
        <v xml:space="preserve">               </v>
      </c>
      <c r="D48" s="4"/>
      <c r="E48" s="90"/>
      <c r="F48" s="42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V48" s="33"/>
      <c r="W48" s="38" t="str">
        <f>Notes!V49</f>
        <v xml:space="preserve">               </v>
      </c>
      <c r="X48" s="4"/>
      <c r="Y48" s="90"/>
      <c r="Z48" s="42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P48" s="33"/>
      <c r="AQ48" s="38" t="str">
        <f>Notes!V49</f>
        <v xml:space="preserve">               </v>
      </c>
      <c r="AR48" s="4"/>
      <c r="AS48" s="44"/>
      <c r="AT48" s="42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</row>
    <row r="49" spans="1:60" x14ac:dyDescent="0.35">
      <c r="A49" s="12">
        <v>42</v>
      </c>
      <c r="B49" s="33"/>
      <c r="C49" s="38" t="str">
        <f>Notes!V50</f>
        <v xml:space="preserve">               </v>
      </c>
      <c r="D49" s="4"/>
      <c r="E49" s="90"/>
      <c r="F49" s="42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V49" s="33"/>
      <c r="W49" s="38" t="str">
        <f>Notes!V50</f>
        <v xml:space="preserve">               </v>
      </c>
      <c r="X49" s="4"/>
      <c r="Y49" s="90"/>
      <c r="Z49" s="42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P49" s="33"/>
      <c r="AQ49" s="38" t="str">
        <f>Notes!V50</f>
        <v xml:space="preserve">               </v>
      </c>
      <c r="AR49" s="4"/>
      <c r="AS49" s="44"/>
      <c r="AT49" s="42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</row>
    <row r="50" spans="1:60" x14ac:dyDescent="0.35">
      <c r="A50" s="12">
        <v>43</v>
      </c>
      <c r="B50" s="33"/>
      <c r="C50" s="38" t="str">
        <f>Notes!V51</f>
        <v xml:space="preserve">               </v>
      </c>
      <c r="D50" s="4"/>
      <c r="E50" s="90"/>
      <c r="F50" s="42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V50" s="33"/>
      <c r="W50" s="38" t="str">
        <f>Notes!V51</f>
        <v xml:space="preserve">               </v>
      </c>
      <c r="X50" s="4"/>
      <c r="Y50" s="90"/>
      <c r="Z50" s="42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P50" s="33"/>
      <c r="AQ50" s="38" t="str">
        <f>Notes!V51</f>
        <v xml:space="preserve">               </v>
      </c>
      <c r="AR50" s="4"/>
      <c r="AS50" s="44"/>
      <c r="AT50" s="42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</row>
    <row r="51" spans="1:60" x14ac:dyDescent="0.35">
      <c r="A51" s="12">
        <v>44</v>
      </c>
      <c r="B51" s="33"/>
      <c r="C51" s="38" t="str">
        <f>Notes!V52</f>
        <v xml:space="preserve">               </v>
      </c>
      <c r="D51" s="4"/>
      <c r="E51" s="90"/>
      <c r="F51" s="42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V51" s="33"/>
      <c r="W51" s="38" t="str">
        <f>Notes!V52</f>
        <v xml:space="preserve">               </v>
      </c>
      <c r="X51" s="4"/>
      <c r="Y51" s="90"/>
      <c r="Z51" s="42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P51" s="33"/>
      <c r="AQ51" s="38" t="str">
        <f>Notes!V52</f>
        <v xml:space="preserve">               </v>
      </c>
      <c r="AR51" s="4"/>
      <c r="AS51" s="44"/>
      <c r="AT51" s="42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</row>
    <row r="52" spans="1:60" x14ac:dyDescent="0.35">
      <c r="A52" s="12">
        <v>45</v>
      </c>
      <c r="B52" s="33"/>
      <c r="C52" s="38" t="str">
        <f>Notes!V53</f>
        <v xml:space="preserve">               </v>
      </c>
      <c r="D52" s="4"/>
      <c r="E52" s="90"/>
      <c r="F52" s="42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V52" s="33"/>
      <c r="W52" s="38" t="str">
        <f>Notes!V53</f>
        <v xml:space="preserve">               </v>
      </c>
      <c r="X52" s="4"/>
      <c r="Y52" s="90"/>
      <c r="Z52" s="42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P52" s="33"/>
      <c r="AQ52" s="38" t="str">
        <f>Notes!V53</f>
        <v xml:space="preserve">               </v>
      </c>
      <c r="AR52" s="4"/>
      <c r="AS52" s="44"/>
      <c r="AT52" s="42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</row>
    <row r="53" spans="1:60" x14ac:dyDescent="0.35">
      <c r="A53" s="12">
        <v>46</v>
      </c>
      <c r="B53" s="33"/>
      <c r="C53" s="38" t="str">
        <f>Notes!V54</f>
        <v xml:space="preserve">               </v>
      </c>
      <c r="D53" s="4"/>
      <c r="E53" s="90"/>
      <c r="F53" s="42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V53" s="33"/>
      <c r="W53" s="38" t="str">
        <f>Notes!V54</f>
        <v xml:space="preserve">               </v>
      </c>
      <c r="X53" s="4"/>
      <c r="Y53" s="90"/>
      <c r="Z53" s="42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P53" s="33"/>
      <c r="AQ53" s="38" t="str">
        <f>Notes!V54</f>
        <v xml:space="preserve">               </v>
      </c>
      <c r="AR53" s="4"/>
      <c r="AS53" s="44"/>
      <c r="AT53" s="42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</row>
    <row r="54" spans="1:60" x14ac:dyDescent="0.35">
      <c r="A54" s="12">
        <v>47</v>
      </c>
      <c r="B54" s="33"/>
      <c r="C54" s="38" t="str">
        <f>Notes!V55</f>
        <v xml:space="preserve">               </v>
      </c>
      <c r="D54" s="4"/>
      <c r="E54" s="90"/>
      <c r="F54" s="42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V54" s="33"/>
      <c r="W54" s="38" t="str">
        <f>Notes!V55</f>
        <v xml:space="preserve">               </v>
      </c>
      <c r="X54" s="4"/>
      <c r="Y54" s="90"/>
      <c r="Z54" s="42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P54" s="33"/>
      <c r="AQ54" s="38" t="str">
        <f>Notes!V55</f>
        <v xml:space="preserve">               </v>
      </c>
      <c r="AR54" s="4"/>
      <c r="AS54" s="44"/>
      <c r="AT54" s="42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</row>
    <row r="55" spans="1:60" x14ac:dyDescent="0.35">
      <c r="A55" s="12">
        <v>48</v>
      </c>
      <c r="B55" s="33"/>
      <c r="C55" s="38" t="str">
        <f>Notes!V56</f>
        <v xml:space="preserve">               </v>
      </c>
      <c r="D55" s="4"/>
      <c r="E55" s="90"/>
      <c r="F55" s="42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V55" s="33"/>
      <c r="W55" s="38" t="str">
        <f>Notes!V56</f>
        <v xml:space="preserve">               </v>
      </c>
      <c r="X55" s="4"/>
      <c r="Y55" s="90"/>
      <c r="Z55" s="42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P55" s="33"/>
      <c r="AQ55" s="38" t="str">
        <f>Notes!V56</f>
        <v xml:space="preserve">               </v>
      </c>
      <c r="AR55" s="4"/>
      <c r="AS55" s="44"/>
      <c r="AT55" s="42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</row>
    <row r="56" spans="1:60" x14ac:dyDescent="0.35">
      <c r="A56" s="12">
        <v>49</v>
      </c>
      <c r="B56" s="33"/>
      <c r="C56" s="38" t="str">
        <f>Notes!V57</f>
        <v xml:space="preserve">               </v>
      </c>
      <c r="D56" s="4"/>
      <c r="E56" s="90"/>
      <c r="F56" s="42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V56" s="33"/>
      <c r="W56" s="38" t="str">
        <f>Notes!V57</f>
        <v xml:space="preserve">               </v>
      </c>
      <c r="X56" s="4"/>
      <c r="Y56" s="90"/>
      <c r="Z56" s="42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P56" s="33"/>
      <c r="AQ56" s="38" t="str">
        <f>Notes!V57</f>
        <v xml:space="preserve">               </v>
      </c>
      <c r="AR56" s="4"/>
      <c r="AS56" s="44"/>
      <c r="AT56" s="42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</row>
    <row r="57" spans="1:60" x14ac:dyDescent="0.35">
      <c r="A57" s="12">
        <v>50</v>
      </c>
      <c r="B57" s="33"/>
      <c r="C57" s="38" t="str">
        <f>Notes!V58</f>
        <v xml:space="preserve">               </v>
      </c>
      <c r="D57" s="4"/>
      <c r="E57" s="90"/>
      <c r="F57" s="42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V57" s="33"/>
      <c r="W57" s="38" t="str">
        <f>Notes!V58</f>
        <v xml:space="preserve">               </v>
      </c>
      <c r="X57" s="4"/>
      <c r="Y57" s="90"/>
      <c r="Z57" s="42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P57" s="33"/>
      <c r="AQ57" s="38" t="str">
        <f>Notes!V58</f>
        <v xml:space="preserve">               </v>
      </c>
      <c r="AR57" s="4"/>
      <c r="AS57" s="44"/>
      <c r="AT57" s="42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</row>
    <row r="58" spans="1:60" x14ac:dyDescent="0.35">
      <c r="A58" s="12">
        <v>51</v>
      </c>
      <c r="B58" s="33"/>
      <c r="C58" s="38" t="str">
        <f>Notes!V59</f>
        <v xml:space="preserve">               </v>
      </c>
      <c r="D58" s="4"/>
      <c r="E58" s="90"/>
      <c r="F58" s="42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V58" s="33"/>
      <c r="W58" s="38" t="str">
        <f>Notes!V59</f>
        <v xml:space="preserve">               </v>
      </c>
      <c r="X58" s="4"/>
      <c r="Y58" s="90"/>
      <c r="Z58" s="42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P58" s="33"/>
      <c r="AQ58" s="38" t="str">
        <f>Notes!V59</f>
        <v xml:space="preserve">               </v>
      </c>
      <c r="AR58" s="4"/>
      <c r="AS58" s="44"/>
      <c r="AT58" s="42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</row>
    <row r="59" spans="1:60" x14ac:dyDescent="0.35">
      <c r="A59" s="12">
        <v>52</v>
      </c>
      <c r="B59" s="33"/>
      <c r="C59" s="38" t="str">
        <f>Notes!V60</f>
        <v xml:space="preserve">               </v>
      </c>
      <c r="D59" s="4"/>
      <c r="E59" s="90"/>
      <c r="F59" s="42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V59" s="33"/>
      <c r="W59" s="38" t="str">
        <f>Notes!V60</f>
        <v xml:space="preserve">               </v>
      </c>
      <c r="X59" s="4"/>
      <c r="Y59" s="90"/>
      <c r="Z59" s="42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P59" s="33"/>
      <c r="AQ59" s="38" t="str">
        <f>Notes!V60</f>
        <v xml:space="preserve">               </v>
      </c>
      <c r="AR59" s="4"/>
      <c r="AS59" s="44"/>
      <c r="AT59" s="42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</row>
    <row r="60" spans="1:60" x14ac:dyDescent="0.35">
      <c r="A60" s="12">
        <v>53</v>
      </c>
      <c r="B60" s="33"/>
      <c r="C60" s="38" t="str">
        <f>Notes!V61</f>
        <v xml:space="preserve">               </v>
      </c>
      <c r="D60" s="4"/>
      <c r="E60" s="90"/>
      <c r="F60" s="42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V60" s="33"/>
      <c r="W60" s="38" t="str">
        <f>Notes!V61</f>
        <v xml:space="preserve">               </v>
      </c>
      <c r="X60" s="4"/>
      <c r="Y60" s="90"/>
      <c r="Z60" s="42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P60" s="33"/>
      <c r="AQ60" s="38" t="str">
        <f>Notes!V61</f>
        <v xml:space="preserve">               </v>
      </c>
      <c r="AR60" s="4"/>
      <c r="AS60" s="44"/>
      <c r="AT60" s="42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</row>
    <row r="61" spans="1:60" x14ac:dyDescent="0.35">
      <c r="A61" s="12">
        <v>54</v>
      </c>
      <c r="B61" s="33"/>
      <c r="C61" s="38" t="str">
        <f>Notes!V62</f>
        <v xml:space="preserve">               </v>
      </c>
      <c r="D61" s="4"/>
      <c r="E61" s="90"/>
      <c r="F61" s="42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V61" s="33"/>
      <c r="W61" s="38" t="str">
        <f>Notes!V62</f>
        <v xml:space="preserve">               </v>
      </c>
      <c r="X61" s="4"/>
      <c r="Y61" s="90"/>
      <c r="Z61" s="42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P61" s="33"/>
      <c r="AQ61" s="38" t="str">
        <f>Notes!V62</f>
        <v xml:space="preserve">               </v>
      </c>
      <c r="AR61" s="4"/>
      <c r="AS61" s="44"/>
      <c r="AT61" s="42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</row>
    <row r="62" spans="1:60" x14ac:dyDescent="0.35">
      <c r="A62" s="12">
        <v>55</v>
      </c>
      <c r="B62" s="33"/>
      <c r="C62" s="38" t="str">
        <f>Notes!V63</f>
        <v xml:space="preserve">               </v>
      </c>
      <c r="D62" s="4"/>
      <c r="E62" s="90"/>
      <c r="F62" s="42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V62" s="33"/>
      <c r="W62" s="38" t="str">
        <f>Notes!V63</f>
        <v xml:space="preserve">               </v>
      </c>
      <c r="X62" s="4"/>
      <c r="Y62" s="90"/>
      <c r="Z62" s="42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P62" s="33"/>
      <c r="AQ62" s="38" t="str">
        <f>Notes!V63</f>
        <v xml:space="preserve">               </v>
      </c>
      <c r="AR62" s="4"/>
      <c r="AS62" s="44"/>
      <c r="AT62" s="42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</row>
    <row r="63" spans="1:60" x14ac:dyDescent="0.35">
      <c r="A63" s="12">
        <v>56</v>
      </c>
      <c r="B63" s="33"/>
      <c r="C63" s="38" t="str">
        <f>Notes!V64</f>
        <v xml:space="preserve">               </v>
      </c>
      <c r="D63" s="4"/>
      <c r="E63" s="90"/>
      <c r="F63" s="42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V63" s="33"/>
      <c r="W63" s="38" t="str">
        <f>Notes!V64</f>
        <v xml:space="preserve">               </v>
      </c>
      <c r="X63" s="4"/>
      <c r="Y63" s="90"/>
      <c r="Z63" s="42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P63" s="33"/>
      <c r="AQ63" s="38" t="str">
        <f>Notes!V64</f>
        <v xml:space="preserve">               </v>
      </c>
      <c r="AR63" s="4"/>
      <c r="AS63" s="44"/>
      <c r="AT63" s="42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</row>
    <row r="64" spans="1:60" x14ac:dyDescent="0.35">
      <c r="A64" s="12">
        <v>57</v>
      </c>
      <c r="B64" s="33"/>
      <c r="C64" s="38" t="str">
        <f>Notes!V65</f>
        <v xml:space="preserve">               </v>
      </c>
      <c r="D64" s="4"/>
      <c r="E64" s="90"/>
      <c r="F64" s="42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V64" s="33"/>
      <c r="W64" s="38" t="str">
        <f>Notes!V65</f>
        <v xml:space="preserve">               </v>
      </c>
      <c r="X64" s="4"/>
      <c r="Y64" s="90"/>
      <c r="Z64" s="42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P64" s="33"/>
      <c r="AQ64" s="38" t="str">
        <f>Notes!V65</f>
        <v xml:space="preserve">               </v>
      </c>
      <c r="AR64" s="4"/>
      <c r="AS64" s="44"/>
      <c r="AT64" s="42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</row>
    <row r="65" spans="1:60" x14ac:dyDescent="0.35">
      <c r="A65" s="12">
        <v>58</v>
      </c>
      <c r="B65" s="33"/>
      <c r="C65" s="38" t="str">
        <f>Notes!V66</f>
        <v xml:space="preserve">               </v>
      </c>
      <c r="D65" s="4"/>
      <c r="E65" s="90"/>
      <c r="F65" s="42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V65" s="33"/>
      <c r="W65" s="38" t="str">
        <f>Notes!V66</f>
        <v xml:space="preserve">               </v>
      </c>
      <c r="X65" s="4"/>
      <c r="Y65" s="90"/>
      <c r="Z65" s="42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P65" s="33"/>
      <c r="AQ65" s="38" t="str">
        <f>Notes!V66</f>
        <v xml:space="preserve">               </v>
      </c>
      <c r="AR65" s="4"/>
      <c r="AS65" s="44"/>
      <c r="AT65" s="42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</row>
    <row r="66" spans="1:60" x14ac:dyDescent="0.35">
      <c r="A66" s="12">
        <v>59</v>
      </c>
      <c r="B66" s="33"/>
      <c r="C66" s="38" t="str">
        <f>Notes!V67</f>
        <v xml:space="preserve">               </v>
      </c>
      <c r="D66" s="4"/>
      <c r="E66" s="90"/>
      <c r="F66" s="42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V66" s="33"/>
      <c r="W66" s="38" t="str">
        <f>Notes!V67</f>
        <v xml:space="preserve">               </v>
      </c>
      <c r="X66" s="4"/>
      <c r="Y66" s="90"/>
      <c r="Z66" s="42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P66" s="33"/>
      <c r="AQ66" s="38" t="str">
        <f>Notes!V67</f>
        <v xml:space="preserve">               </v>
      </c>
      <c r="AR66" s="4"/>
      <c r="AS66" s="44"/>
      <c r="AT66" s="42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</row>
    <row r="67" spans="1:60" x14ac:dyDescent="0.35">
      <c r="A67" s="12">
        <v>60</v>
      </c>
      <c r="B67" s="33"/>
      <c r="C67" s="38" t="str">
        <f>Notes!V68</f>
        <v xml:space="preserve">               </v>
      </c>
      <c r="D67" s="4"/>
      <c r="E67" s="90"/>
      <c r="F67" s="42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V67" s="33"/>
      <c r="W67" s="38" t="str">
        <f>Notes!V68</f>
        <v xml:space="preserve">               </v>
      </c>
      <c r="X67" s="4"/>
      <c r="Y67" s="90"/>
      <c r="Z67" s="42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P67" s="33"/>
      <c r="AQ67" s="38" t="str">
        <f>Notes!V68</f>
        <v xml:space="preserve">               </v>
      </c>
      <c r="AR67" s="4"/>
      <c r="AS67" s="44"/>
      <c r="AT67" s="42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</row>
    <row r="68" spans="1:60" x14ac:dyDescent="0.35">
      <c r="A68" s="12">
        <v>61</v>
      </c>
      <c r="B68" s="33"/>
      <c r="C68" s="38" t="str">
        <f>Notes!V69</f>
        <v xml:space="preserve">               </v>
      </c>
      <c r="D68" s="4"/>
      <c r="E68" s="90"/>
      <c r="F68" s="42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V68" s="33"/>
      <c r="W68" s="38" t="str">
        <f>Notes!V69</f>
        <v xml:space="preserve">               </v>
      </c>
      <c r="X68" s="4"/>
      <c r="Y68" s="90"/>
      <c r="Z68" s="42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P68" s="33"/>
      <c r="AQ68" s="38" t="str">
        <f>Notes!V69</f>
        <v xml:space="preserve">               </v>
      </c>
      <c r="AR68" s="4"/>
      <c r="AS68" s="44"/>
      <c r="AT68" s="42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</row>
    <row r="69" spans="1:60" x14ac:dyDescent="0.35">
      <c r="A69" s="12">
        <v>62</v>
      </c>
      <c r="B69" s="33"/>
      <c r="C69" s="38" t="str">
        <f>Notes!V70</f>
        <v xml:space="preserve">               </v>
      </c>
      <c r="D69" s="4"/>
      <c r="E69" s="90"/>
      <c r="F69" s="42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V69" s="33"/>
      <c r="W69" s="38" t="str">
        <f>Notes!V70</f>
        <v xml:space="preserve">               </v>
      </c>
      <c r="X69" s="4"/>
      <c r="Y69" s="90"/>
      <c r="Z69" s="42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P69" s="33"/>
      <c r="AQ69" s="38" t="str">
        <f>Notes!V70</f>
        <v xml:space="preserve">               </v>
      </c>
      <c r="AR69" s="4"/>
      <c r="AS69" s="44"/>
      <c r="AT69" s="42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</row>
    <row r="70" spans="1:60" x14ac:dyDescent="0.35">
      <c r="A70" s="12">
        <v>63</v>
      </c>
      <c r="B70" s="33"/>
      <c r="C70" s="38" t="str">
        <f>Notes!V71</f>
        <v xml:space="preserve">               </v>
      </c>
      <c r="D70" s="4"/>
      <c r="E70" s="90"/>
      <c r="F70" s="42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V70" s="33"/>
      <c r="W70" s="38" t="str">
        <f>Notes!V71</f>
        <v xml:space="preserve">               </v>
      </c>
      <c r="X70" s="4"/>
      <c r="Y70" s="90"/>
      <c r="Z70" s="42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P70" s="33"/>
      <c r="AQ70" s="38" t="str">
        <f>Notes!V71</f>
        <v xml:space="preserve">               </v>
      </c>
      <c r="AR70" s="4"/>
      <c r="AS70" s="44"/>
      <c r="AT70" s="42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</row>
    <row r="71" spans="1:60" x14ac:dyDescent="0.35">
      <c r="A71" s="12">
        <v>64</v>
      </c>
      <c r="B71" s="33"/>
      <c r="C71" s="38" t="str">
        <f>Notes!V72</f>
        <v xml:space="preserve">               </v>
      </c>
      <c r="D71" s="4"/>
      <c r="E71" s="90"/>
      <c r="F71" s="42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V71" s="33"/>
      <c r="W71" s="38" t="str">
        <f>Notes!V72</f>
        <v xml:space="preserve">               </v>
      </c>
      <c r="X71" s="4"/>
      <c r="Y71" s="90"/>
      <c r="Z71" s="42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P71" s="33"/>
      <c r="AQ71" s="38" t="str">
        <f>Notes!V72</f>
        <v xml:space="preserve">               </v>
      </c>
      <c r="AR71" s="4"/>
      <c r="AS71" s="44"/>
      <c r="AT71" s="42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</row>
    <row r="72" spans="1:60" x14ac:dyDescent="0.35">
      <c r="A72" s="12">
        <v>65</v>
      </c>
      <c r="B72" s="33"/>
      <c r="C72" s="38" t="str">
        <f>Notes!V73</f>
        <v xml:space="preserve">               </v>
      </c>
      <c r="D72" s="4"/>
      <c r="E72" s="90"/>
      <c r="F72" s="42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V72" s="33"/>
      <c r="W72" s="38" t="str">
        <f>Notes!V73</f>
        <v xml:space="preserve">               </v>
      </c>
      <c r="X72" s="4"/>
      <c r="Y72" s="90"/>
      <c r="Z72" s="42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P72" s="33"/>
      <c r="AQ72" s="38" t="str">
        <f>Notes!V73</f>
        <v xml:space="preserve">               </v>
      </c>
      <c r="AR72" s="4"/>
      <c r="AS72" s="44"/>
      <c r="AT72" s="42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</row>
    <row r="73" spans="1:60" x14ac:dyDescent="0.35">
      <c r="A73" s="12">
        <v>66</v>
      </c>
      <c r="B73" s="33"/>
      <c r="C73" s="38" t="str">
        <f>Notes!V74</f>
        <v xml:space="preserve">               </v>
      </c>
      <c r="D73" s="4"/>
      <c r="E73" s="90"/>
      <c r="F73" s="42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V73" s="33"/>
      <c r="W73" s="38" t="str">
        <f>Notes!V74</f>
        <v xml:space="preserve">               </v>
      </c>
      <c r="X73" s="4"/>
      <c r="Y73" s="90"/>
      <c r="Z73" s="42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P73" s="33"/>
      <c r="AQ73" s="38" t="str">
        <f>Notes!V74</f>
        <v xml:space="preserve">               </v>
      </c>
      <c r="AR73" s="4"/>
      <c r="AS73" s="44"/>
      <c r="AT73" s="42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</row>
    <row r="74" spans="1:60" x14ac:dyDescent="0.35">
      <c r="A74" s="12">
        <v>67</v>
      </c>
      <c r="B74" s="33"/>
      <c r="C74" s="38" t="str">
        <f>Notes!V75</f>
        <v xml:space="preserve">               </v>
      </c>
      <c r="D74" s="4"/>
      <c r="E74" s="90"/>
      <c r="F74" s="42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V74" s="33"/>
      <c r="W74" s="38" t="str">
        <f>Notes!V75</f>
        <v xml:space="preserve">               </v>
      </c>
      <c r="X74" s="4"/>
      <c r="Y74" s="90"/>
      <c r="Z74" s="42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P74" s="33"/>
      <c r="AQ74" s="38" t="str">
        <f>Notes!V75</f>
        <v xml:space="preserve">               </v>
      </c>
      <c r="AR74" s="4"/>
      <c r="AS74" s="44"/>
      <c r="AT74" s="42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</row>
    <row r="75" spans="1:60" x14ac:dyDescent="0.35">
      <c r="A75" s="12">
        <v>68</v>
      </c>
      <c r="B75" s="33"/>
      <c r="C75" s="38" t="str">
        <f>Notes!V76</f>
        <v xml:space="preserve">               </v>
      </c>
      <c r="D75" s="4"/>
      <c r="E75" s="90"/>
      <c r="F75" s="42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V75" s="33"/>
      <c r="W75" s="38" t="str">
        <f>Notes!V76</f>
        <v xml:space="preserve">               </v>
      </c>
      <c r="X75" s="4"/>
      <c r="Y75" s="90"/>
      <c r="Z75" s="42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P75" s="33"/>
      <c r="AQ75" s="38" t="str">
        <f>Notes!V76</f>
        <v xml:space="preserve">               </v>
      </c>
      <c r="AR75" s="4"/>
      <c r="AS75" s="44"/>
      <c r="AT75" s="42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</row>
    <row r="76" spans="1:60" x14ac:dyDescent="0.35">
      <c r="A76" s="12">
        <v>69</v>
      </c>
      <c r="B76" s="33"/>
      <c r="C76" s="38" t="str">
        <f>Notes!V77</f>
        <v xml:space="preserve">               </v>
      </c>
      <c r="D76" s="4"/>
      <c r="E76" s="90"/>
      <c r="F76" s="42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V76" s="33"/>
      <c r="W76" s="38" t="str">
        <f>Notes!V77</f>
        <v xml:space="preserve">               </v>
      </c>
      <c r="X76" s="4"/>
      <c r="Y76" s="90"/>
      <c r="Z76" s="42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P76" s="33"/>
      <c r="AQ76" s="38" t="str">
        <f>Notes!V77</f>
        <v xml:space="preserve">               </v>
      </c>
      <c r="AR76" s="4"/>
      <c r="AS76" s="44"/>
      <c r="AT76" s="42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</row>
    <row r="77" spans="1:60" x14ac:dyDescent="0.35">
      <c r="A77" s="12">
        <v>70</v>
      </c>
      <c r="B77" s="33"/>
      <c r="C77" s="38" t="str">
        <f>Notes!V78</f>
        <v xml:space="preserve">               </v>
      </c>
      <c r="D77" s="4"/>
      <c r="E77" s="90"/>
      <c r="F77" s="42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V77" s="33"/>
      <c r="W77" s="38" t="str">
        <f>Notes!V78</f>
        <v xml:space="preserve">               </v>
      </c>
      <c r="X77" s="4"/>
      <c r="Y77" s="90"/>
      <c r="Z77" s="42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P77" s="33"/>
      <c r="AQ77" s="38" t="str">
        <f>Notes!V78</f>
        <v xml:space="preserve">               </v>
      </c>
      <c r="AR77" s="4"/>
      <c r="AS77" s="44"/>
      <c r="AT77" s="42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</row>
    <row r="78" spans="1:60" x14ac:dyDescent="0.35">
      <c r="A78" s="12">
        <v>71</v>
      </c>
      <c r="B78" s="33"/>
      <c r="C78" s="38" t="str">
        <f>Notes!V79</f>
        <v xml:space="preserve">               </v>
      </c>
      <c r="D78" s="4"/>
      <c r="E78" s="90"/>
      <c r="F78" s="42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V78" s="33"/>
      <c r="W78" s="38" t="str">
        <f>Notes!V79</f>
        <v xml:space="preserve">               </v>
      </c>
      <c r="X78" s="4"/>
      <c r="Y78" s="90"/>
      <c r="Z78" s="42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P78" s="33"/>
      <c r="AQ78" s="38" t="str">
        <f>Notes!V79</f>
        <v xml:space="preserve">               </v>
      </c>
      <c r="AR78" s="4"/>
      <c r="AS78" s="44"/>
      <c r="AT78" s="42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</row>
    <row r="79" spans="1:60" x14ac:dyDescent="0.35">
      <c r="A79" s="12">
        <v>72</v>
      </c>
      <c r="B79" s="33"/>
      <c r="C79" s="38" t="str">
        <f>Notes!V80</f>
        <v xml:space="preserve">               </v>
      </c>
      <c r="D79" s="4"/>
      <c r="E79" s="90"/>
      <c r="F79" s="42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V79" s="33"/>
      <c r="W79" s="38" t="str">
        <f>Notes!V80</f>
        <v xml:space="preserve">               </v>
      </c>
      <c r="X79" s="4"/>
      <c r="Y79" s="90"/>
      <c r="Z79" s="42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P79" s="33"/>
      <c r="AQ79" s="38" t="str">
        <f>Notes!V80</f>
        <v xml:space="preserve">               </v>
      </c>
      <c r="AR79" s="4"/>
      <c r="AS79" s="44"/>
      <c r="AT79" s="42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</row>
    <row r="80" spans="1:60" x14ac:dyDescent="0.35">
      <c r="A80" s="12">
        <v>73</v>
      </c>
      <c r="B80" s="33"/>
      <c r="C80" s="38" t="str">
        <f>Notes!V81</f>
        <v xml:space="preserve">               </v>
      </c>
      <c r="D80" s="4"/>
      <c r="E80" s="90"/>
      <c r="F80" s="42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V80" s="33"/>
      <c r="W80" s="38" t="str">
        <f>Notes!V81</f>
        <v xml:space="preserve">               </v>
      </c>
      <c r="X80" s="4"/>
      <c r="Y80" s="90"/>
      <c r="Z80" s="42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P80" s="33"/>
      <c r="AQ80" s="38" t="str">
        <f>Notes!V81</f>
        <v xml:space="preserve">               </v>
      </c>
      <c r="AR80" s="4"/>
      <c r="AS80" s="44"/>
      <c r="AT80" s="42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</row>
    <row r="81" spans="1:60" x14ac:dyDescent="0.35">
      <c r="A81" s="12">
        <v>74</v>
      </c>
      <c r="B81" s="33"/>
      <c r="C81" s="38" t="str">
        <f>Notes!V82</f>
        <v xml:space="preserve">               </v>
      </c>
      <c r="D81" s="4"/>
      <c r="E81" s="90"/>
      <c r="F81" s="42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V81" s="33"/>
      <c r="W81" s="38" t="str">
        <f>Notes!V82</f>
        <v xml:space="preserve">               </v>
      </c>
      <c r="X81" s="4"/>
      <c r="Y81" s="90"/>
      <c r="Z81" s="42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P81" s="33"/>
      <c r="AQ81" s="38" t="str">
        <f>Notes!V82</f>
        <v xml:space="preserve">               </v>
      </c>
      <c r="AR81" s="4"/>
      <c r="AS81" s="44"/>
      <c r="AT81" s="42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</row>
    <row r="82" spans="1:60" x14ac:dyDescent="0.35">
      <c r="A82" s="12">
        <v>75</v>
      </c>
      <c r="B82" s="33"/>
      <c r="C82" s="38" t="str">
        <f>Notes!V83</f>
        <v xml:space="preserve">               </v>
      </c>
      <c r="D82" s="4"/>
      <c r="E82" s="90"/>
      <c r="F82" s="42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V82" s="33"/>
      <c r="W82" s="38" t="str">
        <f>Notes!V83</f>
        <v xml:space="preserve">               </v>
      </c>
      <c r="X82" s="4"/>
      <c r="Y82" s="90"/>
      <c r="Z82" s="42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P82" s="33"/>
      <c r="AQ82" s="38" t="str">
        <f>Notes!V83</f>
        <v xml:space="preserve">               </v>
      </c>
      <c r="AR82" s="4"/>
      <c r="AS82" s="44"/>
      <c r="AT82" s="42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</row>
    <row r="83" spans="1:60" x14ac:dyDescent="0.35">
      <c r="A83" s="12">
        <v>76</v>
      </c>
      <c r="B83" s="33"/>
      <c r="C83" s="38" t="str">
        <f>Notes!V84</f>
        <v xml:space="preserve">               </v>
      </c>
      <c r="D83" s="4"/>
      <c r="E83" s="90"/>
      <c r="F83" s="42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V83" s="33"/>
      <c r="W83" s="38" t="str">
        <f>Notes!V84</f>
        <v xml:space="preserve">               </v>
      </c>
      <c r="X83" s="4"/>
      <c r="Y83" s="90"/>
      <c r="Z83" s="42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P83" s="33"/>
      <c r="AQ83" s="38" t="str">
        <f>Notes!V84</f>
        <v xml:space="preserve">               </v>
      </c>
      <c r="AR83" s="4"/>
      <c r="AS83" s="44"/>
      <c r="AT83" s="42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</row>
    <row r="84" spans="1:60" x14ac:dyDescent="0.35">
      <c r="A84" s="12">
        <v>77</v>
      </c>
      <c r="B84" s="33"/>
      <c r="C84" s="38" t="str">
        <f>Notes!V85</f>
        <v xml:space="preserve">               </v>
      </c>
      <c r="D84" s="4"/>
      <c r="E84" s="90"/>
      <c r="F84" s="42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V84" s="33"/>
      <c r="W84" s="38" t="str">
        <f>Notes!V85</f>
        <v xml:space="preserve">               </v>
      </c>
      <c r="X84" s="4"/>
      <c r="Y84" s="90"/>
      <c r="Z84" s="42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P84" s="33"/>
      <c r="AQ84" s="38" t="str">
        <f>Notes!V85</f>
        <v xml:space="preserve">               </v>
      </c>
      <c r="AR84" s="4"/>
      <c r="AS84" s="44"/>
      <c r="AT84" s="42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</row>
    <row r="85" spans="1:60" x14ac:dyDescent="0.35">
      <c r="A85" s="12">
        <v>78</v>
      </c>
      <c r="B85" s="33"/>
      <c r="C85" s="38" t="str">
        <f>Notes!V86</f>
        <v xml:space="preserve">               </v>
      </c>
      <c r="D85" s="4"/>
      <c r="E85" s="90"/>
      <c r="F85" s="42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V85" s="33"/>
      <c r="W85" s="38" t="str">
        <f>Notes!V86</f>
        <v xml:space="preserve">               </v>
      </c>
      <c r="X85" s="4"/>
      <c r="Y85" s="90"/>
      <c r="Z85" s="42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P85" s="33"/>
      <c r="AQ85" s="38" t="str">
        <f>Notes!V86</f>
        <v xml:space="preserve">               </v>
      </c>
      <c r="AR85" s="4"/>
      <c r="AS85" s="44"/>
      <c r="AT85" s="42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</row>
    <row r="86" spans="1:60" x14ac:dyDescent="0.35">
      <c r="A86" s="12">
        <v>79</v>
      </c>
      <c r="B86" s="33"/>
      <c r="C86" s="38" t="str">
        <f>Notes!V87</f>
        <v xml:space="preserve">               </v>
      </c>
      <c r="D86" s="4"/>
      <c r="E86" s="90"/>
      <c r="F86" s="42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V86" s="33"/>
      <c r="W86" s="38" t="str">
        <f>Notes!V87</f>
        <v xml:space="preserve">               </v>
      </c>
      <c r="X86" s="4"/>
      <c r="Y86" s="90"/>
      <c r="Z86" s="42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P86" s="33"/>
      <c r="AQ86" s="38" t="str">
        <f>Notes!V87</f>
        <v xml:space="preserve">               </v>
      </c>
      <c r="AR86" s="4"/>
      <c r="AS86" s="44"/>
      <c r="AT86" s="42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</row>
    <row r="87" spans="1:60" x14ac:dyDescent="0.35">
      <c r="A87" s="12">
        <v>80</v>
      </c>
      <c r="B87" s="33"/>
      <c r="C87" s="38" t="str">
        <f>Notes!V88</f>
        <v xml:space="preserve">               </v>
      </c>
      <c r="D87" s="4"/>
      <c r="E87" s="90"/>
      <c r="F87" s="42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V87" s="33"/>
      <c r="W87" s="38" t="str">
        <f>Notes!V88</f>
        <v xml:space="preserve">               </v>
      </c>
      <c r="X87" s="4"/>
      <c r="Y87" s="90"/>
      <c r="Z87" s="42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P87" s="33"/>
      <c r="AQ87" s="38" t="str">
        <f>Notes!V88</f>
        <v xml:space="preserve">               </v>
      </c>
      <c r="AR87" s="4"/>
      <c r="AS87" s="44"/>
      <c r="AT87" s="42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</row>
    <row r="88" spans="1:60" x14ac:dyDescent="0.35">
      <c r="A88" s="12">
        <v>81</v>
      </c>
      <c r="B88" s="33"/>
      <c r="C88" s="38" t="str">
        <f>Notes!V89</f>
        <v xml:space="preserve">               </v>
      </c>
      <c r="D88" s="4"/>
      <c r="E88" s="90"/>
      <c r="F88" s="42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V88" s="33"/>
      <c r="W88" s="38" t="str">
        <f>Notes!V89</f>
        <v xml:space="preserve">               </v>
      </c>
      <c r="X88" s="4"/>
      <c r="Y88" s="90"/>
      <c r="Z88" s="42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P88" s="33"/>
      <c r="AQ88" s="38" t="str">
        <f>Notes!V89</f>
        <v xml:space="preserve">               </v>
      </c>
      <c r="AR88" s="4"/>
      <c r="AS88" s="44"/>
      <c r="AT88" s="42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</row>
    <row r="89" spans="1:60" x14ac:dyDescent="0.35">
      <c r="A89" s="12">
        <v>82</v>
      </c>
      <c r="B89" s="33"/>
      <c r="C89" s="38" t="str">
        <f>Notes!V90</f>
        <v xml:space="preserve">               </v>
      </c>
      <c r="D89" s="4"/>
      <c r="E89" s="90"/>
      <c r="F89" s="42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V89" s="33"/>
      <c r="W89" s="38" t="str">
        <f>Notes!V90</f>
        <v xml:space="preserve">               </v>
      </c>
      <c r="X89" s="4"/>
      <c r="Y89" s="90"/>
      <c r="Z89" s="42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P89" s="33"/>
      <c r="AQ89" s="38" t="str">
        <f>Notes!V90</f>
        <v xml:space="preserve">               </v>
      </c>
      <c r="AR89" s="4"/>
      <c r="AS89" s="44"/>
      <c r="AT89" s="42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</row>
    <row r="90" spans="1:60" x14ac:dyDescent="0.35">
      <c r="A90" s="12">
        <v>83</v>
      </c>
      <c r="B90" s="33"/>
      <c r="C90" s="38" t="str">
        <f>Notes!V91</f>
        <v xml:space="preserve">               </v>
      </c>
      <c r="D90" s="4"/>
      <c r="E90" s="90"/>
      <c r="F90" s="42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V90" s="33"/>
      <c r="W90" s="38" t="str">
        <f>Notes!V91</f>
        <v xml:space="preserve">               </v>
      </c>
      <c r="X90" s="4"/>
      <c r="Y90" s="90"/>
      <c r="Z90" s="42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P90" s="33"/>
      <c r="AQ90" s="38" t="str">
        <f>Notes!V91</f>
        <v xml:space="preserve">               </v>
      </c>
      <c r="AR90" s="4"/>
      <c r="AS90" s="44"/>
      <c r="AT90" s="42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</row>
    <row r="91" spans="1:60" x14ac:dyDescent="0.35">
      <c r="A91" s="12">
        <v>84</v>
      </c>
      <c r="B91" s="33"/>
      <c r="C91" s="38" t="str">
        <f>Notes!V92</f>
        <v xml:space="preserve">               </v>
      </c>
      <c r="D91" s="4"/>
      <c r="E91" s="90"/>
      <c r="F91" s="42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V91" s="33"/>
      <c r="W91" s="38" t="str">
        <f>Notes!V92</f>
        <v xml:space="preserve">               </v>
      </c>
      <c r="X91" s="4"/>
      <c r="Y91" s="90"/>
      <c r="Z91" s="42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P91" s="33"/>
      <c r="AQ91" s="38" t="str">
        <f>Notes!V92</f>
        <v xml:space="preserve">               </v>
      </c>
      <c r="AR91" s="4"/>
      <c r="AS91" s="44"/>
      <c r="AT91" s="42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</row>
    <row r="92" spans="1:60" x14ac:dyDescent="0.35">
      <c r="A92" s="12">
        <v>85</v>
      </c>
      <c r="B92" s="33"/>
      <c r="C92" s="38" t="str">
        <f>Notes!V93</f>
        <v xml:space="preserve">               </v>
      </c>
      <c r="D92" s="4"/>
      <c r="E92" s="90"/>
      <c r="F92" s="42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V92" s="33"/>
      <c r="W92" s="38" t="str">
        <f>Notes!V93</f>
        <v xml:space="preserve">               </v>
      </c>
      <c r="X92" s="4"/>
      <c r="Y92" s="90"/>
      <c r="Z92" s="42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P92" s="33"/>
      <c r="AQ92" s="38" t="str">
        <f>Notes!V93</f>
        <v xml:space="preserve">               </v>
      </c>
      <c r="AR92" s="4"/>
      <c r="AS92" s="44"/>
      <c r="AT92" s="42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</row>
    <row r="93" spans="1:60" x14ac:dyDescent="0.35">
      <c r="A93" s="12">
        <v>86</v>
      </c>
      <c r="B93" s="33"/>
      <c r="C93" s="38" t="str">
        <f>Notes!V94</f>
        <v xml:space="preserve">               </v>
      </c>
      <c r="D93" s="4"/>
      <c r="E93" s="90"/>
      <c r="F93" s="42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V93" s="33"/>
      <c r="W93" s="38" t="str">
        <f>Notes!V94</f>
        <v xml:space="preserve">               </v>
      </c>
      <c r="X93" s="4"/>
      <c r="Y93" s="90"/>
      <c r="Z93" s="42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P93" s="33"/>
      <c r="AQ93" s="38" t="str">
        <f>Notes!V94</f>
        <v xml:space="preserve">               </v>
      </c>
      <c r="AR93" s="4"/>
      <c r="AS93" s="44"/>
      <c r="AT93" s="42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</row>
    <row r="94" spans="1:60" x14ac:dyDescent="0.35">
      <c r="A94" s="12">
        <v>87</v>
      </c>
      <c r="B94" s="33"/>
      <c r="C94" s="38" t="str">
        <f>Notes!V95</f>
        <v xml:space="preserve">               </v>
      </c>
      <c r="D94" s="4"/>
      <c r="E94" s="90"/>
      <c r="F94" s="42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V94" s="33"/>
      <c r="W94" s="38" t="str">
        <f>Notes!V95</f>
        <v xml:space="preserve">               </v>
      </c>
      <c r="X94" s="4"/>
      <c r="Y94" s="90"/>
      <c r="Z94" s="42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P94" s="33"/>
      <c r="AQ94" s="38" t="str">
        <f>Notes!V95</f>
        <v xml:space="preserve">               </v>
      </c>
      <c r="AR94" s="4"/>
      <c r="AS94" s="44"/>
      <c r="AT94" s="42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</row>
    <row r="95" spans="1:60" x14ac:dyDescent="0.35">
      <c r="A95" s="12">
        <v>88</v>
      </c>
      <c r="B95" s="33"/>
      <c r="C95" s="38" t="str">
        <f>Notes!V96</f>
        <v xml:space="preserve">               </v>
      </c>
      <c r="D95" s="4"/>
      <c r="E95" s="90"/>
      <c r="F95" s="42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V95" s="33"/>
      <c r="W95" s="38" t="str">
        <f>Notes!V96</f>
        <v xml:space="preserve">               </v>
      </c>
      <c r="X95" s="4"/>
      <c r="Y95" s="90"/>
      <c r="Z95" s="42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P95" s="33"/>
      <c r="AQ95" s="38" t="str">
        <f>Notes!V96</f>
        <v xml:space="preserve">               </v>
      </c>
      <c r="AR95" s="4"/>
      <c r="AS95" s="44"/>
      <c r="AT95" s="42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</row>
    <row r="96" spans="1:60" x14ac:dyDescent="0.35">
      <c r="A96" s="12">
        <v>89</v>
      </c>
      <c r="B96" s="33"/>
      <c r="C96" s="38" t="str">
        <f>Notes!V97</f>
        <v xml:space="preserve">               </v>
      </c>
      <c r="D96" s="4"/>
      <c r="E96" s="90"/>
      <c r="F96" s="42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V96" s="33"/>
      <c r="W96" s="38" t="str">
        <f>Notes!V97</f>
        <v xml:space="preserve">               </v>
      </c>
      <c r="X96" s="4"/>
      <c r="Y96" s="90"/>
      <c r="Z96" s="42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P96" s="33"/>
      <c r="AQ96" s="38" t="str">
        <f>Notes!V97</f>
        <v xml:space="preserve">               </v>
      </c>
      <c r="AR96" s="4"/>
      <c r="AS96" s="44"/>
      <c r="AT96" s="42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</row>
    <row r="97" spans="1:60" x14ac:dyDescent="0.35">
      <c r="A97" s="12">
        <v>90</v>
      </c>
      <c r="B97" s="33"/>
      <c r="C97" s="38" t="str">
        <f>Notes!V98</f>
        <v xml:space="preserve">               </v>
      </c>
      <c r="D97" s="4"/>
      <c r="E97" s="90"/>
      <c r="F97" s="42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V97" s="33"/>
      <c r="W97" s="38" t="str">
        <f>Notes!V98</f>
        <v xml:space="preserve">               </v>
      </c>
      <c r="X97" s="4"/>
      <c r="Y97" s="90"/>
      <c r="Z97" s="42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P97" s="33"/>
      <c r="AQ97" s="38" t="str">
        <f>Notes!V98</f>
        <v xml:space="preserve">               </v>
      </c>
      <c r="AR97" s="4"/>
      <c r="AS97" s="44"/>
      <c r="AT97" s="42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</row>
    <row r="98" spans="1:60" x14ac:dyDescent="0.35">
      <c r="A98" s="12">
        <v>91</v>
      </c>
      <c r="B98" s="33"/>
      <c r="C98" s="38" t="str">
        <f>Notes!V99</f>
        <v xml:space="preserve">               </v>
      </c>
      <c r="D98" s="4"/>
      <c r="E98" s="90"/>
      <c r="F98" s="42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V98" s="33"/>
      <c r="W98" s="38" t="str">
        <f>Notes!V99</f>
        <v xml:space="preserve">               </v>
      </c>
      <c r="X98" s="4"/>
      <c r="Y98" s="90"/>
      <c r="Z98" s="42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P98" s="33"/>
      <c r="AQ98" s="38" t="str">
        <f>Notes!V99</f>
        <v xml:space="preserve">               </v>
      </c>
      <c r="AR98" s="4"/>
      <c r="AS98" s="44"/>
      <c r="AT98" s="42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</row>
    <row r="99" spans="1:60" x14ac:dyDescent="0.35">
      <c r="A99" s="12">
        <v>92</v>
      </c>
      <c r="B99" s="33"/>
      <c r="C99" s="38" t="str">
        <f>Notes!V100</f>
        <v xml:space="preserve">               </v>
      </c>
      <c r="D99" s="4"/>
      <c r="E99" s="90"/>
      <c r="F99" s="42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V99" s="33"/>
      <c r="W99" s="38" t="str">
        <f>Notes!V100</f>
        <v xml:space="preserve">               </v>
      </c>
      <c r="X99" s="4"/>
      <c r="Y99" s="90"/>
      <c r="Z99" s="42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P99" s="33"/>
      <c r="AQ99" s="38" t="str">
        <f>Notes!V100</f>
        <v xml:space="preserve">               </v>
      </c>
      <c r="AR99" s="4"/>
      <c r="AS99" s="44"/>
      <c r="AT99" s="42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</row>
    <row r="100" spans="1:60" x14ac:dyDescent="0.35">
      <c r="A100" s="12">
        <v>93</v>
      </c>
      <c r="B100" s="33"/>
      <c r="C100" s="38" t="str">
        <f>Notes!V101</f>
        <v xml:space="preserve">               </v>
      </c>
      <c r="D100" s="4"/>
      <c r="E100" s="90"/>
      <c r="F100" s="42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V100" s="33"/>
      <c r="W100" s="38" t="str">
        <f>Notes!V101</f>
        <v xml:space="preserve">               </v>
      </c>
      <c r="X100" s="4"/>
      <c r="Y100" s="90"/>
      <c r="Z100" s="42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P100" s="33"/>
      <c r="AQ100" s="38" t="str">
        <f>Notes!V101</f>
        <v xml:space="preserve">               </v>
      </c>
      <c r="AR100" s="4"/>
      <c r="AS100" s="44"/>
      <c r="AT100" s="42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</row>
    <row r="101" spans="1:60" x14ac:dyDescent="0.35">
      <c r="A101" s="12">
        <v>94</v>
      </c>
      <c r="B101" s="33"/>
      <c r="C101" s="38" t="str">
        <f>Notes!V102</f>
        <v xml:space="preserve">               </v>
      </c>
      <c r="D101" s="4"/>
      <c r="E101" s="90"/>
      <c r="F101" s="42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V101" s="33"/>
      <c r="W101" s="38" t="str">
        <f>Notes!V102</f>
        <v xml:space="preserve">               </v>
      </c>
      <c r="X101" s="4"/>
      <c r="Y101" s="90"/>
      <c r="Z101" s="42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P101" s="33"/>
      <c r="AQ101" s="38" t="str">
        <f>Notes!V102</f>
        <v xml:space="preserve">               </v>
      </c>
      <c r="AR101" s="4"/>
      <c r="AS101" s="44"/>
      <c r="AT101" s="42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</row>
    <row r="102" spans="1:60" x14ac:dyDescent="0.35">
      <c r="A102" s="12">
        <v>95</v>
      </c>
      <c r="B102" s="33"/>
      <c r="C102" s="38" t="str">
        <f>Notes!V103</f>
        <v xml:space="preserve">               </v>
      </c>
      <c r="D102" s="4"/>
      <c r="E102" s="90"/>
      <c r="F102" s="42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V102" s="33"/>
      <c r="W102" s="38" t="str">
        <f>Notes!V103</f>
        <v xml:space="preserve">               </v>
      </c>
      <c r="X102" s="4"/>
      <c r="Y102" s="90"/>
      <c r="Z102" s="42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P102" s="33"/>
      <c r="AQ102" s="38" t="str">
        <f>Notes!V103</f>
        <v xml:space="preserve">               </v>
      </c>
      <c r="AR102" s="4"/>
      <c r="AS102" s="44"/>
      <c r="AT102" s="42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</row>
    <row r="103" spans="1:60" x14ac:dyDescent="0.35">
      <c r="A103" s="12">
        <v>96</v>
      </c>
      <c r="B103" s="33"/>
      <c r="C103" s="38" t="str">
        <f>Notes!V104</f>
        <v xml:space="preserve">               </v>
      </c>
      <c r="D103" s="4"/>
      <c r="E103" s="90"/>
      <c r="F103" s="42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V103" s="33"/>
      <c r="W103" s="38" t="str">
        <f>Notes!V104</f>
        <v xml:space="preserve">               </v>
      </c>
      <c r="X103" s="4"/>
      <c r="Y103" s="90"/>
      <c r="Z103" s="42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P103" s="33"/>
      <c r="AQ103" s="38" t="str">
        <f>Notes!V104</f>
        <v xml:space="preserve">               </v>
      </c>
      <c r="AR103" s="4"/>
      <c r="AS103" s="44"/>
      <c r="AT103" s="42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</row>
    <row r="104" spans="1:60" x14ac:dyDescent="0.35">
      <c r="A104" s="12">
        <v>97</v>
      </c>
      <c r="B104" s="33"/>
      <c r="C104" s="38" t="str">
        <f>Notes!V105</f>
        <v xml:space="preserve">               </v>
      </c>
      <c r="D104" s="4"/>
      <c r="E104" s="90"/>
      <c r="F104" s="42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V104" s="33"/>
      <c r="W104" s="38" t="str">
        <f>Notes!V105</f>
        <v xml:space="preserve">               </v>
      </c>
      <c r="X104" s="4"/>
      <c r="Y104" s="90"/>
      <c r="Z104" s="42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P104" s="33"/>
      <c r="AQ104" s="38" t="str">
        <f>Notes!V105</f>
        <v xml:space="preserve">               </v>
      </c>
      <c r="AR104" s="4"/>
      <c r="AS104" s="44"/>
      <c r="AT104" s="42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</row>
    <row r="105" spans="1:60" x14ac:dyDescent="0.35">
      <c r="A105" s="12">
        <v>98</v>
      </c>
      <c r="B105" s="33"/>
      <c r="C105" s="38" t="str">
        <f>Notes!V106</f>
        <v xml:space="preserve">               </v>
      </c>
      <c r="D105" s="4"/>
      <c r="E105" s="90"/>
      <c r="F105" s="42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V105" s="33"/>
      <c r="W105" s="38" t="str">
        <f>Notes!V106</f>
        <v xml:space="preserve">               </v>
      </c>
      <c r="X105" s="4"/>
      <c r="Y105" s="90"/>
      <c r="Z105" s="42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P105" s="33"/>
      <c r="AQ105" s="38" t="str">
        <f>Notes!V106</f>
        <v xml:space="preserve">               </v>
      </c>
      <c r="AR105" s="4"/>
      <c r="AS105" s="44"/>
      <c r="AT105" s="42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</row>
    <row r="106" spans="1:60" x14ac:dyDescent="0.35">
      <c r="A106" s="12">
        <v>99</v>
      </c>
      <c r="B106" s="33"/>
      <c r="C106" s="38" t="str">
        <f>Notes!V107</f>
        <v xml:space="preserve">               </v>
      </c>
      <c r="D106" s="4"/>
      <c r="E106" s="90"/>
      <c r="F106" s="42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V106" s="33"/>
      <c r="W106" s="38" t="str">
        <f>Notes!V107</f>
        <v xml:space="preserve">               </v>
      </c>
      <c r="X106" s="4"/>
      <c r="Y106" s="90"/>
      <c r="Z106" s="42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P106" s="33"/>
      <c r="AQ106" s="38" t="str">
        <f>Notes!V107</f>
        <v xml:space="preserve">               </v>
      </c>
      <c r="AR106" s="4"/>
      <c r="AS106" s="44"/>
      <c r="AT106" s="42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</row>
    <row r="107" spans="1:60" x14ac:dyDescent="0.35">
      <c r="A107" s="12">
        <v>100</v>
      </c>
      <c r="B107" s="33"/>
      <c r="C107" s="38" t="str">
        <f>Notes!V108</f>
        <v xml:space="preserve">               </v>
      </c>
      <c r="D107" s="4"/>
      <c r="E107" s="90"/>
      <c r="F107" s="42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V107" s="33"/>
      <c r="W107" s="38" t="str">
        <f>Notes!V108</f>
        <v xml:space="preserve">               </v>
      </c>
      <c r="X107" s="4"/>
      <c r="Y107" s="90"/>
      <c r="Z107" s="42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P107" s="33"/>
      <c r="AQ107" s="38" t="str">
        <f>Notes!V108</f>
        <v xml:space="preserve">               </v>
      </c>
      <c r="AR107" s="4"/>
      <c r="AS107" s="44"/>
      <c r="AT107" s="42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</row>
    <row r="108" spans="1:60" x14ac:dyDescent="0.35">
      <c r="A108" s="12">
        <v>101</v>
      </c>
      <c r="B108" s="33"/>
      <c r="C108" s="38" t="str">
        <f>Notes!V109</f>
        <v xml:space="preserve">               </v>
      </c>
      <c r="D108" s="4"/>
      <c r="E108" s="90"/>
      <c r="F108" s="42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V108" s="33"/>
      <c r="W108" s="38" t="str">
        <f>Notes!V109</f>
        <v xml:space="preserve">               </v>
      </c>
      <c r="X108" s="4"/>
      <c r="Y108" s="90"/>
      <c r="Z108" s="42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P108" s="33"/>
      <c r="AQ108" s="38" t="str">
        <f>Notes!V109</f>
        <v xml:space="preserve">               </v>
      </c>
      <c r="AR108" s="4"/>
      <c r="AS108" s="44"/>
      <c r="AT108" s="42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</row>
    <row r="109" spans="1:60" x14ac:dyDescent="0.35">
      <c r="A109" s="12">
        <v>102</v>
      </c>
      <c r="B109" s="33"/>
      <c r="C109" s="38" t="str">
        <f>Notes!V110</f>
        <v xml:space="preserve">               </v>
      </c>
      <c r="D109" s="4"/>
      <c r="E109" s="90"/>
      <c r="F109" s="42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V109" s="33"/>
      <c r="W109" s="38" t="str">
        <f>Notes!V110</f>
        <v xml:space="preserve">               </v>
      </c>
      <c r="X109" s="4"/>
      <c r="Y109" s="90"/>
      <c r="Z109" s="42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P109" s="33"/>
      <c r="AQ109" s="38" t="str">
        <f>Notes!V110</f>
        <v xml:space="preserve">               </v>
      </c>
      <c r="AR109" s="4"/>
      <c r="AS109" s="44"/>
      <c r="AT109" s="42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</row>
    <row r="110" spans="1:60" x14ac:dyDescent="0.35">
      <c r="A110" s="12">
        <v>103</v>
      </c>
      <c r="B110" s="33"/>
      <c r="C110" s="38" t="str">
        <f>Notes!V111</f>
        <v xml:space="preserve">               </v>
      </c>
      <c r="D110" s="4"/>
      <c r="E110" s="90"/>
      <c r="F110" s="42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V110" s="33"/>
      <c r="W110" s="38" t="str">
        <f>Notes!V111</f>
        <v xml:space="preserve">               </v>
      </c>
      <c r="X110" s="4"/>
      <c r="Y110" s="90"/>
      <c r="Z110" s="42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P110" s="33"/>
      <c r="AQ110" s="38" t="str">
        <f>Notes!V111</f>
        <v xml:space="preserve">               </v>
      </c>
      <c r="AR110" s="4"/>
      <c r="AS110" s="44"/>
      <c r="AT110" s="42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</row>
    <row r="111" spans="1:60" x14ac:dyDescent="0.35">
      <c r="A111" s="12">
        <v>104</v>
      </c>
      <c r="B111" s="33"/>
      <c r="C111" s="38" t="str">
        <f>Notes!V112</f>
        <v xml:space="preserve">               </v>
      </c>
      <c r="D111" s="4"/>
      <c r="E111" s="90"/>
      <c r="F111" s="42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V111" s="33"/>
      <c r="W111" s="38" t="str">
        <f>Notes!V112</f>
        <v xml:space="preserve">               </v>
      </c>
      <c r="X111" s="4"/>
      <c r="Y111" s="90"/>
      <c r="Z111" s="42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P111" s="33"/>
      <c r="AQ111" s="38" t="str">
        <f>Notes!V112</f>
        <v xml:space="preserve">               </v>
      </c>
      <c r="AR111" s="4"/>
      <c r="AS111" s="44"/>
      <c r="AT111" s="42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</row>
    <row r="112" spans="1:60" x14ac:dyDescent="0.35">
      <c r="A112" s="12">
        <v>105</v>
      </c>
      <c r="B112" s="33"/>
      <c r="C112" s="38" t="str">
        <f>Notes!V113</f>
        <v xml:space="preserve">               </v>
      </c>
      <c r="D112" s="4"/>
      <c r="E112" s="90"/>
      <c r="F112" s="42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V112" s="33"/>
      <c r="W112" s="38" t="str">
        <f>Notes!V113</f>
        <v xml:space="preserve">               </v>
      </c>
      <c r="X112" s="4"/>
      <c r="Y112" s="90"/>
      <c r="Z112" s="42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P112" s="33"/>
      <c r="AQ112" s="38" t="str">
        <f>Notes!V113</f>
        <v xml:space="preserve">               </v>
      </c>
      <c r="AR112" s="4"/>
      <c r="AS112" s="44"/>
      <c r="AT112" s="42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</row>
    <row r="113" spans="1:60" x14ac:dyDescent="0.35">
      <c r="A113" s="12">
        <v>106</v>
      </c>
      <c r="B113" s="33"/>
      <c r="C113" s="38" t="str">
        <f>Notes!V114</f>
        <v xml:space="preserve">               </v>
      </c>
      <c r="D113" s="4"/>
      <c r="E113" s="90"/>
      <c r="F113" s="42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V113" s="33"/>
      <c r="W113" s="38" t="str">
        <f>Notes!V114</f>
        <v xml:space="preserve">               </v>
      </c>
      <c r="X113" s="4"/>
      <c r="Y113" s="90"/>
      <c r="Z113" s="42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P113" s="33"/>
      <c r="AQ113" s="38" t="str">
        <f>Notes!V114</f>
        <v xml:space="preserve">               </v>
      </c>
      <c r="AR113" s="4"/>
      <c r="AS113" s="44"/>
      <c r="AT113" s="42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</row>
    <row r="114" spans="1:60" x14ac:dyDescent="0.35">
      <c r="A114" s="12">
        <v>107</v>
      </c>
      <c r="B114" s="33"/>
      <c r="C114" s="38" t="str">
        <f>Notes!V115</f>
        <v xml:space="preserve">               </v>
      </c>
      <c r="D114" s="4"/>
      <c r="E114" s="90"/>
      <c r="F114" s="42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V114" s="33"/>
      <c r="W114" s="38" t="str">
        <f>Notes!V115</f>
        <v xml:space="preserve">               </v>
      </c>
      <c r="X114" s="4"/>
      <c r="Y114" s="90"/>
      <c r="Z114" s="42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P114" s="33"/>
      <c r="AQ114" s="38" t="str">
        <f>Notes!V115</f>
        <v xml:space="preserve">               </v>
      </c>
      <c r="AR114" s="4"/>
      <c r="AS114" s="44"/>
      <c r="AT114" s="42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</row>
    <row r="115" spans="1:60" x14ac:dyDescent="0.35">
      <c r="A115" s="12">
        <v>108</v>
      </c>
      <c r="B115" s="33"/>
      <c r="C115" s="38" t="str">
        <f>Notes!V116</f>
        <v xml:space="preserve">               </v>
      </c>
      <c r="D115" s="4"/>
      <c r="E115" s="90"/>
      <c r="F115" s="42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V115" s="33"/>
      <c r="W115" s="38" t="str">
        <f>Notes!V116</f>
        <v xml:space="preserve">               </v>
      </c>
      <c r="X115" s="4"/>
      <c r="Y115" s="90"/>
      <c r="Z115" s="42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P115" s="33"/>
      <c r="AQ115" s="38" t="str">
        <f>Notes!V116</f>
        <v xml:space="preserve">               </v>
      </c>
      <c r="AR115" s="4"/>
      <c r="AS115" s="44"/>
      <c r="AT115" s="42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</row>
    <row r="116" spans="1:60" x14ac:dyDescent="0.35">
      <c r="A116" s="12">
        <v>109</v>
      </c>
      <c r="B116" s="33"/>
      <c r="C116" s="38" t="str">
        <f>Notes!V117</f>
        <v xml:space="preserve">               </v>
      </c>
      <c r="D116" s="4"/>
      <c r="E116" s="90"/>
      <c r="F116" s="42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V116" s="33"/>
      <c r="W116" s="38" t="str">
        <f>Notes!V117</f>
        <v xml:space="preserve">               </v>
      </c>
      <c r="X116" s="4"/>
      <c r="Y116" s="90"/>
      <c r="Z116" s="42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P116" s="33"/>
      <c r="AQ116" s="38" t="str">
        <f>Notes!V117</f>
        <v xml:space="preserve">               </v>
      </c>
      <c r="AR116" s="4"/>
      <c r="AS116" s="44"/>
      <c r="AT116" s="42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</row>
    <row r="117" spans="1:60" x14ac:dyDescent="0.35">
      <c r="A117" s="12">
        <v>110</v>
      </c>
      <c r="B117" s="33"/>
      <c r="C117" s="38" t="str">
        <f>Notes!V118</f>
        <v xml:space="preserve">               </v>
      </c>
      <c r="D117" s="4"/>
      <c r="E117" s="90"/>
      <c r="F117" s="42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V117" s="33"/>
      <c r="W117" s="38" t="str">
        <f>Notes!V118</f>
        <v xml:space="preserve">               </v>
      </c>
      <c r="X117" s="4"/>
      <c r="Y117" s="90"/>
      <c r="Z117" s="42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P117" s="33"/>
      <c r="AQ117" s="38" t="str">
        <f>Notes!V118</f>
        <v xml:space="preserve">               </v>
      </c>
      <c r="AR117" s="4"/>
      <c r="AS117" s="44"/>
      <c r="AT117" s="42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</row>
    <row r="118" spans="1:60" x14ac:dyDescent="0.35">
      <c r="A118" s="12">
        <v>111</v>
      </c>
      <c r="B118" s="33"/>
      <c r="C118" s="38" t="str">
        <f>Notes!V119</f>
        <v xml:space="preserve">               </v>
      </c>
      <c r="D118" s="4"/>
      <c r="E118" s="90"/>
      <c r="F118" s="42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V118" s="33"/>
      <c r="W118" s="38" t="str">
        <f>Notes!V119</f>
        <v xml:space="preserve">               </v>
      </c>
      <c r="X118" s="4"/>
      <c r="Y118" s="90"/>
      <c r="Z118" s="42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P118" s="33"/>
      <c r="AQ118" s="38" t="str">
        <f>Notes!V119</f>
        <v xml:space="preserve">               </v>
      </c>
      <c r="AR118" s="4"/>
      <c r="AS118" s="44"/>
      <c r="AT118" s="42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</row>
    <row r="119" spans="1:60" x14ac:dyDescent="0.35">
      <c r="A119" s="12">
        <v>112</v>
      </c>
      <c r="B119" s="33"/>
      <c r="C119" s="38" t="str">
        <f>Notes!V120</f>
        <v xml:space="preserve">               </v>
      </c>
      <c r="D119" s="4"/>
      <c r="E119" s="90"/>
      <c r="F119" s="42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V119" s="33"/>
      <c r="W119" s="38" t="str">
        <f>Notes!V120</f>
        <v xml:space="preserve">               </v>
      </c>
      <c r="X119" s="4"/>
      <c r="Y119" s="90"/>
      <c r="Z119" s="42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P119" s="33"/>
      <c r="AQ119" s="38" t="str">
        <f>Notes!V120</f>
        <v xml:space="preserve">               </v>
      </c>
      <c r="AR119" s="4"/>
      <c r="AS119" s="44"/>
      <c r="AT119" s="42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</row>
    <row r="120" spans="1:60" x14ac:dyDescent="0.35">
      <c r="A120" s="12">
        <v>113</v>
      </c>
      <c r="B120" s="33"/>
      <c r="C120" s="38" t="str">
        <f>Notes!V121</f>
        <v xml:space="preserve">               </v>
      </c>
      <c r="D120" s="4"/>
      <c r="E120" s="90"/>
      <c r="F120" s="42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V120" s="33"/>
      <c r="W120" s="38" t="str">
        <f>Notes!V121</f>
        <v xml:space="preserve">               </v>
      </c>
      <c r="X120" s="4"/>
      <c r="Y120" s="90"/>
      <c r="Z120" s="42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P120" s="33"/>
      <c r="AQ120" s="38" t="str">
        <f>Notes!V121</f>
        <v xml:space="preserve">               </v>
      </c>
      <c r="AR120" s="4"/>
      <c r="AS120" s="44"/>
      <c r="AT120" s="42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</row>
    <row r="121" spans="1:60" x14ac:dyDescent="0.35">
      <c r="A121" s="12">
        <v>114</v>
      </c>
      <c r="B121" s="33"/>
      <c r="C121" s="38" t="str">
        <f>Notes!V122</f>
        <v xml:space="preserve">               </v>
      </c>
      <c r="D121" s="4"/>
      <c r="E121" s="90"/>
      <c r="F121" s="42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V121" s="33"/>
      <c r="W121" s="38" t="str">
        <f>Notes!V122</f>
        <v xml:space="preserve">               </v>
      </c>
      <c r="X121" s="4"/>
      <c r="Y121" s="90"/>
      <c r="Z121" s="42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P121" s="33"/>
      <c r="AQ121" s="38" t="str">
        <f>Notes!V122</f>
        <v xml:space="preserve">               </v>
      </c>
      <c r="AR121" s="4"/>
      <c r="AS121" s="44"/>
      <c r="AT121" s="42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</row>
    <row r="122" spans="1:60" x14ac:dyDescent="0.35">
      <c r="A122" s="12">
        <v>115</v>
      </c>
      <c r="B122" s="33"/>
      <c r="C122" s="38" t="str">
        <f>Notes!V123</f>
        <v xml:space="preserve">               </v>
      </c>
      <c r="D122" s="4"/>
      <c r="E122" s="90"/>
      <c r="F122" s="42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V122" s="33"/>
      <c r="W122" s="38" t="str">
        <f>Notes!V123</f>
        <v xml:space="preserve">               </v>
      </c>
      <c r="X122" s="4"/>
      <c r="Y122" s="90"/>
      <c r="Z122" s="42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P122" s="33"/>
      <c r="AQ122" s="38" t="str">
        <f>Notes!V123</f>
        <v xml:space="preserve">               </v>
      </c>
      <c r="AR122" s="4"/>
      <c r="AS122" s="44"/>
      <c r="AT122" s="42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</row>
    <row r="123" spans="1:60" x14ac:dyDescent="0.35">
      <c r="A123" s="12">
        <v>116</v>
      </c>
      <c r="B123" s="33"/>
      <c r="C123" s="38" t="str">
        <f>Notes!V124</f>
        <v xml:space="preserve">               </v>
      </c>
      <c r="D123" s="4"/>
      <c r="E123" s="90"/>
      <c r="F123" s="42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V123" s="33"/>
      <c r="W123" s="38" t="str">
        <f>Notes!V124</f>
        <v xml:space="preserve">               </v>
      </c>
      <c r="X123" s="4"/>
      <c r="Y123" s="90"/>
      <c r="Z123" s="42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P123" s="33"/>
      <c r="AQ123" s="38" t="str">
        <f>Notes!V124</f>
        <v xml:space="preserve">               </v>
      </c>
      <c r="AR123" s="4"/>
      <c r="AS123" s="44"/>
      <c r="AT123" s="42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</row>
    <row r="124" spans="1:60" x14ac:dyDescent="0.35">
      <c r="A124" s="12">
        <v>117</v>
      </c>
      <c r="B124" s="33"/>
      <c r="C124" s="38" t="str">
        <f>Notes!V125</f>
        <v xml:space="preserve">               </v>
      </c>
      <c r="D124" s="4"/>
      <c r="E124" s="90"/>
      <c r="F124" s="42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V124" s="33"/>
      <c r="W124" s="38" t="str">
        <f>Notes!V125</f>
        <v xml:space="preserve">               </v>
      </c>
      <c r="X124" s="4"/>
      <c r="Y124" s="90"/>
      <c r="Z124" s="42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P124" s="33"/>
      <c r="AQ124" s="38" t="str">
        <f>Notes!V125</f>
        <v xml:space="preserve">               </v>
      </c>
      <c r="AR124" s="4"/>
      <c r="AS124" s="44"/>
      <c r="AT124" s="42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</row>
    <row r="125" spans="1:60" x14ac:dyDescent="0.35">
      <c r="A125" s="12">
        <v>118</v>
      </c>
      <c r="B125" s="33"/>
      <c r="C125" s="38" t="str">
        <f>Notes!V126</f>
        <v xml:space="preserve">               </v>
      </c>
      <c r="D125" s="4"/>
      <c r="E125" s="90"/>
      <c r="F125" s="42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V125" s="33"/>
      <c r="W125" s="38" t="str">
        <f>Notes!V126</f>
        <v xml:space="preserve">               </v>
      </c>
      <c r="X125" s="4"/>
      <c r="Y125" s="90"/>
      <c r="Z125" s="42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P125" s="33"/>
      <c r="AQ125" s="38" t="str">
        <f>Notes!V126</f>
        <v xml:space="preserve">               </v>
      </c>
      <c r="AR125" s="4"/>
      <c r="AS125" s="44"/>
      <c r="AT125" s="42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</row>
    <row r="126" spans="1:60" x14ac:dyDescent="0.35">
      <c r="A126" s="12">
        <v>119</v>
      </c>
      <c r="B126" s="33"/>
      <c r="C126" s="38" t="str">
        <f>Notes!V127</f>
        <v xml:space="preserve">               </v>
      </c>
      <c r="D126" s="4"/>
      <c r="E126" s="90"/>
      <c r="F126" s="42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V126" s="33"/>
      <c r="W126" s="38" t="str">
        <f>Notes!V127</f>
        <v xml:space="preserve">               </v>
      </c>
      <c r="X126" s="4"/>
      <c r="Y126" s="90"/>
      <c r="Z126" s="42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P126" s="33"/>
      <c r="AQ126" s="38" t="str">
        <f>Notes!V127</f>
        <v xml:space="preserve">               </v>
      </c>
      <c r="AR126" s="4"/>
      <c r="AS126" s="44"/>
      <c r="AT126" s="42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</row>
    <row r="127" spans="1:60" x14ac:dyDescent="0.35">
      <c r="A127" s="12">
        <v>120</v>
      </c>
      <c r="B127" s="33"/>
      <c r="C127" s="38" t="str">
        <f>Notes!V128</f>
        <v xml:space="preserve">               </v>
      </c>
      <c r="D127" s="4"/>
      <c r="E127" s="90"/>
      <c r="F127" s="42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V127" s="33"/>
      <c r="W127" s="38" t="str">
        <f>Notes!V128</f>
        <v xml:space="preserve">               </v>
      </c>
      <c r="X127" s="4"/>
      <c r="Y127" s="90"/>
      <c r="Z127" s="42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P127" s="33"/>
      <c r="AQ127" s="38" t="str">
        <f>Notes!V128</f>
        <v xml:space="preserve">               </v>
      </c>
      <c r="AR127" s="4"/>
      <c r="AS127" s="44"/>
      <c r="AT127" s="42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</row>
    <row r="128" spans="1:60" x14ac:dyDescent="0.35">
      <c r="A128" s="12">
        <v>121</v>
      </c>
      <c r="B128" s="33"/>
      <c r="C128" s="38" t="str">
        <f>Notes!V129</f>
        <v xml:space="preserve">               </v>
      </c>
      <c r="D128" s="4"/>
      <c r="E128" s="90"/>
      <c r="F128" s="42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V128" s="33"/>
      <c r="W128" s="38" t="str">
        <f>Notes!V129</f>
        <v xml:space="preserve">               </v>
      </c>
      <c r="X128" s="4"/>
      <c r="Y128" s="90"/>
      <c r="Z128" s="42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P128" s="33"/>
      <c r="AQ128" s="38" t="str">
        <f>Notes!V129</f>
        <v xml:space="preserve">               </v>
      </c>
      <c r="AR128" s="4"/>
      <c r="AS128" s="44"/>
      <c r="AT128" s="42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</row>
    <row r="129" spans="1:60" x14ac:dyDescent="0.35">
      <c r="A129" s="12">
        <v>122</v>
      </c>
      <c r="B129" s="33"/>
      <c r="C129" s="38" t="str">
        <f>Notes!V130</f>
        <v xml:space="preserve">               </v>
      </c>
      <c r="D129" s="4"/>
      <c r="E129" s="90"/>
      <c r="F129" s="42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V129" s="33"/>
      <c r="W129" s="38" t="str">
        <f>Notes!V130</f>
        <v xml:space="preserve">               </v>
      </c>
      <c r="X129" s="4"/>
      <c r="Y129" s="90"/>
      <c r="Z129" s="42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P129" s="33"/>
      <c r="AQ129" s="38" t="str">
        <f>Notes!V130</f>
        <v xml:space="preserve">               </v>
      </c>
      <c r="AR129" s="4"/>
      <c r="AS129" s="44"/>
      <c r="AT129" s="42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</row>
    <row r="130" spans="1:60" x14ac:dyDescent="0.35">
      <c r="A130" s="12">
        <v>123</v>
      </c>
      <c r="B130" s="33"/>
      <c r="C130" s="38" t="str">
        <f>Notes!V131</f>
        <v xml:space="preserve">               </v>
      </c>
      <c r="D130" s="4"/>
      <c r="E130" s="90"/>
      <c r="F130" s="42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V130" s="33"/>
      <c r="W130" s="38" t="str">
        <f>Notes!V131</f>
        <v xml:space="preserve">               </v>
      </c>
      <c r="X130" s="4"/>
      <c r="Y130" s="90"/>
      <c r="Z130" s="42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P130" s="33"/>
      <c r="AQ130" s="38" t="str">
        <f>Notes!V131</f>
        <v xml:space="preserve">               </v>
      </c>
      <c r="AR130" s="4"/>
      <c r="AS130" s="44"/>
      <c r="AT130" s="42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</row>
    <row r="131" spans="1:60" x14ac:dyDescent="0.35">
      <c r="A131" s="12">
        <v>124</v>
      </c>
      <c r="B131" s="33"/>
      <c r="C131" s="38" t="str">
        <f>Notes!V132</f>
        <v xml:space="preserve">               </v>
      </c>
      <c r="D131" s="4"/>
      <c r="E131" s="90"/>
      <c r="F131" s="42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V131" s="33"/>
      <c r="W131" s="38" t="str">
        <f>Notes!V132</f>
        <v xml:space="preserve">               </v>
      </c>
      <c r="X131" s="4"/>
      <c r="Y131" s="90"/>
      <c r="Z131" s="42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P131" s="33"/>
      <c r="AQ131" s="38" t="str">
        <f>Notes!V132</f>
        <v xml:space="preserve">               </v>
      </c>
      <c r="AR131" s="4"/>
      <c r="AS131" s="44"/>
      <c r="AT131" s="42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</row>
    <row r="132" spans="1:60" x14ac:dyDescent="0.35">
      <c r="A132" s="12">
        <v>125</v>
      </c>
      <c r="B132" s="33"/>
      <c r="C132" s="38" t="str">
        <f>Notes!V133</f>
        <v xml:space="preserve">               </v>
      </c>
      <c r="D132" s="4"/>
      <c r="E132" s="90"/>
      <c r="F132" s="42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V132" s="33"/>
      <c r="W132" s="38" t="str">
        <f>Notes!V133</f>
        <v xml:space="preserve">               </v>
      </c>
      <c r="X132" s="4"/>
      <c r="Y132" s="90"/>
      <c r="Z132" s="42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P132" s="33"/>
      <c r="AQ132" s="38" t="str">
        <f>Notes!V133</f>
        <v xml:space="preserve">               </v>
      </c>
      <c r="AR132" s="4"/>
      <c r="AS132" s="44"/>
      <c r="AT132" s="42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</row>
    <row r="133" spans="1:60" x14ac:dyDescent="0.35">
      <c r="A133" s="12">
        <v>126</v>
      </c>
      <c r="B133" s="33"/>
      <c r="C133" s="38" t="str">
        <f>Notes!V134</f>
        <v xml:space="preserve">               </v>
      </c>
      <c r="D133" s="4"/>
      <c r="E133" s="90"/>
      <c r="F133" s="42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V133" s="33"/>
      <c r="W133" s="38" t="str">
        <f>Notes!V134</f>
        <v xml:space="preserve">               </v>
      </c>
      <c r="X133" s="4"/>
      <c r="Y133" s="90"/>
      <c r="Z133" s="42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P133" s="33"/>
      <c r="AQ133" s="38" t="str">
        <f>Notes!V134</f>
        <v xml:space="preserve">               </v>
      </c>
      <c r="AR133" s="4"/>
      <c r="AS133" s="44"/>
      <c r="AT133" s="42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</row>
    <row r="134" spans="1:60" x14ac:dyDescent="0.35">
      <c r="A134" s="12">
        <v>127</v>
      </c>
      <c r="B134" s="33"/>
      <c r="C134" s="38" t="str">
        <f>Notes!V135</f>
        <v xml:space="preserve">               </v>
      </c>
      <c r="D134" s="4"/>
      <c r="E134" s="90"/>
      <c r="F134" s="42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V134" s="33"/>
      <c r="W134" s="38" t="str">
        <f>Notes!V135</f>
        <v xml:space="preserve">               </v>
      </c>
      <c r="X134" s="4"/>
      <c r="Y134" s="90"/>
      <c r="Z134" s="42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P134" s="33"/>
      <c r="AQ134" s="38" t="str">
        <f>Notes!V135</f>
        <v xml:space="preserve">               </v>
      </c>
      <c r="AR134" s="4"/>
      <c r="AS134" s="44"/>
      <c r="AT134" s="42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</row>
    <row r="135" spans="1:60" x14ac:dyDescent="0.35">
      <c r="A135" s="12">
        <v>128</v>
      </c>
      <c r="B135" s="33"/>
      <c r="C135" s="38" t="str">
        <f>Notes!V136</f>
        <v xml:space="preserve">               </v>
      </c>
      <c r="D135" s="4"/>
      <c r="E135" s="90"/>
      <c r="F135" s="42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V135" s="33"/>
      <c r="W135" s="38" t="str">
        <f>Notes!V136</f>
        <v xml:space="preserve">               </v>
      </c>
      <c r="X135" s="4"/>
      <c r="Y135" s="90"/>
      <c r="Z135" s="42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P135" s="33"/>
      <c r="AQ135" s="38" t="str">
        <f>Notes!V136</f>
        <v xml:space="preserve">               </v>
      </c>
      <c r="AR135" s="4"/>
      <c r="AS135" s="44"/>
      <c r="AT135" s="42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</row>
    <row r="136" spans="1:60" x14ac:dyDescent="0.35">
      <c r="A136" s="12">
        <v>129</v>
      </c>
      <c r="B136" s="33"/>
      <c r="C136" s="38" t="str">
        <f>Notes!V137</f>
        <v xml:space="preserve">               </v>
      </c>
      <c r="D136" s="4"/>
      <c r="E136" s="90"/>
      <c r="F136" s="42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V136" s="33"/>
      <c r="W136" s="38" t="str">
        <f>Notes!V137</f>
        <v xml:space="preserve">               </v>
      </c>
      <c r="X136" s="4"/>
      <c r="Y136" s="90"/>
      <c r="Z136" s="42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P136" s="33"/>
      <c r="AQ136" s="38" t="str">
        <f>Notes!V137</f>
        <v xml:space="preserve">               </v>
      </c>
      <c r="AR136" s="4"/>
      <c r="AS136" s="44"/>
      <c r="AT136" s="42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</row>
    <row r="137" spans="1:60" x14ac:dyDescent="0.35">
      <c r="A137" s="12">
        <v>130</v>
      </c>
      <c r="B137" s="33"/>
      <c r="C137" s="38" t="str">
        <f>Notes!V138</f>
        <v xml:space="preserve">               </v>
      </c>
      <c r="D137" s="4"/>
      <c r="E137" s="90"/>
      <c r="F137" s="42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V137" s="33"/>
      <c r="W137" s="38" t="str">
        <f>Notes!V138</f>
        <v xml:space="preserve">               </v>
      </c>
      <c r="X137" s="4"/>
      <c r="Y137" s="90"/>
      <c r="Z137" s="42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P137" s="33"/>
      <c r="AQ137" s="38" t="str">
        <f>Notes!V138</f>
        <v xml:space="preserve">               </v>
      </c>
      <c r="AR137" s="4"/>
      <c r="AS137" s="44"/>
      <c r="AT137" s="42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</row>
    <row r="138" spans="1:60" x14ac:dyDescent="0.35">
      <c r="A138" s="12">
        <v>131</v>
      </c>
      <c r="B138" s="33"/>
      <c r="C138" s="38" t="str">
        <f>Notes!V139</f>
        <v xml:space="preserve">               </v>
      </c>
      <c r="D138" s="4"/>
      <c r="E138" s="90"/>
      <c r="F138" s="42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V138" s="33"/>
      <c r="W138" s="38" t="str">
        <f>Notes!V139</f>
        <v xml:space="preserve">               </v>
      </c>
      <c r="X138" s="4"/>
      <c r="Y138" s="90"/>
      <c r="Z138" s="42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P138" s="33"/>
      <c r="AQ138" s="38" t="str">
        <f>Notes!V139</f>
        <v xml:space="preserve">               </v>
      </c>
      <c r="AR138" s="4"/>
      <c r="AS138" s="44"/>
      <c r="AT138" s="42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</row>
    <row r="139" spans="1:60" x14ac:dyDescent="0.35">
      <c r="A139" s="12">
        <v>132</v>
      </c>
      <c r="B139" s="33"/>
      <c r="C139" s="38" t="str">
        <f>Notes!V140</f>
        <v xml:space="preserve">               </v>
      </c>
      <c r="D139" s="4"/>
      <c r="E139" s="90"/>
      <c r="F139" s="42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V139" s="33"/>
      <c r="W139" s="38" t="str">
        <f>Notes!V140</f>
        <v xml:space="preserve">               </v>
      </c>
      <c r="X139" s="4"/>
      <c r="Y139" s="90"/>
      <c r="Z139" s="42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P139" s="33"/>
      <c r="AQ139" s="38" t="str">
        <f>Notes!V140</f>
        <v xml:space="preserve">               </v>
      </c>
      <c r="AR139" s="4"/>
      <c r="AS139" s="44"/>
      <c r="AT139" s="42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</row>
    <row r="140" spans="1:60" x14ac:dyDescent="0.35">
      <c r="A140" s="12">
        <v>133</v>
      </c>
      <c r="B140" s="33"/>
      <c r="C140" s="38" t="str">
        <f>Notes!V141</f>
        <v xml:space="preserve">               </v>
      </c>
      <c r="D140" s="4"/>
      <c r="E140" s="90"/>
      <c r="F140" s="42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V140" s="33"/>
      <c r="W140" s="38" t="str">
        <f>Notes!V141</f>
        <v xml:space="preserve">               </v>
      </c>
      <c r="X140" s="4"/>
      <c r="Y140" s="90"/>
      <c r="Z140" s="42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P140" s="33"/>
      <c r="AQ140" s="38" t="str">
        <f>Notes!V141</f>
        <v xml:space="preserve">               </v>
      </c>
      <c r="AR140" s="4"/>
      <c r="AS140" s="44"/>
      <c r="AT140" s="42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</row>
    <row r="141" spans="1:60" x14ac:dyDescent="0.35">
      <c r="A141" s="12">
        <v>134</v>
      </c>
      <c r="B141" s="33"/>
      <c r="C141" s="38" t="str">
        <f>Notes!V142</f>
        <v xml:space="preserve">               </v>
      </c>
      <c r="D141" s="4"/>
      <c r="E141" s="90"/>
      <c r="F141" s="42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V141" s="33"/>
      <c r="W141" s="38" t="str">
        <f>Notes!V142</f>
        <v xml:space="preserve">               </v>
      </c>
      <c r="X141" s="4"/>
      <c r="Y141" s="90"/>
      <c r="Z141" s="42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P141" s="33"/>
      <c r="AQ141" s="38" t="str">
        <f>Notes!V142</f>
        <v xml:space="preserve">               </v>
      </c>
      <c r="AR141" s="4"/>
      <c r="AS141" s="44"/>
      <c r="AT141" s="42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</row>
    <row r="142" spans="1:60" x14ac:dyDescent="0.35">
      <c r="A142" s="12">
        <v>135</v>
      </c>
      <c r="B142" s="33"/>
      <c r="C142" s="38" t="str">
        <f>Notes!V143</f>
        <v xml:space="preserve">               </v>
      </c>
      <c r="D142" s="4"/>
      <c r="E142" s="90"/>
      <c r="F142" s="42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V142" s="33"/>
      <c r="W142" s="38" t="str">
        <f>Notes!V143</f>
        <v xml:space="preserve">               </v>
      </c>
      <c r="X142" s="4"/>
      <c r="Y142" s="90"/>
      <c r="Z142" s="42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P142" s="33"/>
      <c r="AQ142" s="38" t="str">
        <f>Notes!V143</f>
        <v xml:space="preserve">               </v>
      </c>
      <c r="AR142" s="4"/>
      <c r="AS142" s="44"/>
      <c r="AT142" s="42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</row>
    <row r="143" spans="1:60" x14ac:dyDescent="0.35">
      <c r="A143" s="12">
        <v>136</v>
      </c>
      <c r="B143" s="33"/>
      <c r="C143" s="38" t="str">
        <f>Notes!V144</f>
        <v xml:space="preserve">               </v>
      </c>
      <c r="D143" s="4"/>
      <c r="E143" s="90"/>
      <c r="F143" s="42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V143" s="33"/>
      <c r="W143" s="38" t="str">
        <f>Notes!V144</f>
        <v xml:space="preserve">               </v>
      </c>
      <c r="X143" s="4"/>
      <c r="Y143" s="90"/>
      <c r="Z143" s="42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P143" s="33"/>
      <c r="AQ143" s="38" t="str">
        <f>Notes!V144</f>
        <v xml:space="preserve">               </v>
      </c>
      <c r="AR143" s="4"/>
      <c r="AS143" s="44"/>
      <c r="AT143" s="42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</row>
    <row r="144" spans="1:60" x14ac:dyDescent="0.35">
      <c r="A144" s="12">
        <v>137</v>
      </c>
      <c r="B144" s="33"/>
      <c r="C144" s="38" t="str">
        <f>Notes!V145</f>
        <v xml:space="preserve">               </v>
      </c>
      <c r="D144" s="4"/>
      <c r="E144" s="90"/>
      <c r="F144" s="42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V144" s="33"/>
      <c r="W144" s="38" t="str">
        <f>Notes!V145</f>
        <v xml:space="preserve">               </v>
      </c>
      <c r="X144" s="4"/>
      <c r="Y144" s="90"/>
      <c r="Z144" s="42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P144" s="33"/>
      <c r="AQ144" s="38" t="str">
        <f>Notes!V145</f>
        <v xml:space="preserve">               </v>
      </c>
      <c r="AR144" s="4"/>
      <c r="AS144" s="44"/>
      <c r="AT144" s="42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</row>
    <row r="145" spans="1:60" x14ac:dyDescent="0.35">
      <c r="A145" s="12">
        <v>138</v>
      </c>
      <c r="B145" s="33"/>
      <c r="C145" s="38" t="str">
        <f>Notes!V146</f>
        <v xml:space="preserve">               </v>
      </c>
      <c r="D145" s="4"/>
      <c r="E145" s="90"/>
      <c r="F145" s="42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V145" s="33"/>
      <c r="W145" s="38" t="str">
        <f>Notes!V146</f>
        <v xml:space="preserve">               </v>
      </c>
      <c r="X145" s="4"/>
      <c r="Y145" s="90"/>
      <c r="Z145" s="42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P145" s="33"/>
      <c r="AQ145" s="38" t="str">
        <f>Notes!V146</f>
        <v xml:space="preserve">               </v>
      </c>
      <c r="AR145" s="4"/>
      <c r="AS145" s="44"/>
      <c r="AT145" s="42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</row>
    <row r="146" spans="1:60" x14ac:dyDescent="0.35">
      <c r="A146" s="12">
        <v>139</v>
      </c>
      <c r="B146" s="33"/>
      <c r="C146" s="38" t="str">
        <f>Notes!V147</f>
        <v xml:space="preserve">               </v>
      </c>
      <c r="D146" s="4"/>
      <c r="E146" s="90"/>
      <c r="F146" s="42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V146" s="33"/>
      <c r="W146" s="38" t="str">
        <f>Notes!V147</f>
        <v xml:space="preserve">               </v>
      </c>
      <c r="X146" s="4"/>
      <c r="Y146" s="90"/>
      <c r="Z146" s="42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P146" s="33"/>
      <c r="AQ146" s="38" t="str">
        <f>Notes!V147</f>
        <v xml:space="preserve">               </v>
      </c>
      <c r="AR146" s="4"/>
      <c r="AS146" s="44"/>
      <c r="AT146" s="42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</row>
    <row r="147" spans="1:60" x14ac:dyDescent="0.35">
      <c r="A147" s="12">
        <v>140</v>
      </c>
      <c r="B147" s="33"/>
      <c r="C147" s="38" t="str">
        <f>Notes!V148</f>
        <v xml:space="preserve">               </v>
      </c>
      <c r="D147" s="4"/>
      <c r="E147" s="90"/>
      <c r="F147" s="42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V147" s="33"/>
      <c r="W147" s="38" t="str">
        <f>Notes!V148</f>
        <v xml:space="preserve">               </v>
      </c>
      <c r="X147" s="4"/>
      <c r="Y147" s="90"/>
      <c r="Z147" s="42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P147" s="33"/>
      <c r="AQ147" s="38" t="str">
        <f>Notes!V148</f>
        <v xml:space="preserve">               </v>
      </c>
      <c r="AR147" s="4"/>
      <c r="AS147" s="44"/>
      <c r="AT147" s="42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</row>
    <row r="148" spans="1:60" x14ac:dyDescent="0.35">
      <c r="A148" s="12">
        <v>141</v>
      </c>
      <c r="B148" s="33"/>
      <c r="C148" s="38" t="str">
        <f>Notes!V149</f>
        <v xml:space="preserve">               </v>
      </c>
      <c r="D148" s="4"/>
      <c r="E148" s="90"/>
      <c r="F148" s="42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V148" s="33"/>
      <c r="W148" s="38" t="str">
        <f>Notes!V149</f>
        <v xml:space="preserve">               </v>
      </c>
      <c r="X148" s="4"/>
      <c r="Y148" s="90"/>
      <c r="Z148" s="42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P148" s="33"/>
      <c r="AQ148" s="38" t="str">
        <f>Notes!V149</f>
        <v xml:space="preserve">               </v>
      </c>
      <c r="AR148" s="4"/>
      <c r="AS148" s="44"/>
      <c r="AT148" s="42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</row>
    <row r="149" spans="1:60" x14ac:dyDescent="0.35">
      <c r="A149" s="12">
        <v>142</v>
      </c>
      <c r="B149" s="33"/>
      <c r="C149" s="38" t="str">
        <f>Notes!V150</f>
        <v xml:space="preserve">               </v>
      </c>
      <c r="D149" s="4"/>
      <c r="E149" s="90"/>
      <c r="F149" s="42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V149" s="33"/>
      <c r="W149" s="38" t="str">
        <f>Notes!V150</f>
        <v xml:space="preserve">               </v>
      </c>
      <c r="X149" s="4"/>
      <c r="Y149" s="90"/>
      <c r="Z149" s="42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P149" s="33"/>
      <c r="AQ149" s="38" t="str">
        <f>Notes!V150</f>
        <v xml:space="preserve">               </v>
      </c>
      <c r="AR149" s="4"/>
      <c r="AS149" s="44"/>
      <c r="AT149" s="42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</row>
    <row r="150" spans="1:60" x14ac:dyDescent="0.35">
      <c r="A150" s="12">
        <v>143</v>
      </c>
      <c r="B150" s="33"/>
      <c r="C150" s="38" t="str">
        <f>Notes!V151</f>
        <v xml:space="preserve">               </v>
      </c>
      <c r="D150" s="4"/>
      <c r="E150" s="90"/>
      <c r="F150" s="42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V150" s="33"/>
      <c r="W150" s="38" t="str">
        <f>Notes!V151</f>
        <v xml:space="preserve">               </v>
      </c>
      <c r="X150" s="4"/>
      <c r="Y150" s="90"/>
      <c r="Z150" s="42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P150" s="33"/>
      <c r="AQ150" s="38" t="str">
        <f>Notes!V151</f>
        <v xml:space="preserve">               </v>
      </c>
      <c r="AR150" s="4"/>
      <c r="AS150" s="44"/>
      <c r="AT150" s="42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</row>
    <row r="151" spans="1:60" x14ac:dyDescent="0.35">
      <c r="A151" s="12">
        <v>144</v>
      </c>
      <c r="B151" s="33"/>
      <c r="C151" s="38" t="str">
        <f>Notes!V152</f>
        <v xml:space="preserve">               </v>
      </c>
      <c r="D151" s="4"/>
      <c r="E151" s="90"/>
      <c r="F151" s="42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V151" s="33"/>
      <c r="W151" s="38" t="str">
        <f>Notes!V152</f>
        <v xml:space="preserve">               </v>
      </c>
      <c r="X151" s="4"/>
      <c r="Y151" s="90"/>
      <c r="Z151" s="42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P151" s="33"/>
      <c r="AQ151" s="38" t="str">
        <f>Notes!V152</f>
        <v xml:space="preserve">               </v>
      </c>
      <c r="AR151" s="4"/>
      <c r="AS151" s="44"/>
      <c r="AT151" s="42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</row>
    <row r="152" spans="1:60" x14ac:dyDescent="0.35">
      <c r="A152" s="12">
        <v>145</v>
      </c>
      <c r="B152" s="33"/>
      <c r="C152" s="38" t="str">
        <f>Notes!V153</f>
        <v xml:space="preserve">               </v>
      </c>
      <c r="D152" s="4"/>
      <c r="E152" s="90"/>
      <c r="F152" s="42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V152" s="33"/>
      <c r="W152" s="38" t="str">
        <f>Notes!V153</f>
        <v xml:space="preserve">               </v>
      </c>
      <c r="X152" s="4"/>
      <c r="Y152" s="90"/>
      <c r="Z152" s="42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P152" s="33"/>
      <c r="AQ152" s="38" t="str">
        <f>Notes!V153</f>
        <v xml:space="preserve">               </v>
      </c>
      <c r="AR152" s="4"/>
      <c r="AS152" s="44"/>
      <c r="AT152" s="42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</row>
    <row r="153" spans="1:60" x14ac:dyDescent="0.35">
      <c r="A153" s="12">
        <v>146</v>
      </c>
      <c r="B153" s="33"/>
      <c r="C153" s="38" t="str">
        <f>Notes!V154</f>
        <v xml:space="preserve">               </v>
      </c>
      <c r="D153" s="4"/>
      <c r="E153" s="90"/>
      <c r="F153" s="42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V153" s="33"/>
      <c r="W153" s="38" t="str">
        <f>Notes!V154</f>
        <v xml:space="preserve">               </v>
      </c>
      <c r="X153" s="4"/>
      <c r="Y153" s="90"/>
      <c r="Z153" s="42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P153" s="33"/>
      <c r="AQ153" s="38" t="str">
        <f>Notes!V154</f>
        <v xml:space="preserve">               </v>
      </c>
      <c r="AR153" s="4"/>
      <c r="AS153" s="44"/>
      <c r="AT153" s="42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</row>
    <row r="154" spans="1:60" x14ac:dyDescent="0.35">
      <c r="A154" s="12">
        <v>147</v>
      </c>
      <c r="B154" s="33"/>
      <c r="C154" s="38" t="str">
        <f>Notes!V155</f>
        <v xml:space="preserve">               </v>
      </c>
      <c r="D154" s="4"/>
      <c r="E154" s="90"/>
      <c r="F154" s="42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V154" s="33"/>
      <c r="W154" s="38" t="str">
        <f>Notes!V155</f>
        <v xml:space="preserve">               </v>
      </c>
      <c r="X154" s="4"/>
      <c r="Y154" s="90"/>
      <c r="Z154" s="42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P154" s="33"/>
      <c r="AQ154" s="38" t="str">
        <f>Notes!V155</f>
        <v xml:space="preserve">               </v>
      </c>
      <c r="AR154" s="4"/>
      <c r="AS154" s="44"/>
      <c r="AT154" s="42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</row>
    <row r="155" spans="1:60" x14ac:dyDescent="0.35">
      <c r="A155" s="12">
        <v>148</v>
      </c>
      <c r="B155" s="33"/>
      <c r="C155" s="38" t="str">
        <f>Notes!V156</f>
        <v xml:space="preserve">               </v>
      </c>
      <c r="D155" s="4"/>
      <c r="E155" s="90"/>
      <c r="F155" s="42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V155" s="33"/>
      <c r="W155" s="38" t="str">
        <f>Notes!V156</f>
        <v xml:space="preserve">               </v>
      </c>
      <c r="X155" s="4"/>
      <c r="Y155" s="90"/>
      <c r="Z155" s="42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P155" s="33"/>
      <c r="AQ155" s="38" t="str">
        <f>Notes!V156</f>
        <v xml:space="preserve">               </v>
      </c>
      <c r="AR155" s="4"/>
      <c r="AS155" s="44"/>
      <c r="AT155" s="42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</row>
    <row r="156" spans="1:60" x14ac:dyDescent="0.35">
      <c r="A156" s="12">
        <v>149</v>
      </c>
      <c r="B156" s="33"/>
      <c r="C156" s="38" t="str">
        <f>Notes!V157</f>
        <v xml:space="preserve">               </v>
      </c>
      <c r="D156" s="4"/>
      <c r="E156" s="90"/>
      <c r="F156" s="42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V156" s="33"/>
      <c r="W156" s="38" t="str">
        <f>Notes!V157</f>
        <v xml:space="preserve">               </v>
      </c>
      <c r="X156" s="4"/>
      <c r="Y156" s="90"/>
      <c r="Z156" s="42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P156" s="33"/>
      <c r="AQ156" s="38" t="str">
        <f>Notes!V157</f>
        <v xml:space="preserve">               </v>
      </c>
      <c r="AR156" s="4"/>
      <c r="AS156" s="44"/>
      <c r="AT156" s="42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</row>
    <row r="157" spans="1:60" x14ac:dyDescent="0.35">
      <c r="A157" s="12">
        <v>150</v>
      </c>
      <c r="B157" s="33"/>
      <c r="C157" s="38" t="str">
        <f>Notes!V158</f>
        <v xml:space="preserve">               </v>
      </c>
      <c r="D157" s="4"/>
      <c r="E157" s="94"/>
      <c r="F157" s="42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V157" s="33"/>
      <c r="W157" s="38" t="str">
        <f>Notes!V158</f>
        <v xml:space="preserve">               </v>
      </c>
      <c r="X157" s="4"/>
      <c r="Y157" s="94"/>
      <c r="Z157" s="42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P157" s="33"/>
      <c r="AQ157" s="38" t="str">
        <f>Notes!V158</f>
        <v xml:space="preserve">               </v>
      </c>
      <c r="AR157" s="4"/>
      <c r="AS157" s="44"/>
      <c r="AT157" s="42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</row>
    <row r="158" spans="1:60" x14ac:dyDescent="0.35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</row>
  </sheetData>
  <sheetProtection sheet="1" objects="1" scenarios="1"/>
  <conditionalFormatting sqref="E8:T157">
    <cfRule type="cellIs" dxfId="7" priority="1" operator="equal">
      <formula>"Eps"</formula>
    </cfRule>
  </conditionalFormatting>
  <conditionalFormatting sqref="Y8:AN157">
    <cfRule type="cellIs" dxfId="6" priority="2" operator="equal">
      <formula>"Eps"</formula>
    </cfRule>
  </conditionalFormatting>
  <conditionalFormatting sqref="AS8:BH157">
    <cfRule type="cellIs" dxfId="5" priority="3" operator="equal">
      <formula>"Eps"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13B1-5273-482A-B0C6-1685ABC0AE6B}">
  <sheetPr>
    <tabColor theme="8" tint="-0.499984740745262"/>
  </sheetPr>
  <dimension ref="A1:DB158"/>
  <sheetViews>
    <sheetView zoomScale="85" zoomScaleNormal="85" workbookViewId="0">
      <pane ySplit="7" topLeftCell="A8" activePane="bottomLeft" state="frozen"/>
      <selection activeCell="K75" sqref="K75"/>
      <selection pane="bottomLeft" activeCell="E20" sqref="E20"/>
    </sheetView>
  </sheetViews>
  <sheetFormatPr defaultColWidth="0" defaultRowHeight="14.5" zeroHeight="1" x14ac:dyDescent="0.35"/>
  <cols>
    <col min="1" max="2" width="2.453125" customWidth="1"/>
    <col min="3" max="3" width="28.90625" customWidth="1"/>
    <col min="4" max="4" width="9.08984375" hidden="1" customWidth="1"/>
    <col min="5" max="20" width="9.08984375" customWidth="1"/>
    <col min="21" max="22" width="2.453125" customWidth="1"/>
    <col min="23" max="23" width="28.90625" customWidth="1"/>
    <col min="24" max="24" width="9.08984375" hidden="1" customWidth="1"/>
    <col min="25" max="40" width="9.08984375" customWidth="1"/>
    <col min="41" max="42" width="2.453125" customWidth="1"/>
    <col min="43" max="43" width="28.90625" customWidth="1"/>
    <col min="44" max="44" width="9.08984375" hidden="1" customWidth="1"/>
    <col min="45" max="60" width="9.08984375" customWidth="1"/>
    <col min="61" max="62" width="2.453125" customWidth="1"/>
    <col min="63" max="63" width="19.90625" customWidth="1"/>
    <col min="64" max="64" width="9.08984375" hidden="1" customWidth="1"/>
    <col min="65" max="80" width="9.08984375" customWidth="1"/>
    <col min="81" max="82" width="2.453125" customWidth="1"/>
    <col min="83" max="83" width="19.90625" customWidth="1"/>
    <col min="84" max="84" width="9.08984375" hidden="1" customWidth="1"/>
    <col min="85" max="100" width="9.08984375" customWidth="1"/>
    <col min="101" max="101" width="2.453125" customWidth="1"/>
    <col min="102" max="106" width="0" hidden="1" customWidth="1"/>
    <col min="107" max="16384" width="9.08984375" hidden="1"/>
  </cols>
  <sheetData>
    <row r="1" spans="1:100" ht="18.5" x14ac:dyDescent="0.45">
      <c r="A1" s="9" t="s">
        <v>49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7" t="s">
        <v>70</v>
      </c>
      <c r="M1" s="8" t="str">
        <f>C5</f>
        <v>Total household income (YI)</v>
      </c>
      <c r="Q1" s="8" t="str">
        <f>BK5</f>
        <v>Household direct tax rates (TINS)</v>
      </c>
    </row>
    <row r="2" spans="1:100" x14ac:dyDescent="0.35">
      <c r="L2" s="8"/>
      <c r="M2" s="8" t="str">
        <f>W5</f>
        <v>Total household consumption (QH)</v>
      </c>
      <c r="Q2" s="8" t="str">
        <f>CE5</f>
        <v>Household marginal savings rates (MPS)</v>
      </c>
    </row>
    <row r="3" spans="1:100" x14ac:dyDescent="0.35">
      <c r="L3" s="8"/>
      <c r="M3" s="8" t="str">
        <f>AQ5</f>
        <v>Household commodity consumption (QH+QHA)</v>
      </c>
    </row>
    <row r="4" spans="1:100" x14ac:dyDescent="0.35"/>
    <row r="5" spans="1:100" ht="15.5" x14ac:dyDescent="0.35">
      <c r="B5" s="13"/>
      <c r="C5" s="11" t="s">
        <v>50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V5" s="13"/>
      <c r="W5" s="11" t="s">
        <v>51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P5" s="13"/>
      <c r="AQ5" s="11" t="s">
        <v>64</v>
      </c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J5" s="13"/>
      <c r="BK5" s="11" t="s">
        <v>52</v>
      </c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D5" s="13"/>
      <c r="CE5" s="11" t="s">
        <v>53</v>
      </c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</row>
    <row r="6" spans="1:100" x14ac:dyDescent="0.35">
      <c r="B6" s="29"/>
      <c r="C6" s="35" t="s">
        <v>66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V6" s="29"/>
      <c r="W6" s="35" t="s">
        <v>65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P6" s="29"/>
      <c r="AQ6" s="35" t="s">
        <v>67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J6" s="29"/>
      <c r="BK6" s="35" t="s">
        <v>69</v>
      </c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D6" s="29"/>
      <c r="CE6" s="35" t="s">
        <v>68</v>
      </c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</row>
    <row r="7" spans="1:100" x14ac:dyDescent="0.35">
      <c r="B7" s="29"/>
      <c r="C7" s="34"/>
      <c r="D7" s="34"/>
      <c r="E7" s="43" t="s">
        <v>42</v>
      </c>
      <c r="F7" s="41" t="s">
        <v>588</v>
      </c>
      <c r="G7" s="39" t="s">
        <v>589</v>
      </c>
      <c r="H7" s="39" t="s">
        <v>590</v>
      </c>
      <c r="I7" s="39" t="s">
        <v>465</v>
      </c>
      <c r="J7" s="39" t="s">
        <v>455</v>
      </c>
      <c r="K7" s="39" t="s">
        <v>456</v>
      </c>
      <c r="L7" s="39" t="s">
        <v>457</v>
      </c>
      <c r="M7" s="39" t="s">
        <v>458</v>
      </c>
      <c r="N7" s="39" t="s">
        <v>459</v>
      </c>
      <c r="O7" s="39" t="s">
        <v>460</v>
      </c>
      <c r="P7" s="39" t="s">
        <v>43</v>
      </c>
      <c r="Q7" s="39" t="s">
        <v>44</v>
      </c>
      <c r="R7" s="39" t="s">
        <v>45</v>
      </c>
      <c r="S7" s="39" t="s">
        <v>46</v>
      </c>
      <c r="T7" s="39" t="s">
        <v>47</v>
      </c>
      <c r="V7" s="29"/>
      <c r="W7" s="34"/>
      <c r="X7" s="34"/>
      <c r="Y7" s="43" t="s">
        <v>42</v>
      </c>
      <c r="Z7" s="41" t="s">
        <v>588</v>
      </c>
      <c r="AA7" s="39" t="s">
        <v>589</v>
      </c>
      <c r="AB7" s="39" t="s">
        <v>590</v>
      </c>
      <c r="AC7" s="39" t="s">
        <v>465</v>
      </c>
      <c r="AD7" s="39" t="s">
        <v>455</v>
      </c>
      <c r="AE7" s="39" t="s">
        <v>456</v>
      </c>
      <c r="AF7" s="39" t="s">
        <v>457</v>
      </c>
      <c r="AG7" s="39" t="s">
        <v>458</v>
      </c>
      <c r="AH7" s="39" t="s">
        <v>459</v>
      </c>
      <c r="AI7" s="39" t="s">
        <v>460</v>
      </c>
      <c r="AJ7" s="39" t="s">
        <v>43</v>
      </c>
      <c r="AK7" s="39" t="s">
        <v>44</v>
      </c>
      <c r="AL7" s="39" t="s">
        <v>45</v>
      </c>
      <c r="AM7" s="39" t="s">
        <v>46</v>
      </c>
      <c r="AN7" s="39" t="s">
        <v>47</v>
      </c>
      <c r="AP7" s="29"/>
      <c r="AQ7" s="34"/>
      <c r="AR7" s="34"/>
      <c r="AS7" s="43" t="s">
        <v>42</v>
      </c>
      <c r="AT7" s="41" t="s">
        <v>588</v>
      </c>
      <c r="AU7" s="39" t="s">
        <v>589</v>
      </c>
      <c r="AV7" s="39" t="s">
        <v>590</v>
      </c>
      <c r="AW7" s="39" t="s">
        <v>465</v>
      </c>
      <c r="AX7" s="39" t="s">
        <v>455</v>
      </c>
      <c r="AY7" s="39" t="s">
        <v>456</v>
      </c>
      <c r="AZ7" s="39" t="s">
        <v>457</v>
      </c>
      <c r="BA7" s="39" t="s">
        <v>458</v>
      </c>
      <c r="BB7" s="39" t="s">
        <v>459</v>
      </c>
      <c r="BC7" s="39" t="s">
        <v>460</v>
      </c>
      <c r="BD7" s="39" t="s">
        <v>43</v>
      </c>
      <c r="BE7" s="39" t="s">
        <v>44</v>
      </c>
      <c r="BF7" s="39" t="s">
        <v>45</v>
      </c>
      <c r="BG7" s="39" t="s">
        <v>46</v>
      </c>
      <c r="BH7" s="39" t="s">
        <v>47</v>
      </c>
      <c r="BJ7" s="29"/>
      <c r="BK7" s="34"/>
      <c r="BL7" s="34"/>
      <c r="BM7" s="43" t="s">
        <v>42</v>
      </c>
      <c r="BN7" s="41" t="s">
        <v>588</v>
      </c>
      <c r="BO7" s="39" t="s">
        <v>589</v>
      </c>
      <c r="BP7" s="39" t="s">
        <v>590</v>
      </c>
      <c r="BQ7" s="39" t="s">
        <v>465</v>
      </c>
      <c r="BR7" s="39" t="s">
        <v>455</v>
      </c>
      <c r="BS7" s="39" t="s">
        <v>456</v>
      </c>
      <c r="BT7" s="39" t="s">
        <v>457</v>
      </c>
      <c r="BU7" s="39" t="s">
        <v>458</v>
      </c>
      <c r="BV7" s="39" t="s">
        <v>459</v>
      </c>
      <c r="BW7" s="39" t="s">
        <v>460</v>
      </c>
      <c r="BX7" s="39" t="s">
        <v>43</v>
      </c>
      <c r="BY7" s="39" t="s">
        <v>44</v>
      </c>
      <c r="BZ7" s="39" t="s">
        <v>45</v>
      </c>
      <c r="CA7" s="39" t="s">
        <v>46</v>
      </c>
      <c r="CB7" s="39" t="s">
        <v>47</v>
      </c>
      <c r="CD7" s="29"/>
      <c r="CE7" s="34"/>
      <c r="CF7" s="34"/>
      <c r="CG7" s="43" t="s">
        <v>42</v>
      </c>
      <c r="CH7" s="41" t="s">
        <v>588</v>
      </c>
      <c r="CI7" s="39" t="s">
        <v>589</v>
      </c>
      <c r="CJ7" s="39" t="s">
        <v>590</v>
      </c>
      <c r="CK7" s="39" t="s">
        <v>465</v>
      </c>
      <c r="CL7" s="39" t="s">
        <v>455</v>
      </c>
      <c r="CM7" s="39" t="s">
        <v>456</v>
      </c>
      <c r="CN7" s="39" t="s">
        <v>457</v>
      </c>
      <c r="CO7" s="39" t="s">
        <v>458</v>
      </c>
      <c r="CP7" s="39" t="s">
        <v>459</v>
      </c>
      <c r="CQ7" s="39" t="s">
        <v>460</v>
      </c>
      <c r="CR7" s="39" t="s">
        <v>43</v>
      </c>
      <c r="CS7" s="39" t="s">
        <v>44</v>
      </c>
      <c r="CT7" s="39" t="s">
        <v>45</v>
      </c>
      <c r="CU7" s="39" t="s">
        <v>46</v>
      </c>
      <c r="CV7" s="39" t="s">
        <v>47</v>
      </c>
    </row>
    <row r="8" spans="1:100" x14ac:dyDescent="0.35">
      <c r="A8" s="12">
        <v>1</v>
      </c>
      <c r="B8" s="33"/>
      <c r="C8" s="38" t="str">
        <f>Notes!W9</f>
        <v>All households</v>
      </c>
      <c r="D8" s="4" t="s">
        <v>411</v>
      </c>
      <c r="E8" s="44">
        <v>100</v>
      </c>
      <c r="F8" s="42" t="s">
        <v>48</v>
      </c>
      <c r="G8" s="40" t="s">
        <v>48</v>
      </c>
      <c r="H8" s="40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V8" s="33"/>
      <c r="W8" s="38" t="str">
        <f>Notes!W9</f>
        <v>All households</v>
      </c>
      <c r="X8" s="4" t="s">
        <v>411</v>
      </c>
      <c r="Y8" s="44">
        <v>100</v>
      </c>
      <c r="Z8" s="42" t="s">
        <v>48</v>
      </c>
      <c r="AA8" s="40" t="s">
        <v>48</v>
      </c>
      <c r="AB8" s="40" t="s">
        <v>48</v>
      </c>
      <c r="AC8" s="40" t="s">
        <v>48</v>
      </c>
      <c r="AD8" s="40" t="s">
        <v>48</v>
      </c>
      <c r="AE8" s="40" t="s">
        <v>48</v>
      </c>
      <c r="AF8" s="40" t="s">
        <v>48</v>
      </c>
      <c r="AG8" s="40" t="s">
        <v>48</v>
      </c>
      <c r="AH8" s="40" t="s">
        <v>48</v>
      </c>
      <c r="AI8" s="40" t="s">
        <v>48</v>
      </c>
      <c r="AJ8" s="40" t="s">
        <v>48</v>
      </c>
      <c r="AK8" s="40" t="s">
        <v>48</v>
      </c>
      <c r="AL8" s="40" t="s">
        <v>48</v>
      </c>
      <c r="AM8" s="40" t="s">
        <v>48</v>
      </c>
      <c r="AN8" s="40" t="s">
        <v>48</v>
      </c>
      <c r="AP8" s="33"/>
      <c r="AQ8" s="38" t="str">
        <f>Notes!U9</f>
        <v xml:space="preserve">               All products</v>
      </c>
      <c r="AR8" s="4" t="s">
        <v>309</v>
      </c>
      <c r="AS8" s="44">
        <v>100</v>
      </c>
      <c r="AT8" s="42" t="s">
        <v>48</v>
      </c>
      <c r="AU8" s="40" t="s">
        <v>48</v>
      </c>
      <c r="AV8" s="40" t="s">
        <v>48</v>
      </c>
      <c r="AW8" s="40" t="s">
        <v>48</v>
      </c>
      <c r="AX8" s="40" t="s">
        <v>48</v>
      </c>
      <c r="AY8" s="40" t="s">
        <v>48</v>
      </c>
      <c r="AZ8" s="40" t="s">
        <v>48</v>
      </c>
      <c r="BA8" s="40" t="s">
        <v>48</v>
      </c>
      <c r="BB8" s="40" t="s">
        <v>48</v>
      </c>
      <c r="BC8" s="40" t="s">
        <v>48</v>
      </c>
      <c r="BD8" s="40" t="s">
        <v>48</v>
      </c>
      <c r="BE8" s="40" t="s">
        <v>48</v>
      </c>
      <c r="BF8" s="40" t="s">
        <v>48</v>
      </c>
      <c r="BG8" s="40" t="s">
        <v>48</v>
      </c>
      <c r="BH8" s="40" t="s">
        <v>48</v>
      </c>
      <c r="BJ8" s="33"/>
      <c r="BK8" s="38" t="str">
        <f>Notes!W9</f>
        <v>All households</v>
      </c>
      <c r="BL8" s="4" t="s">
        <v>411</v>
      </c>
      <c r="BM8" s="44">
        <v>4.5637867565663441</v>
      </c>
      <c r="BN8" s="42" t="s">
        <v>48</v>
      </c>
      <c r="BO8" s="40" t="s">
        <v>48</v>
      </c>
      <c r="BP8" s="40" t="s">
        <v>48</v>
      </c>
      <c r="BQ8" s="40" t="s">
        <v>48</v>
      </c>
      <c r="BR8" s="40" t="s">
        <v>48</v>
      </c>
      <c r="BS8" s="40" t="s">
        <v>48</v>
      </c>
      <c r="BT8" s="40" t="s">
        <v>48</v>
      </c>
      <c r="BU8" s="40" t="s">
        <v>48</v>
      </c>
      <c r="BV8" s="40" t="s">
        <v>48</v>
      </c>
      <c r="BW8" s="40" t="s">
        <v>48</v>
      </c>
      <c r="BX8" s="40" t="s">
        <v>48</v>
      </c>
      <c r="BY8" s="40" t="s">
        <v>48</v>
      </c>
      <c r="BZ8" s="40" t="s">
        <v>48</v>
      </c>
      <c r="CA8" s="40" t="s">
        <v>48</v>
      </c>
      <c r="CB8" s="40" t="s">
        <v>48</v>
      </c>
      <c r="CD8" s="33"/>
      <c r="CE8" s="38" t="str">
        <f>Notes!W9</f>
        <v>All households</v>
      </c>
      <c r="CF8" s="4" t="s">
        <v>411</v>
      </c>
      <c r="CG8" s="44">
        <v>10.159719156546448</v>
      </c>
      <c r="CH8" s="42" t="s">
        <v>48</v>
      </c>
      <c r="CI8" s="40" t="s">
        <v>48</v>
      </c>
      <c r="CJ8" s="40" t="s">
        <v>48</v>
      </c>
      <c r="CK8" s="40" t="s">
        <v>48</v>
      </c>
      <c r="CL8" s="40" t="s">
        <v>48</v>
      </c>
      <c r="CM8" s="40" t="s">
        <v>48</v>
      </c>
      <c r="CN8" s="40" t="s">
        <v>48</v>
      </c>
      <c r="CO8" s="40" t="s">
        <v>48</v>
      </c>
      <c r="CP8" s="40" t="s">
        <v>48</v>
      </c>
      <c r="CQ8" s="40" t="s">
        <v>48</v>
      </c>
      <c r="CR8" s="40" t="s">
        <v>48</v>
      </c>
      <c r="CS8" s="40" t="s">
        <v>48</v>
      </c>
      <c r="CT8" s="40" t="s">
        <v>48</v>
      </c>
      <c r="CU8" s="40" t="s">
        <v>48</v>
      </c>
      <c r="CV8" s="40" t="s">
        <v>48</v>
      </c>
    </row>
    <row r="9" spans="1:100" x14ac:dyDescent="0.35">
      <c r="A9" s="12">
        <v>2</v>
      </c>
      <c r="B9" s="33"/>
      <c r="C9" s="38" t="str">
        <f>Notes!W10</f>
        <v xml:space="preserve">      Quintile 1 (low)</v>
      </c>
      <c r="D9" s="4" t="s">
        <v>645</v>
      </c>
      <c r="E9" s="46">
        <v>4.5521424479957897</v>
      </c>
      <c r="F9" s="47" t="s">
        <v>48</v>
      </c>
      <c r="G9" s="48" t="s">
        <v>48</v>
      </c>
      <c r="H9" s="48" t="s">
        <v>48</v>
      </c>
      <c r="I9" s="48" t="s">
        <v>48</v>
      </c>
      <c r="J9" s="48" t="s">
        <v>48</v>
      </c>
      <c r="K9" s="48" t="s">
        <v>48</v>
      </c>
      <c r="L9" s="48" t="s">
        <v>48</v>
      </c>
      <c r="M9" s="48" t="s">
        <v>48</v>
      </c>
      <c r="N9" s="48" t="s">
        <v>48</v>
      </c>
      <c r="O9" s="48" t="s">
        <v>48</v>
      </c>
      <c r="P9" s="48" t="s">
        <v>48</v>
      </c>
      <c r="Q9" s="48" t="s">
        <v>48</v>
      </c>
      <c r="R9" s="48" t="s">
        <v>48</v>
      </c>
      <c r="S9" s="48" t="s">
        <v>48</v>
      </c>
      <c r="T9" s="48" t="s">
        <v>48</v>
      </c>
      <c r="V9" s="33"/>
      <c r="W9" s="38" t="str">
        <f>Notes!W10</f>
        <v xml:space="preserve">      Quintile 1 (low)</v>
      </c>
      <c r="X9" s="4" t="s">
        <v>645</v>
      </c>
      <c r="Y9" s="46">
        <v>4.5502842555442413</v>
      </c>
      <c r="Z9" s="47" t="s">
        <v>48</v>
      </c>
      <c r="AA9" s="48" t="s">
        <v>48</v>
      </c>
      <c r="AB9" s="48" t="s">
        <v>48</v>
      </c>
      <c r="AC9" s="48" t="s">
        <v>48</v>
      </c>
      <c r="AD9" s="48" t="s">
        <v>48</v>
      </c>
      <c r="AE9" s="48" t="s">
        <v>48</v>
      </c>
      <c r="AF9" s="48" t="s">
        <v>48</v>
      </c>
      <c r="AG9" s="48" t="s">
        <v>48</v>
      </c>
      <c r="AH9" s="48" t="s">
        <v>48</v>
      </c>
      <c r="AI9" s="48" t="s">
        <v>48</v>
      </c>
      <c r="AJ9" s="48" t="s">
        <v>48</v>
      </c>
      <c r="AK9" s="48" t="s">
        <v>48</v>
      </c>
      <c r="AL9" s="48" t="s">
        <v>48</v>
      </c>
      <c r="AM9" s="48" t="s">
        <v>48</v>
      </c>
      <c r="AN9" s="48" t="s">
        <v>48</v>
      </c>
      <c r="AP9" s="33"/>
      <c r="AQ9" s="38" t="str">
        <f>Notes!U10</f>
        <v xml:space="preserve">               Agriculture</v>
      </c>
      <c r="AR9" s="4" t="s">
        <v>695</v>
      </c>
      <c r="AS9" s="46">
        <v>14.553527252339618</v>
      </c>
      <c r="AT9" s="47" t="s">
        <v>48</v>
      </c>
      <c r="AU9" s="48" t="s">
        <v>48</v>
      </c>
      <c r="AV9" s="48" t="s">
        <v>48</v>
      </c>
      <c r="AW9" s="48" t="s">
        <v>48</v>
      </c>
      <c r="AX9" s="48" t="s">
        <v>48</v>
      </c>
      <c r="AY9" s="48" t="s">
        <v>48</v>
      </c>
      <c r="AZ9" s="48" t="s">
        <v>48</v>
      </c>
      <c r="BA9" s="48" t="s">
        <v>48</v>
      </c>
      <c r="BB9" s="48" t="s">
        <v>48</v>
      </c>
      <c r="BC9" s="48" t="s">
        <v>48</v>
      </c>
      <c r="BD9" s="48" t="s">
        <v>48</v>
      </c>
      <c r="BE9" s="48" t="s">
        <v>48</v>
      </c>
      <c r="BF9" s="48" t="s">
        <v>48</v>
      </c>
      <c r="BG9" s="48" t="s">
        <v>48</v>
      </c>
      <c r="BH9" s="48" t="s">
        <v>48</v>
      </c>
      <c r="BJ9" s="33"/>
      <c r="BK9" s="38" t="str">
        <f>Notes!W10</f>
        <v xml:space="preserve">      Quintile 1 (low)</v>
      </c>
      <c r="BL9" s="4" t="s">
        <v>645</v>
      </c>
      <c r="BM9" s="46">
        <v>1.5561432412670219E-2</v>
      </c>
      <c r="BN9" s="47" t="s">
        <v>48</v>
      </c>
      <c r="BO9" s="48" t="s">
        <v>48</v>
      </c>
      <c r="BP9" s="48" t="s">
        <v>48</v>
      </c>
      <c r="BQ9" s="48" t="s">
        <v>48</v>
      </c>
      <c r="BR9" s="48" t="s">
        <v>48</v>
      </c>
      <c r="BS9" s="48" t="s">
        <v>48</v>
      </c>
      <c r="BT9" s="48" t="s">
        <v>48</v>
      </c>
      <c r="BU9" s="48" t="s">
        <v>48</v>
      </c>
      <c r="BV9" s="48" t="s">
        <v>48</v>
      </c>
      <c r="BW9" s="48" t="s">
        <v>48</v>
      </c>
      <c r="BX9" s="48" t="s">
        <v>48</v>
      </c>
      <c r="BY9" s="48" t="s">
        <v>48</v>
      </c>
      <c r="BZ9" s="48" t="s">
        <v>48</v>
      </c>
      <c r="CA9" s="48" t="s">
        <v>48</v>
      </c>
      <c r="CB9" s="48" t="s">
        <v>48</v>
      </c>
      <c r="CD9" s="33"/>
      <c r="CE9" s="38" t="str">
        <f>Notes!W10</f>
        <v xml:space="preserve">      Quintile 1 (low)</v>
      </c>
      <c r="CF9" s="4" t="s">
        <v>645</v>
      </c>
      <c r="CG9" s="46">
        <v>0.16609161795676525</v>
      </c>
      <c r="CH9" s="47" t="s">
        <v>48</v>
      </c>
      <c r="CI9" s="48" t="s">
        <v>48</v>
      </c>
      <c r="CJ9" s="48" t="s">
        <v>48</v>
      </c>
      <c r="CK9" s="48" t="s">
        <v>48</v>
      </c>
      <c r="CL9" s="48" t="s">
        <v>48</v>
      </c>
      <c r="CM9" s="48" t="s">
        <v>48</v>
      </c>
      <c r="CN9" s="48" t="s">
        <v>48</v>
      </c>
      <c r="CO9" s="48" t="s">
        <v>48</v>
      </c>
      <c r="CP9" s="48" t="s">
        <v>48</v>
      </c>
      <c r="CQ9" s="48" t="s">
        <v>48</v>
      </c>
      <c r="CR9" s="48" t="s">
        <v>48</v>
      </c>
      <c r="CS9" s="48" t="s">
        <v>48</v>
      </c>
      <c r="CT9" s="48" t="s">
        <v>48</v>
      </c>
      <c r="CU9" s="48" t="s">
        <v>48</v>
      </c>
      <c r="CV9" s="48" t="s">
        <v>48</v>
      </c>
    </row>
    <row r="10" spans="1:100" x14ac:dyDescent="0.35">
      <c r="A10" s="12">
        <v>3</v>
      </c>
      <c r="B10" s="33"/>
      <c r="C10" s="38" t="str">
        <f>Notes!W11</f>
        <v xml:space="preserve">      Quintile 2</v>
      </c>
      <c r="D10" s="4" t="s">
        <v>646</v>
      </c>
      <c r="E10" s="44">
        <v>7.4322032782686165</v>
      </c>
      <c r="F10" s="42" t="s">
        <v>48</v>
      </c>
      <c r="G10" s="40" t="s">
        <v>48</v>
      </c>
      <c r="H10" s="40" t="s">
        <v>48</v>
      </c>
      <c r="I10" s="40" t="s">
        <v>48</v>
      </c>
      <c r="J10" s="40" t="s">
        <v>48</v>
      </c>
      <c r="K10" s="40" t="s">
        <v>48</v>
      </c>
      <c r="L10" s="40" t="s">
        <v>48</v>
      </c>
      <c r="M10" s="40" t="s">
        <v>48</v>
      </c>
      <c r="N10" s="40" t="s">
        <v>48</v>
      </c>
      <c r="O10" s="40" t="s">
        <v>48</v>
      </c>
      <c r="P10" s="40" t="s">
        <v>48</v>
      </c>
      <c r="Q10" s="40" t="s">
        <v>48</v>
      </c>
      <c r="R10" s="40" t="s">
        <v>48</v>
      </c>
      <c r="S10" s="40" t="s">
        <v>48</v>
      </c>
      <c r="T10" s="40" t="s">
        <v>48</v>
      </c>
      <c r="V10" s="33"/>
      <c r="W10" s="38" t="str">
        <f>Notes!W11</f>
        <v xml:space="preserve">      Quintile 2</v>
      </c>
      <c r="X10" s="4" t="s">
        <v>646</v>
      </c>
      <c r="Y10" s="44">
        <v>7.2420466276402991</v>
      </c>
      <c r="Z10" s="42" t="s">
        <v>48</v>
      </c>
      <c r="AA10" s="40" t="s">
        <v>48</v>
      </c>
      <c r="AB10" s="40" t="s">
        <v>48</v>
      </c>
      <c r="AC10" s="40" t="s">
        <v>48</v>
      </c>
      <c r="AD10" s="40" t="s">
        <v>48</v>
      </c>
      <c r="AE10" s="40" t="s">
        <v>48</v>
      </c>
      <c r="AF10" s="40" t="s">
        <v>48</v>
      </c>
      <c r="AG10" s="40" t="s">
        <v>48</v>
      </c>
      <c r="AH10" s="40" t="s">
        <v>48</v>
      </c>
      <c r="AI10" s="40" t="s">
        <v>48</v>
      </c>
      <c r="AJ10" s="40" t="s">
        <v>48</v>
      </c>
      <c r="AK10" s="40" t="s">
        <v>48</v>
      </c>
      <c r="AL10" s="40" t="s">
        <v>48</v>
      </c>
      <c r="AM10" s="40" t="s">
        <v>48</v>
      </c>
      <c r="AN10" s="40" t="s">
        <v>48</v>
      </c>
      <c r="AP10" s="33"/>
      <c r="AQ10" s="38" t="str">
        <f>Notes!U11</f>
        <v xml:space="preserve">               Crops</v>
      </c>
      <c r="AR10" s="4" t="s">
        <v>696</v>
      </c>
      <c r="AS10" s="44">
        <v>12.485366956544462</v>
      </c>
      <c r="AT10" s="42" t="s">
        <v>48</v>
      </c>
      <c r="AU10" s="40" t="s">
        <v>48</v>
      </c>
      <c r="AV10" s="40" t="s">
        <v>48</v>
      </c>
      <c r="AW10" s="40" t="s">
        <v>48</v>
      </c>
      <c r="AX10" s="40" t="s">
        <v>48</v>
      </c>
      <c r="AY10" s="40" t="s">
        <v>48</v>
      </c>
      <c r="AZ10" s="40" t="s">
        <v>48</v>
      </c>
      <c r="BA10" s="40" t="s">
        <v>48</v>
      </c>
      <c r="BB10" s="40" t="s">
        <v>48</v>
      </c>
      <c r="BC10" s="40" t="s">
        <v>48</v>
      </c>
      <c r="BD10" s="40" t="s">
        <v>48</v>
      </c>
      <c r="BE10" s="40" t="s">
        <v>48</v>
      </c>
      <c r="BF10" s="40" t="s">
        <v>48</v>
      </c>
      <c r="BG10" s="40" t="s">
        <v>48</v>
      </c>
      <c r="BH10" s="40" t="s">
        <v>48</v>
      </c>
      <c r="BJ10" s="33"/>
      <c r="BK10" s="38" t="str">
        <f>Notes!W11</f>
        <v xml:space="preserve">      Quintile 2</v>
      </c>
      <c r="BL10" s="4" t="s">
        <v>646</v>
      </c>
      <c r="BM10" s="44">
        <v>5.0859625964943971E-2</v>
      </c>
      <c r="BN10" s="42" t="s">
        <v>48</v>
      </c>
      <c r="BO10" s="40" t="s">
        <v>48</v>
      </c>
      <c r="BP10" s="40" t="s">
        <v>48</v>
      </c>
      <c r="BQ10" s="40" t="s">
        <v>48</v>
      </c>
      <c r="BR10" s="40" t="s">
        <v>48</v>
      </c>
      <c r="BS10" s="40" t="s">
        <v>48</v>
      </c>
      <c r="BT10" s="40" t="s">
        <v>48</v>
      </c>
      <c r="BU10" s="40" t="s">
        <v>48</v>
      </c>
      <c r="BV10" s="40" t="s">
        <v>48</v>
      </c>
      <c r="BW10" s="40" t="s">
        <v>48</v>
      </c>
      <c r="BX10" s="40" t="s">
        <v>48</v>
      </c>
      <c r="BY10" s="40" t="s">
        <v>48</v>
      </c>
      <c r="BZ10" s="40" t="s">
        <v>48</v>
      </c>
      <c r="CA10" s="40" t="s">
        <v>48</v>
      </c>
      <c r="CB10" s="40" t="s">
        <v>48</v>
      </c>
      <c r="CD10" s="33"/>
      <c r="CE10" s="38" t="str">
        <f>Notes!W11</f>
        <v xml:space="preserve">      Quintile 2</v>
      </c>
      <c r="CF10" s="4" t="s">
        <v>646</v>
      </c>
      <c r="CG10" s="44">
        <v>0.25216261448589894</v>
      </c>
      <c r="CH10" s="42" t="s">
        <v>48</v>
      </c>
      <c r="CI10" s="40" t="s">
        <v>48</v>
      </c>
      <c r="CJ10" s="40" t="s">
        <v>48</v>
      </c>
      <c r="CK10" s="40" t="s">
        <v>48</v>
      </c>
      <c r="CL10" s="40" t="s">
        <v>48</v>
      </c>
      <c r="CM10" s="40" t="s">
        <v>48</v>
      </c>
      <c r="CN10" s="40" t="s">
        <v>48</v>
      </c>
      <c r="CO10" s="40" t="s">
        <v>48</v>
      </c>
      <c r="CP10" s="40" t="s">
        <v>48</v>
      </c>
      <c r="CQ10" s="40" t="s">
        <v>48</v>
      </c>
      <c r="CR10" s="40" t="s">
        <v>48</v>
      </c>
      <c r="CS10" s="40" t="s">
        <v>48</v>
      </c>
      <c r="CT10" s="40" t="s">
        <v>48</v>
      </c>
      <c r="CU10" s="40" t="s">
        <v>48</v>
      </c>
      <c r="CV10" s="40" t="s">
        <v>48</v>
      </c>
    </row>
    <row r="11" spans="1:100" x14ac:dyDescent="0.35">
      <c r="A11" s="12">
        <v>4</v>
      </c>
      <c r="B11" s="33"/>
      <c r="C11" s="38" t="str">
        <f>Notes!W12</f>
        <v xml:space="preserve">      Quintile 3</v>
      </c>
      <c r="D11" s="4" t="s">
        <v>647</v>
      </c>
      <c r="E11" s="44">
        <v>10.494507991962418</v>
      </c>
      <c r="F11" s="42" t="s">
        <v>48</v>
      </c>
      <c r="G11" s="40" t="s">
        <v>48</v>
      </c>
      <c r="H11" s="40" t="s">
        <v>48</v>
      </c>
      <c r="I11" s="40" t="s">
        <v>48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48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V11" s="33"/>
      <c r="W11" s="38" t="str">
        <f>Notes!W12</f>
        <v xml:space="preserve">      Quintile 3</v>
      </c>
      <c r="X11" s="4" t="s">
        <v>647</v>
      </c>
      <c r="Y11" s="44">
        <v>10.161759868189201</v>
      </c>
      <c r="Z11" s="42" t="s">
        <v>48</v>
      </c>
      <c r="AA11" s="40" t="s">
        <v>48</v>
      </c>
      <c r="AB11" s="40" t="s">
        <v>48</v>
      </c>
      <c r="AC11" s="40" t="s">
        <v>48</v>
      </c>
      <c r="AD11" s="40" t="s">
        <v>48</v>
      </c>
      <c r="AE11" s="40" t="s">
        <v>48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40" t="s">
        <v>48</v>
      </c>
      <c r="AK11" s="40" t="s">
        <v>48</v>
      </c>
      <c r="AL11" s="40" t="s">
        <v>48</v>
      </c>
      <c r="AM11" s="40" t="s">
        <v>48</v>
      </c>
      <c r="AN11" s="40" t="s">
        <v>48</v>
      </c>
      <c r="AP11" s="33"/>
      <c r="AQ11" s="38" t="str">
        <f>Notes!U12</f>
        <v xml:space="preserve">               Maize</v>
      </c>
      <c r="AR11" s="4" t="s">
        <v>466</v>
      </c>
      <c r="AS11" s="44">
        <v>12.211037877733576</v>
      </c>
      <c r="AT11" s="42" t="s">
        <v>48</v>
      </c>
      <c r="AU11" s="40" t="s">
        <v>48</v>
      </c>
      <c r="AV11" s="40" t="s">
        <v>48</v>
      </c>
      <c r="AW11" s="40" t="s">
        <v>48</v>
      </c>
      <c r="AX11" s="40" t="s">
        <v>48</v>
      </c>
      <c r="AY11" s="40" t="s">
        <v>48</v>
      </c>
      <c r="AZ11" s="40" t="s">
        <v>48</v>
      </c>
      <c r="BA11" s="40" t="s">
        <v>48</v>
      </c>
      <c r="BB11" s="40" t="s">
        <v>48</v>
      </c>
      <c r="BC11" s="40" t="s">
        <v>48</v>
      </c>
      <c r="BD11" s="40" t="s">
        <v>48</v>
      </c>
      <c r="BE11" s="40" t="s">
        <v>48</v>
      </c>
      <c r="BF11" s="40" t="s">
        <v>48</v>
      </c>
      <c r="BG11" s="40" t="s">
        <v>48</v>
      </c>
      <c r="BH11" s="40" t="s">
        <v>48</v>
      </c>
      <c r="BJ11" s="33"/>
      <c r="BK11" s="38" t="str">
        <f>Notes!W12</f>
        <v xml:space="preserve">      Quintile 3</v>
      </c>
      <c r="BL11" s="4" t="s">
        <v>647</v>
      </c>
      <c r="BM11" s="44">
        <v>0.11000339004110476</v>
      </c>
      <c r="BN11" s="42" t="s">
        <v>48</v>
      </c>
      <c r="BO11" s="40" t="s">
        <v>48</v>
      </c>
      <c r="BP11" s="40" t="s">
        <v>48</v>
      </c>
      <c r="BQ11" s="40" t="s">
        <v>48</v>
      </c>
      <c r="BR11" s="40" t="s">
        <v>48</v>
      </c>
      <c r="BS11" s="40" t="s">
        <v>48</v>
      </c>
      <c r="BT11" s="40" t="s">
        <v>48</v>
      </c>
      <c r="BU11" s="40" t="s">
        <v>48</v>
      </c>
      <c r="BV11" s="40" t="s">
        <v>48</v>
      </c>
      <c r="BW11" s="40" t="s">
        <v>48</v>
      </c>
      <c r="BX11" s="40" t="s">
        <v>48</v>
      </c>
      <c r="BY11" s="40" t="s">
        <v>48</v>
      </c>
      <c r="BZ11" s="40" t="s">
        <v>48</v>
      </c>
      <c r="CA11" s="40" t="s">
        <v>48</v>
      </c>
      <c r="CB11" s="40" t="s">
        <v>48</v>
      </c>
      <c r="CD11" s="33"/>
      <c r="CE11" s="38" t="str">
        <f>Notes!W12</f>
        <v xml:space="preserve">      Quintile 3</v>
      </c>
      <c r="CF11" s="4" t="s">
        <v>647</v>
      </c>
      <c r="CG11" s="44">
        <v>0.30762455927676091</v>
      </c>
      <c r="CH11" s="42" t="s">
        <v>48</v>
      </c>
      <c r="CI11" s="40" t="s">
        <v>48</v>
      </c>
      <c r="CJ11" s="40" t="s">
        <v>48</v>
      </c>
      <c r="CK11" s="40" t="s">
        <v>48</v>
      </c>
      <c r="CL11" s="40" t="s">
        <v>48</v>
      </c>
      <c r="CM11" s="40" t="s">
        <v>48</v>
      </c>
      <c r="CN11" s="40" t="s">
        <v>48</v>
      </c>
      <c r="CO11" s="40" t="s">
        <v>48</v>
      </c>
      <c r="CP11" s="40" t="s">
        <v>48</v>
      </c>
      <c r="CQ11" s="40" t="s">
        <v>48</v>
      </c>
      <c r="CR11" s="40" t="s">
        <v>48</v>
      </c>
      <c r="CS11" s="40" t="s">
        <v>48</v>
      </c>
      <c r="CT11" s="40" t="s">
        <v>48</v>
      </c>
      <c r="CU11" s="40" t="s">
        <v>48</v>
      </c>
      <c r="CV11" s="40" t="s">
        <v>48</v>
      </c>
    </row>
    <row r="12" spans="1:100" x14ac:dyDescent="0.35">
      <c r="A12" s="12">
        <v>5</v>
      </c>
      <c r="B12" s="33"/>
      <c r="C12" s="38" t="str">
        <f>Notes!W13</f>
        <v xml:space="preserve">      Quintile 4</v>
      </c>
      <c r="D12" s="4" t="s">
        <v>648</v>
      </c>
      <c r="E12" s="44">
        <v>16.148399459388859</v>
      </c>
      <c r="F12" s="42" t="s">
        <v>48</v>
      </c>
      <c r="G12" s="40" t="s">
        <v>48</v>
      </c>
      <c r="H12" s="40" t="s">
        <v>48</v>
      </c>
      <c r="I12" s="40" t="s">
        <v>48</v>
      </c>
      <c r="J12" s="40" t="s">
        <v>48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V12" s="33"/>
      <c r="W12" s="38" t="str">
        <f>Notes!W13</f>
        <v xml:space="preserve">      Quintile 4</v>
      </c>
      <c r="X12" s="4" t="s">
        <v>648</v>
      </c>
      <c r="Y12" s="44">
        <v>16.168197067423339</v>
      </c>
      <c r="Z12" s="42" t="s">
        <v>48</v>
      </c>
      <c r="AA12" s="40" t="s">
        <v>48</v>
      </c>
      <c r="AB12" s="40" t="s">
        <v>48</v>
      </c>
      <c r="AC12" s="40" t="s">
        <v>48</v>
      </c>
      <c r="AD12" s="40" t="s">
        <v>48</v>
      </c>
      <c r="AE12" s="40" t="s">
        <v>48</v>
      </c>
      <c r="AF12" s="40" t="s">
        <v>48</v>
      </c>
      <c r="AG12" s="40" t="s">
        <v>48</v>
      </c>
      <c r="AH12" s="40" t="s">
        <v>48</v>
      </c>
      <c r="AI12" s="40" t="s">
        <v>48</v>
      </c>
      <c r="AJ12" s="40" t="s">
        <v>48</v>
      </c>
      <c r="AK12" s="40" t="s">
        <v>48</v>
      </c>
      <c r="AL12" s="40" t="s">
        <v>48</v>
      </c>
      <c r="AM12" s="40" t="s">
        <v>48</v>
      </c>
      <c r="AN12" s="40" t="s">
        <v>48</v>
      </c>
      <c r="AP12" s="33"/>
      <c r="AQ12" s="38" t="str">
        <f>Notes!U13</f>
        <v xml:space="preserve">               Sorghum and millet</v>
      </c>
      <c r="AR12" s="4" t="s">
        <v>314</v>
      </c>
      <c r="AS12" s="44">
        <v>0.27432907881088758</v>
      </c>
      <c r="AT12" s="42" t="s">
        <v>48</v>
      </c>
      <c r="AU12" s="40" t="s">
        <v>48</v>
      </c>
      <c r="AV12" s="40" t="s">
        <v>48</v>
      </c>
      <c r="AW12" s="40" t="s">
        <v>48</v>
      </c>
      <c r="AX12" s="40" t="s">
        <v>48</v>
      </c>
      <c r="AY12" s="40" t="s">
        <v>48</v>
      </c>
      <c r="AZ12" s="40" t="s">
        <v>48</v>
      </c>
      <c r="BA12" s="40" t="s">
        <v>48</v>
      </c>
      <c r="BB12" s="40" t="s">
        <v>48</v>
      </c>
      <c r="BC12" s="40" t="s">
        <v>48</v>
      </c>
      <c r="BD12" s="40" t="s">
        <v>48</v>
      </c>
      <c r="BE12" s="40" t="s">
        <v>48</v>
      </c>
      <c r="BF12" s="40" t="s">
        <v>48</v>
      </c>
      <c r="BG12" s="40" t="s">
        <v>48</v>
      </c>
      <c r="BH12" s="40" t="s">
        <v>48</v>
      </c>
      <c r="BJ12" s="33"/>
      <c r="BK12" s="38" t="str">
        <f>Notes!W13</f>
        <v xml:space="preserve">      Quintile 4</v>
      </c>
      <c r="BL12" s="4" t="s">
        <v>648</v>
      </c>
      <c r="BM12" s="44">
        <v>0.40361727030193384</v>
      </c>
      <c r="BN12" s="42" t="s">
        <v>48</v>
      </c>
      <c r="BO12" s="40" t="s">
        <v>48</v>
      </c>
      <c r="BP12" s="40" t="s">
        <v>48</v>
      </c>
      <c r="BQ12" s="40" t="s">
        <v>48</v>
      </c>
      <c r="BR12" s="40" t="s">
        <v>48</v>
      </c>
      <c r="BS12" s="40" t="s">
        <v>48</v>
      </c>
      <c r="BT12" s="40" t="s">
        <v>48</v>
      </c>
      <c r="BU12" s="40" t="s">
        <v>48</v>
      </c>
      <c r="BV12" s="40" t="s">
        <v>48</v>
      </c>
      <c r="BW12" s="40" t="s">
        <v>48</v>
      </c>
      <c r="BX12" s="40" t="s">
        <v>48</v>
      </c>
      <c r="BY12" s="40" t="s">
        <v>48</v>
      </c>
      <c r="BZ12" s="40" t="s">
        <v>48</v>
      </c>
      <c r="CA12" s="40" t="s">
        <v>48</v>
      </c>
      <c r="CB12" s="40" t="s">
        <v>48</v>
      </c>
      <c r="CD12" s="33"/>
      <c r="CE12" s="38" t="str">
        <f>Notes!W13</f>
        <v xml:space="preserve">      Quintile 4</v>
      </c>
      <c r="CF12" s="4" t="s">
        <v>648</v>
      </c>
      <c r="CG12" s="44">
        <v>0.72873139646299689</v>
      </c>
      <c r="CH12" s="42" t="s">
        <v>48</v>
      </c>
      <c r="CI12" s="40" t="s">
        <v>48</v>
      </c>
      <c r="CJ12" s="40" t="s">
        <v>48</v>
      </c>
      <c r="CK12" s="40" t="s">
        <v>48</v>
      </c>
      <c r="CL12" s="40" t="s">
        <v>48</v>
      </c>
      <c r="CM12" s="40" t="s">
        <v>48</v>
      </c>
      <c r="CN12" s="40" t="s">
        <v>48</v>
      </c>
      <c r="CO12" s="40" t="s">
        <v>48</v>
      </c>
      <c r="CP12" s="40" t="s">
        <v>48</v>
      </c>
      <c r="CQ12" s="40" t="s">
        <v>48</v>
      </c>
      <c r="CR12" s="40" t="s">
        <v>48</v>
      </c>
      <c r="CS12" s="40" t="s">
        <v>48</v>
      </c>
      <c r="CT12" s="40" t="s">
        <v>48</v>
      </c>
      <c r="CU12" s="40" t="s">
        <v>48</v>
      </c>
      <c r="CV12" s="40" t="s">
        <v>48</v>
      </c>
    </row>
    <row r="13" spans="1:100" x14ac:dyDescent="0.35">
      <c r="A13" s="12">
        <v>6</v>
      </c>
      <c r="B13" s="33"/>
      <c r="C13" s="38" t="str">
        <f>Notes!W14</f>
        <v xml:space="preserve">      Quintile 5 (high)</v>
      </c>
      <c r="D13" s="4" t="s">
        <v>649</v>
      </c>
      <c r="E13" s="44">
        <v>61.372746822384315</v>
      </c>
      <c r="F13" s="42" t="s">
        <v>48</v>
      </c>
      <c r="G13" s="40" t="s">
        <v>48</v>
      </c>
      <c r="H13" s="40" t="s">
        <v>48</v>
      </c>
      <c r="I13" s="40" t="s">
        <v>48</v>
      </c>
      <c r="J13" s="40" t="s">
        <v>48</v>
      </c>
      <c r="K13" s="40" t="s">
        <v>48</v>
      </c>
      <c r="L13" s="40" t="s">
        <v>48</v>
      </c>
      <c r="M13" s="40" t="s">
        <v>48</v>
      </c>
      <c r="N13" s="40" t="s">
        <v>48</v>
      </c>
      <c r="O13" s="40" t="s">
        <v>48</v>
      </c>
      <c r="P13" s="40" t="s">
        <v>48</v>
      </c>
      <c r="Q13" s="40" t="s">
        <v>48</v>
      </c>
      <c r="R13" s="40" t="s">
        <v>48</v>
      </c>
      <c r="S13" s="40" t="s">
        <v>48</v>
      </c>
      <c r="T13" s="40" t="s">
        <v>48</v>
      </c>
      <c r="V13" s="33"/>
      <c r="W13" s="38" t="str">
        <f>Notes!W14</f>
        <v xml:space="preserve">      Quintile 5 (high)</v>
      </c>
      <c r="X13" s="4" t="s">
        <v>649</v>
      </c>
      <c r="Y13" s="44">
        <v>61.877712181203002</v>
      </c>
      <c r="Z13" s="42" t="s">
        <v>48</v>
      </c>
      <c r="AA13" s="40" t="s">
        <v>48</v>
      </c>
      <c r="AB13" s="40" t="s">
        <v>48</v>
      </c>
      <c r="AC13" s="40" t="s">
        <v>48</v>
      </c>
      <c r="AD13" s="40" t="s">
        <v>48</v>
      </c>
      <c r="AE13" s="40" t="s">
        <v>48</v>
      </c>
      <c r="AF13" s="40" t="s">
        <v>48</v>
      </c>
      <c r="AG13" s="40" t="s">
        <v>48</v>
      </c>
      <c r="AH13" s="40" t="s">
        <v>48</v>
      </c>
      <c r="AI13" s="40" t="s">
        <v>48</v>
      </c>
      <c r="AJ13" s="40" t="s">
        <v>48</v>
      </c>
      <c r="AK13" s="40" t="s">
        <v>48</v>
      </c>
      <c r="AL13" s="40" t="s">
        <v>48</v>
      </c>
      <c r="AM13" s="40" t="s">
        <v>48</v>
      </c>
      <c r="AN13" s="40" t="s">
        <v>48</v>
      </c>
      <c r="AP13" s="33"/>
      <c r="AQ13" s="38" t="str">
        <f>Notes!U14</f>
        <v xml:space="preserve">               Rice paddy (Aman)</v>
      </c>
      <c r="AR13" s="4" t="s">
        <v>468</v>
      </c>
      <c r="AS13" s="44">
        <v>0.11871105531096235</v>
      </c>
      <c r="AT13" s="42" t="s">
        <v>48</v>
      </c>
      <c r="AU13" s="40" t="s">
        <v>48</v>
      </c>
      <c r="AV13" s="40" t="s">
        <v>48</v>
      </c>
      <c r="AW13" s="40" t="s">
        <v>48</v>
      </c>
      <c r="AX13" s="40" t="s">
        <v>48</v>
      </c>
      <c r="AY13" s="40" t="s">
        <v>48</v>
      </c>
      <c r="AZ13" s="40" t="s">
        <v>48</v>
      </c>
      <c r="BA13" s="40" t="s">
        <v>48</v>
      </c>
      <c r="BB13" s="40" t="s">
        <v>48</v>
      </c>
      <c r="BC13" s="40" t="s">
        <v>48</v>
      </c>
      <c r="BD13" s="40" t="s">
        <v>48</v>
      </c>
      <c r="BE13" s="40" t="s">
        <v>48</v>
      </c>
      <c r="BF13" s="40" t="s">
        <v>48</v>
      </c>
      <c r="BG13" s="40" t="s">
        <v>48</v>
      </c>
      <c r="BH13" s="40" t="s">
        <v>48</v>
      </c>
      <c r="BJ13" s="33"/>
      <c r="BK13" s="38" t="str">
        <f>Notes!W14</f>
        <v xml:space="preserve">      Quintile 5 (high)</v>
      </c>
      <c r="BL13" s="4" t="s">
        <v>649</v>
      </c>
      <c r="BM13" s="44">
        <v>3.98374503784569</v>
      </c>
      <c r="BN13" s="42" t="s">
        <v>48</v>
      </c>
      <c r="BO13" s="40" t="s">
        <v>48</v>
      </c>
      <c r="BP13" s="40" t="s">
        <v>48</v>
      </c>
      <c r="BQ13" s="40" t="s">
        <v>48</v>
      </c>
      <c r="BR13" s="40" t="s">
        <v>48</v>
      </c>
      <c r="BS13" s="40" t="s">
        <v>48</v>
      </c>
      <c r="BT13" s="40" t="s">
        <v>48</v>
      </c>
      <c r="BU13" s="40" t="s">
        <v>48</v>
      </c>
      <c r="BV13" s="40" t="s">
        <v>48</v>
      </c>
      <c r="BW13" s="40" t="s">
        <v>48</v>
      </c>
      <c r="BX13" s="40" t="s">
        <v>48</v>
      </c>
      <c r="BY13" s="40" t="s">
        <v>48</v>
      </c>
      <c r="BZ13" s="40" t="s">
        <v>48</v>
      </c>
      <c r="CA13" s="40" t="s">
        <v>48</v>
      </c>
      <c r="CB13" s="40" t="s">
        <v>48</v>
      </c>
      <c r="CD13" s="33"/>
      <c r="CE13" s="38" t="str">
        <f>Notes!W14</f>
        <v xml:space="preserve">      Quintile 5 (high)</v>
      </c>
      <c r="CF13" s="4" t="s">
        <v>649</v>
      </c>
      <c r="CG13" s="44">
        <v>8.7051089683640246</v>
      </c>
      <c r="CH13" s="42" t="s">
        <v>48</v>
      </c>
      <c r="CI13" s="40" t="s">
        <v>48</v>
      </c>
      <c r="CJ13" s="40" t="s">
        <v>48</v>
      </c>
      <c r="CK13" s="40" t="s">
        <v>48</v>
      </c>
      <c r="CL13" s="40" t="s">
        <v>48</v>
      </c>
      <c r="CM13" s="40" t="s">
        <v>48</v>
      </c>
      <c r="CN13" s="40" t="s">
        <v>48</v>
      </c>
      <c r="CO13" s="40" t="s">
        <v>48</v>
      </c>
      <c r="CP13" s="40" t="s">
        <v>48</v>
      </c>
      <c r="CQ13" s="40" t="s">
        <v>48</v>
      </c>
      <c r="CR13" s="40" t="s">
        <v>48</v>
      </c>
      <c r="CS13" s="40" t="s">
        <v>48</v>
      </c>
      <c r="CT13" s="40" t="s">
        <v>48</v>
      </c>
      <c r="CU13" s="40" t="s">
        <v>48</v>
      </c>
      <c r="CV13" s="40" t="s">
        <v>48</v>
      </c>
    </row>
    <row r="14" spans="1:100" x14ac:dyDescent="0.35">
      <c r="A14" s="12">
        <v>7</v>
      </c>
      <c r="B14" s="33"/>
      <c r="C14" s="38" t="str">
        <f>Notes!W15</f>
        <v xml:space="preserve">   Rural households</v>
      </c>
      <c r="D14" s="4" t="s">
        <v>412</v>
      </c>
      <c r="E14" s="44">
        <v>49.567892916058618</v>
      </c>
      <c r="F14" s="42" t="s">
        <v>48</v>
      </c>
      <c r="G14" s="40" t="s">
        <v>48</v>
      </c>
      <c r="H14" s="40" t="s">
        <v>48</v>
      </c>
      <c r="I14" s="40" t="s">
        <v>48</v>
      </c>
      <c r="J14" s="40" t="s">
        <v>48</v>
      </c>
      <c r="K14" s="40" t="s">
        <v>48</v>
      </c>
      <c r="L14" s="40" t="s">
        <v>48</v>
      </c>
      <c r="M14" s="40" t="s">
        <v>48</v>
      </c>
      <c r="N14" s="40" t="s">
        <v>48</v>
      </c>
      <c r="O14" s="40" t="s">
        <v>48</v>
      </c>
      <c r="P14" s="40" t="s">
        <v>48</v>
      </c>
      <c r="Q14" s="40" t="s">
        <v>48</v>
      </c>
      <c r="R14" s="40" t="s">
        <v>48</v>
      </c>
      <c r="S14" s="40" t="s">
        <v>48</v>
      </c>
      <c r="T14" s="40" t="s">
        <v>48</v>
      </c>
      <c r="V14" s="33"/>
      <c r="W14" s="38" t="str">
        <f>Notes!W15</f>
        <v xml:space="preserve">   Rural households</v>
      </c>
      <c r="X14" s="4" t="s">
        <v>412</v>
      </c>
      <c r="Y14" s="44">
        <v>48.162864904693599</v>
      </c>
      <c r="Z14" s="42" t="s">
        <v>48</v>
      </c>
      <c r="AA14" s="40" t="s">
        <v>48</v>
      </c>
      <c r="AB14" s="40" t="s">
        <v>48</v>
      </c>
      <c r="AC14" s="40" t="s">
        <v>48</v>
      </c>
      <c r="AD14" s="40" t="s">
        <v>48</v>
      </c>
      <c r="AE14" s="40" t="s">
        <v>48</v>
      </c>
      <c r="AF14" s="40" t="s">
        <v>48</v>
      </c>
      <c r="AG14" s="40" t="s">
        <v>48</v>
      </c>
      <c r="AH14" s="40" t="s">
        <v>48</v>
      </c>
      <c r="AI14" s="40" t="s">
        <v>48</v>
      </c>
      <c r="AJ14" s="40" t="s">
        <v>48</v>
      </c>
      <c r="AK14" s="40" t="s">
        <v>48</v>
      </c>
      <c r="AL14" s="40" t="s">
        <v>48</v>
      </c>
      <c r="AM14" s="40" t="s">
        <v>48</v>
      </c>
      <c r="AN14" s="40" t="s">
        <v>48</v>
      </c>
      <c r="AP14" s="33"/>
      <c r="AQ14" s="38" t="str">
        <f>Notes!U15</f>
        <v xml:space="preserve">               Rice paddy (Boro)</v>
      </c>
      <c r="AR14" s="4" t="s">
        <v>697</v>
      </c>
      <c r="AS14" s="44">
        <v>0.54483714378782599</v>
      </c>
      <c r="AT14" s="42" t="s">
        <v>48</v>
      </c>
      <c r="AU14" s="40" t="s">
        <v>48</v>
      </c>
      <c r="AV14" s="40" t="s">
        <v>48</v>
      </c>
      <c r="AW14" s="40" t="s">
        <v>48</v>
      </c>
      <c r="AX14" s="40" t="s">
        <v>48</v>
      </c>
      <c r="AY14" s="40" t="s">
        <v>48</v>
      </c>
      <c r="AZ14" s="40" t="s">
        <v>48</v>
      </c>
      <c r="BA14" s="40" t="s">
        <v>48</v>
      </c>
      <c r="BB14" s="40" t="s">
        <v>48</v>
      </c>
      <c r="BC14" s="40" t="s">
        <v>48</v>
      </c>
      <c r="BD14" s="40" t="s">
        <v>48</v>
      </c>
      <c r="BE14" s="40" t="s">
        <v>48</v>
      </c>
      <c r="BF14" s="40" t="s">
        <v>48</v>
      </c>
      <c r="BG14" s="40" t="s">
        <v>48</v>
      </c>
      <c r="BH14" s="40" t="s">
        <v>48</v>
      </c>
      <c r="BJ14" s="33"/>
      <c r="BK14" s="38" t="str">
        <f>Notes!W15</f>
        <v xml:space="preserve">   Rural households</v>
      </c>
      <c r="BL14" s="4" t="s">
        <v>412</v>
      </c>
      <c r="BM14" s="44">
        <v>1.1254867380316915</v>
      </c>
      <c r="BN14" s="42" t="s">
        <v>48</v>
      </c>
      <c r="BO14" s="40" t="s">
        <v>48</v>
      </c>
      <c r="BP14" s="40" t="s">
        <v>48</v>
      </c>
      <c r="BQ14" s="40" t="s">
        <v>48</v>
      </c>
      <c r="BR14" s="40" t="s">
        <v>48</v>
      </c>
      <c r="BS14" s="40" t="s">
        <v>48</v>
      </c>
      <c r="BT14" s="40" t="s">
        <v>48</v>
      </c>
      <c r="BU14" s="40" t="s">
        <v>48</v>
      </c>
      <c r="BV14" s="40" t="s">
        <v>48</v>
      </c>
      <c r="BW14" s="40" t="s">
        <v>48</v>
      </c>
      <c r="BX14" s="40" t="s">
        <v>48</v>
      </c>
      <c r="BY14" s="40" t="s">
        <v>48</v>
      </c>
      <c r="BZ14" s="40" t="s">
        <v>48</v>
      </c>
      <c r="CA14" s="40" t="s">
        <v>48</v>
      </c>
      <c r="CB14" s="40" t="s">
        <v>48</v>
      </c>
      <c r="CD14" s="33"/>
      <c r="CE14" s="38" t="str">
        <f>Notes!W15</f>
        <v xml:space="preserve">   Rural households</v>
      </c>
      <c r="CF14" s="4" t="s">
        <v>412</v>
      </c>
      <c r="CG14" s="44">
        <v>1.962962974214397</v>
      </c>
      <c r="CH14" s="42" t="s">
        <v>48</v>
      </c>
      <c r="CI14" s="40" t="s">
        <v>48</v>
      </c>
      <c r="CJ14" s="40" t="s">
        <v>48</v>
      </c>
      <c r="CK14" s="40" t="s">
        <v>48</v>
      </c>
      <c r="CL14" s="40" t="s">
        <v>48</v>
      </c>
      <c r="CM14" s="40" t="s">
        <v>48</v>
      </c>
      <c r="CN14" s="40" t="s">
        <v>48</v>
      </c>
      <c r="CO14" s="40" t="s">
        <v>48</v>
      </c>
      <c r="CP14" s="40" t="s">
        <v>48</v>
      </c>
      <c r="CQ14" s="40" t="s">
        <v>48</v>
      </c>
      <c r="CR14" s="40" t="s">
        <v>48</v>
      </c>
      <c r="CS14" s="40" t="s">
        <v>48</v>
      </c>
      <c r="CT14" s="40" t="s">
        <v>48</v>
      </c>
      <c r="CU14" s="40" t="s">
        <v>48</v>
      </c>
      <c r="CV14" s="40" t="s">
        <v>48</v>
      </c>
    </row>
    <row r="15" spans="1:100" x14ac:dyDescent="0.35">
      <c r="A15" s="12">
        <v>8</v>
      </c>
      <c r="B15" s="33"/>
      <c r="C15" s="38" t="str">
        <f>Notes!W16</f>
        <v xml:space="preserve">      Rural - Quintile 1 (low)</v>
      </c>
      <c r="D15" s="4" t="s">
        <v>611</v>
      </c>
      <c r="E15" s="44">
        <v>3.9730205661304883</v>
      </c>
      <c r="F15" s="42" t="s">
        <v>48</v>
      </c>
      <c r="G15" s="40" t="s">
        <v>48</v>
      </c>
      <c r="H15" s="40" t="s">
        <v>48</v>
      </c>
      <c r="I15" s="40" t="s">
        <v>48</v>
      </c>
      <c r="J15" s="40" t="s">
        <v>48</v>
      </c>
      <c r="K15" s="4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      <c r="V15" s="33"/>
      <c r="W15" s="38" t="str">
        <f>Notes!W16</f>
        <v xml:space="preserve">      Rural - Quintile 1 (low)</v>
      </c>
      <c r="X15" s="4" t="s">
        <v>611</v>
      </c>
      <c r="Y15" s="44">
        <v>3.8783925615241626</v>
      </c>
      <c r="Z15" s="42" t="s">
        <v>48</v>
      </c>
      <c r="AA15" s="40" t="s">
        <v>48</v>
      </c>
      <c r="AB15" s="40" t="s">
        <v>48</v>
      </c>
      <c r="AC15" s="40" t="s">
        <v>48</v>
      </c>
      <c r="AD15" s="40" t="s">
        <v>48</v>
      </c>
      <c r="AE15" s="40" t="s">
        <v>48</v>
      </c>
      <c r="AF15" s="40" t="s">
        <v>48</v>
      </c>
      <c r="AG15" s="40" t="s">
        <v>48</v>
      </c>
      <c r="AH15" s="40" t="s">
        <v>48</v>
      </c>
      <c r="AI15" s="40" t="s">
        <v>48</v>
      </c>
      <c r="AJ15" s="40" t="s">
        <v>48</v>
      </c>
      <c r="AK15" s="40" t="s">
        <v>48</v>
      </c>
      <c r="AL15" s="40" t="s">
        <v>48</v>
      </c>
      <c r="AM15" s="40" t="s">
        <v>48</v>
      </c>
      <c r="AN15" s="40" t="s">
        <v>48</v>
      </c>
      <c r="AP15" s="33"/>
      <c r="AQ15" s="38" t="str">
        <f>Notes!U16</f>
        <v xml:space="preserve">               Wheat and barley</v>
      </c>
      <c r="AR15" s="4" t="s">
        <v>316</v>
      </c>
      <c r="AS15" s="44">
        <v>1.4728951971640952E-2</v>
      </c>
      <c r="AT15" s="42" t="s">
        <v>48</v>
      </c>
      <c r="AU15" s="40" t="s">
        <v>48</v>
      </c>
      <c r="AV15" s="40" t="s">
        <v>48</v>
      </c>
      <c r="AW15" s="40" t="s">
        <v>48</v>
      </c>
      <c r="AX15" s="40" t="s">
        <v>48</v>
      </c>
      <c r="AY15" s="40" t="s">
        <v>48</v>
      </c>
      <c r="AZ15" s="40" t="s">
        <v>48</v>
      </c>
      <c r="BA15" s="40" t="s">
        <v>48</v>
      </c>
      <c r="BB15" s="40" t="s">
        <v>48</v>
      </c>
      <c r="BC15" s="40" t="s">
        <v>48</v>
      </c>
      <c r="BD15" s="40" t="s">
        <v>48</v>
      </c>
      <c r="BE15" s="40" t="s">
        <v>48</v>
      </c>
      <c r="BF15" s="40" t="s">
        <v>48</v>
      </c>
      <c r="BG15" s="40" t="s">
        <v>48</v>
      </c>
      <c r="BH15" s="40" t="s">
        <v>48</v>
      </c>
      <c r="BJ15" s="33"/>
      <c r="BK15" s="38" t="str">
        <f>Notes!W16</f>
        <v xml:space="preserve">      Rural - Quintile 1 (low)</v>
      </c>
      <c r="BL15" s="4" t="s">
        <v>611</v>
      </c>
      <c r="BM15" s="44">
        <v>8.7035328808251593E-3</v>
      </c>
      <c r="BN15" s="42" t="s">
        <v>48</v>
      </c>
      <c r="BO15" s="40" t="s">
        <v>48</v>
      </c>
      <c r="BP15" s="40" t="s">
        <v>48</v>
      </c>
      <c r="BQ15" s="40" t="s">
        <v>48</v>
      </c>
      <c r="BR15" s="40" t="s">
        <v>48</v>
      </c>
      <c r="BS15" s="40" t="s">
        <v>48</v>
      </c>
      <c r="BT15" s="40" t="s">
        <v>48</v>
      </c>
      <c r="BU15" s="40" t="s">
        <v>48</v>
      </c>
      <c r="BV15" s="40" t="s">
        <v>48</v>
      </c>
      <c r="BW15" s="40" t="s">
        <v>48</v>
      </c>
      <c r="BX15" s="40" t="s">
        <v>48</v>
      </c>
      <c r="BY15" s="40" t="s">
        <v>48</v>
      </c>
      <c r="BZ15" s="40" t="s">
        <v>48</v>
      </c>
      <c r="CA15" s="40" t="s">
        <v>48</v>
      </c>
      <c r="CB15" s="40" t="s">
        <v>48</v>
      </c>
      <c r="CD15" s="33"/>
      <c r="CE15" s="38" t="str">
        <f>Notes!W16</f>
        <v xml:space="preserve">      Rural - Quintile 1 (low)</v>
      </c>
      <c r="CF15" s="4" t="s">
        <v>611</v>
      </c>
      <c r="CG15" s="44">
        <v>0.1373384453526616</v>
      </c>
      <c r="CH15" s="42" t="s">
        <v>48</v>
      </c>
      <c r="CI15" s="40" t="s">
        <v>48</v>
      </c>
      <c r="CJ15" s="40" t="s">
        <v>48</v>
      </c>
      <c r="CK15" s="40" t="s">
        <v>48</v>
      </c>
      <c r="CL15" s="40" t="s">
        <v>48</v>
      </c>
      <c r="CM15" s="40" t="s">
        <v>48</v>
      </c>
      <c r="CN15" s="40" t="s">
        <v>48</v>
      </c>
      <c r="CO15" s="40" t="s">
        <v>48</v>
      </c>
      <c r="CP15" s="40" t="s">
        <v>48</v>
      </c>
      <c r="CQ15" s="40" t="s">
        <v>48</v>
      </c>
      <c r="CR15" s="40" t="s">
        <v>48</v>
      </c>
      <c r="CS15" s="40" t="s">
        <v>48</v>
      </c>
      <c r="CT15" s="40" t="s">
        <v>48</v>
      </c>
      <c r="CU15" s="40" t="s">
        <v>48</v>
      </c>
      <c r="CV15" s="40" t="s">
        <v>48</v>
      </c>
    </row>
    <row r="16" spans="1:100" x14ac:dyDescent="0.35">
      <c r="A16" s="12">
        <v>9</v>
      </c>
      <c r="B16" s="33"/>
      <c r="C16" s="38" t="str">
        <f>Notes!W17</f>
        <v xml:space="preserve">      Rural - Quintile 2</v>
      </c>
      <c r="D16" s="4" t="s">
        <v>612</v>
      </c>
      <c r="E16" s="44">
        <v>6.62015397159242</v>
      </c>
      <c r="F16" s="42" t="s">
        <v>48</v>
      </c>
      <c r="G16" s="40" t="s">
        <v>48</v>
      </c>
      <c r="H16" s="40" t="s">
        <v>48</v>
      </c>
      <c r="I16" s="40" t="s">
        <v>48</v>
      </c>
      <c r="J16" s="40" t="s">
        <v>48</v>
      </c>
      <c r="K16" s="4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0" t="s">
        <v>48</v>
      </c>
      <c r="Q16" s="40" t="s">
        <v>48</v>
      </c>
      <c r="R16" s="40" t="s">
        <v>48</v>
      </c>
      <c r="S16" s="40" t="s">
        <v>48</v>
      </c>
      <c r="T16" s="40" t="s">
        <v>48</v>
      </c>
      <c r="V16" s="33"/>
      <c r="W16" s="38" t="str">
        <f>Notes!W17</f>
        <v xml:space="preserve">      Rural - Quintile 2</v>
      </c>
      <c r="X16" s="4" t="s">
        <v>612</v>
      </c>
      <c r="Y16" s="44">
        <v>6.2294852686170294</v>
      </c>
      <c r="Z16" s="42" t="s">
        <v>48</v>
      </c>
      <c r="AA16" s="40" t="s">
        <v>48</v>
      </c>
      <c r="AB16" s="40" t="s">
        <v>48</v>
      </c>
      <c r="AC16" s="40" t="s">
        <v>48</v>
      </c>
      <c r="AD16" s="40" t="s">
        <v>48</v>
      </c>
      <c r="AE16" s="40" t="s">
        <v>48</v>
      </c>
      <c r="AF16" s="40" t="s">
        <v>48</v>
      </c>
      <c r="AG16" s="40" t="s">
        <v>48</v>
      </c>
      <c r="AH16" s="40" t="s">
        <v>48</v>
      </c>
      <c r="AI16" s="40" t="s">
        <v>48</v>
      </c>
      <c r="AJ16" s="40" t="s">
        <v>48</v>
      </c>
      <c r="AK16" s="40" t="s">
        <v>48</v>
      </c>
      <c r="AL16" s="40" t="s">
        <v>48</v>
      </c>
      <c r="AM16" s="40" t="s">
        <v>48</v>
      </c>
      <c r="AN16" s="40" t="s">
        <v>48</v>
      </c>
      <c r="AP16" s="33"/>
      <c r="AQ16" s="38" t="str">
        <f>Notes!U17</f>
        <v xml:space="preserve">               Other cereals</v>
      </c>
      <c r="AR16" s="4" t="s">
        <v>475</v>
      </c>
      <c r="AS16" s="44">
        <v>1.5568687728466606</v>
      </c>
      <c r="AT16" s="42" t="s">
        <v>48</v>
      </c>
      <c r="AU16" s="40" t="s">
        <v>48</v>
      </c>
      <c r="AV16" s="40" t="s">
        <v>48</v>
      </c>
      <c r="AW16" s="40" t="s">
        <v>48</v>
      </c>
      <c r="AX16" s="40" t="s">
        <v>48</v>
      </c>
      <c r="AY16" s="40" t="s">
        <v>48</v>
      </c>
      <c r="AZ16" s="40" t="s">
        <v>48</v>
      </c>
      <c r="BA16" s="40" t="s">
        <v>48</v>
      </c>
      <c r="BB16" s="40" t="s">
        <v>48</v>
      </c>
      <c r="BC16" s="40" t="s">
        <v>48</v>
      </c>
      <c r="BD16" s="40" t="s">
        <v>48</v>
      </c>
      <c r="BE16" s="40" t="s">
        <v>48</v>
      </c>
      <c r="BF16" s="40" t="s">
        <v>48</v>
      </c>
      <c r="BG16" s="40" t="s">
        <v>48</v>
      </c>
      <c r="BH16" s="40" t="s">
        <v>48</v>
      </c>
      <c r="BJ16" s="33"/>
      <c r="BK16" s="38" t="str">
        <f>Notes!W17</f>
        <v xml:space="preserve">      Rural - Quintile 2</v>
      </c>
      <c r="BL16" s="4" t="s">
        <v>612</v>
      </c>
      <c r="BM16" s="44">
        <v>3.9090733011684455E-2</v>
      </c>
      <c r="BN16" s="42" t="s">
        <v>48</v>
      </c>
      <c r="BO16" s="40" t="s">
        <v>48</v>
      </c>
      <c r="BP16" s="40" t="s">
        <v>48</v>
      </c>
      <c r="BQ16" s="40" t="s">
        <v>48</v>
      </c>
      <c r="BR16" s="40" t="s">
        <v>48</v>
      </c>
      <c r="BS16" s="40" t="s">
        <v>48</v>
      </c>
      <c r="BT16" s="40" t="s">
        <v>48</v>
      </c>
      <c r="BU16" s="40" t="s">
        <v>48</v>
      </c>
      <c r="BV16" s="40" t="s">
        <v>48</v>
      </c>
      <c r="BW16" s="40" t="s">
        <v>48</v>
      </c>
      <c r="BX16" s="40" t="s">
        <v>48</v>
      </c>
      <c r="BY16" s="40" t="s">
        <v>48</v>
      </c>
      <c r="BZ16" s="40" t="s">
        <v>48</v>
      </c>
      <c r="CA16" s="40" t="s">
        <v>48</v>
      </c>
      <c r="CB16" s="40" t="s">
        <v>48</v>
      </c>
      <c r="CD16" s="33"/>
      <c r="CE16" s="38" t="str">
        <f>Notes!W17</f>
        <v xml:space="preserve">      Rural - Quintile 2</v>
      </c>
      <c r="CF16" s="4" t="s">
        <v>612</v>
      </c>
      <c r="CG16" s="44">
        <v>0.22954510672284181</v>
      </c>
      <c r="CH16" s="42" t="s">
        <v>48</v>
      </c>
      <c r="CI16" s="40" t="s">
        <v>48</v>
      </c>
      <c r="CJ16" s="40" t="s">
        <v>48</v>
      </c>
      <c r="CK16" s="40" t="s">
        <v>48</v>
      </c>
      <c r="CL16" s="40" t="s">
        <v>48</v>
      </c>
      <c r="CM16" s="40" t="s">
        <v>48</v>
      </c>
      <c r="CN16" s="40" t="s">
        <v>48</v>
      </c>
      <c r="CO16" s="40" t="s">
        <v>48</v>
      </c>
      <c r="CP16" s="40" t="s">
        <v>48</v>
      </c>
      <c r="CQ16" s="40" t="s">
        <v>48</v>
      </c>
      <c r="CR16" s="40" t="s">
        <v>48</v>
      </c>
      <c r="CS16" s="40" t="s">
        <v>48</v>
      </c>
      <c r="CT16" s="40" t="s">
        <v>48</v>
      </c>
      <c r="CU16" s="40" t="s">
        <v>48</v>
      </c>
      <c r="CV16" s="40" t="s">
        <v>48</v>
      </c>
    </row>
    <row r="17" spans="1:100" x14ac:dyDescent="0.35">
      <c r="A17" s="12">
        <v>10</v>
      </c>
      <c r="B17" s="33"/>
      <c r="C17" s="38" t="str">
        <f>Notes!W18</f>
        <v xml:space="preserve">      Rural - Quintile 3</v>
      </c>
      <c r="D17" s="4" t="s">
        <v>613</v>
      </c>
      <c r="E17" s="44">
        <v>9.0524032462582014</v>
      </c>
      <c r="F17" s="42" t="s">
        <v>48</v>
      </c>
      <c r="G17" s="40" t="s">
        <v>48</v>
      </c>
      <c r="H17" s="40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V17" s="33"/>
      <c r="W17" s="38" t="str">
        <f>Notes!W18</f>
        <v xml:space="preserve">      Rural - Quintile 3</v>
      </c>
      <c r="X17" s="4" t="s">
        <v>613</v>
      </c>
      <c r="Y17" s="44">
        <v>8.4334600871210021</v>
      </c>
      <c r="Z17" s="42" t="s">
        <v>48</v>
      </c>
      <c r="AA17" s="40" t="s">
        <v>48</v>
      </c>
      <c r="AB17" s="40" t="s">
        <v>48</v>
      </c>
      <c r="AC17" s="40" t="s">
        <v>48</v>
      </c>
      <c r="AD17" s="40" t="s">
        <v>48</v>
      </c>
      <c r="AE17" s="40" t="s">
        <v>48</v>
      </c>
      <c r="AF17" s="40" t="s">
        <v>48</v>
      </c>
      <c r="AG17" s="40" t="s">
        <v>48</v>
      </c>
      <c r="AH17" s="40" t="s">
        <v>48</v>
      </c>
      <c r="AI17" s="40" t="s">
        <v>48</v>
      </c>
      <c r="AJ17" s="40" t="s">
        <v>48</v>
      </c>
      <c r="AK17" s="40" t="s">
        <v>48</v>
      </c>
      <c r="AL17" s="40" t="s">
        <v>48</v>
      </c>
      <c r="AM17" s="40" t="s">
        <v>48</v>
      </c>
      <c r="AN17" s="40" t="s">
        <v>48</v>
      </c>
      <c r="AP17" s="33"/>
      <c r="AQ17" s="38" t="str">
        <f>Notes!U18</f>
        <v xml:space="preserve">               Pulses</v>
      </c>
      <c r="AR17" s="4" t="s">
        <v>477</v>
      </c>
      <c r="AS17" s="44">
        <v>2.316526366990878E-3</v>
      </c>
      <c r="AT17" s="42" t="s">
        <v>48</v>
      </c>
      <c r="AU17" s="40" t="s">
        <v>48</v>
      </c>
      <c r="AV17" s="40" t="s">
        <v>48</v>
      </c>
      <c r="AW17" s="40" t="s">
        <v>48</v>
      </c>
      <c r="AX17" s="40" t="s">
        <v>48</v>
      </c>
      <c r="AY17" s="40" t="s">
        <v>48</v>
      </c>
      <c r="AZ17" s="40" t="s">
        <v>48</v>
      </c>
      <c r="BA17" s="40" t="s">
        <v>48</v>
      </c>
      <c r="BB17" s="40" t="s">
        <v>48</v>
      </c>
      <c r="BC17" s="40" t="s">
        <v>48</v>
      </c>
      <c r="BD17" s="40" t="s">
        <v>48</v>
      </c>
      <c r="BE17" s="40" t="s">
        <v>48</v>
      </c>
      <c r="BF17" s="40" t="s">
        <v>48</v>
      </c>
      <c r="BG17" s="40" t="s">
        <v>48</v>
      </c>
      <c r="BH17" s="40" t="s">
        <v>48</v>
      </c>
      <c r="BJ17" s="33"/>
      <c r="BK17" s="38" t="str">
        <f>Notes!W18</f>
        <v xml:space="preserve">      Rural - Quintile 3</v>
      </c>
      <c r="BL17" s="4" t="s">
        <v>613</v>
      </c>
      <c r="BM17" s="44">
        <v>7.035746944113308E-2</v>
      </c>
      <c r="BN17" s="42" t="s">
        <v>48</v>
      </c>
      <c r="BO17" s="40" t="s">
        <v>48</v>
      </c>
      <c r="BP17" s="40" t="s">
        <v>48</v>
      </c>
      <c r="BQ17" s="40" t="s">
        <v>48</v>
      </c>
      <c r="BR17" s="40" t="s">
        <v>48</v>
      </c>
      <c r="BS17" s="40" t="s">
        <v>48</v>
      </c>
      <c r="BT17" s="40" t="s">
        <v>48</v>
      </c>
      <c r="BU17" s="40" t="s">
        <v>48</v>
      </c>
      <c r="BV17" s="40" t="s">
        <v>48</v>
      </c>
      <c r="BW17" s="40" t="s">
        <v>48</v>
      </c>
      <c r="BX17" s="40" t="s">
        <v>48</v>
      </c>
      <c r="BY17" s="40" t="s">
        <v>48</v>
      </c>
      <c r="BZ17" s="40" t="s">
        <v>48</v>
      </c>
      <c r="CA17" s="40" t="s">
        <v>48</v>
      </c>
      <c r="CB17" s="40" t="s">
        <v>48</v>
      </c>
      <c r="CD17" s="33"/>
      <c r="CE17" s="38" t="str">
        <f>Notes!W18</f>
        <v xml:space="preserve">      Rural - Quintile 3</v>
      </c>
      <c r="CF17" s="4" t="s">
        <v>613</v>
      </c>
      <c r="CG17" s="44">
        <v>0.24444224349688665</v>
      </c>
      <c r="CH17" s="42" t="s">
        <v>48</v>
      </c>
      <c r="CI17" s="40" t="s">
        <v>48</v>
      </c>
      <c r="CJ17" s="40" t="s">
        <v>48</v>
      </c>
      <c r="CK17" s="40" t="s">
        <v>48</v>
      </c>
      <c r="CL17" s="40" t="s">
        <v>48</v>
      </c>
      <c r="CM17" s="40" t="s">
        <v>48</v>
      </c>
      <c r="CN17" s="40" t="s">
        <v>48</v>
      </c>
      <c r="CO17" s="40" t="s">
        <v>48</v>
      </c>
      <c r="CP17" s="40" t="s">
        <v>48</v>
      </c>
      <c r="CQ17" s="40" t="s">
        <v>48</v>
      </c>
      <c r="CR17" s="40" t="s">
        <v>48</v>
      </c>
      <c r="CS17" s="40" t="s">
        <v>48</v>
      </c>
      <c r="CT17" s="40" t="s">
        <v>48</v>
      </c>
      <c r="CU17" s="40" t="s">
        <v>48</v>
      </c>
      <c r="CV17" s="40" t="s">
        <v>48</v>
      </c>
    </row>
    <row r="18" spans="1:100" x14ac:dyDescent="0.35">
      <c r="A18" s="12">
        <v>11</v>
      </c>
      <c r="B18" s="33"/>
      <c r="C18" s="38" t="str">
        <f>Notes!W19</f>
        <v xml:space="preserve">      Rural - Quintile 4</v>
      </c>
      <c r="D18" s="4" t="s">
        <v>614</v>
      </c>
      <c r="E18" s="44">
        <v>12.732047582449418</v>
      </c>
      <c r="F18" s="42" t="s">
        <v>48</v>
      </c>
      <c r="G18" s="40" t="s">
        <v>48</v>
      </c>
      <c r="H18" s="40" t="s">
        <v>48</v>
      </c>
      <c r="I18" s="40" t="s">
        <v>48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0" t="s">
        <v>48</v>
      </c>
      <c r="Q18" s="40" t="s">
        <v>48</v>
      </c>
      <c r="R18" s="40" t="s">
        <v>48</v>
      </c>
      <c r="S18" s="40" t="s">
        <v>48</v>
      </c>
      <c r="T18" s="40" t="s">
        <v>48</v>
      </c>
      <c r="V18" s="33"/>
      <c r="W18" s="38" t="str">
        <f>Notes!W19</f>
        <v xml:space="preserve">      Rural - Quintile 4</v>
      </c>
      <c r="X18" s="4" t="s">
        <v>614</v>
      </c>
      <c r="Y18" s="44">
        <v>12.086025830452035</v>
      </c>
      <c r="Z18" s="42" t="s">
        <v>48</v>
      </c>
      <c r="AA18" s="40" t="s">
        <v>48</v>
      </c>
      <c r="AB18" s="40" t="s">
        <v>48</v>
      </c>
      <c r="AC18" s="40" t="s">
        <v>48</v>
      </c>
      <c r="AD18" s="40" t="s">
        <v>48</v>
      </c>
      <c r="AE18" s="40" t="s">
        <v>48</v>
      </c>
      <c r="AF18" s="40" t="s">
        <v>48</v>
      </c>
      <c r="AG18" s="40" t="s">
        <v>48</v>
      </c>
      <c r="AH18" s="40" t="s">
        <v>48</v>
      </c>
      <c r="AI18" s="40" t="s">
        <v>48</v>
      </c>
      <c r="AJ18" s="40" t="s">
        <v>48</v>
      </c>
      <c r="AK18" s="40" t="s">
        <v>48</v>
      </c>
      <c r="AL18" s="40" t="s">
        <v>48</v>
      </c>
      <c r="AM18" s="40" t="s">
        <v>48</v>
      </c>
      <c r="AN18" s="40" t="s">
        <v>48</v>
      </c>
      <c r="AP18" s="33"/>
      <c r="AQ18" s="38" t="str">
        <f>Notes!U19</f>
        <v xml:space="preserve">               Groundnuts</v>
      </c>
      <c r="AR18" s="4" t="s">
        <v>473</v>
      </c>
      <c r="AS18" s="44">
        <v>0.95676268666998276</v>
      </c>
      <c r="AT18" s="42" t="s">
        <v>48</v>
      </c>
      <c r="AU18" s="40" t="s">
        <v>48</v>
      </c>
      <c r="AV18" s="40" t="s">
        <v>48</v>
      </c>
      <c r="AW18" s="40" t="s">
        <v>48</v>
      </c>
      <c r="AX18" s="40" t="s">
        <v>48</v>
      </c>
      <c r="AY18" s="40" t="s">
        <v>48</v>
      </c>
      <c r="AZ18" s="40" t="s">
        <v>48</v>
      </c>
      <c r="BA18" s="40" t="s">
        <v>48</v>
      </c>
      <c r="BB18" s="40" t="s">
        <v>48</v>
      </c>
      <c r="BC18" s="40" t="s">
        <v>48</v>
      </c>
      <c r="BD18" s="40" t="s">
        <v>48</v>
      </c>
      <c r="BE18" s="40" t="s">
        <v>48</v>
      </c>
      <c r="BF18" s="40" t="s">
        <v>48</v>
      </c>
      <c r="BG18" s="40" t="s">
        <v>48</v>
      </c>
      <c r="BH18" s="40" t="s">
        <v>48</v>
      </c>
      <c r="BJ18" s="33"/>
      <c r="BK18" s="38" t="str">
        <f>Notes!W19</f>
        <v xml:space="preserve">      Rural - Quintile 4</v>
      </c>
      <c r="BL18" s="4" t="s">
        <v>614</v>
      </c>
      <c r="BM18" s="44">
        <v>0.25900234163447777</v>
      </c>
      <c r="BN18" s="42" t="s">
        <v>48</v>
      </c>
      <c r="BO18" s="40" t="s">
        <v>48</v>
      </c>
      <c r="BP18" s="40" t="s">
        <v>48</v>
      </c>
      <c r="BQ18" s="40" t="s">
        <v>48</v>
      </c>
      <c r="BR18" s="40" t="s">
        <v>48</v>
      </c>
      <c r="BS18" s="40" t="s">
        <v>48</v>
      </c>
      <c r="BT18" s="40" t="s">
        <v>48</v>
      </c>
      <c r="BU18" s="40" t="s">
        <v>48</v>
      </c>
      <c r="BV18" s="40" t="s">
        <v>48</v>
      </c>
      <c r="BW18" s="40" t="s">
        <v>48</v>
      </c>
      <c r="BX18" s="40" t="s">
        <v>48</v>
      </c>
      <c r="BY18" s="40" t="s">
        <v>48</v>
      </c>
      <c r="BZ18" s="40" t="s">
        <v>48</v>
      </c>
      <c r="CA18" s="40" t="s">
        <v>48</v>
      </c>
      <c r="CB18" s="40" t="s">
        <v>48</v>
      </c>
      <c r="CD18" s="33"/>
      <c r="CE18" s="38" t="str">
        <f>Notes!W19</f>
        <v xml:space="preserve">      Rural - Quintile 4</v>
      </c>
      <c r="CF18" s="4" t="s">
        <v>614</v>
      </c>
      <c r="CG18" s="44">
        <v>0.50442345478765704</v>
      </c>
      <c r="CH18" s="42" t="s">
        <v>48</v>
      </c>
      <c r="CI18" s="40" t="s">
        <v>48</v>
      </c>
      <c r="CJ18" s="40" t="s">
        <v>48</v>
      </c>
      <c r="CK18" s="40" t="s">
        <v>48</v>
      </c>
      <c r="CL18" s="40" t="s">
        <v>48</v>
      </c>
      <c r="CM18" s="40" t="s">
        <v>48</v>
      </c>
      <c r="CN18" s="40" t="s">
        <v>48</v>
      </c>
      <c r="CO18" s="40" t="s">
        <v>48</v>
      </c>
      <c r="CP18" s="40" t="s">
        <v>48</v>
      </c>
      <c r="CQ18" s="40" t="s">
        <v>48</v>
      </c>
      <c r="CR18" s="40" t="s">
        <v>48</v>
      </c>
      <c r="CS18" s="40" t="s">
        <v>48</v>
      </c>
      <c r="CT18" s="40" t="s">
        <v>48</v>
      </c>
      <c r="CU18" s="40" t="s">
        <v>48</v>
      </c>
      <c r="CV18" s="40" t="s">
        <v>48</v>
      </c>
    </row>
    <row r="19" spans="1:100" x14ac:dyDescent="0.35">
      <c r="A19" s="12">
        <v>12</v>
      </c>
      <c r="B19" s="33"/>
      <c r="C19" s="38" t="str">
        <f>Notes!W20</f>
        <v xml:space="preserve">      Rural - Quintile 5 (high)</v>
      </c>
      <c r="D19" s="4" t="s">
        <v>615</v>
      </c>
      <c r="E19" s="44">
        <v>17.190267549628096</v>
      </c>
      <c r="F19" s="42" t="s">
        <v>48</v>
      </c>
      <c r="G19" s="40" t="s">
        <v>48</v>
      </c>
      <c r="H19" s="40" t="s">
        <v>48</v>
      </c>
      <c r="I19" s="40" t="s">
        <v>48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0" t="s">
        <v>48</v>
      </c>
      <c r="P19" s="40" t="s">
        <v>48</v>
      </c>
      <c r="Q19" s="40" t="s">
        <v>48</v>
      </c>
      <c r="R19" s="40" t="s">
        <v>48</v>
      </c>
      <c r="S19" s="40" t="s">
        <v>48</v>
      </c>
      <c r="T19" s="40" t="s">
        <v>48</v>
      </c>
      <c r="V19" s="33"/>
      <c r="W19" s="38" t="str">
        <f>Notes!W20</f>
        <v xml:space="preserve">      Rural - Quintile 5 (high)</v>
      </c>
      <c r="X19" s="4" t="s">
        <v>615</v>
      </c>
      <c r="Y19" s="44">
        <v>17.535501156979365</v>
      </c>
      <c r="Z19" s="42" t="s">
        <v>48</v>
      </c>
      <c r="AA19" s="40" t="s">
        <v>48</v>
      </c>
      <c r="AB19" s="40" t="s">
        <v>48</v>
      </c>
      <c r="AC19" s="40" t="s">
        <v>48</v>
      </c>
      <c r="AD19" s="40" t="s">
        <v>48</v>
      </c>
      <c r="AE19" s="40" t="s">
        <v>48</v>
      </c>
      <c r="AF19" s="40" t="s">
        <v>48</v>
      </c>
      <c r="AG19" s="40" t="s">
        <v>48</v>
      </c>
      <c r="AH19" s="40" t="s">
        <v>48</v>
      </c>
      <c r="AI19" s="40" t="s">
        <v>48</v>
      </c>
      <c r="AJ19" s="40" t="s">
        <v>48</v>
      </c>
      <c r="AK19" s="40" t="s">
        <v>48</v>
      </c>
      <c r="AL19" s="40" t="s">
        <v>48</v>
      </c>
      <c r="AM19" s="40" t="s">
        <v>48</v>
      </c>
      <c r="AN19" s="40" t="s">
        <v>48</v>
      </c>
      <c r="AP19" s="33"/>
      <c r="AQ19" s="38" t="str">
        <f>Notes!U20</f>
        <v xml:space="preserve">               Other oilseeds</v>
      </c>
      <c r="AR19" s="4" t="s">
        <v>319</v>
      </c>
      <c r="AS19" s="44">
        <v>0.27804444556967678</v>
      </c>
      <c r="AT19" s="42" t="s">
        <v>48</v>
      </c>
      <c r="AU19" s="40" t="s">
        <v>48</v>
      </c>
      <c r="AV19" s="40" t="s">
        <v>48</v>
      </c>
      <c r="AW19" s="40" t="s">
        <v>48</v>
      </c>
      <c r="AX19" s="40" t="s">
        <v>48</v>
      </c>
      <c r="AY19" s="40" t="s">
        <v>48</v>
      </c>
      <c r="AZ19" s="40" t="s">
        <v>48</v>
      </c>
      <c r="BA19" s="40" t="s">
        <v>48</v>
      </c>
      <c r="BB19" s="40" t="s">
        <v>48</v>
      </c>
      <c r="BC19" s="40" t="s">
        <v>48</v>
      </c>
      <c r="BD19" s="40" t="s">
        <v>48</v>
      </c>
      <c r="BE19" s="40" t="s">
        <v>48</v>
      </c>
      <c r="BF19" s="40" t="s">
        <v>48</v>
      </c>
      <c r="BG19" s="40" t="s">
        <v>48</v>
      </c>
      <c r="BH19" s="40" t="s">
        <v>48</v>
      </c>
      <c r="BJ19" s="33"/>
      <c r="BK19" s="38" t="str">
        <f>Notes!W20</f>
        <v xml:space="preserve">      Rural - Quintile 5 (high)</v>
      </c>
      <c r="BL19" s="4" t="s">
        <v>615</v>
      </c>
      <c r="BM19" s="44">
        <v>0.74833266106357121</v>
      </c>
      <c r="BN19" s="42" t="s">
        <v>48</v>
      </c>
      <c r="BO19" s="40" t="s">
        <v>48</v>
      </c>
      <c r="BP19" s="40" t="s">
        <v>48</v>
      </c>
      <c r="BQ19" s="40" t="s">
        <v>48</v>
      </c>
      <c r="BR19" s="40" t="s">
        <v>48</v>
      </c>
      <c r="BS19" s="40" t="s">
        <v>48</v>
      </c>
      <c r="BT19" s="40" t="s">
        <v>48</v>
      </c>
      <c r="BU19" s="40" t="s">
        <v>48</v>
      </c>
      <c r="BV19" s="40" t="s">
        <v>48</v>
      </c>
      <c r="BW19" s="40" t="s">
        <v>48</v>
      </c>
      <c r="BX19" s="40" t="s">
        <v>48</v>
      </c>
      <c r="BY19" s="40" t="s">
        <v>48</v>
      </c>
      <c r="BZ19" s="40" t="s">
        <v>48</v>
      </c>
      <c r="CA19" s="40" t="s">
        <v>48</v>
      </c>
      <c r="CB19" s="40" t="s">
        <v>48</v>
      </c>
      <c r="CD19" s="33"/>
      <c r="CE19" s="38" t="str">
        <f>Notes!W20</f>
        <v xml:space="preserve">      Rural - Quintile 5 (high)</v>
      </c>
      <c r="CF19" s="4" t="s">
        <v>615</v>
      </c>
      <c r="CG19" s="44">
        <v>0.84721372385435001</v>
      </c>
      <c r="CH19" s="42" t="s">
        <v>48</v>
      </c>
      <c r="CI19" s="40" t="s">
        <v>48</v>
      </c>
      <c r="CJ19" s="40" t="s">
        <v>48</v>
      </c>
      <c r="CK19" s="40" t="s">
        <v>48</v>
      </c>
      <c r="CL19" s="40" t="s">
        <v>48</v>
      </c>
      <c r="CM19" s="40" t="s">
        <v>48</v>
      </c>
      <c r="CN19" s="40" t="s">
        <v>48</v>
      </c>
      <c r="CO19" s="40" t="s">
        <v>48</v>
      </c>
      <c r="CP19" s="40" t="s">
        <v>48</v>
      </c>
      <c r="CQ19" s="40" t="s">
        <v>48</v>
      </c>
      <c r="CR19" s="40" t="s">
        <v>48</v>
      </c>
      <c r="CS19" s="40" t="s">
        <v>48</v>
      </c>
      <c r="CT19" s="40" t="s">
        <v>48</v>
      </c>
      <c r="CU19" s="40" t="s">
        <v>48</v>
      </c>
      <c r="CV19" s="40" t="s">
        <v>48</v>
      </c>
    </row>
    <row r="20" spans="1:100" x14ac:dyDescent="0.35">
      <c r="A20" s="12">
        <v>13</v>
      </c>
      <c r="B20" s="33"/>
      <c r="C20" s="38" t="str">
        <f>Notes!W21</f>
        <v xml:space="preserve">   Urban households</v>
      </c>
      <c r="D20" s="4" t="s">
        <v>413</v>
      </c>
      <c r="E20" s="44">
        <v>50.432107083941382</v>
      </c>
      <c r="F20" s="42" t="s">
        <v>48</v>
      </c>
      <c r="G20" s="40" t="s">
        <v>48</v>
      </c>
      <c r="H20" s="40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V20" s="33"/>
      <c r="W20" s="38" t="str">
        <f>Notes!W21</f>
        <v xml:space="preserve">   Urban households</v>
      </c>
      <c r="X20" s="4" t="s">
        <v>413</v>
      </c>
      <c r="Y20" s="44">
        <v>51.837135095306444</v>
      </c>
      <c r="Z20" s="42" t="s">
        <v>48</v>
      </c>
      <c r="AA20" s="40" t="s">
        <v>48</v>
      </c>
      <c r="AB20" s="40" t="s">
        <v>48</v>
      </c>
      <c r="AC20" s="40" t="s">
        <v>48</v>
      </c>
      <c r="AD20" s="40" t="s">
        <v>48</v>
      </c>
      <c r="AE20" s="40" t="s">
        <v>48</v>
      </c>
      <c r="AF20" s="40" t="s">
        <v>48</v>
      </c>
      <c r="AG20" s="40" t="s">
        <v>48</v>
      </c>
      <c r="AH20" s="40" t="s">
        <v>48</v>
      </c>
      <c r="AI20" s="40" t="s">
        <v>48</v>
      </c>
      <c r="AJ20" s="40" t="s">
        <v>48</v>
      </c>
      <c r="AK20" s="40" t="s">
        <v>48</v>
      </c>
      <c r="AL20" s="40" t="s">
        <v>48</v>
      </c>
      <c r="AM20" s="40" t="s">
        <v>48</v>
      </c>
      <c r="AN20" s="40" t="s">
        <v>48</v>
      </c>
      <c r="AP20" s="33"/>
      <c r="AQ20" s="38" t="str">
        <f>Notes!U21</f>
        <v xml:space="preserve">               Cassava</v>
      </c>
      <c r="AR20" s="4" t="s">
        <v>698</v>
      </c>
      <c r="AS20" s="44">
        <v>1.0657899581749433</v>
      </c>
      <c r="AT20" s="42" t="s">
        <v>48</v>
      </c>
      <c r="AU20" s="40" t="s">
        <v>48</v>
      </c>
      <c r="AV20" s="40" t="s">
        <v>48</v>
      </c>
      <c r="AW20" s="40" t="s">
        <v>48</v>
      </c>
      <c r="AX20" s="40" t="s">
        <v>48</v>
      </c>
      <c r="AY20" s="40" t="s">
        <v>48</v>
      </c>
      <c r="AZ20" s="40" t="s">
        <v>48</v>
      </c>
      <c r="BA20" s="40" t="s">
        <v>48</v>
      </c>
      <c r="BB20" s="40" t="s">
        <v>48</v>
      </c>
      <c r="BC20" s="40" t="s">
        <v>48</v>
      </c>
      <c r="BD20" s="40" t="s">
        <v>48</v>
      </c>
      <c r="BE20" s="40" t="s">
        <v>48</v>
      </c>
      <c r="BF20" s="40" t="s">
        <v>48</v>
      </c>
      <c r="BG20" s="40" t="s">
        <v>48</v>
      </c>
      <c r="BH20" s="40" t="s">
        <v>48</v>
      </c>
      <c r="BJ20" s="33"/>
      <c r="BK20" s="38" t="str">
        <f>Notes!W21</f>
        <v xml:space="preserve">   Urban households</v>
      </c>
      <c r="BL20" s="4" t="s">
        <v>413</v>
      </c>
      <c r="BM20" s="44">
        <v>3.4383000185346519</v>
      </c>
      <c r="BN20" s="42" t="s">
        <v>48</v>
      </c>
      <c r="BO20" s="40" t="s">
        <v>48</v>
      </c>
      <c r="BP20" s="40" t="s">
        <v>48</v>
      </c>
      <c r="BQ20" s="40" t="s">
        <v>48</v>
      </c>
      <c r="BR20" s="40" t="s">
        <v>48</v>
      </c>
      <c r="BS20" s="40" t="s">
        <v>48</v>
      </c>
      <c r="BT20" s="40" t="s">
        <v>48</v>
      </c>
      <c r="BU20" s="40" t="s">
        <v>48</v>
      </c>
      <c r="BV20" s="40" t="s">
        <v>48</v>
      </c>
      <c r="BW20" s="40" t="s">
        <v>48</v>
      </c>
      <c r="BX20" s="40" t="s">
        <v>48</v>
      </c>
      <c r="BY20" s="40" t="s">
        <v>48</v>
      </c>
      <c r="BZ20" s="40" t="s">
        <v>48</v>
      </c>
      <c r="CA20" s="40" t="s">
        <v>48</v>
      </c>
      <c r="CB20" s="40" t="s">
        <v>48</v>
      </c>
      <c r="CD20" s="33"/>
      <c r="CE20" s="38" t="str">
        <f>Notes!W21</f>
        <v xml:space="preserve">   Urban households</v>
      </c>
      <c r="CF20" s="4" t="s">
        <v>413</v>
      </c>
      <c r="CG20" s="44">
        <v>8.1967561823320505</v>
      </c>
      <c r="CH20" s="42" t="s">
        <v>48</v>
      </c>
      <c r="CI20" s="40" t="s">
        <v>48</v>
      </c>
      <c r="CJ20" s="40" t="s">
        <v>48</v>
      </c>
      <c r="CK20" s="40" t="s">
        <v>48</v>
      </c>
      <c r="CL20" s="40" t="s">
        <v>48</v>
      </c>
      <c r="CM20" s="40" t="s">
        <v>48</v>
      </c>
      <c r="CN20" s="40" t="s">
        <v>48</v>
      </c>
      <c r="CO20" s="40" t="s">
        <v>48</v>
      </c>
      <c r="CP20" s="40" t="s">
        <v>48</v>
      </c>
      <c r="CQ20" s="40" t="s">
        <v>48</v>
      </c>
      <c r="CR20" s="40" t="s">
        <v>48</v>
      </c>
      <c r="CS20" s="40" t="s">
        <v>48</v>
      </c>
      <c r="CT20" s="40" t="s">
        <v>48</v>
      </c>
      <c r="CU20" s="40" t="s">
        <v>48</v>
      </c>
      <c r="CV20" s="40" t="s">
        <v>48</v>
      </c>
    </row>
    <row r="21" spans="1:100" x14ac:dyDescent="0.35">
      <c r="A21" s="12">
        <v>14</v>
      </c>
      <c r="B21" s="33"/>
      <c r="C21" s="38" t="str">
        <f>Notes!W22</f>
        <v xml:space="preserve">      Urban - Quintile 1 (low)</v>
      </c>
      <c r="D21" s="4" t="s">
        <v>621</v>
      </c>
      <c r="E21" s="44">
        <v>0.57912188186530067</v>
      </c>
      <c r="F21" s="42" t="s">
        <v>48</v>
      </c>
      <c r="G21" s="40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V21" s="33"/>
      <c r="W21" s="38" t="str">
        <f>Notes!W22</f>
        <v xml:space="preserve">      Urban - Quintile 1 (low)</v>
      </c>
      <c r="X21" s="4" t="s">
        <v>621</v>
      </c>
      <c r="Y21" s="44">
        <v>0.67189169402007798</v>
      </c>
      <c r="Z21" s="42" t="s">
        <v>48</v>
      </c>
      <c r="AA21" s="40" t="s">
        <v>48</v>
      </c>
      <c r="AB21" s="40" t="s">
        <v>48</v>
      </c>
      <c r="AC21" s="40" t="s">
        <v>48</v>
      </c>
      <c r="AD21" s="40" t="s">
        <v>48</v>
      </c>
      <c r="AE21" s="40" t="s">
        <v>48</v>
      </c>
      <c r="AF21" s="40" t="s">
        <v>48</v>
      </c>
      <c r="AG21" s="40" t="s">
        <v>48</v>
      </c>
      <c r="AH21" s="40" t="s">
        <v>48</v>
      </c>
      <c r="AI21" s="40" t="s">
        <v>48</v>
      </c>
      <c r="AJ21" s="40" t="s">
        <v>48</v>
      </c>
      <c r="AK21" s="40" t="s">
        <v>48</v>
      </c>
      <c r="AL21" s="40" t="s">
        <v>48</v>
      </c>
      <c r="AM21" s="40" t="s">
        <v>48</v>
      </c>
      <c r="AN21" s="40" t="s">
        <v>48</v>
      </c>
      <c r="AP21" s="33"/>
      <c r="AQ21" s="38" t="str">
        <f>Notes!U22</f>
        <v xml:space="preserve">               Irish potatoes</v>
      </c>
      <c r="AR21" s="4" t="s">
        <v>699</v>
      </c>
      <c r="AS21" s="44">
        <v>0.16947481289287089</v>
      </c>
      <c r="AT21" s="42" t="s">
        <v>48</v>
      </c>
      <c r="AU21" s="40" t="s">
        <v>48</v>
      </c>
      <c r="AV21" s="40" t="s">
        <v>48</v>
      </c>
      <c r="AW21" s="40" t="s">
        <v>48</v>
      </c>
      <c r="AX21" s="40" t="s">
        <v>48</v>
      </c>
      <c r="AY21" s="40" t="s">
        <v>48</v>
      </c>
      <c r="AZ21" s="40" t="s">
        <v>48</v>
      </c>
      <c r="BA21" s="40" t="s">
        <v>48</v>
      </c>
      <c r="BB21" s="40" t="s">
        <v>48</v>
      </c>
      <c r="BC21" s="40" t="s">
        <v>48</v>
      </c>
      <c r="BD21" s="40" t="s">
        <v>48</v>
      </c>
      <c r="BE21" s="40" t="s">
        <v>48</v>
      </c>
      <c r="BF21" s="40" t="s">
        <v>48</v>
      </c>
      <c r="BG21" s="40" t="s">
        <v>48</v>
      </c>
      <c r="BH21" s="40" t="s">
        <v>48</v>
      </c>
      <c r="BJ21" s="33"/>
      <c r="BK21" s="38" t="str">
        <f>Notes!W22</f>
        <v xml:space="preserve">      Urban - Quintile 1 (low)</v>
      </c>
      <c r="BL21" s="4" t="s">
        <v>621</v>
      </c>
      <c r="BM21" s="44">
        <v>6.8578995318450599E-3</v>
      </c>
      <c r="BN21" s="42" t="s">
        <v>48</v>
      </c>
      <c r="BO21" s="40" t="s">
        <v>48</v>
      </c>
      <c r="BP21" s="40" t="s">
        <v>48</v>
      </c>
      <c r="BQ21" s="40" t="s">
        <v>48</v>
      </c>
      <c r="BR21" s="40" t="s">
        <v>48</v>
      </c>
      <c r="BS21" s="40" t="s">
        <v>48</v>
      </c>
      <c r="BT21" s="40" t="s">
        <v>48</v>
      </c>
      <c r="BU21" s="40" t="s">
        <v>48</v>
      </c>
      <c r="BV21" s="40" t="s">
        <v>48</v>
      </c>
      <c r="BW21" s="40" t="s">
        <v>48</v>
      </c>
      <c r="BX21" s="40" t="s">
        <v>48</v>
      </c>
      <c r="BY21" s="40" t="s">
        <v>48</v>
      </c>
      <c r="BZ21" s="40" t="s">
        <v>48</v>
      </c>
      <c r="CA21" s="40" t="s">
        <v>48</v>
      </c>
      <c r="CB21" s="40" t="s">
        <v>48</v>
      </c>
      <c r="CD21" s="33"/>
      <c r="CE21" s="38" t="str">
        <f>Notes!W22</f>
        <v xml:space="preserve">      Urban - Quintile 1 (low)</v>
      </c>
      <c r="CF21" s="4" t="s">
        <v>621</v>
      </c>
      <c r="CG21" s="44">
        <v>2.8753172604103681E-2</v>
      </c>
      <c r="CH21" s="42" t="s">
        <v>48</v>
      </c>
      <c r="CI21" s="40" t="s">
        <v>48</v>
      </c>
      <c r="CJ21" s="40" t="s">
        <v>48</v>
      </c>
      <c r="CK21" s="40" t="s">
        <v>48</v>
      </c>
      <c r="CL21" s="40" t="s">
        <v>48</v>
      </c>
      <c r="CM21" s="40" t="s">
        <v>48</v>
      </c>
      <c r="CN21" s="40" t="s">
        <v>48</v>
      </c>
      <c r="CO21" s="40" t="s">
        <v>48</v>
      </c>
      <c r="CP21" s="40" t="s">
        <v>48</v>
      </c>
      <c r="CQ21" s="40" t="s">
        <v>48</v>
      </c>
      <c r="CR21" s="40" t="s">
        <v>48</v>
      </c>
      <c r="CS21" s="40" t="s">
        <v>48</v>
      </c>
      <c r="CT21" s="40" t="s">
        <v>48</v>
      </c>
      <c r="CU21" s="40" t="s">
        <v>48</v>
      </c>
      <c r="CV21" s="40" t="s">
        <v>48</v>
      </c>
    </row>
    <row r="22" spans="1:100" x14ac:dyDescent="0.35">
      <c r="A22" s="12">
        <v>15</v>
      </c>
      <c r="B22" s="33"/>
      <c r="C22" s="38" t="str">
        <f>Notes!W23</f>
        <v xml:space="preserve">      Urban - Quintile 2</v>
      </c>
      <c r="D22" s="4" t="s">
        <v>622</v>
      </c>
      <c r="E22" s="44">
        <v>0.81204930667619757</v>
      </c>
      <c r="F22" s="42" t="s">
        <v>48</v>
      </c>
      <c r="G22" s="40" t="s">
        <v>48</v>
      </c>
      <c r="H22" s="40" t="s">
        <v>48</v>
      </c>
      <c r="I22" s="40" t="s">
        <v>48</v>
      </c>
      <c r="J22" s="40" t="s">
        <v>48</v>
      </c>
      <c r="K22" s="4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0" t="s">
        <v>48</v>
      </c>
      <c r="Q22" s="40" t="s">
        <v>48</v>
      </c>
      <c r="R22" s="40" t="s">
        <v>48</v>
      </c>
      <c r="S22" s="40" t="s">
        <v>48</v>
      </c>
      <c r="T22" s="40" t="s">
        <v>48</v>
      </c>
      <c r="V22" s="33"/>
      <c r="W22" s="38" t="str">
        <f>Notes!W23</f>
        <v xml:space="preserve">      Urban - Quintile 2</v>
      </c>
      <c r="X22" s="4" t="s">
        <v>622</v>
      </c>
      <c r="Y22" s="44">
        <v>1.0125613590232649</v>
      </c>
      <c r="Z22" s="42" t="s">
        <v>48</v>
      </c>
      <c r="AA22" s="40" t="s">
        <v>48</v>
      </c>
      <c r="AB22" s="40" t="s">
        <v>48</v>
      </c>
      <c r="AC22" s="40" t="s">
        <v>48</v>
      </c>
      <c r="AD22" s="40" t="s">
        <v>48</v>
      </c>
      <c r="AE22" s="40" t="s">
        <v>48</v>
      </c>
      <c r="AF22" s="40" t="s">
        <v>48</v>
      </c>
      <c r="AG22" s="40" t="s">
        <v>48</v>
      </c>
      <c r="AH22" s="40" t="s">
        <v>48</v>
      </c>
      <c r="AI22" s="40" t="s">
        <v>48</v>
      </c>
      <c r="AJ22" s="40" t="s">
        <v>48</v>
      </c>
      <c r="AK22" s="40" t="s">
        <v>48</v>
      </c>
      <c r="AL22" s="40" t="s">
        <v>48</v>
      </c>
      <c r="AM22" s="40" t="s">
        <v>48</v>
      </c>
      <c r="AN22" s="40" t="s">
        <v>48</v>
      </c>
      <c r="AP22" s="33"/>
      <c r="AQ22" s="38" t="str">
        <f>Notes!U23</f>
        <v xml:space="preserve">               Sweet potatoes</v>
      </c>
      <c r="AR22" s="4" t="s">
        <v>320</v>
      </c>
      <c r="AS22" s="44">
        <v>2.8136903322337816</v>
      </c>
      <c r="AT22" s="42" t="s">
        <v>48</v>
      </c>
      <c r="AU22" s="40" t="s">
        <v>48</v>
      </c>
      <c r="AV22" s="40" t="s">
        <v>48</v>
      </c>
      <c r="AW22" s="40" t="s">
        <v>48</v>
      </c>
      <c r="AX22" s="40" t="s">
        <v>48</v>
      </c>
      <c r="AY22" s="40" t="s">
        <v>48</v>
      </c>
      <c r="AZ22" s="40" t="s">
        <v>48</v>
      </c>
      <c r="BA22" s="40" t="s">
        <v>48</v>
      </c>
      <c r="BB22" s="40" t="s">
        <v>48</v>
      </c>
      <c r="BC22" s="40" t="s">
        <v>48</v>
      </c>
      <c r="BD22" s="40" t="s">
        <v>48</v>
      </c>
      <c r="BE22" s="40" t="s">
        <v>48</v>
      </c>
      <c r="BF22" s="40" t="s">
        <v>48</v>
      </c>
      <c r="BG22" s="40" t="s">
        <v>48</v>
      </c>
      <c r="BH22" s="40" t="s">
        <v>48</v>
      </c>
      <c r="BJ22" s="33"/>
      <c r="BK22" s="38" t="str">
        <f>Notes!W23</f>
        <v xml:space="preserve">      Urban - Quintile 2</v>
      </c>
      <c r="BL22" s="4" t="s">
        <v>622</v>
      </c>
      <c r="BM22" s="44">
        <v>1.1768892953259507E-2</v>
      </c>
      <c r="BN22" s="42" t="s">
        <v>48</v>
      </c>
      <c r="BO22" s="40" t="s">
        <v>48</v>
      </c>
      <c r="BP22" s="40" t="s">
        <v>48</v>
      </c>
      <c r="BQ22" s="40" t="s">
        <v>48</v>
      </c>
      <c r="BR22" s="40" t="s">
        <v>48</v>
      </c>
      <c r="BS22" s="40" t="s">
        <v>48</v>
      </c>
      <c r="BT22" s="40" t="s">
        <v>48</v>
      </c>
      <c r="BU22" s="40" t="s">
        <v>48</v>
      </c>
      <c r="BV22" s="40" t="s">
        <v>48</v>
      </c>
      <c r="BW22" s="40" t="s">
        <v>48</v>
      </c>
      <c r="BX22" s="40" t="s">
        <v>48</v>
      </c>
      <c r="BY22" s="40" t="s">
        <v>48</v>
      </c>
      <c r="BZ22" s="40" t="s">
        <v>48</v>
      </c>
      <c r="CA22" s="40" t="s">
        <v>48</v>
      </c>
      <c r="CB22" s="40" t="s">
        <v>48</v>
      </c>
      <c r="CD22" s="33"/>
      <c r="CE22" s="38" t="str">
        <f>Notes!W23</f>
        <v xml:space="preserve">      Urban - Quintile 2</v>
      </c>
      <c r="CF22" s="4" t="s">
        <v>622</v>
      </c>
      <c r="CG22" s="44">
        <v>2.2617507763057088E-2</v>
      </c>
      <c r="CH22" s="42" t="s">
        <v>48</v>
      </c>
      <c r="CI22" s="40" t="s">
        <v>48</v>
      </c>
      <c r="CJ22" s="40" t="s">
        <v>48</v>
      </c>
      <c r="CK22" s="40" t="s">
        <v>48</v>
      </c>
      <c r="CL22" s="40" t="s">
        <v>48</v>
      </c>
      <c r="CM22" s="40" t="s">
        <v>48</v>
      </c>
      <c r="CN22" s="40" t="s">
        <v>48</v>
      </c>
      <c r="CO22" s="40" t="s">
        <v>48</v>
      </c>
      <c r="CP22" s="40" t="s">
        <v>48</v>
      </c>
      <c r="CQ22" s="40" t="s">
        <v>48</v>
      </c>
      <c r="CR22" s="40" t="s">
        <v>48</v>
      </c>
      <c r="CS22" s="40" t="s">
        <v>48</v>
      </c>
      <c r="CT22" s="40" t="s">
        <v>48</v>
      </c>
      <c r="CU22" s="40" t="s">
        <v>48</v>
      </c>
      <c r="CV22" s="40" t="s">
        <v>48</v>
      </c>
    </row>
    <row r="23" spans="1:100" x14ac:dyDescent="0.35">
      <c r="A23" s="12">
        <v>16</v>
      </c>
      <c r="B23" s="33"/>
      <c r="C23" s="38" t="str">
        <f>Notes!W24</f>
        <v xml:space="preserve">      Urban - Quintile 3</v>
      </c>
      <c r="D23" s="4" t="s">
        <v>623</v>
      </c>
      <c r="E23" s="44">
        <v>1.4421047457042171</v>
      </c>
      <c r="F23" s="42" t="s">
        <v>48</v>
      </c>
      <c r="G23" s="40" t="s">
        <v>48</v>
      </c>
      <c r="H23" s="40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V23" s="33"/>
      <c r="W23" s="38" t="str">
        <f>Notes!W24</f>
        <v xml:space="preserve">      Urban - Quintile 3</v>
      </c>
      <c r="X23" s="4" t="s">
        <v>623</v>
      </c>
      <c r="Y23" s="44">
        <v>1.728299781068195</v>
      </c>
      <c r="Z23" s="42" t="s">
        <v>48</v>
      </c>
      <c r="AA23" s="40" t="s">
        <v>48</v>
      </c>
      <c r="AB23" s="40" t="s">
        <v>48</v>
      </c>
      <c r="AC23" s="40" t="s">
        <v>48</v>
      </c>
      <c r="AD23" s="40" t="s">
        <v>48</v>
      </c>
      <c r="AE23" s="40" t="s">
        <v>48</v>
      </c>
      <c r="AF23" s="40" t="s">
        <v>48</v>
      </c>
      <c r="AG23" s="40" t="s">
        <v>48</v>
      </c>
      <c r="AH23" s="40" t="s">
        <v>48</v>
      </c>
      <c r="AI23" s="40" t="s">
        <v>48</v>
      </c>
      <c r="AJ23" s="40" t="s">
        <v>48</v>
      </c>
      <c r="AK23" s="40" t="s">
        <v>48</v>
      </c>
      <c r="AL23" s="40" t="s">
        <v>48</v>
      </c>
      <c r="AM23" s="40" t="s">
        <v>48</v>
      </c>
      <c r="AN23" s="40" t="s">
        <v>48</v>
      </c>
      <c r="AP23" s="33"/>
      <c r="AQ23" s="38" t="str">
        <f>Notes!U24</f>
        <v xml:space="preserve">               Other roots</v>
      </c>
      <c r="AR23" s="4" t="s">
        <v>700</v>
      </c>
      <c r="AS23" s="44">
        <v>0.40506857169932592</v>
      </c>
      <c r="AT23" s="42" t="s">
        <v>48</v>
      </c>
      <c r="AU23" s="40" t="s">
        <v>48</v>
      </c>
      <c r="AV23" s="40" t="s">
        <v>48</v>
      </c>
      <c r="AW23" s="40" t="s">
        <v>48</v>
      </c>
      <c r="AX23" s="40" t="s">
        <v>48</v>
      </c>
      <c r="AY23" s="40" t="s">
        <v>48</v>
      </c>
      <c r="AZ23" s="40" t="s">
        <v>48</v>
      </c>
      <c r="BA23" s="40" t="s">
        <v>48</v>
      </c>
      <c r="BB23" s="40" t="s">
        <v>48</v>
      </c>
      <c r="BC23" s="40" t="s">
        <v>48</v>
      </c>
      <c r="BD23" s="40" t="s">
        <v>48</v>
      </c>
      <c r="BE23" s="40" t="s">
        <v>48</v>
      </c>
      <c r="BF23" s="40" t="s">
        <v>48</v>
      </c>
      <c r="BG23" s="40" t="s">
        <v>48</v>
      </c>
      <c r="BH23" s="40" t="s">
        <v>48</v>
      </c>
      <c r="BJ23" s="33"/>
      <c r="BK23" s="38" t="str">
        <f>Notes!W24</f>
        <v xml:space="preserve">      Urban - Quintile 3</v>
      </c>
      <c r="BL23" s="4" t="s">
        <v>623</v>
      </c>
      <c r="BM23" s="44">
        <v>3.9645920599971678E-2</v>
      </c>
      <c r="BN23" s="42" t="s">
        <v>48</v>
      </c>
      <c r="BO23" s="40" t="s">
        <v>48</v>
      </c>
      <c r="BP23" s="40" t="s">
        <v>48</v>
      </c>
      <c r="BQ23" s="40" t="s">
        <v>48</v>
      </c>
      <c r="BR23" s="40" t="s">
        <v>48</v>
      </c>
      <c r="BS23" s="40" t="s">
        <v>48</v>
      </c>
      <c r="BT23" s="40" t="s">
        <v>48</v>
      </c>
      <c r="BU23" s="40" t="s">
        <v>48</v>
      </c>
      <c r="BV23" s="40" t="s">
        <v>48</v>
      </c>
      <c r="BW23" s="40" t="s">
        <v>48</v>
      </c>
      <c r="BX23" s="40" t="s">
        <v>48</v>
      </c>
      <c r="BY23" s="40" t="s">
        <v>48</v>
      </c>
      <c r="BZ23" s="40" t="s">
        <v>48</v>
      </c>
      <c r="CA23" s="40" t="s">
        <v>48</v>
      </c>
      <c r="CB23" s="40" t="s">
        <v>48</v>
      </c>
      <c r="CD23" s="33"/>
      <c r="CE23" s="38" t="str">
        <f>Notes!W24</f>
        <v xml:space="preserve">      Urban - Quintile 3</v>
      </c>
      <c r="CF23" s="4" t="s">
        <v>623</v>
      </c>
      <c r="CG23" s="44">
        <v>6.3182315779874321E-2</v>
      </c>
      <c r="CH23" s="42" t="s">
        <v>48</v>
      </c>
      <c r="CI23" s="40" t="s">
        <v>48</v>
      </c>
      <c r="CJ23" s="40" t="s">
        <v>48</v>
      </c>
      <c r="CK23" s="40" t="s">
        <v>48</v>
      </c>
      <c r="CL23" s="40" t="s">
        <v>48</v>
      </c>
      <c r="CM23" s="40" t="s">
        <v>48</v>
      </c>
      <c r="CN23" s="40" t="s">
        <v>48</v>
      </c>
      <c r="CO23" s="40" t="s">
        <v>48</v>
      </c>
      <c r="CP23" s="40" t="s">
        <v>48</v>
      </c>
      <c r="CQ23" s="40" t="s">
        <v>48</v>
      </c>
      <c r="CR23" s="40" t="s">
        <v>48</v>
      </c>
      <c r="CS23" s="40" t="s">
        <v>48</v>
      </c>
      <c r="CT23" s="40" t="s">
        <v>48</v>
      </c>
      <c r="CU23" s="40" t="s">
        <v>48</v>
      </c>
      <c r="CV23" s="40" t="s">
        <v>48</v>
      </c>
    </row>
    <row r="24" spans="1:100" x14ac:dyDescent="0.35">
      <c r="A24" s="12">
        <v>17</v>
      </c>
      <c r="B24" s="33"/>
      <c r="C24" s="38" t="str">
        <f>Notes!W25</f>
        <v xml:space="preserve">      Urban - Quintile 4</v>
      </c>
      <c r="D24" s="4" t="s">
        <v>624</v>
      </c>
      <c r="E24" s="44">
        <v>3.4163518769394434</v>
      </c>
      <c r="F24" s="42" t="s">
        <v>48</v>
      </c>
      <c r="G24" s="40" t="s">
        <v>48</v>
      </c>
      <c r="H24" s="40" t="s">
        <v>48</v>
      </c>
      <c r="I24" s="40" t="s">
        <v>48</v>
      </c>
      <c r="J24" s="40" t="s">
        <v>48</v>
      </c>
      <c r="K24" s="40" t="s">
        <v>48</v>
      </c>
      <c r="L24" s="40" t="s">
        <v>48</v>
      </c>
      <c r="M24" s="40" t="s">
        <v>48</v>
      </c>
      <c r="N24" s="40" t="s">
        <v>48</v>
      </c>
      <c r="O24" s="40" t="s">
        <v>48</v>
      </c>
      <c r="P24" s="40" t="s">
        <v>48</v>
      </c>
      <c r="Q24" s="40" t="s">
        <v>48</v>
      </c>
      <c r="R24" s="40" t="s">
        <v>48</v>
      </c>
      <c r="S24" s="40" t="s">
        <v>48</v>
      </c>
      <c r="T24" s="40" t="s">
        <v>48</v>
      </c>
      <c r="V24" s="33"/>
      <c r="W24" s="38" t="str">
        <f>Notes!W25</f>
        <v xml:space="preserve">      Urban - Quintile 4</v>
      </c>
      <c r="X24" s="4" t="s">
        <v>624</v>
      </c>
      <c r="Y24" s="44">
        <v>4.0821712369713099</v>
      </c>
      <c r="Z24" s="42" t="s">
        <v>48</v>
      </c>
      <c r="AA24" s="40" t="s">
        <v>48</v>
      </c>
      <c r="AB24" s="40" t="s">
        <v>48</v>
      </c>
      <c r="AC24" s="40" t="s">
        <v>48</v>
      </c>
      <c r="AD24" s="40" t="s">
        <v>48</v>
      </c>
      <c r="AE24" s="40" t="s">
        <v>48</v>
      </c>
      <c r="AF24" s="40" t="s">
        <v>48</v>
      </c>
      <c r="AG24" s="40" t="s">
        <v>48</v>
      </c>
      <c r="AH24" s="40" t="s">
        <v>48</v>
      </c>
      <c r="AI24" s="40" t="s">
        <v>48</v>
      </c>
      <c r="AJ24" s="40" t="s">
        <v>48</v>
      </c>
      <c r="AK24" s="40" t="s">
        <v>48</v>
      </c>
      <c r="AL24" s="40" t="s">
        <v>48</v>
      </c>
      <c r="AM24" s="40" t="s">
        <v>48</v>
      </c>
      <c r="AN24" s="40" t="s">
        <v>48</v>
      </c>
      <c r="AP24" s="33"/>
      <c r="AQ24" s="38" t="str">
        <f>Notes!U25</f>
        <v xml:space="preserve">               Leafy vegetables</v>
      </c>
      <c r="AR24" s="4" t="s">
        <v>701</v>
      </c>
      <c r="AS24" s="44">
        <v>2.9308967206739038</v>
      </c>
      <c r="AT24" s="42" t="s">
        <v>48</v>
      </c>
      <c r="AU24" s="40" t="s">
        <v>48</v>
      </c>
      <c r="AV24" s="40" t="s">
        <v>48</v>
      </c>
      <c r="AW24" s="40" t="s">
        <v>48</v>
      </c>
      <c r="AX24" s="40" t="s">
        <v>48</v>
      </c>
      <c r="AY24" s="40" t="s">
        <v>48</v>
      </c>
      <c r="AZ24" s="40" t="s">
        <v>48</v>
      </c>
      <c r="BA24" s="40" t="s">
        <v>48</v>
      </c>
      <c r="BB24" s="40" t="s">
        <v>48</v>
      </c>
      <c r="BC24" s="40" t="s">
        <v>48</v>
      </c>
      <c r="BD24" s="40" t="s">
        <v>48</v>
      </c>
      <c r="BE24" s="40" t="s">
        <v>48</v>
      </c>
      <c r="BF24" s="40" t="s">
        <v>48</v>
      </c>
      <c r="BG24" s="40" t="s">
        <v>48</v>
      </c>
      <c r="BH24" s="40" t="s">
        <v>48</v>
      </c>
      <c r="BJ24" s="33"/>
      <c r="BK24" s="38" t="str">
        <f>Notes!W25</f>
        <v xml:space="preserve">      Urban - Quintile 4</v>
      </c>
      <c r="BL24" s="4" t="s">
        <v>624</v>
      </c>
      <c r="BM24" s="44">
        <v>0.14461492866745604</v>
      </c>
      <c r="BN24" s="42" t="s">
        <v>48</v>
      </c>
      <c r="BO24" s="40" t="s">
        <v>48</v>
      </c>
      <c r="BP24" s="40" t="s">
        <v>48</v>
      </c>
      <c r="BQ24" s="40" t="s">
        <v>48</v>
      </c>
      <c r="BR24" s="40" t="s">
        <v>48</v>
      </c>
      <c r="BS24" s="40" t="s">
        <v>48</v>
      </c>
      <c r="BT24" s="40" t="s">
        <v>48</v>
      </c>
      <c r="BU24" s="40" t="s">
        <v>48</v>
      </c>
      <c r="BV24" s="40" t="s">
        <v>48</v>
      </c>
      <c r="BW24" s="40" t="s">
        <v>48</v>
      </c>
      <c r="BX24" s="40" t="s">
        <v>48</v>
      </c>
      <c r="BY24" s="40" t="s">
        <v>48</v>
      </c>
      <c r="BZ24" s="40" t="s">
        <v>48</v>
      </c>
      <c r="CA24" s="40" t="s">
        <v>48</v>
      </c>
      <c r="CB24" s="40" t="s">
        <v>48</v>
      </c>
      <c r="CD24" s="33"/>
      <c r="CE24" s="38" t="str">
        <f>Notes!W25</f>
        <v xml:space="preserve">      Urban - Quintile 4</v>
      </c>
      <c r="CF24" s="4" t="s">
        <v>624</v>
      </c>
      <c r="CG24" s="44">
        <v>0.22430794167533991</v>
      </c>
      <c r="CH24" s="42" t="s">
        <v>48</v>
      </c>
      <c r="CI24" s="40" t="s">
        <v>48</v>
      </c>
      <c r="CJ24" s="40" t="s">
        <v>48</v>
      </c>
      <c r="CK24" s="40" t="s">
        <v>48</v>
      </c>
      <c r="CL24" s="40" t="s">
        <v>48</v>
      </c>
      <c r="CM24" s="40" t="s">
        <v>48</v>
      </c>
      <c r="CN24" s="40" t="s">
        <v>48</v>
      </c>
      <c r="CO24" s="40" t="s">
        <v>48</v>
      </c>
      <c r="CP24" s="40" t="s">
        <v>48</v>
      </c>
      <c r="CQ24" s="40" t="s">
        <v>48</v>
      </c>
      <c r="CR24" s="40" t="s">
        <v>48</v>
      </c>
      <c r="CS24" s="40" t="s">
        <v>48</v>
      </c>
      <c r="CT24" s="40" t="s">
        <v>48</v>
      </c>
      <c r="CU24" s="40" t="s">
        <v>48</v>
      </c>
      <c r="CV24" s="40" t="s">
        <v>48</v>
      </c>
    </row>
    <row r="25" spans="1:100" x14ac:dyDescent="0.35">
      <c r="A25" s="12">
        <v>18</v>
      </c>
      <c r="B25" s="33"/>
      <c r="C25" s="38" t="str">
        <f>Notes!W26</f>
        <v xml:space="preserve">      Urban - Quintile 5 (high)</v>
      </c>
      <c r="D25" s="4" t="s">
        <v>625</v>
      </c>
      <c r="E25" s="44">
        <v>44.182479272756218</v>
      </c>
      <c r="F25" s="42" t="s">
        <v>48</v>
      </c>
      <c r="G25" s="40" t="s">
        <v>48</v>
      </c>
      <c r="H25" s="40" t="s">
        <v>48</v>
      </c>
      <c r="I25" s="40" t="s">
        <v>48</v>
      </c>
      <c r="J25" s="40" t="s">
        <v>48</v>
      </c>
      <c r="K25" s="40" t="s">
        <v>48</v>
      </c>
      <c r="L25" s="40" t="s">
        <v>48</v>
      </c>
      <c r="M25" s="40" t="s">
        <v>48</v>
      </c>
      <c r="N25" s="40" t="s">
        <v>48</v>
      </c>
      <c r="O25" s="40" t="s">
        <v>48</v>
      </c>
      <c r="P25" s="40" t="s">
        <v>48</v>
      </c>
      <c r="Q25" s="40" t="s">
        <v>48</v>
      </c>
      <c r="R25" s="40" t="s">
        <v>48</v>
      </c>
      <c r="S25" s="40" t="s">
        <v>48</v>
      </c>
      <c r="T25" s="40" t="s">
        <v>48</v>
      </c>
      <c r="V25" s="33"/>
      <c r="W25" s="38" t="str">
        <f>Notes!W26</f>
        <v xml:space="preserve">      Urban - Quintile 5 (high)</v>
      </c>
      <c r="X25" s="4" t="s">
        <v>625</v>
      </c>
      <c r="Y25" s="44">
        <v>44.34221102422363</v>
      </c>
      <c r="Z25" s="42" t="s">
        <v>48</v>
      </c>
      <c r="AA25" s="40" t="s">
        <v>48</v>
      </c>
      <c r="AB25" s="40" t="s">
        <v>48</v>
      </c>
      <c r="AC25" s="40" t="s">
        <v>48</v>
      </c>
      <c r="AD25" s="40" t="s">
        <v>48</v>
      </c>
      <c r="AE25" s="40" t="s">
        <v>48</v>
      </c>
      <c r="AF25" s="40" t="s">
        <v>48</v>
      </c>
      <c r="AG25" s="40" t="s">
        <v>48</v>
      </c>
      <c r="AH25" s="40" t="s">
        <v>48</v>
      </c>
      <c r="AI25" s="40" t="s">
        <v>48</v>
      </c>
      <c r="AJ25" s="40" t="s">
        <v>48</v>
      </c>
      <c r="AK25" s="40" t="s">
        <v>48</v>
      </c>
      <c r="AL25" s="40" t="s">
        <v>48</v>
      </c>
      <c r="AM25" s="40" t="s">
        <v>48</v>
      </c>
      <c r="AN25" s="40" t="s">
        <v>48</v>
      </c>
      <c r="AP25" s="33"/>
      <c r="AQ25" s="38" t="str">
        <f>Notes!U26</f>
        <v xml:space="preserve">               Other vegetables</v>
      </c>
      <c r="AR25" s="4" t="s">
        <v>702</v>
      </c>
      <c r="AS25" s="44">
        <v>6.4480078834957155E-2</v>
      </c>
      <c r="AT25" s="42" t="s">
        <v>48</v>
      </c>
      <c r="AU25" s="40" t="s">
        <v>48</v>
      </c>
      <c r="AV25" s="40" t="s">
        <v>48</v>
      </c>
      <c r="AW25" s="40" t="s">
        <v>48</v>
      </c>
      <c r="AX25" s="40" t="s">
        <v>48</v>
      </c>
      <c r="AY25" s="40" t="s">
        <v>48</v>
      </c>
      <c r="AZ25" s="40" t="s">
        <v>48</v>
      </c>
      <c r="BA25" s="40" t="s">
        <v>48</v>
      </c>
      <c r="BB25" s="40" t="s">
        <v>48</v>
      </c>
      <c r="BC25" s="40" t="s">
        <v>48</v>
      </c>
      <c r="BD25" s="40" t="s">
        <v>48</v>
      </c>
      <c r="BE25" s="40" t="s">
        <v>48</v>
      </c>
      <c r="BF25" s="40" t="s">
        <v>48</v>
      </c>
      <c r="BG25" s="40" t="s">
        <v>48</v>
      </c>
      <c r="BH25" s="40" t="s">
        <v>48</v>
      </c>
      <c r="BJ25" s="33"/>
      <c r="BK25" s="38" t="str">
        <f>Notes!W26</f>
        <v xml:space="preserve">      Urban - Quintile 5 (high)</v>
      </c>
      <c r="BL25" s="4" t="s">
        <v>625</v>
      </c>
      <c r="BM25" s="44">
        <v>3.2354123767821195</v>
      </c>
      <c r="BN25" s="42" t="s">
        <v>48</v>
      </c>
      <c r="BO25" s="40" t="s">
        <v>48</v>
      </c>
      <c r="BP25" s="40" t="s">
        <v>48</v>
      </c>
      <c r="BQ25" s="40" t="s">
        <v>48</v>
      </c>
      <c r="BR25" s="40" t="s">
        <v>48</v>
      </c>
      <c r="BS25" s="40" t="s">
        <v>48</v>
      </c>
      <c r="BT25" s="40" t="s">
        <v>48</v>
      </c>
      <c r="BU25" s="40" t="s">
        <v>48</v>
      </c>
      <c r="BV25" s="40" t="s">
        <v>48</v>
      </c>
      <c r="BW25" s="40" t="s">
        <v>48</v>
      </c>
      <c r="BX25" s="40" t="s">
        <v>48</v>
      </c>
      <c r="BY25" s="40" t="s">
        <v>48</v>
      </c>
      <c r="BZ25" s="40" t="s">
        <v>48</v>
      </c>
      <c r="CA25" s="40" t="s">
        <v>48</v>
      </c>
      <c r="CB25" s="40" t="s">
        <v>48</v>
      </c>
      <c r="CD25" s="33"/>
      <c r="CE25" s="38" t="str">
        <f>Notes!W26</f>
        <v xml:space="preserve">      Urban - Quintile 5 (high)</v>
      </c>
      <c r="CF25" s="4" t="s">
        <v>625</v>
      </c>
      <c r="CG25" s="44">
        <v>7.8578952445096748</v>
      </c>
      <c r="CH25" s="42" t="s">
        <v>48</v>
      </c>
      <c r="CI25" s="40" t="s">
        <v>48</v>
      </c>
      <c r="CJ25" s="40" t="s">
        <v>48</v>
      </c>
      <c r="CK25" s="40" t="s">
        <v>48</v>
      </c>
      <c r="CL25" s="40" t="s">
        <v>48</v>
      </c>
      <c r="CM25" s="40" t="s">
        <v>48</v>
      </c>
      <c r="CN25" s="40" t="s">
        <v>48</v>
      </c>
      <c r="CO25" s="40" t="s">
        <v>48</v>
      </c>
      <c r="CP25" s="40" t="s">
        <v>48</v>
      </c>
      <c r="CQ25" s="40" t="s">
        <v>48</v>
      </c>
      <c r="CR25" s="40" t="s">
        <v>48</v>
      </c>
      <c r="CS25" s="40" t="s">
        <v>48</v>
      </c>
      <c r="CT25" s="40" t="s">
        <v>48</v>
      </c>
      <c r="CU25" s="40" t="s">
        <v>48</v>
      </c>
      <c r="CV25" s="40" t="s">
        <v>48</v>
      </c>
    </row>
    <row r="26" spans="1:100" x14ac:dyDescent="0.35">
      <c r="A26" s="12">
        <v>19</v>
      </c>
      <c r="B26" s="33"/>
      <c r="C26" s="38" t="str">
        <f>Notes!W27</f>
        <v xml:space="preserve">               </v>
      </c>
      <c r="D26" s="4" t="s">
        <v>616</v>
      </c>
      <c r="E26" s="44"/>
      <c r="F26" s="42" t="s">
        <v>48</v>
      </c>
      <c r="G26" s="40" t="s">
        <v>48</v>
      </c>
      <c r="H26" s="40" t="s">
        <v>48</v>
      </c>
      <c r="I26" s="40" t="s">
        <v>48</v>
      </c>
      <c r="J26" s="40" t="s">
        <v>48</v>
      </c>
      <c r="K26" s="40" t="s">
        <v>48</v>
      </c>
      <c r="L26" s="40" t="s">
        <v>48</v>
      </c>
      <c r="M26" s="40" t="s">
        <v>48</v>
      </c>
      <c r="N26" s="40" t="s">
        <v>48</v>
      </c>
      <c r="O26" s="40" t="s">
        <v>48</v>
      </c>
      <c r="P26" s="40" t="s">
        <v>48</v>
      </c>
      <c r="Q26" s="40" t="s">
        <v>48</v>
      </c>
      <c r="R26" s="40" t="s">
        <v>48</v>
      </c>
      <c r="S26" s="40" t="s">
        <v>48</v>
      </c>
      <c r="T26" s="40" t="s">
        <v>48</v>
      </c>
      <c r="V26" s="33"/>
      <c r="W26" s="38" t="str">
        <f>Notes!W27</f>
        <v xml:space="preserve">               </v>
      </c>
      <c r="X26" s="4" t="s">
        <v>616</v>
      </c>
      <c r="Y26" s="44"/>
      <c r="Z26" s="42"/>
      <c r="AA26" s="40"/>
      <c r="AB26" s="40"/>
      <c r="AC26" s="40"/>
      <c r="AD26" s="40"/>
      <c r="AE26" s="40"/>
      <c r="AF26" s="40"/>
      <c r="AG26" s="40"/>
      <c r="AH26" s="40" t="s">
        <v>48</v>
      </c>
      <c r="AI26" s="40" t="s">
        <v>48</v>
      </c>
      <c r="AJ26" s="40" t="s">
        <v>48</v>
      </c>
      <c r="AK26" s="40" t="s">
        <v>48</v>
      </c>
      <c r="AL26" s="40" t="s">
        <v>48</v>
      </c>
      <c r="AM26" s="40" t="s">
        <v>48</v>
      </c>
      <c r="AN26" s="40" t="s">
        <v>48</v>
      </c>
      <c r="AP26" s="33"/>
      <c r="AQ26" s="38" t="str">
        <f>Notes!U27</f>
        <v xml:space="preserve">               Sugarcane</v>
      </c>
      <c r="AR26" s="4" t="s">
        <v>326</v>
      </c>
      <c r="AS26" s="44">
        <v>9.1508348987764221E-2</v>
      </c>
      <c r="AT26" s="42" t="s">
        <v>48</v>
      </c>
      <c r="AU26" s="40" t="s">
        <v>48</v>
      </c>
      <c r="AV26" s="40" t="s">
        <v>48</v>
      </c>
      <c r="AW26" s="40" t="s">
        <v>48</v>
      </c>
      <c r="AX26" s="40" t="s">
        <v>48</v>
      </c>
      <c r="AY26" s="40" t="s">
        <v>48</v>
      </c>
      <c r="AZ26" s="40" t="s">
        <v>48</v>
      </c>
      <c r="BA26" s="40" t="s">
        <v>48</v>
      </c>
      <c r="BB26" s="40" t="s">
        <v>48</v>
      </c>
      <c r="BC26" s="40" t="s">
        <v>48</v>
      </c>
      <c r="BD26" s="40" t="s">
        <v>48</v>
      </c>
      <c r="BE26" s="40" t="s">
        <v>48</v>
      </c>
      <c r="BF26" s="40" t="s">
        <v>48</v>
      </c>
      <c r="BG26" s="40" t="s">
        <v>48</v>
      </c>
      <c r="BH26" s="40" t="s">
        <v>48</v>
      </c>
      <c r="BJ26" s="33"/>
      <c r="BK26" s="38" t="str">
        <f>Notes!W27</f>
        <v xml:space="preserve">               </v>
      </c>
      <c r="BL26" s="4" t="s">
        <v>616</v>
      </c>
      <c r="BM26" s="44">
        <v>1.3171159478464058E-2</v>
      </c>
      <c r="BN26" s="42" t="s">
        <v>48</v>
      </c>
      <c r="BO26" s="40" t="s">
        <v>48</v>
      </c>
      <c r="BP26" s="40" t="s">
        <v>48</v>
      </c>
      <c r="BQ26" s="40" t="s">
        <v>48</v>
      </c>
      <c r="BR26" s="40" t="s">
        <v>48</v>
      </c>
      <c r="BS26" s="40" t="s">
        <v>48</v>
      </c>
      <c r="BT26" s="40" t="s">
        <v>48</v>
      </c>
      <c r="BU26" s="40" t="s">
        <v>48</v>
      </c>
      <c r="BV26" s="40" t="s">
        <v>48</v>
      </c>
      <c r="BW26" s="40" t="s">
        <v>48</v>
      </c>
      <c r="BX26" s="40" t="s">
        <v>48</v>
      </c>
      <c r="BY26" s="40" t="s">
        <v>48</v>
      </c>
      <c r="BZ26" s="40" t="s">
        <v>48</v>
      </c>
      <c r="CA26" s="40" t="s">
        <v>48</v>
      </c>
      <c r="CB26" s="40" t="s">
        <v>48</v>
      </c>
      <c r="CD26" s="33"/>
      <c r="CE26" s="38" t="str">
        <f>Notes!W27</f>
        <v xml:space="preserve">               </v>
      </c>
      <c r="CF26" s="4" t="s">
        <v>616</v>
      </c>
      <c r="CG26" s="44">
        <v>1.0016543967514229</v>
      </c>
      <c r="CH26" s="42" t="s">
        <v>48</v>
      </c>
      <c r="CI26" s="40" t="s">
        <v>48</v>
      </c>
      <c r="CJ26" s="40" t="s">
        <v>48</v>
      </c>
      <c r="CK26" s="40" t="s">
        <v>48</v>
      </c>
      <c r="CL26" s="40" t="s">
        <v>48</v>
      </c>
      <c r="CM26" s="40" t="s">
        <v>48</v>
      </c>
      <c r="CN26" s="40" t="s">
        <v>48</v>
      </c>
      <c r="CO26" s="40" t="s">
        <v>48</v>
      </c>
      <c r="CP26" s="40" t="s">
        <v>48</v>
      </c>
      <c r="CQ26" s="40" t="s">
        <v>48</v>
      </c>
      <c r="CR26" s="40" t="s">
        <v>48</v>
      </c>
      <c r="CS26" s="40" t="s">
        <v>48</v>
      </c>
      <c r="CT26" s="40" t="s">
        <v>48</v>
      </c>
      <c r="CU26" s="40" t="s">
        <v>48</v>
      </c>
      <c r="CV26" s="40" t="s">
        <v>48</v>
      </c>
    </row>
    <row r="27" spans="1:100" x14ac:dyDescent="0.35">
      <c r="A27" s="12">
        <v>20</v>
      </c>
      <c r="B27" s="33"/>
      <c r="C27" s="38" t="str">
        <f>Notes!W28</f>
        <v xml:space="preserve">               </v>
      </c>
      <c r="D27" s="4" t="s">
        <v>617</v>
      </c>
      <c r="E27" s="44"/>
      <c r="F27" s="42" t="s">
        <v>48</v>
      </c>
      <c r="G27" s="40" t="s">
        <v>48</v>
      </c>
      <c r="H27" s="40" t="s">
        <v>48</v>
      </c>
      <c r="I27" s="40" t="s">
        <v>48</v>
      </c>
      <c r="J27" s="40" t="s">
        <v>48</v>
      </c>
      <c r="K27" s="40" t="s">
        <v>48</v>
      </c>
      <c r="L27" s="40" t="s">
        <v>48</v>
      </c>
      <c r="M27" s="40" t="s">
        <v>48</v>
      </c>
      <c r="N27" s="40" t="s">
        <v>48</v>
      </c>
      <c r="O27" s="40" t="s">
        <v>48</v>
      </c>
      <c r="P27" s="40" t="s">
        <v>48</v>
      </c>
      <c r="Q27" s="40" t="s">
        <v>48</v>
      </c>
      <c r="R27" s="40" t="s">
        <v>48</v>
      </c>
      <c r="S27" s="40" t="s">
        <v>48</v>
      </c>
      <c r="T27" s="40" t="s">
        <v>48</v>
      </c>
      <c r="V27" s="33"/>
      <c r="W27" s="38" t="str">
        <f>Notes!W28</f>
        <v xml:space="preserve">               </v>
      </c>
      <c r="X27" s="4" t="s">
        <v>617</v>
      </c>
      <c r="Y27" s="44"/>
      <c r="Z27" s="42"/>
      <c r="AA27" s="40"/>
      <c r="AB27" s="40"/>
      <c r="AC27" s="40"/>
      <c r="AD27" s="40"/>
      <c r="AE27" s="40"/>
      <c r="AF27" s="40"/>
      <c r="AG27" s="40"/>
      <c r="AH27" s="40" t="s">
        <v>48</v>
      </c>
      <c r="AI27" s="40" t="s">
        <v>48</v>
      </c>
      <c r="AJ27" s="40" t="s">
        <v>48</v>
      </c>
      <c r="AK27" s="40" t="s">
        <v>48</v>
      </c>
      <c r="AL27" s="40" t="s">
        <v>48</v>
      </c>
      <c r="AM27" s="40" t="s">
        <v>48</v>
      </c>
      <c r="AN27" s="40" t="s">
        <v>48</v>
      </c>
      <c r="AP27" s="33"/>
      <c r="AQ27" s="38" t="str">
        <f>Notes!U28</f>
        <v xml:space="preserve">               Tobacco</v>
      </c>
      <c r="AR27" s="4" t="s">
        <v>470</v>
      </c>
      <c r="AS27" s="44">
        <v>0.56404473881196737</v>
      </c>
      <c r="AT27" s="42" t="s">
        <v>48</v>
      </c>
      <c r="AU27" s="40" t="s">
        <v>48</v>
      </c>
      <c r="AV27" s="40" t="s">
        <v>48</v>
      </c>
      <c r="AW27" s="40" t="s">
        <v>48</v>
      </c>
      <c r="AX27" s="40" t="s">
        <v>48</v>
      </c>
      <c r="AY27" s="40" t="s">
        <v>48</v>
      </c>
      <c r="AZ27" s="40" t="s">
        <v>48</v>
      </c>
      <c r="BA27" s="40" t="s">
        <v>48</v>
      </c>
      <c r="BB27" s="40" t="s">
        <v>48</v>
      </c>
      <c r="BC27" s="40" t="s">
        <v>48</v>
      </c>
      <c r="BD27" s="40" t="s">
        <v>48</v>
      </c>
      <c r="BE27" s="40" t="s">
        <v>48</v>
      </c>
      <c r="BF27" s="40" t="s">
        <v>48</v>
      </c>
      <c r="BG27" s="40" t="s">
        <v>48</v>
      </c>
      <c r="BH27" s="40" t="s">
        <v>48</v>
      </c>
      <c r="BJ27" s="33"/>
      <c r="BK27" s="38" t="str">
        <f>Notes!W28</f>
        <v xml:space="preserve">               </v>
      </c>
      <c r="BL27" s="4" t="s">
        <v>617</v>
      </c>
      <c r="BM27" s="44">
        <v>8.3835785584198581E-3</v>
      </c>
      <c r="BN27" s="42" t="s">
        <v>48</v>
      </c>
      <c r="BO27" s="40" t="s">
        <v>48</v>
      </c>
      <c r="BP27" s="40" t="s">
        <v>48</v>
      </c>
      <c r="BQ27" s="40" t="s">
        <v>48</v>
      </c>
      <c r="BR27" s="40" t="s">
        <v>48</v>
      </c>
      <c r="BS27" s="40" t="s">
        <v>48</v>
      </c>
      <c r="BT27" s="40" t="s">
        <v>48</v>
      </c>
      <c r="BU27" s="40" t="s">
        <v>48</v>
      </c>
      <c r="BV27" s="40" t="s">
        <v>48</v>
      </c>
      <c r="BW27" s="40" t="s">
        <v>48</v>
      </c>
      <c r="BX27" s="40" t="s">
        <v>48</v>
      </c>
      <c r="BY27" s="40" t="s">
        <v>48</v>
      </c>
      <c r="BZ27" s="40" t="s">
        <v>48</v>
      </c>
      <c r="CA27" s="40" t="s">
        <v>48</v>
      </c>
      <c r="CB27" s="40" t="s">
        <v>48</v>
      </c>
      <c r="CD27" s="33"/>
      <c r="CE27" s="38" t="str">
        <f>Notes!W28</f>
        <v xml:space="preserve">               </v>
      </c>
      <c r="CF27" s="4" t="s">
        <v>617</v>
      </c>
      <c r="CG27" s="44">
        <v>0.63098739394221703</v>
      </c>
      <c r="CH27" s="42" t="s">
        <v>48</v>
      </c>
      <c r="CI27" s="40" t="s">
        <v>48</v>
      </c>
      <c r="CJ27" s="40" t="s">
        <v>48</v>
      </c>
      <c r="CK27" s="40" t="s">
        <v>48</v>
      </c>
      <c r="CL27" s="40" t="s">
        <v>48</v>
      </c>
      <c r="CM27" s="40" t="s">
        <v>48</v>
      </c>
      <c r="CN27" s="40" t="s">
        <v>48</v>
      </c>
      <c r="CO27" s="40" t="s">
        <v>48</v>
      </c>
      <c r="CP27" s="40" t="s">
        <v>48</v>
      </c>
      <c r="CQ27" s="40" t="s">
        <v>48</v>
      </c>
      <c r="CR27" s="40" t="s">
        <v>48</v>
      </c>
      <c r="CS27" s="40" t="s">
        <v>48</v>
      </c>
      <c r="CT27" s="40" t="s">
        <v>48</v>
      </c>
      <c r="CU27" s="40" t="s">
        <v>48</v>
      </c>
      <c r="CV27" s="40" t="s">
        <v>48</v>
      </c>
    </row>
    <row r="28" spans="1:100" x14ac:dyDescent="0.35">
      <c r="A28" s="12">
        <v>21</v>
      </c>
      <c r="B28" s="33"/>
      <c r="C28" s="38" t="str">
        <f>Notes!W29</f>
        <v xml:space="preserve">               </v>
      </c>
      <c r="D28" s="4" t="s">
        <v>618</v>
      </c>
      <c r="E28" s="44"/>
      <c r="F28" s="42" t="s">
        <v>48</v>
      </c>
      <c r="G28" s="40" t="s">
        <v>48</v>
      </c>
      <c r="H28" s="40" t="s">
        <v>48</v>
      </c>
      <c r="I28" s="40" t="s">
        <v>48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0" t="s">
        <v>48</v>
      </c>
      <c r="Q28" s="40" t="s">
        <v>48</v>
      </c>
      <c r="R28" s="40" t="s">
        <v>48</v>
      </c>
      <c r="S28" s="40" t="s">
        <v>48</v>
      </c>
      <c r="T28" s="40" t="s">
        <v>48</v>
      </c>
      <c r="V28" s="33"/>
      <c r="W28" s="38" t="str">
        <f>Notes!W29</f>
        <v xml:space="preserve">               </v>
      </c>
      <c r="X28" s="4" t="s">
        <v>618</v>
      </c>
      <c r="Y28" s="44"/>
      <c r="Z28" s="42"/>
      <c r="AA28" s="40"/>
      <c r="AB28" s="40"/>
      <c r="AC28" s="40"/>
      <c r="AD28" s="40"/>
      <c r="AE28" s="40"/>
      <c r="AF28" s="40"/>
      <c r="AG28" s="40"/>
      <c r="AH28" s="40" t="s">
        <v>48</v>
      </c>
      <c r="AI28" s="40" t="s">
        <v>48</v>
      </c>
      <c r="AJ28" s="40" t="s">
        <v>48</v>
      </c>
      <c r="AK28" s="40" t="s">
        <v>48</v>
      </c>
      <c r="AL28" s="40" t="s">
        <v>48</v>
      </c>
      <c r="AM28" s="40" t="s">
        <v>48</v>
      </c>
      <c r="AN28" s="40" t="s">
        <v>48</v>
      </c>
      <c r="AP28" s="33"/>
      <c r="AQ28" s="38" t="str">
        <f>Notes!U29</f>
        <v xml:space="preserve">               Cotton and fibres</v>
      </c>
      <c r="AR28" s="4" t="s">
        <v>703</v>
      </c>
      <c r="AS28" s="44">
        <v>0.59173208301285429</v>
      </c>
      <c r="AT28" s="42" t="s">
        <v>48</v>
      </c>
      <c r="AU28" s="40" t="s">
        <v>48</v>
      </c>
      <c r="AV28" s="40" t="s">
        <v>48</v>
      </c>
      <c r="AW28" s="40" t="s">
        <v>48</v>
      </c>
      <c r="AX28" s="40" t="s">
        <v>48</v>
      </c>
      <c r="AY28" s="40" t="s">
        <v>48</v>
      </c>
      <c r="AZ28" s="40" t="s">
        <v>48</v>
      </c>
      <c r="BA28" s="40" t="s">
        <v>48</v>
      </c>
      <c r="BB28" s="40" t="s">
        <v>48</v>
      </c>
      <c r="BC28" s="40" t="s">
        <v>48</v>
      </c>
      <c r="BD28" s="40" t="s">
        <v>48</v>
      </c>
      <c r="BE28" s="40" t="s">
        <v>48</v>
      </c>
      <c r="BF28" s="40" t="s">
        <v>48</v>
      </c>
      <c r="BG28" s="40" t="s">
        <v>48</v>
      </c>
      <c r="BH28" s="40" t="s">
        <v>48</v>
      </c>
      <c r="BJ28" s="33"/>
      <c r="BK28" s="38" t="str">
        <f>Notes!W29</f>
        <v xml:space="preserve">               </v>
      </c>
      <c r="BL28" s="4" t="s">
        <v>618</v>
      </c>
      <c r="BM28" s="44">
        <v>1.1948160738963558E-2</v>
      </c>
      <c r="BN28" s="42" t="s">
        <v>48</v>
      </c>
      <c r="BO28" s="40" t="s">
        <v>48</v>
      </c>
      <c r="BP28" s="40" t="s">
        <v>48</v>
      </c>
      <c r="BQ28" s="40" t="s">
        <v>48</v>
      </c>
      <c r="BR28" s="40" t="s">
        <v>48</v>
      </c>
      <c r="BS28" s="40" t="s">
        <v>48</v>
      </c>
      <c r="BT28" s="40" t="s">
        <v>48</v>
      </c>
      <c r="BU28" s="40" t="s">
        <v>48</v>
      </c>
      <c r="BV28" s="40" t="s">
        <v>48</v>
      </c>
      <c r="BW28" s="40" t="s">
        <v>48</v>
      </c>
      <c r="BX28" s="40" t="s">
        <v>48</v>
      </c>
      <c r="BY28" s="40" t="s">
        <v>48</v>
      </c>
      <c r="BZ28" s="40" t="s">
        <v>48</v>
      </c>
      <c r="CA28" s="40" t="s">
        <v>48</v>
      </c>
      <c r="CB28" s="40" t="s">
        <v>48</v>
      </c>
      <c r="CD28" s="33"/>
      <c r="CE28" s="38" t="str">
        <f>Notes!W29</f>
        <v xml:space="preserve">               </v>
      </c>
      <c r="CF28" s="4" t="s">
        <v>618</v>
      </c>
      <c r="CG28" s="44">
        <v>0.91677422406483722</v>
      </c>
      <c r="CH28" s="42" t="s">
        <v>48</v>
      </c>
      <c r="CI28" s="40" t="s">
        <v>48</v>
      </c>
      <c r="CJ28" s="40" t="s">
        <v>48</v>
      </c>
      <c r="CK28" s="40" t="s">
        <v>48</v>
      </c>
      <c r="CL28" s="40" t="s">
        <v>48</v>
      </c>
      <c r="CM28" s="40" t="s">
        <v>48</v>
      </c>
      <c r="CN28" s="40" t="s">
        <v>48</v>
      </c>
      <c r="CO28" s="40" t="s">
        <v>48</v>
      </c>
      <c r="CP28" s="40" t="s">
        <v>48</v>
      </c>
      <c r="CQ28" s="40" t="s">
        <v>48</v>
      </c>
      <c r="CR28" s="40" t="s">
        <v>48</v>
      </c>
      <c r="CS28" s="40" t="s">
        <v>48</v>
      </c>
      <c r="CT28" s="40" t="s">
        <v>48</v>
      </c>
      <c r="CU28" s="40" t="s">
        <v>48</v>
      </c>
      <c r="CV28" s="40" t="s">
        <v>48</v>
      </c>
    </row>
    <row r="29" spans="1:100" x14ac:dyDescent="0.35">
      <c r="A29" s="12">
        <v>22</v>
      </c>
      <c r="B29" s="33"/>
      <c r="C29" s="38" t="str">
        <f>Notes!W30</f>
        <v xml:space="preserve">               </v>
      </c>
      <c r="D29" s="4" t="s">
        <v>619</v>
      </c>
      <c r="E29" s="44"/>
      <c r="F29" s="42" t="s">
        <v>48</v>
      </c>
      <c r="G29" s="40" t="s">
        <v>48</v>
      </c>
      <c r="H29" s="40" t="s">
        <v>48</v>
      </c>
      <c r="I29" s="40" t="s">
        <v>48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V29" s="33"/>
      <c r="W29" s="38" t="str">
        <f>Notes!W30</f>
        <v xml:space="preserve">               </v>
      </c>
      <c r="X29" s="4" t="s">
        <v>619</v>
      </c>
      <c r="Y29" s="44"/>
      <c r="Z29" s="42"/>
      <c r="AA29" s="40"/>
      <c r="AB29" s="40"/>
      <c r="AC29" s="40"/>
      <c r="AD29" s="40"/>
      <c r="AE29" s="40"/>
      <c r="AF29" s="40"/>
      <c r="AG29" s="40"/>
      <c r="AH29" s="40" t="s">
        <v>48</v>
      </c>
      <c r="AI29" s="40" t="s">
        <v>48</v>
      </c>
      <c r="AJ29" s="40" t="s">
        <v>48</v>
      </c>
      <c r="AK29" s="40" t="s">
        <v>48</v>
      </c>
      <c r="AL29" s="40" t="s">
        <v>48</v>
      </c>
      <c r="AM29" s="40" t="s">
        <v>48</v>
      </c>
      <c r="AN29" s="40" t="s">
        <v>48</v>
      </c>
      <c r="AP29" s="33"/>
      <c r="AQ29" s="38" t="str">
        <f>Notes!U30</f>
        <v xml:space="preserve">               Jute</v>
      </c>
      <c r="AR29" s="4" t="s">
        <v>765</v>
      </c>
      <c r="AS29" s="44">
        <v>2.6773866825184296E-2</v>
      </c>
      <c r="AT29" s="42" t="s">
        <v>48</v>
      </c>
      <c r="AU29" s="40" t="s">
        <v>48</v>
      </c>
      <c r="AV29" s="40" t="s">
        <v>48</v>
      </c>
      <c r="AW29" s="40" t="s">
        <v>48</v>
      </c>
      <c r="AX29" s="40" t="s">
        <v>48</v>
      </c>
      <c r="AY29" s="40" t="s">
        <v>48</v>
      </c>
      <c r="AZ29" s="40" t="s">
        <v>48</v>
      </c>
      <c r="BA29" s="40" t="s">
        <v>48</v>
      </c>
      <c r="BB29" s="40" t="s">
        <v>48</v>
      </c>
      <c r="BC29" s="40" t="s">
        <v>48</v>
      </c>
      <c r="BD29" s="40" t="s">
        <v>48</v>
      </c>
      <c r="BE29" s="40" t="s">
        <v>48</v>
      </c>
      <c r="BF29" s="40" t="s">
        <v>48</v>
      </c>
      <c r="BG29" s="40" t="s">
        <v>48</v>
      </c>
      <c r="BH29" s="40" t="s">
        <v>48</v>
      </c>
      <c r="BJ29" s="33"/>
      <c r="BK29" s="38" t="str">
        <f>Notes!W30</f>
        <v xml:space="preserve">               </v>
      </c>
      <c r="BL29" s="4" t="s">
        <v>619</v>
      </c>
      <c r="BM29" s="44">
        <v>2.561407237636755E-2</v>
      </c>
      <c r="BN29" s="42" t="s">
        <v>48</v>
      </c>
      <c r="BO29" s="40" t="s">
        <v>48</v>
      </c>
      <c r="BP29" s="40" t="s">
        <v>48</v>
      </c>
      <c r="BQ29" s="40" t="s">
        <v>48</v>
      </c>
      <c r="BR29" s="40" t="s">
        <v>48</v>
      </c>
      <c r="BS29" s="40" t="s">
        <v>48</v>
      </c>
      <c r="BT29" s="40" t="s">
        <v>48</v>
      </c>
      <c r="BU29" s="40" t="s">
        <v>48</v>
      </c>
      <c r="BV29" s="40" t="s">
        <v>48</v>
      </c>
      <c r="BW29" s="40" t="s">
        <v>48</v>
      </c>
      <c r="BX29" s="40" t="s">
        <v>48</v>
      </c>
      <c r="BY29" s="40" t="s">
        <v>48</v>
      </c>
      <c r="BZ29" s="40" t="s">
        <v>48</v>
      </c>
      <c r="CA29" s="40" t="s">
        <v>48</v>
      </c>
      <c r="CB29" s="40" t="s">
        <v>48</v>
      </c>
      <c r="CD29" s="33"/>
      <c r="CE29" s="38" t="str">
        <f>Notes!W30</f>
        <v xml:space="preserve">               </v>
      </c>
      <c r="CF29" s="4" t="s">
        <v>619</v>
      </c>
      <c r="CG29" s="44">
        <v>1.1548230228411687</v>
      </c>
      <c r="CH29" s="42" t="s">
        <v>48</v>
      </c>
      <c r="CI29" s="40" t="s">
        <v>48</v>
      </c>
      <c r="CJ29" s="40" t="s">
        <v>48</v>
      </c>
      <c r="CK29" s="40" t="s">
        <v>48</v>
      </c>
      <c r="CL29" s="40" t="s">
        <v>48</v>
      </c>
      <c r="CM29" s="40" t="s">
        <v>48</v>
      </c>
      <c r="CN29" s="40" t="s">
        <v>48</v>
      </c>
      <c r="CO29" s="40" t="s">
        <v>48</v>
      </c>
      <c r="CP29" s="40" t="s">
        <v>48</v>
      </c>
      <c r="CQ29" s="40" t="s">
        <v>48</v>
      </c>
      <c r="CR29" s="40" t="s">
        <v>48</v>
      </c>
      <c r="CS29" s="40" t="s">
        <v>48</v>
      </c>
      <c r="CT29" s="40" t="s">
        <v>48</v>
      </c>
      <c r="CU29" s="40" t="s">
        <v>48</v>
      </c>
      <c r="CV29" s="40" t="s">
        <v>48</v>
      </c>
    </row>
    <row r="30" spans="1:100" x14ac:dyDescent="0.35">
      <c r="A30" s="12">
        <v>23</v>
      </c>
      <c r="B30" s="33"/>
      <c r="C30" s="38" t="str">
        <f>Notes!W31</f>
        <v xml:space="preserve">               </v>
      </c>
      <c r="D30" s="4" t="s">
        <v>413</v>
      </c>
      <c r="E30" s="44"/>
      <c r="F30" s="42" t="s">
        <v>48</v>
      </c>
      <c r="G30" s="40" t="s">
        <v>48</v>
      </c>
      <c r="H30" s="40" t="s">
        <v>48</v>
      </c>
      <c r="I30" s="40" t="s">
        <v>48</v>
      </c>
      <c r="J30" s="40" t="s">
        <v>48</v>
      </c>
      <c r="K30" s="40" t="s">
        <v>48</v>
      </c>
      <c r="L30" s="40" t="s">
        <v>48</v>
      </c>
      <c r="M30" s="40" t="s">
        <v>48</v>
      </c>
      <c r="N30" s="40" t="s">
        <v>48</v>
      </c>
      <c r="O30" s="40" t="s">
        <v>48</v>
      </c>
      <c r="P30" s="40" t="s">
        <v>48</v>
      </c>
      <c r="Q30" s="40" t="s">
        <v>48</v>
      </c>
      <c r="R30" s="40" t="s">
        <v>48</v>
      </c>
      <c r="S30" s="40" t="s">
        <v>48</v>
      </c>
      <c r="T30" s="40" t="s">
        <v>48</v>
      </c>
      <c r="V30" s="33"/>
      <c r="W30" s="38" t="str">
        <f>Notes!W31</f>
        <v xml:space="preserve">               </v>
      </c>
      <c r="X30" s="4" t="s">
        <v>413</v>
      </c>
      <c r="Y30" s="44"/>
      <c r="Z30" s="42"/>
      <c r="AA30" s="40"/>
      <c r="AB30" s="40"/>
      <c r="AC30" s="40"/>
      <c r="AD30" s="40"/>
      <c r="AE30" s="40"/>
      <c r="AF30" s="40"/>
      <c r="AG30" s="40"/>
      <c r="AH30" s="40" t="s">
        <v>48</v>
      </c>
      <c r="AI30" s="40" t="s">
        <v>48</v>
      </c>
      <c r="AJ30" s="40" t="s">
        <v>48</v>
      </c>
      <c r="AK30" s="40" t="s">
        <v>48</v>
      </c>
      <c r="AL30" s="40" t="s">
        <v>48</v>
      </c>
      <c r="AM30" s="40" t="s">
        <v>48</v>
      </c>
      <c r="AN30" s="40" t="s">
        <v>48</v>
      </c>
      <c r="AP30" s="33"/>
      <c r="AQ30" s="38" t="str">
        <f>Notes!U31</f>
        <v xml:space="preserve">               Nuts</v>
      </c>
      <c r="AR30" s="4" t="s">
        <v>327</v>
      </c>
      <c r="AS30" s="44">
        <v>1.5308783062270069E-2</v>
      </c>
      <c r="AT30" s="42" t="s">
        <v>48</v>
      </c>
      <c r="AU30" s="40" t="s">
        <v>48</v>
      </c>
      <c r="AV30" s="40" t="s">
        <v>48</v>
      </c>
      <c r="AW30" s="40" t="s">
        <v>48</v>
      </c>
      <c r="AX30" s="40" t="s">
        <v>48</v>
      </c>
      <c r="AY30" s="40" t="s">
        <v>48</v>
      </c>
      <c r="AZ30" s="40" t="s">
        <v>48</v>
      </c>
      <c r="BA30" s="40" t="s">
        <v>48</v>
      </c>
      <c r="BB30" s="40" t="s">
        <v>48</v>
      </c>
      <c r="BC30" s="40" t="s">
        <v>48</v>
      </c>
      <c r="BD30" s="40" t="s">
        <v>48</v>
      </c>
      <c r="BE30" s="40" t="s">
        <v>48</v>
      </c>
      <c r="BF30" s="40" t="s">
        <v>48</v>
      </c>
      <c r="BG30" s="40" t="s">
        <v>48</v>
      </c>
      <c r="BH30" s="40" t="s">
        <v>48</v>
      </c>
      <c r="BJ30" s="33"/>
      <c r="BK30" s="38" t="str">
        <f>Notes!W31</f>
        <v xml:space="preserve">               </v>
      </c>
      <c r="BL30" s="4" t="s">
        <v>413</v>
      </c>
      <c r="BM30" s="44">
        <v>0.55256494848176307</v>
      </c>
      <c r="BN30" s="42" t="s">
        <v>48</v>
      </c>
      <c r="BO30" s="40" t="s">
        <v>48</v>
      </c>
      <c r="BP30" s="40" t="s">
        <v>48</v>
      </c>
      <c r="BQ30" s="40" t="s">
        <v>48</v>
      </c>
      <c r="BR30" s="40" t="s">
        <v>48</v>
      </c>
      <c r="BS30" s="40" t="s">
        <v>48</v>
      </c>
      <c r="BT30" s="40" t="s">
        <v>48</v>
      </c>
      <c r="BU30" s="40" t="s">
        <v>48</v>
      </c>
      <c r="BV30" s="40" t="s">
        <v>48</v>
      </c>
      <c r="BW30" s="40" t="s">
        <v>48</v>
      </c>
      <c r="BX30" s="40" t="s">
        <v>48</v>
      </c>
      <c r="BY30" s="40" t="s">
        <v>48</v>
      </c>
      <c r="BZ30" s="40" t="s">
        <v>48</v>
      </c>
      <c r="CA30" s="40" t="s">
        <v>48</v>
      </c>
      <c r="CB30" s="40" t="s">
        <v>48</v>
      </c>
      <c r="CD30" s="33"/>
      <c r="CE30" s="38" t="str">
        <f>Notes!W31</f>
        <v xml:space="preserve">               </v>
      </c>
      <c r="CF30" s="4" t="s">
        <v>413</v>
      </c>
      <c r="CG30" s="44">
        <v>13.502783919659198</v>
      </c>
      <c r="CH30" s="42" t="s">
        <v>48</v>
      </c>
      <c r="CI30" s="40" t="s">
        <v>48</v>
      </c>
      <c r="CJ30" s="40" t="s">
        <v>48</v>
      </c>
      <c r="CK30" s="40" t="s">
        <v>48</v>
      </c>
      <c r="CL30" s="40" t="s">
        <v>48</v>
      </c>
      <c r="CM30" s="40" t="s">
        <v>48</v>
      </c>
      <c r="CN30" s="40" t="s">
        <v>48</v>
      </c>
      <c r="CO30" s="40" t="s">
        <v>48</v>
      </c>
      <c r="CP30" s="40" t="s">
        <v>48</v>
      </c>
      <c r="CQ30" s="40" t="s">
        <v>48</v>
      </c>
      <c r="CR30" s="40" t="s">
        <v>48</v>
      </c>
      <c r="CS30" s="40" t="s">
        <v>48</v>
      </c>
      <c r="CT30" s="40" t="s">
        <v>48</v>
      </c>
      <c r="CU30" s="40" t="s">
        <v>48</v>
      </c>
      <c r="CV30" s="40" t="s">
        <v>48</v>
      </c>
    </row>
    <row r="31" spans="1:100" x14ac:dyDescent="0.35">
      <c r="A31" s="12">
        <v>24</v>
      </c>
      <c r="B31" s="33"/>
      <c r="C31" s="38" t="str">
        <f>Notes!W32</f>
        <v xml:space="preserve">               </v>
      </c>
      <c r="D31" s="4" t="s">
        <v>620</v>
      </c>
      <c r="E31" s="44"/>
      <c r="F31" s="42" t="s">
        <v>48</v>
      </c>
      <c r="G31" s="40" t="s">
        <v>48</v>
      </c>
      <c r="H31" s="40" t="s">
        <v>48</v>
      </c>
      <c r="I31" s="40" t="s">
        <v>48</v>
      </c>
      <c r="J31" s="40" t="s">
        <v>48</v>
      </c>
      <c r="K31" s="40" t="s">
        <v>48</v>
      </c>
      <c r="L31" s="40" t="s">
        <v>48</v>
      </c>
      <c r="M31" s="40" t="s">
        <v>48</v>
      </c>
      <c r="N31" s="40" t="s">
        <v>48</v>
      </c>
      <c r="O31" s="40" t="s">
        <v>48</v>
      </c>
      <c r="P31" s="40" t="s">
        <v>48</v>
      </c>
      <c r="Q31" s="40" t="s">
        <v>48</v>
      </c>
      <c r="R31" s="40" t="s">
        <v>48</v>
      </c>
      <c r="S31" s="40" t="s">
        <v>48</v>
      </c>
      <c r="T31" s="40" t="s">
        <v>48</v>
      </c>
      <c r="V31" s="33"/>
      <c r="W31" s="38" t="str">
        <f>Notes!W32</f>
        <v xml:space="preserve">               </v>
      </c>
      <c r="X31" s="4" t="s">
        <v>620</v>
      </c>
      <c r="Y31" s="44"/>
      <c r="Z31" s="42"/>
      <c r="AA31" s="40"/>
      <c r="AB31" s="40"/>
      <c r="AC31" s="40"/>
      <c r="AD31" s="40"/>
      <c r="AE31" s="40"/>
      <c r="AF31" s="40"/>
      <c r="AG31" s="40"/>
      <c r="AH31" s="40" t="s">
        <v>48</v>
      </c>
      <c r="AI31" s="40" t="s">
        <v>48</v>
      </c>
      <c r="AJ31" s="40" t="s">
        <v>48</v>
      </c>
      <c r="AK31" s="40" t="s">
        <v>48</v>
      </c>
      <c r="AL31" s="40" t="s">
        <v>48</v>
      </c>
      <c r="AM31" s="40" t="s">
        <v>48</v>
      </c>
      <c r="AN31" s="40" t="s">
        <v>48</v>
      </c>
      <c r="AP31" s="33"/>
      <c r="AQ31" s="38" t="str">
        <f>Notes!U32</f>
        <v xml:space="preserve">               Bananas and plantains</v>
      </c>
      <c r="AR31" s="4" t="s">
        <v>481</v>
      </c>
      <c r="AS31" s="44" t="s">
        <v>48</v>
      </c>
      <c r="AT31" s="42" t="s">
        <v>48</v>
      </c>
      <c r="AU31" s="40" t="s">
        <v>48</v>
      </c>
      <c r="AV31" s="40" t="s">
        <v>48</v>
      </c>
      <c r="AW31" s="40" t="s">
        <v>48</v>
      </c>
      <c r="AX31" s="40" t="s">
        <v>48</v>
      </c>
      <c r="AY31" s="40" t="s">
        <v>48</v>
      </c>
      <c r="AZ31" s="40" t="s">
        <v>48</v>
      </c>
      <c r="BA31" s="40" t="s">
        <v>48</v>
      </c>
      <c r="BB31" s="40" t="s">
        <v>48</v>
      </c>
      <c r="BC31" s="40" t="s">
        <v>48</v>
      </c>
      <c r="BD31" s="40" t="s">
        <v>48</v>
      </c>
      <c r="BE31" s="40" t="s">
        <v>48</v>
      </c>
      <c r="BF31" s="40" t="s">
        <v>48</v>
      </c>
      <c r="BG31" s="40" t="s">
        <v>48</v>
      </c>
      <c r="BH31" s="40" t="s">
        <v>48</v>
      </c>
      <c r="BJ31" s="33"/>
      <c r="BK31" s="38" t="str">
        <f>Notes!W32</f>
        <v xml:space="preserve">               </v>
      </c>
      <c r="BL31" s="4" t="s">
        <v>620</v>
      </c>
      <c r="BM31" s="44">
        <v>8.9884947587920319E-4</v>
      </c>
      <c r="BN31" s="42" t="s">
        <v>48</v>
      </c>
      <c r="BO31" s="40" t="s">
        <v>48</v>
      </c>
      <c r="BP31" s="40" t="s">
        <v>48</v>
      </c>
      <c r="BQ31" s="40" t="s">
        <v>48</v>
      </c>
      <c r="BR31" s="40" t="s">
        <v>48</v>
      </c>
      <c r="BS31" s="40" t="s">
        <v>48</v>
      </c>
      <c r="BT31" s="40" t="s">
        <v>48</v>
      </c>
      <c r="BU31" s="40" t="s">
        <v>48</v>
      </c>
      <c r="BV31" s="40" t="s">
        <v>48</v>
      </c>
      <c r="BW31" s="40" t="s">
        <v>48</v>
      </c>
      <c r="BX31" s="40" t="s">
        <v>48</v>
      </c>
      <c r="BY31" s="40" t="s">
        <v>48</v>
      </c>
      <c r="BZ31" s="40" t="s">
        <v>48</v>
      </c>
      <c r="CA31" s="40" t="s">
        <v>48</v>
      </c>
      <c r="CB31" s="40" t="s">
        <v>48</v>
      </c>
      <c r="CD31" s="33"/>
      <c r="CE31" s="38" t="str">
        <f>Notes!W32</f>
        <v xml:space="preserve">               </v>
      </c>
      <c r="CF31" s="4" t="s">
        <v>620</v>
      </c>
      <c r="CG31" s="44">
        <v>8.1111400567443093E-2</v>
      </c>
      <c r="CH31" s="42" t="s">
        <v>48</v>
      </c>
      <c r="CI31" s="40" t="s">
        <v>48</v>
      </c>
      <c r="CJ31" s="40" t="s">
        <v>48</v>
      </c>
      <c r="CK31" s="40" t="s">
        <v>48</v>
      </c>
      <c r="CL31" s="40" t="s">
        <v>48</v>
      </c>
      <c r="CM31" s="40" t="s">
        <v>48</v>
      </c>
      <c r="CN31" s="40" t="s">
        <v>48</v>
      </c>
      <c r="CO31" s="40" t="s">
        <v>48</v>
      </c>
      <c r="CP31" s="40" t="s">
        <v>48</v>
      </c>
      <c r="CQ31" s="40" t="s">
        <v>48</v>
      </c>
      <c r="CR31" s="40" t="s">
        <v>48</v>
      </c>
      <c r="CS31" s="40" t="s">
        <v>48</v>
      </c>
      <c r="CT31" s="40" t="s">
        <v>48</v>
      </c>
      <c r="CU31" s="40" t="s">
        <v>48</v>
      </c>
      <c r="CV31" s="40" t="s">
        <v>48</v>
      </c>
    </row>
    <row r="32" spans="1:100" x14ac:dyDescent="0.35">
      <c r="A32" s="12">
        <v>25</v>
      </c>
      <c r="B32" s="33"/>
      <c r="C32" s="38" t="str">
        <f>Notes!W33</f>
        <v xml:space="preserve">               </v>
      </c>
      <c r="D32" s="4" t="s">
        <v>621</v>
      </c>
      <c r="E32" s="44"/>
      <c r="F32" s="42" t="s">
        <v>48</v>
      </c>
      <c r="G32" s="40" t="s">
        <v>48</v>
      </c>
      <c r="H32" s="40" t="s">
        <v>48</v>
      </c>
      <c r="I32" s="40" t="s">
        <v>48</v>
      </c>
      <c r="J32" s="40" t="s">
        <v>48</v>
      </c>
      <c r="K32" s="40" t="s">
        <v>48</v>
      </c>
      <c r="L32" s="40" t="s">
        <v>48</v>
      </c>
      <c r="M32" s="40" t="s">
        <v>48</v>
      </c>
      <c r="N32" s="40" t="s">
        <v>48</v>
      </c>
      <c r="O32" s="40" t="s">
        <v>48</v>
      </c>
      <c r="P32" s="40" t="s">
        <v>48</v>
      </c>
      <c r="Q32" s="40" t="s">
        <v>48</v>
      </c>
      <c r="R32" s="40" t="s">
        <v>48</v>
      </c>
      <c r="S32" s="40" t="s">
        <v>48</v>
      </c>
      <c r="T32" s="40" t="s">
        <v>48</v>
      </c>
      <c r="V32" s="33"/>
      <c r="W32" s="38" t="str">
        <f>Notes!W33</f>
        <v xml:space="preserve">               </v>
      </c>
      <c r="X32" s="4" t="s">
        <v>621</v>
      </c>
      <c r="Y32" s="44"/>
      <c r="Z32" s="42"/>
      <c r="AA32" s="40"/>
      <c r="AB32" s="40"/>
      <c r="AC32" s="40"/>
      <c r="AD32" s="40"/>
      <c r="AE32" s="40"/>
      <c r="AF32" s="40"/>
      <c r="AG32" s="40"/>
      <c r="AH32" s="40" t="s">
        <v>48</v>
      </c>
      <c r="AI32" s="40" t="s">
        <v>48</v>
      </c>
      <c r="AJ32" s="40" t="s">
        <v>48</v>
      </c>
      <c r="AK32" s="40" t="s">
        <v>48</v>
      </c>
      <c r="AL32" s="40" t="s">
        <v>48</v>
      </c>
      <c r="AM32" s="40" t="s">
        <v>48</v>
      </c>
      <c r="AN32" s="40" t="s">
        <v>48</v>
      </c>
      <c r="AP32" s="33"/>
      <c r="AQ32" s="38" t="str">
        <f>Notes!U33</f>
        <v xml:space="preserve">               Bananas and plantains</v>
      </c>
      <c r="AR32" s="4" t="s">
        <v>323</v>
      </c>
      <c r="AS32" s="44" t="s">
        <v>48</v>
      </c>
      <c r="AT32" s="42" t="s">
        <v>48</v>
      </c>
      <c r="AU32" s="40" t="s">
        <v>48</v>
      </c>
      <c r="AV32" s="40" t="s">
        <v>48</v>
      </c>
      <c r="AW32" s="40" t="s">
        <v>48</v>
      </c>
      <c r="AX32" s="40" t="s">
        <v>48</v>
      </c>
      <c r="AY32" s="40" t="s">
        <v>48</v>
      </c>
      <c r="AZ32" s="40" t="s">
        <v>48</v>
      </c>
      <c r="BA32" s="40" t="s">
        <v>48</v>
      </c>
      <c r="BB32" s="40" t="s">
        <v>48</v>
      </c>
      <c r="BC32" s="40" t="s">
        <v>48</v>
      </c>
      <c r="BD32" s="40" t="s">
        <v>48</v>
      </c>
      <c r="BE32" s="40" t="s">
        <v>48</v>
      </c>
      <c r="BF32" s="40" t="s">
        <v>48</v>
      </c>
      <c r="BG32" s="40" t="s">
        <v>48</v>
      </c>
      <c r="BH32" s="40" t="s">
        <v>48</v>
      </c>
      <c r="BJ32" s="33"/>
      <c r="BK32" s="38" t="str">
        <f>Notes!W33</f>
        <v xml:space="preserve">               </v>
      </c>
      <c r="BL32" s="4" t="s">
        <v>621</v>
      </c>
      <c r="BM32" s="44">
        <v>1.8217100065040426E-3</v>
      </c>
      <c r="BN32" s="42" t="s">
        <v>48</v>
      </c>
      <c r="BO32" s="40" t="s">
        <v>48</v>
      </c>
      <c r="BP32" s="40" t="s">
        <v>48</v>
      </c>
      <c r="BQ32" s="40" t="s">
        <v>48</v>
      </c>
      <c r="BR32" s="40" t="s">
        <v>48</v>
      </c>
      <c r="BS32" s="40" t="s">
        <v>48</v>
      </c>
      <c r="BT32" s="40" t="s">
        <v>48</v>
      </c>
      <c r="BU32" s="40" t="s">
        <v>48</v>
      </c>
      <c r="BV32" s="40" t="s">
        <v>48</v>
      </c>
      <c r="BW32" s="40" t="s">
        <v>48</v>
      </c>
      <c r="BX32" s="40" t="s">
        <v>48</v>
      </c>
      <c r="BY32" s="40" t="s">
        <v>48</v>
      </c>
      <c r="BZ32" s="40" t="s">
        <v>48</v>
      </c>
      <c r="CA32" s="40" t="s">
        <v>48</v>
      </c>
      <c r="CB32" s="40" t="s">
        <v>48</v>
      </c>
      <c r="CD32" s="33"/>
      <c r="CE32" s="38" t="str">
        <f>Notes!W33</f>
        <v xml:space="preserve">               </v>
      </c>
      <c r="CF32" s="4" t="s">
        <v>621</v>
      </c>
      <c r="CG32" s="44">
        <v>8.8247131241799989E-2</v>
      </c>
      <c r="CH32" s="42" t="s">
        <v>48</v>
      </c>
      <c r="CI32" s="40" t="s">
        <v>48</v>
      </c>
      <c r="CJ32" s="40" t="s">
        <v>48</v>
      </c>
      <c r="CK32" s="40" t="s">
        <v>48</v>
      </c>
      <c r="CL32" s="40" t="s">
        <v>48</v>
      </c>
      <c r="CM32" s="40" t="s">
        <v>48</v>
      </c>
      <c r="CN32" s="40" t="s">
        <v>48</v>
      </c>
      <c r="CO32" s="40" t="s">
        <v>48</v>
      </c>
      <c r="CP32" s="40" t="s">
        <v>48</v>
      </c>
      <c r="CQ32" s="40" t="s">
        <v>48</v>
      </c>
      <c r="CR32" s="40" t="s">
        <v>48</v>
      </c>
      <c r="CS32" s="40" t="s">
        <v>48</v>
      </c>
      <c r="CT32" s="40" t="s">
        <v>48</v>
      </c>
      <c r="CU32" s="40" t="s">
        <v>48</v>
      </c>
      <c r="CV32" s="40" t="s">
        <v>48</v>
      </c>
    </row>
    <row r="33" spans="1:100" x14ac:dyDescent="0.35">
      <c r="A33" s="12">
        <v>26</v>
      </c>
      <c r="B33" s="33"/>
      <c r="C33" s="38" t="str">
        <f>Notes!W34</f>
        <v xml:space="preserve">               </v>
      </c>
      <c r="D33" s="4" t="s">
        <v>622</v>
      </c>
      <c r="E33" s="44"/>
      <c r="F33" s="42" t="s">
        <v>48</v>
      </c>
      <c r="G33" s="40" t="s">
        <v>48</v>
      </c>
      <c r="H33" s="40" t="s">
        <v>48</v>
      </c>
      <c r="I33" s="40" t="s">
        <v>48</v>
      </c>
      <c r="J33" s="40" t="s">
        <v>48</v>
      </c>
      <c r="K33" s="40" t="s">
        <v>48</v>
      </c>
      <c r="L33" s="40" t="s">
        <v>48</v>
      </c>
      <c r="M33" s="40" t="s">
        <v>48</v>
      </c>
      <c r="N33" s="40" t="s">
        <v>48</v>
      </c>
      <c r="O33" s="40" t="s">
        <v>48</v>
      </c>
      <c r="P33" s="40" t="s">
        <v>48</v>
      </c>
      <c r="Q33" s="40" t="s">
        <v>48</v>
      </c>
      <c r="R33" s="40" t="s">
        <v>48</v>
      </c>
      <c r="S33" s="40" t="s">
        <v>48</v>
      </c>
      <c r="T33" s="40" t="s">
        <v>48</v>
      </c>
      <c r="V33" s="33"/>
      <c r="W33" s="38" t="str">
        <f>Notes!W34</f>
        <v xml:space="preserve">               </v>
      </c>
      <c r="X33" s="4" t="s">
        <v>622</v>
      </c>
      <c r="Y33" s="44"/>
      <c r="Z33" s="42"/>
      <c r="AA33" s="40"/>
      <c r="AB33" s="40"/>
      <c r="AC33" s="40"/>
      <c r="AD33" s="40"/>
      <c r="AE33" s="40"/>
      <c r="AF33" s="40"/>
      <c r="AG33" s="40"/>
      <c r="AH33" s="40" t="s">
        <v>48</v>
      </c>
      <c r="AI33" s="40" t="s">
        <v>48</v>
      </c>
      <c r="AJ33" s="40" t="s">
        <v>48</v>
      </c>
      <c r="AK33" s="40" t="s">
        <v>48</v>
      </c>
      <c r="AL33" s="40" t="s">
        <v>48</v>
      </c>
      <c r="AM33" s="40" t="s">
        <v>48</v>
      </c>
      <c r="AN33" s="40" t="s">
        <v>48</v>
      </c>
      <c r="AP33" s="33"/>
      <c r="AQ33" s="38" t="str">
        <f>Notes!U34</f>
        <v xml:space="preserve">               Other fruits</v>
      </c>
      <c r="AR33" s="4" t="s">
        <v>321</v>
      </c>
      <c r="AS33" s="44">
        <v>1.276134683757143E-15</v>
      </c>
      <c r="AT33" s="42" t="s">
        <v>48</v>
      </c>
      <c r="AU33" s="40" t="s">
        <v>48</v>
      </c>
      <c r="AV33" s="40" t="s">
        <v>48</v>
      </c>
      <c r="AW33" s="40" t="s">
        <v>48</v>
      </c>
      <c r="AX33" s="40" t="s">
        <v>48</v>
      </c>
      <c r="AY33" s="40" t="s">
        <v>48</v>
      </c>
      <c r="AZ33" s="40" t="s">
        <v>48</v>
      </c>
      <c r="BA33" s="40" t="s">
        <v>48</v>
      </c>
      <c r="BB33" s="40" t="s">
        <v>48</v>
      </c>
      <c r="BC33" s="40" t="s">
        <v>48</v>
      </c>
      <c r="BD33" s="40" t="s">
        <v>48</v>
      </c>
      <c r="BE33" s="40" t="s">
        <v>48</v>
      </c>
      <c r="BF33" s="40" t="s">
        <v>48</v>
      </c>
      <c r="BG33" s="40" t="s">
        <v>48</v>
      </c>
      <c r="BH33" s="40" t="s">
        <v>48</v>
      </c>
      <c r="BJ33" s="33"/>
      <c r="BK33" s="38" t="str">
        <f>Notes!W34</f>
        <v xml:space="preserve">               </v>
      </c>
      <c r="BL33" s="4" t="s">
        <v>622</v>
      </c>
      <c r="BM33" s="44">
        <v>2.7809481427918353E-3</v>
      </c>
      <c r="BN33" s="42" t="s">
        <v>48</v>
      </c>
      <c r="BO33" s="40" t="s">
        <v>48</v>
      </c>
      <c r="BP33" s="40" t="s">
        <v>48</v>
      </c>
      <c r="BQ33" s="40" t="s">
        <v>48</v>
      </c>
      <c r="BR33" s="40" t="s">
        <v>48</v>
      </c>
      <c r="BS33" s="40" t="s">
        <v>48</v>
      </c>
      <c r="BT33" s="40" t="s">
        <v>48</v>
      </c>
      <c r="BU33" s="40" t="s">
        <v>48</v>
      </c>
      <c r="BV33" s="40" t="s">
        <v>48</v>
      </c>
      <c r="BW33" s="40" t="s">
        <v>48</v>
      </c>
      <c r="BX33" s="40" t="s">
        <v>48</v>
      </c>
      <c r="BY33" s="40" t="s">
        <v>48</v>
      </c>
      <c r="BZ33" s="40" t="s">
        <v>48</v>
      </c>
      <c r="CA33" s="40" t="s">
        <v>48</v>
      </c>
      <c r="CB33" s="40" t="s">
        <v>48</v>
      </c>
      <c r="CD33" s="33"/>
      <c r="CE33" s="38" t="str">
        <f>Notes!W34</f>
        <v xml:space="preserve">               </v>
      </c>
      <c r="CF33" s="4" t="s">
        <v>622</v>
      </c>
      <c r="CG33" s="44">
        <v>0.30439362114373891</v>
      </c>
      <c r="CH33" s="42" t="s">
        <v>48</v>
      </c>
      <c r="CI33" s="40" t="s">
        <v>48</v>
      </c>
      <c r="CJ33" s="40" t="s">
        <v>48</v>
      </c>
      <c r="CK33" s="40" t="s">
        <v>48</v>
      </c>
      <c r="CL33" s="40" t="s">
        <v>48</v>
      </c>
      <c r="CM33" s="40" t="s">
        <v>48</v>
      </c>
      <c r="CN33" s="40" t="s">
        <v>48</v>
      </c>
      <c r="CO33" s="40" t="s">
        <v>48</v>
      </c>
      <c r="CP33" s="40" t="s">
        <v>48</v>
      </c>
      <c r="CQ33" s="40" t="s">
        <v>48</v>
      </c>
      <c r="CR33" s="40" t="s">
        <v>48</v>
      </c>
      <c r="CS33" s="40" t="s">
        <v>48</v>
      </c>
      <c r="CT33" s="40" t="s">
        <v>48</v>
      </c>
      <c r="CU33" s="40" t="s">
        <v>48</v>
      </c>
      <c r="CV33" s="40" t="s">
        <v>48</v>
      </c>
    </row>
    <row r="34" spans="1:100" x14ac:dyDescent="0.35">
      <c r="A34" s="12">
        <v>27</v>
      </c>
      <c r="B34" s="33"/>
      <c r="C34" s="38" t="str">
        <f>Notes!W35</f>
        <v xml:space="preserve">               </v>
      </c>
      <c r="D34" s="4" t="s">
        <v>623</v>
      </c>
      <c r="E34" s="44"/>
      <c r="F34" s="42" t="s">
        <v>48</v>
      </c>
      <c r="G34" s="40" t="s">
        <v>48</v>
      </c>
      <c r="H34" s="40" t="s">
        <v>48</v>
      </c>
      <c r="I34" s="40" t="s">
        <v>48</v>
      </c>
      <c r="J34" s="40" t="s">
        <v>48</v>
      </c>
      <c r="K34" s="40" t="s">
        <v>48</v>
      </c>
      <c r="L34" s="40" t="s">
        <v>48</v>
      </c>
      <c r="M34" s="40" t="s">
        <v>48</v>
      </c>
      <c r="N34" s="40" t="s">
        <v>48</v>
      </c>
      <c r="O34" s="40" t="s">
        <v>48</v>
      </c>
      <c r="P34" s="40" t="s">
        <v>48</v>
      </c>
      <c r="Q34" s="40" t="s">
        <v>48</v>
      </c>
      <c r="R34" s="40" t="s">
        <v>48</v>
      </c>
      <c r="S34" s="40" t="s">
        <v>48</v>
      </c>
      <c r="T34" s="40" t="s">
        <v>48</v>
      </c>
      <c r="V34" s="33"/>
      <c r="W34" s="38" t="str">
        <f>Notes!W35</f>
        <v xml:space="preserve">               </v>
      </c>
      <c r="X34" s="4" t="s">
        <v>623</v>
      </c>
      <c r="Y34" s="44"/>
      <c r="Z34" s="42"/>
      <c r="AA34" s="40"/>
      <c r="AB34" s="40"/>
      <c r="AC34" s="40"/>
      <c r="AD34" s="40"/>
      <c r="AE34" s="40"/>
      <c r="AF34" s="40"/>
      <c r="AG34" s="40"/>
      <c r="AH34" s="40" t="s">
        <v>48</v>
      </c>
      <c r="AI34" s="40" t="s">
        <v>48</v>
      </c>
      <c r="AJ34" s="40" t="s">
        <v>48</v>
      </c>
      <c r="AK34" s="40" t="s">
        <v>48</v>
      </c>
      <c r="AL34" s="40" t="s">
        <v>48</v>
      </c>
      <c r="AM34" s="40" t="s">
        <v>48</v>
      </c>
      <c r="AN34" s="40" t="s">
        <v>48</v>
      </c>
      <c r="AP34" s="33"/>
      <c r="AQ34" s="38" t="str">
        <f>Notes!U35</f>
        <v xml:space="preserve">               Leaf tea</v>
      </c>
      <c r="AR34" s="4" t="s">
        <v>704</v>
      </c>
      <c r="AS34" s="44">
        <v>9.9862677092191834E-2</v>
      </c>
      <c r="AT34" s="42" t="s">
        <v>48</v>
      </c>
      <c r="AU34" s="40" t="s">
        <v>48</v>
      </c>
      <c r="AV34" s="40" t="s">
        <v>48</v>
      </c>
      <c r="AW34" s="40" t="s">
        <v>48</v>
      </c>
      <c r="AX34" s="40" t="s">
        <v>48</v>
      </c>
      <c r="AY34" s="40" t="s">
        <v>48</v>
      </c>
      <c r="AZ34" s="40" t="s">
        <v>48</v>
      </c>
      <c r="BA34" s="40" t="s">
        <v>48</v>
      </c>
      <c r="BB34" s="40" t="s">
        <v>48</v>
      </c>
      <c r="BC34" s="40" t="s">
        <v>48</v>
      </c>
      <c r="BD34" s="40" t="s">
        <v>48</v>
      </c>
      <c r="BE34" s="40" t="s">
        <v>48</v>
      </c>
      <c r="BF34" s="40" t="s">
        <v>48</v>
      </c>
      <c r="BG34" s="40" t="s">
        <v>48</v>
      </c>
      <c r="BH34" s="40" t="s">
        <v>48</v>
      </c>
      <c r="BJ34" s="33"/>
      <c r="BK34" s="38" t="str">
        <f>Notes!W35</f>
        <v xml:space="preserve">               </v>
      </c>
      <c r="BL34" s="4" t="s">
        <v>623</v>
      </c>
      <c r="BM34" s="44">
        <v>2.9355909217977896E-3</v>
      </c>
      <c r="BN34" s="42" t="s">
        <v>48</v>
      </c>
      <c r="BO34" s="40" t="s">
        <v>48</v>
      </c>
      <c r="BP34" s="40" t="s">
        <v>48</v>
      </c>
      <c r="BQ34" s="40" t="s">
        <v>48</v>
      </c>
      <c r="BR34" s="40" t="s">
        <v>48</v>
      </c>
      <c r="BS34" s="40" t="s">
        <v>48</v>
      </c>
      <c r="BT34" s="40" t="s">
        <v>48</v>
      </c>
      <c r="BU34" s="40" t="s">
        <v>48</v>
      </c>
      <c r="BV34" s="40" t="s">
        <v>48</v>
      </c>
      <c r="BW34" s="40" t="s">
        <v>48</v>
      </c>
      <c r="BX34" s="40" t="s">
        <v>48</v>
      </c>
      <c r="BY34" s="40" t="s">
        <v>48</v>
      </c>
      <c r="BZ34" s="40" t="s">
        <v>48</v>
      </c>
      <c r="CA34" s="40" t="s">
        <v>48</v>
      </c>
      <c r="CB34" s="40" t="s">
        <v>48</v>
      </c>
      <c r="CD34" s="33"/>
      <c r="CE34" s="38" t="str">
        <f>Notes!W35</f>
        <v xml:space="preserve">               </v>
      </c>
      <c r="CF34" s="4" t="s">
        <v>623</v>
      </c>
      <c r="CG34" s="44">
        <v>0.23992902091475318</v>
      </c>
      <c r="CH34" s="42" t="s">
        <v>48</v>
      </c>
      <c r="CI34" s="40" t="s">
        <v>48</v>
      </c>
      <c r="CJ34" s="40" t="s">
        <v>48</v>
      </c>
      <c r="CK34" s="40" t="s">
        <v>48</v>
      </c>
      <c r="CL34" s="40" t="s">
        <v>48</v>
      </c>
      <c r="CM34" s="40" t="s">
        <v>48</v>
      </c>
      <c r="CN34" s="40" t="s">
        <v>48</v>
      </c>
      <c r="CO34" s="40" t="s">
        <v>48</v>
      </c>
      <c r="CP34" s="40" t="s">
        <v>48</v>
      </c>
      <c r="CQ34" s="40" t="s">
        <v>48</v>
      </c>
      <c r="CR34" s="40" t="s">
        <v>48</v>
      </c>
      <c r="CS34" s="40" t="s">
        <v>48</v>
      </c>
      <c r="CT34" s="40" t="s">
        <v>48</v>
      </c>
      <c r="CU34" s="40" t="s">
        <v>48</v>
      </c>
      <c r="CV34" s="40" t="s">
        <v>48</v>
      </c>
    </row>
    <row r="35" spans="1:100" x14ac:dyDescent="0.35">
      <c r="A35" s="12">
        <v>28</v>
      </c>
      <c r="B35" s="33"/>
      <c r="C35" s="38" t="str">
        <f>Notes!W36</f>
        <v xml:space="preserve">               </v>
      </c>
      <c r="D35" s="4" t="s">
        <v>624</v>
      </c>
      <c r="E35" s="44"/>
      <c r="F35" s="42" t="s">
        <v>48</v>
      </c>
      <c r="G35" s="40" t="s">
        <v>48</v>
      </c>
      <c r="H35" s="40" t="s">
        <v>48</v>
      </c>
      <c r="I35" s="40" t="s">
        <v>48</v>
      </c>
      <c r="J35" s="40" t="s">
        <v>48</v>
      </c>
      <c r="K35" s="40" t="s">
        <v>48</v>
      </c>
      <c r="L35" s="40" t="s">
        <v>48</v>
      </c>
      <c r="M35" s="40" t="s">
        <v>48</v>
      </c>
      <c r="N35" s="40" t="s">
        <v>48</v>
      </c>
      <c r="O35" s="40" t="s">
        <v>48</v>
      </c>
      <c r="P35" s="40" t="s">
        <v>48</v>
      </c>
      <c r="Q35" s="40" t="s">
        <v>48</v>
      </c>
      <c r="R35" s="40" t="s">
        <v>48</v>
      </c>
      <c r="S35" s="40" t="s">
        <v>48</v>
      </c>
      <c r="T35" s="40" t="s">
        <v>48</v>
      </c>
      <c r="V35" s="33"/>
      <c r="W35" s="38" t="str">
        <f>Notes!W36</f>
        <v xml:space="preserve">               </v>
      </c>
      <c r="X35" s="4" t="s">
        <v>624</v>
      </c>
      <c r="Y35" s="44"/>
      <c r="Z35" s="42"/>
      <c r="AA35" s="40"/>
      <c r="AB35" s="40"/>
      <c r="AC35" s="40"/>
      <c r="AD35" s="40"/>
      <c r="AE35" s="40"/>
      <c r="AF35" s="40"/>
      <c r="AG35" s="40"/>
      <c r="AH35" s="40" t="s">
        <v>48</v>
      </c>
      <c r="AI35" s="40" t="s">
        <v>48</v>
      </c>
      <c r="AJ35" s="40" t="s">
        <v>48</v>
      </c>
      <c r="AK35" s="40" t="s">
        <v>48</v>
      </c>
      <c r="AL35" s="40" t="s">
        <v>48</v>
      </c>
      <c r="AM35" s="40" t="s">
        <v>48</v>
      </c>
      <c r="AN35" s="40" t="s">
        <v>48</v>
      </c>
      <c r="AP35" s="33"/>
      <c r="AQ35" s="38" t="str">
        <f>Notes!U36</f>
        <v xml:space="preserve">               Coffee</v>
      </c>
      <c r="AR35" s="4" t="s">
        <v>328</v>
      </c>
      <c r="AS35" s="44">
        <v>0.13526434596971901</v>
      </c>
      <c r="AT35" s="42" t="s">
        <v>48</v>
      </c>
      <c r="AU35" s="40" t="s">
        <v>48</v>
      </c>
      <c r="AV35" s="40" t="s">
        <v>48</v>
      </c>
      <c r="AW35" s="40" t="s">
        <v>48</v>
      </c>
      <c r="AX35" s="40" t="s">
        <v>48</v>
      </c>
      <c r="AY35" s="40" t="s">
        <v>48</v>
      </c>
      <c r="AZ35" s="40" t="s">
        <v>48</v>
      </c>
      <c r="BA35" s="40" t="s">
        <v>48</v>
      </c>
      <c r="BB35" s="40" t="s">
        <v>48</v>
      </c>
      <c r="BC35" s="40" t="s">
        <v>48</v>
      </c>
      <c r="BD35" s="40" t="s">
        <v>48</v>
      </c>
      <c r="BE35" s="40" t="s">
        <v>48</v>
      </c>
      <c r="BF35" s="40" t="s">
        <v>48</v>
      </c>
      <c r="BG35" s="40" t="s">
        <v>48</v>
      </c>
      <c r="BH35" s="40" t="s">
        <v>48</v>
      </c>
      <c r="BJ35" s="33"/>
      <c r="BK35" s="38" t="str">
        <f>Notes!W36</f>
        <v xml:space="preserve">               </v>
      </c>
      <c r="BL35" s="4" t="s">
        <v>624</v>
      </c>
      <c r="BM35" s="44">
        <v>6.0844428055494013E-3</v>
      </c>
      <c r="BN35" s="42" t="s">
        <v>48</v>
      </c>
      <c r="BO35" s="40" t="s">
        <v>48</v>
      </c>
      <c r="BP35" s="40" t="s">
        <v>48</v>
      </c>
      <c r="BQ35" s="40" t="s">
        <v>48</v>
      </c>
      <c r="BR35" s="40" t="s">
        <v>48</v>
      </c>
      <c r="BS35" s="40" t="s">
        <v>48</v>
      </c>
      <c r="BT35" s="40" t="s">
        <v>48</v>
      </c>
      <c r="BU35" s="40" t="s">
        <v>48</v>
      </c>
      <c r="BV35" s="40" t="s">
        <v>48</v>
      </c>
      <c r="BW35" s="40" t="s">
        <v>48</v>
      </c>
      <c r="BX35" s="40" t="s">
        <v>48</v>
      </c>
      <c r="BY35" s="40" t="s">
        <v>48</v>
      </c>
      <c r="BZ35" s="40" t="s">
        <v>48</v>
      </c>
      <c r="CA35" s="40" t="s">
        <v>48</v>
      </c>
      <c r="CB35" s="40" t="s">
        <v>48</v>
      </c>
      <c r="CD35" s="33"/>
      <c r="CE35" s="38" t="str">
        <f>Notes!W36</f>
        <v xml:space="preserve">               </v>
      </c>
      <c r="CF35" s="4" t="s">
        <v>624</v>
      </c>
      <c r="CG35" s="44">
        <v>0.34916279113549281</v>
      </c>
      <c r="CH35" s="42" t="s">
        <v>48</v>
      </c>
      <c r="CI35" s="40" t="s">
        <v>48</v>
      </c>
      <c r="CJ35" s="40" t="s">
        <v>48</v>
      </c>
      <c r="CK35" s="40" t="s">
        <v>48</v>
      </c>
      <c r="CL35" s="40" t="s">
        <v>48</v>
      </c>
      <c r="CM35" s="40" t="s">
        <v>48</v>
      </c>
      <c r="CN35" s="40" t="s">
        <v>48</v>
      </c>
      <c r="CO35" s="40" t="s">
        <v>48</v>
      </c>
      <c r="CP35" s="40" t="s">
        <v>48</v>
      </c>
      <c r="CQ35" s="40" t="s">
        <v>48</v>
      </c>
      <c r="CR35" s="40" t="s">
        <v>48</v>
      </c>
      <c r="CS35" s="40" t="s">
        <v>48</v>
      </c>
      <c r="CT35" s="40" t="s">
        <v>48</v>
      </c>
      <c r="CU35" s="40" t="s">
        <v>48</v>
      </c>
      <c r="CV35" s="40" t="s">
        <v>48</v>
      </c>
    </row>
    <row r="36" spans="1:100" x14ac:dyDescent="0.35">
      <c r="A36" s="12">
        <v>29</v>
      </c>
      <c r="B36" s="33"/>
      <c r="C36" s="38" t="str">
        <f>Notes!W37</f>
        <v xml:space="preserve">               </v>
      </c>
      <c r="D36" s="4" t="s">
        <v>625</v>
      </c>
      <c r="E36" s="44"/>
      <c r="F36" s="42" t="s">
        <v>48</v>
      </c>
      <c r="G36" s="40" t="s">
        <v>48</v>
      </c>
      <c r="H36" s="40" t="s">
        <v>48</v>
      </c>
      <c r="I36" s="40" t="s">
        <v>48</v>
      </c>
      <c r="J36" s="40" t="s">
        <v>48</v>
      </c>
      <c r="K36" s="40" t="s">
        <v>48</v>
      </c>
      <c r="L36" s="40" t="s">
        <v>48</v>
      </c>
      <c r="M36" s="40" t="s">
        <v>48</v>
      </c>
      <c r="N36" s="40" t="s">
        <v>48</v>
      </c>
      <c r="O36" s="40" t="s">
        <v>48</v>
      </c>
      <c r="P36" s="40" t="s">
        <v>48</v>
      </c>
      <c r="Q36" s="40" t="s">
        <v>48</v>
      </c>
      <c r="R36" s="40" t="s">
        <v>48</v>
      </c>
      <c r="S36" s="40" t="s">
        <v>48</v>
      </c>
      <c r="T36" s="40" t="s">
        <v>48</v>
      </c>
      <c r="V36" s="33"/>
      <c r="W36" s="38" t="str">
        <f>Notes!W37</f>
        <v xml:space="preserve">               </v>
      </c>
      <c r="X36" s="4" t="s">
        <v>625</v>
      </c>
      <c r="Y36" s="44"/>
      <c r="Z36" s="42"/>
      <c r="AA36" s="40"/>
      <c r="AB36" s="40"/>
      <c r="AC36" s="40"/>
      <c r="AD36" s="40"/>
      <c r="AE36" s="40"/>
      <c r="AF36" s="40"/>
      <c r="AG36" s="40"/>
      <c r="AH36" s="40" t="s">
        <v>48</v>
      </c>
      <c r="AI36" s="40" t="s">
        <v>48</v>
      </c>
      <c r="AJ36" s="40" t="s">
        <v>48</v>
      </c>
      <c r="AK36" s="40" t="s">
        <v>48</v>
      </c>
      <c r="AL36" s="40" t="s">
        <v>48</v>
      </c>
      <c r="AM36" s="40" t="s">
        <v>48</v>
      </c>
      <c r="AN36" s="40" t="s">
        <v>48</v>
      </c>
      <c r="AP36" s="33"/>
      <c r="AQ36" s="38" t="str">
        <f>Notes!U37</f>
        <v xml:space="preserve">               Cocoa</v>
      </c>
      <c r="AR36" s="4" t="s">
        <v>705</v>
      </c>
      <c r="AS36" s="44" t="s">
        <v>48</v>
      </c>
      <c r="AT36" s="42" t="s">
        <v>48</v>
      </c>
      <c r="AU36" s="40" t="s">
        <v>48</v>
      </c>
      <c r="AV36" s="40" t="s">
        <v>48</v>
      </c>
      <c r="AW36" s="40" t="s">
        <v>48</v>
      </c>
      <c r="AX36" s="40" t="s">
        <v>48</v>
      </c>
      <c r="AY36" s="40" t="s">
        <v>48</v>
      </c>
      <c r="AZ36" s="40" t="s">
        <v>48</v>
      </c>
      <c r="BA36" s="40" t="s">
        <v>48</v>
      </c>
      <c r="BB36" s="40" t="s">
        <v>48</v>
      </c>
      <c r="BC36" s="40" t="s">
        <v>48</v>
      </c>
      <c r="BD36" s="40" t="s">
        <v>48</v>
      </c>
      <c r="BE36" s="40" t="s">
        <v>48</v>
      </c>
      <c r="BF36" s="40" t="s">
        <v>48</v>
      </c>
      <c r="BG36" s="40" t="s">
        <v>48</v>
      </c>
      <c r="BH36" s="40" t="s">
        <v>48</v>
      </c>
      <c r="BJ36" s="33"/>
      <c r="BK36" s="38" t="str">
        <f>Notes!W37</f>
        <v xml:space="preserve">               </v>
      </c>
      <c r="BL36" s="4" t="s">
        <v>625</v>
      </c>
      <c r="BM36" s="44">
        <v>9.4626428227273761E-3</v>
      </c>
      <c r="BN36" s="42" t="s">
        <v>48</v>
      </c>
      <c r="BO36" s="40" t="s">
        <v>48</v>
      </c>
      <c r="BP36" s="40" t="s">
        <v>48</v>
      </c>
      <c r="BQ36" s="40" t="s">
        <v>48</v>
      </c>
      <c r="BR36" s="40" t="s">
        <v>48</v>
      </c>
      <c r="BS36" s="40" t="s">
        <v>48</v>
      </c>
      <c r="BT36" s="40" t="s">
        <v>48</v>
      </c>
      <c r="BU36" s="40" t="s">
        <v>48</v>
      </c>
      <c r="BV36" s="40" t="s">
        <v>48</v>
      </c>
      <c r="BW36" s="40" t="s">
        <v>48</v>
      </c>
      <c r="BX36" s="40" t="s">
        <v>48</v>
      </c>
      <c r="BY36" s="40" t="s">
        <v>48</v>
      </c>
      <c r="BZ36" s="40" t="s">
        <v>48</v>
      </c>
      <c r="CA36" s="40" t="s">
        <v>48</v>
      </c>
      <c r="CB36" s="40" t="s">
        <v>48</v>
      </c>
      <c r="CD36" s="33"/>
      <c r="CE36" s="38" t="str">
        <f>Notes!W37</f>
        <v xml:space="preserve">               </v>
      </c>
      <c r="CF36" s="4" t="s">
        <v>625</v>
      </c>
      <c r="CG36" s="44">
        <v>0.39900491548322103</v>
      </c>
      <c r="CH36" s="42" t="s">
        <v>48</v>
      </c>
      <c r="CI36" s="40" t="s">
        <v>48</v>
      </c>
      <c r="CJ36" s="40" t="s">
        <v>48</v>
      </c>
      <c r="CK36" s="40" t="s">
        <v>48</v>
      </c>
      <c r="CL36" s="40" t="s">
        <v>48</v>
      </c>
      <c r="CM36" s="40" t="s">
        <v>48</v>
      </c>
      <c r="CN36" s="40" t="s">
        <v>48</v>
      </c>
      <c r="CO36" s="40" t="s">
        <v>48</v>
      </c>
      <c r="CP36" s="40" t="s">
        <v>48</v>
      </c>
      <c r="CQ36" s="40" t="s">
        <v>48</v>
      </c>
      <c r="CR36" s="40" t="s">
        <v>48</v>
      </c>
      <c r="CS36" s="40" t="s">
        <v>48</v>
      </c>
      <c r="CT36" s="40" t="s">
        <v>48</v>
      </c>
      <c r="CU36" s="40" t="s">
        <v>48</v>
      </c>
      <c r="CV36" s="40" t="s">
        <v>48</v>
      </c>
    </row>
    <row r="37" spans="1:100" x14ac:dyDescent="0.35">
      <c r="A37" s="12">
        <v>30</v>
      </c>
      <c r="B37" s="33"/>
      <c r="C37" s="38" t="str">
        <f>Notes!W38</f>
        <v xml:space="preserve">               </v>
      </c>
      <c r="D37" s="4" t="s">
        <v>626</v>
      </c>
      <c r="E37" s="44"/>
      <c r="F37" s="42" t="s">
        <v>48</v>
      </c>
      <c r="G37" s="40" t="s">
        <v>48</v>
      </c>
      <c r="H37" s="40" t="s">
        <v>48</v>
      </c>
      <c r="I37" s="40" t="s">
        <v>48</v>
      </c>
      <c r="J37" s="40" t="s">
        <v>48</v>
      </c>
      <c r="K37" s="40" t="s">
        <v>48</v>
      </c>
      <c r="L37" s="40" t="s">
        <v>48</v>
      </c>
      <c r="M37" s="40" t="s">
        <v>48</v>
      </c>
      <c r="N37" s="40" t="s">
        <v>48</v>
      </c>
      <c r="O37" s="40" t="s">
        <v>48</v>
      </c>
      <c r="P37" s="40" t="s">
        <v>48</v>
      </c>
      <c r="Q37" s="40" t="s">
        <v>48</v>
      </c>
      <c r="R37" s="40" t="s">
        <v>48</v>
      </c>
      <c r="S37" s="40" t="s">
        <v>48</v>
      </c>
      <c r="T37" s="40" t="s">
        <v>48</v>
      </c>
      <c r="V37" s="33"/>
      <c r="W37" s="38" t="str">
        <f>Notes!W38</f>
        <v xml:space="preserve">               </v>
      </c>
      <c r="X37" s="4" t="s">
        <v>626</v>
      </c>
      <c r="Y37" s="44"/>
      <c r="Z37" s="42"/>
      <c r="AA37" s="40"/>
      <c r="AB37" s="40"/>
      <c r="AC37" s="40"/>
      <c r="AD37" s="40"/>
      <c r="AE37" s="40"/>
      <c r="AF37" s="40"/>
      <c r="AG37" s="40"/>
      <c r="AH37" s="40" t="s">
        <v>48</v>
      </c>
      <c r="AI37" s="40" t="s">
        <v>48</v>
      </c>
      <c r="AJ37" s="40" t="s">
        <v>48</v>
      </c>
      <c r="AK37" s="40" t="s">
        <v>48</v>
      </c>
      <c r="AL37" s="40" t="s">
        <v>48</v>
      </c>
      <c r="AM37" s="40" t="s">
        <v>48</v>
      </c>
      <c r="AN37" s="40" t="s">
        <v>48</v>
      </c>
      <c r="AP37" s="33"/>
      <c r="AQ37" s="38" t="str">
        <f>Notes!U38</f>
        <v xml:space="preserve">               Cut flowers</v>
      </c>
      <c r="AR37" s="4" t="s">
        <v>331</v>
      </c>
      <c r="AS37" s="44">
        <v>3.9202055748975465E-2</v>
      </c>
      <c r="AT37" s="42" t="s">
        <v>48</v>
      </c>
      <c r="AU37" s="40" t="s">
        <v>48</v>
      </c>
      <c r="AV37" s="40" t="s">
        <v>48</v>
      </c>
      <c r="AW37" s="40" t="s">
        <v>48</v>
      </c>
      <c r="AX37" s="40" t="s">
        <v>48</v>
      </c>
      <c r="AY37" s="40" t="s">
        <v>48</v>
      </c>
      <c r="AZ37" s="40" t="s">
        <v>48</v>
      </c>
      <c r="BA37" s="40" t="s">
        <v>48</v>
      </c>
      <c r="BB37" s="40" t="s">
        <v>48</v>
      </c>
      <c r="BC37" s="40" t="s">
        <v>48</v>
      </c>
      <c r="BD37" s="40" t="s">
        <v>48</v>
      </c>
      <c r="BE37" s="40" t="s">
        <v>48</v>
      </c>
      <c r="BF37" s="40" t="s">
        <v>48</v>
      </c>
      <c r="BG37" s="40" t="s">
        <v>48</v>
      </c>
      <c r="BH37" s="40" t="s">
        <v>48</v>
      </c>
      <c r="BJ37" s="33"/>
      <c r="BK37" s="38" t="str">
        <f>Notes!W38</f>
        <v xml:space="preserve">               </v>
      </c>
      <c r="BL37" s="4" t="s">
        <v>626</v>
      </c>
      <c r="BM37" s="44">
        <v>1.3728526700539721E-2</v>
      </c>
      <c r="BN37" s="42" t="s">
        <v>48</v>
      </c>
      <c r="BO37" s="40" t="s">
        <v>48</v>
      </c>
      <c r="BP37" s="40" t="s">
        <v>48</v>
      </c>
      <c r="BQ37" s="40" t="s">
        <v>48</v>
      </c>
      <c r="BR37" s="40" t="s">
        <v>48</v>
      </c>
      <c r="BS37" s="40" t="s">
        <v>48</v>
      </c>
      <c r="BT37" s="40" t="s">
        <v>48</v>
      </c>
      <c r="BU37" s="40" t="s">
        <v>48</v>
      </c>
      <c r="BV37" s="40" t="s">
        <v>48</v>
      </c>
      <c r="BW37" s="40" t="s">
        <v>48</v>
      </c>
      <c r="BX37" s="40" t="s">
        <v>48</v>
      </c>
      <c r="BY37" s="40" t="s">
        <v>48</v>
      </c>
      <c r="BZ37" s="40" t="s">
        <v>48</v>
      </c>
      <c r="CA37" s="40" t="s">
        <v>48</v>
      </c>
      <c r="CB37" s="40" t="s">
        <v>48</v>
      </c>
      <c r="CD37" s="33"/>
      <c r="CE37" s="38" t="str">
        <f>Notes!W38</f>
        <v xml:space="preserve">               </v>
      </c>
      <c r="CF37" s="4" t="s">
        <v>626</v>
      </c>
      <c r="CG37" s="44">
        <v>0.5992604335577002</v>
      </c>
      <c r="CH37" s="42" t="s">
        <v>48</v>
      </c>
      <c r="CI37" s="40" t="s">
        <v>48</v>
      </c>
      <c r="CJ37" s="40" t="s">
        <v>48</v>
      </c>
      <c r="CK37" s="40" t="s">
        <v>48</v>
      </c>
      <c r="CL37" s="40" t="s">
        <v>48</v>
      </c>
      <c r="CM37" s="40" t="s">
        <v>48</v>
      </c>
      <c r="CN37" s="40" t="s">
        <v>48</v>
      </c>
      <c r="CO37" s="40" t="s">
        <v>48</v>
      </c>
      <c r="CP37" s="40" t="s">
        <v>48</v>
      </c>
      <c r="CQ37" s="40" t="s">
        <v>48</v>
      </c>
      <c r="CR37" s="40" t="s">
        <v>48</v>
      </c>
      <c r="CS37" s="40" t="s">
        <v>48</v>
      </c>
      <c r="CT37" s="40" t="s">
        <v>48</v>
      </c>
      <c r="CU37" s="40" t="s">
        <v>48</v>
      </c>
      <c r="CV37" s="40" t="s">
        <v>48</v>
      </c>
    </row>
    <row r="38" spans="1:100" x14ac:dyDescent="0.35">
      <c r="A38" s="12">
        <v>31</v>
      </c>
      <c r="B38" s="33"/>
      <c r="C38" s="38" t="str">
        <f>Notes!W39</f>
        <v xml:space="preserve">               </v>
      </c>
      <c r="D38" s="4" t="s">
        <v>627</v>
      </c>
      <c r="E38" s="44"/>
      <c r="F38" s="42" t="s">
        <v>48</v>
      </c>
      <c r="G38" s="40" t="s">
        <v>48</v>
      </c>
      <c r="H38" s="40" t="s">
        <v>48</v>
      </c>
      <c r="I38" s="40" t="s">
        <v>48</v>
      </c>
      <c r="J38" s="40" t="s">
        <v>48</v>
      </c>
      <c r="K38" s="40" t="s">
        <v>48</v>
      </c>
      <c r="L38" s="40" t="s">
        <v>48</v>
      </c>
      <c r="M38" s="40" t="s">
        <v>48</v>
      </c>
      <c r="N38" s="40" t="s">
        <v>48</v>
      </c>
      <c r="O38" s="40" t="s">
        <v>48</v>
      </c>
      <c r="P38" s="40" t="s">
        <v>48</v>
      </c>
      <c r="Q38" s="40" t="s">
        <v>48</v>
      </c>
      <c r="R38" s="40" t="s">
        <v>48</v>
      </c>
      <c r="S38" s="40" t="s">
        <v>48</v>
      </c>
      <c r="T38" s="40" t="s">
        <v>48</v>
      </c>
      <c r="V38" s="33"/>
      <c r="W38" s="38" t="str">
        <f>Notes!W39</f>
        <v xml:space="preserve">               </v>
      </c>
      <c r="X38" s="4" t="s">
        <v>627</v>
      </c>
      <c r="Y38" s="44"/>
      <c r="Z38" s="42"/>
      <c r="AA38" s="40"/>
      <c r="AB38" s="40"/>
      <c r="AC38" s="40"/>
      <c r="AD38" s="40"/>
      <c r="AE38" s="40"/>
      <c r="AF38" s="40"/>
      <c r="AG38" s="40"/>
      <c r="AH38" s="40" t="s">
        <v>48</v>
      </c>
      <c r="AI38" s="40" t="s">
        <v>48</v>
      </c>
      <c r="AJ38" s="40" t="s">
        <v>48</v>
      </c>
      <c r="AK38" s="40" t="s">
        <v>48</v>
      </c>
      <c r="AL38" s="40" t="s">
        <v>48</v>
      </c>
      <c r="AM38" s="40" t="s">
        <v>48</v>
      </c>
      <c r="AN38" s="40" t="s">
        <v>48</v>
      </c>
      <c r="AP38" s="33"/>
      <c r="AQ38" s="38" t="str">
        <f>Notes!U39</f>
        <v xml:space="preserve">               Rubber</v>
      </c>
      <c r="AR38" s="4" t="s">
        <v>493</v>
      </c>
      <c r="AS38" s="44">
        <v>0.5903080129846966</v>
      </c>
      <c r="AT38" s="42" t="s">
        <v>48</v>
      </c>
      <c r="AU38" s="40" t="s">
        <v>48</v>
      </c>
      <c r="AV38" s="40" t="s">
        <v>48</v>
      </c>
      <c r="AW38" s="40" t="s">
        <v>48</v>
      </c>
      <c r="AX38" s="40" t="s">
        <v>48</v>
      </c>
      <c r="AY38" s="40" t="s">
        <v>48</v>
      </c>
      <c r="AZ38" s="40" t="s">
        <v>48</v>
      </c>
      <c r="BA38" s="40" t="s">
        <v>48</v>
      </c>
      <c r="BB38" s="40" t="s">
        <v>48</v>
      </c>
      <c r="BC38" s="40" t="s">
        <v>48</v>
      </c>
      <c r="BD38" s="40" t="s">
        <v>48</v>
      </c>
      <c r="BE38" s="40" t="s">
        <v>48</v>
      </c>
      <c r="BF38" s="40" t="s">
        <v>48</v>
      </c>
      <c r="BG38" s="40" t="s">
        <v>48</v>
      </c>
      <c r="BH38" s="40" t="s">
        <v>48</v>
      </c>
      <c r="BJ38" s="33"/>
      <c r="BK38" s="38" t="str">
        <f>Notes!W39</f>
        <v xml:space="preserve">               </v>
      </c>
      <c r="BL38" s="4" t="s">
        <v>627</v>
      </c>
      <c r="BM38" s="44">
        <v>5.9987977524558291E-2</v>
      </c>
      <c r="BN38" s="42" t="s">
        <v>48</v>
      </c>
      <c r="BO38" s="40" t="s">
        <v>48</v>
      </c>
      <c r="BP38" s="40" t="s">
        <v>48</v>
      </c>
      <c r="BQ38" s="40" t="s">
        <v>48</v>
      </c>
      <c r="BR38" s="40" t="s">
        <v>48</v>
      </c>
      <c r="BS38" s="40" t="s">
        <v>48</v>
      </c>
      <c r="BT38" s="40" t="s">
        <v>48</v>
      </c>
      <c r="BU38" s="40" t="s">
        <v>48</v>
      </c>
      <c r="BV38" s="40" t="s">
        <v>48</v>
      </c>
      <c r="BW38" s="40" t="s">
        <v>48</v>
      </c>
      <c r="BX38" s="40" t="s">
        <v>48</v>
      </c>
      <c r="BY38" s="40" t="s">
        <v>48</v>
      </c>
      <c r="BZ38" s="40" t="s">
        <v>48</v>
      </c>
      <c r="CA38" s="40" t="s">
        <v>48</v>
      </c>
      <c r="CB38" s="40" t="s">
        <v>48</v>
      </c>
      <c r="CD38" s="33"/>
      <c r="CE38" s="38" t="str">
        <f>Notes!W39</f>
        <v xml:space="preserve">               </v>
      </c>
      <c r="CF38" s="4" t="s">
        <v>627</v>
      </c>
      <c r="CG38" s="44">
        <v>1.6916060654276199</v>
      </c>
      <c r="CH38" s="42" t="s">
        <v>48</v>
      </c>
      <c r="CI38" s="40" t="s">
        <v>48</v>
      </c>
      <c r="CJ38" s="40" t="s">
        <v>48</v>
      </c>
      <c r="CK38" s="40" t="s">
        <v>48</v>
      </c>
      <c r="CL38" s="40" t="s">
        <v>48</v>
      </c>
      <c r="CM38" s="40" t="s">
        <v>48</v>
      </c>
      <c r="CN38" s="40" t="s">
        <v>48</v>
      </c>
      <c r="CO38" s="40" t="s">
        <v>48</v>
      </c>
      <c r="CP38" s="40" t="s">
        <v>48</v>
      </c>
      <c r="CQ38" s="40" t="s">
        <v>48</v>
      </c>
      <c r="CR38" s="40" t="s">
        <v>48</v>
      </c>
      <c r="CS38" s="40" t="s">
        <v>48</v>
      </c>
      <c r="CT38" s="40" t="s">
        <v>48</v>
      </c>
      <c r="CU38" s="40" t="s">
        <v>48</v>
      </c>
      <c r="CV38" s="40" t="s">
        <v>48</v>
      </c>
    </row>
    <row r="39" spans="1:100" x14ac:dyDescent="0.35">
      <c r="A39" s="12">
        <v>32</v>
      </c>
      <c r="B39" s="33"/>
      <c r="C39" s="38" t="str">
        <f>Notes!W40</f>
        <v xml:space="preserve">               </v>
      </c>
      <c r="D39" s="4" t="s">
        <v>628</v>
      </c>
      <c r="E39" s="44"/>
      <c r="F39" s="42" t="s">
        <v>48</v>
      </c>
      <c r="G39" s="40" t="s">
        <v>48</v>
      </c>
      <c r="H39" s="40" t="s">
        <v>48</v>
      </c>
      <c r="I39" s="40" t="s">
        <v>48</v>
      </c>
      <c r="J39" s="40" t="s">
        <v>48</v>
      </c>
      <c r="K39" s="40" t="s">
        <v>48</v>
      </c>
      <c r="L39" s="40" t="s">
        <v>48</v>
      </c>
      <c r="M39" s="40" t="s">
        <v>48</v>
      </c>
      <c r="N39" s="40" t="s">
        <v>48</v>
      </c>
      <c r="O39" s="40" t="s">
        <v>48</v>
      </c>
      <c r="P39" s="40" t="s">
        <v>48</v>
      </c>
      <c r="Q39" s="40" t="s">
        <v>48</v>
      </c>
      <c r="R39" s="40" t="s">
        <v>48</v>
      </c>
      <c r="S39" s="40" t="s">
        <v>48</v>
      </c>
      <c r="T39" s="40" t="s">
        <v>48</v>
      </c>
      <c r="V39" s="33"/>
      <c r="W39" s="38" t="str">
        <f>Notes!W40</f>
        <v xml:space="preserve">               </v>
      </c>
      <c r="X39" s="4" t="s">
        <v>628</v>
      </c>
      <c r="Y39" s="44"/>
      <c r="Z39" s="42"/>
      <c r="AA39" s="40"/>
      <c r="AB39" s="40"/>
      <c r="AC39" s="40"/>
      <c r="AD39" s="40"/>
      <c r="AE39" s="40"/>
      <c r="AF39" s="40"/>
      <c r="AG39" s="40"/>
      <c r="AH39" s="40" t="s">
        <v>48</v>
      </c>
      <c r="AI39" s="40" t="s">
        <v>48</v>
      </c>
      <c r="AJ39" s="40" t="s">
        <v>48</v>
      </c>
      <c r="AK39" s="40" t="s">
        <v>48</v>
      </c>
      <c r="AL39" s="40" t="s">
        <v>48</v>
      </c>
      <c r="AM39" s="40" t="s">
        <v>48</v>
      </c>
      <c r="AN39" s="40" t="s">
        <v>48</v>
      </c>
      <c r="AP39" s="33"/>
      <c r="AQ39" s="38" t="str">
        <f>Notes!U40</f>
        <v xml:space="preserve">               Other crops</v>
      </c>
      <c r="AR39" s="4" t="s">
        <v>332</v>
      </c>
      <c r="AS39" s="44" t="s">
        <v>48</v>
      </c>
      <c r="AT39" s="42" t="s">
        <v>48</v>
      </c>
      <c r="AU39" s="40" t="s">
        <v>48</v>
      </c>
      <c r="AV39" s="40" t="s">
        <v>48</v>
      </c>
      <c r="AW39" s="40" t="s">
        <v>48</v>
      </c>
      <c r="AX39" s="40" t="s">
        <v>48</v>
      </c>
      <c r="AY39" s="40" t="s">
        <v>48</v>
      </c>
      <c r="AZ39" s="40" t="s">
        <v>48</v>
      </c>
      <c r="BA39" s="40" t="s">
        <v>48</v>
      </c>
      <c r="BB39" s="40" t="s">
        <v>48</v>
      </c>
      <c r="BC39" s="40" t="s">
        <v>48</v>
      </c>
      <c r="BD39" s="40" t="s">
        <v>48</v>
      </c>
      <c r="BE39" s="40" t="s">
        <v>48</v>
      </c>
      <c r="BF39" s="40" t="s">
        <v>48</v>
      </c>
      <c r="BG39" s="40" t="s">
        <v>48</v>
      </c>
      <c r="BH39" s="40" t="s">
        <v>48</v>
      </c>
      <c r="BJ39" s="33"/>
      <c r="BK39" s="38" t="str">
        <f>Notes!W40</f>
        <v xml:space="preserve">               </v>
      </c>
      <c r="BL39" s="4" t="s">
        <v>628</v>
      </c>
      <c r="BM39" s="44">
        <v>8.5984497379357372E-2</v>
      </c>
      <c r="BN39" s="42" t="s">
        <v>48</v>
      </c>
      <c r="BO39" s="40" t="s">
        <v>48</v>
      </c>
      <c r="BP39" s="40" t="s">
        <v>48</v>
      </c>
      <c r="BQ39" s="40" t="s">
        <v>48</v>
      </c>
      <c r="BR39" s="40" t="s">
        <v>48</v>
      </c>
      <c r="BS39" s="40" t="s">
        <v>48</v>
      </c>
      <c r="BT39" s="40" t="s">
        <v>48</v>
      </c>
      <c r="BU39" s="40" t="s">
        <v>48</v>
      </c>
      <c r="BV39" s="40" t="s">
        <v>48</v>
      </c>
      <c r="BW39" s="40" t="s">
        <v>48</v>
      </c>
      <c r="BX39" s="40" t="s">
        <v>48</v>
      </c>
      <c r="BY39" s="40" t="s">
        <v>48</v>
      </c>
      <c r="BZ39" s="40" t="s">
        <v>48</v>
      </c>
      <c r="CA39" s="40" t="s">
        <v>48</v>
      </c>
      <c r="CB39" s="40" t="s">
        <v>48</v>
      </c>
      <c r="CD39" s="33"/>
      <c r="CE39" s="38" t="str">
        <f>Notes!W40</f>
        <v xml:space="preserve">               </v>
      </c>
      <c r="CF39" s="4" t="s">
        <v>628</v>
      </c>
      <c r="CG39" s="44">
        <v>1.8773709720628202</v>
      </c>
      <c r="CH39" s="42" t="s">
        <v>48</v>
      </c>
      <c r="CI39" s="40" t="s">
        <v>48</v>
      </c>
      <c r="CJ39" s="40" t="s">
        <v>48</v>
      </c>
      <c r="CK39" s="40" t="s">
        <v>48</v>
      </c>
      <c r="CL39" s="40" t="s">
        <v>48</v>
      </c>
      <c r="CM39" s="40" t="s">
        <v>48</v>
      </c>
      <c r="CN39" s="40" t="s">
        <v>48</v>
      </c>
      <c r="CO39" s="40" t="s">
        <v>48</v>
      </c>
      <c r="CP39" s="40" t="s">
        <v>48</v>
      </c>
      <c r="CQ39" s="40" t="s">
        <v>48</v>
      </c>
      <c r="CR39" s="40" t="s">
        <v>48</v>
      </c>
      <c r="CS39" s="40" t="s">
        <v>48</v>
      </c>
      <c r="CT39" s="40" t="s">
        <v>48</v>
      </c>
      <c r="CU39" s="40" t="s">
        <v>48</v>
      </c>
      <c r="CV39" s="40" t="s">
        <v>48</v>
      </c>
    </row>
    <row r="40" spans="1:100" x14ac:dyDescent="0.35">
      <c r="A40" s="12">
        <v>33</v>
      </c>
      <c r="B40" s="33"/>
      <c r="C40" s="38" t="str">
        <f>Notes!W41</f>
        <v xml:space="preserve">               </v>
      </c>
      <c r="D40" s="4" t="s">
        <v>629</v>
      </c>
      <c r="E40" s="44"/>
      <c r="F40" s="42" t="s">
        <v>48</v>
      </c>
      <c r="G40" s="40" t="s">
        <v>48</v>
      </c>
      <c r="H40" s="40" t="s">
        <v>48</v>
      </c>
      <c r="I40" s="40" t="s">
        <v>48</v>
      </c>
      <c r="J40" s="40" t="s">
        <v>48</v>
      </c>
      <c r="K40" s="40" t="s">
        <v>48</v>
      </c>
      <c r="L40" s="40" t="s">
        <v>48</v>
      </c>
      <c r="M40" s="40" t="s">
        <v>48</v>
      </c>
      <c r="N40" s="40" t="s">
        <v>48</v>
      </c>
      <c r="O40" s="40" t="s">
        <v>48</v>
      </c>
      <c r="P40" s="40" t="s">
        <v>48</v>
      </c>
      <c r="Q40" s="40" t="s">
        <v>48</v>
      </c>
      <c r="R40" s="40" t="s">
        <v>48</v>
      </c>
      <c r="S40" s="40" t="s">
        <v>48</v>
      </c>
      <c r="T40" s="40" t="s">
        <v>48</v>
      </c>
      <c r="V40" s="33"/>
      <c r="W40" s="38" t="str">
        <f>Notes!W41</f>
        <v xml:space="preserve">               </v>
      </c>
      <c r="X40" s="4" t="s">
        <v>629</v>
      </c>
      <c r="Y40" s="44"/>
      <c r="Z40" s="42"/>
      <c r="AA40" s="40"/>
      <c r="AB40" s="40"/>
      <c r="AC40" s="40"/>
      <c r="AD40" s="40"/>
      <c r="AE40" s="40"/>
      <c r="AF40" s="40"/>
      <c r="AG40" s="40"/>
      <c r="AH40" s="40" t="s">
        <v>48</v>
      </c>
      <c r="AI40" s="40" t="s">
        <v>48</v>
      </c>
      <c r="AJ40" s="40" t="s">
        <v>48</v>
      </c>
      <c r="AK40" s="40" t="s">
        <v>48</v>
      </c>
      <c r="AL40" s="40" t="s">
        <v>48</v>
      </c>
      <c r="AM40" s="40" t="s">
        <v>48</v>
      </c>
      <c r="AN40" s="40" t="s">
        <v>48</v>
      </c>
      <c r="AP40" s="33"/>
      <c r="AQ40" s="38" t="str">
        <f>Notes!U41</f>
        <v xml:space="preserve">               Livestock</v>
      </c>
      <c r="AR40" s="4" t="s">
        <v>333</v>
      </c>
      <c r="AS40" s="44">
        <v>2.1060220443178826E-3</v>
      </c>
      <c r="AT40" s="42" t="s">
        <v>48</v>
      </c>
      <c r="AU40" s="40" t="s">
        <v>48</v>
      </c>
      <c r="AV40" s="40" t="s">
        <v>48</v>
      </c>
      <c r="AW40" s="40" t="s">
        <v>48</v>
      </c>
      <c r="AX40" s="40" t="s">
        <v>48</v>
      </c>
      <c r="AY40" s="40" t="s">
        <v>48</v>
      </c>
      <c r="AZ40" s="40" t="s">
        <v>48</v>
      </c>
      <c r="BA40" s="40" t="s">
        <v>48</v>
      </c>
      <c r="BB40" s="40" t="s">
        <v>48</v>
      </c>
      <c r="BC40" s="40" t="s">
        <v>48</v>
      </c>
      <c r="BD40" s="40" t="s">
        <v>48</v>
      </c>
      <c r="BE40" s="40" t="s">
        <v>48</v>
      </c>
      <c r="BF40" s="40" t="s">
        <v>48</v>
      </c>
      <c r="BG40" s="40" t="s">
        <v>48</v>
      </c>
      <c r="BH40" s="40" t="s">
        <v>48</v>
      </c>
      <c r="BJ40" s="33"/>
      <c r="BK40" s="38" t="str">
        <f>Notes!W41</f>
        <v xml:space="preserve">               </v>
      </c>
      <c r="BL40" s="4" t="s">
        <v>629</v>
      </c>
      <c r="BM40" s="44">
        <v>0.36887976270205808</v>
      </c>
      <c r="BN40" s="42" t="s">
        <v>48</v>
      </c>
      <c r="BO40" s="40" t="s">
        <v>48</v>
      </c>
      <c r="BP40" s="40" t="s">
        <v>48</v>
      </c>
      <c r="BQ40" s="40" t="s">
        <v>48</v>
      </c>
      <c r="BR40" s="40" t="s">
        <v>48</v>
      </c>
      <c r="BS40" s="40" t="s">
        <v>48</v>
      </c>
      <c r="BT40" s="40" t="s">
        <v>48</v>
      </c>
      <c r="BU40" s="40" t="s">
        <v>48</v>
      </c>
      <c r="BV40" s="40" t="s">
        <v>48</v>
      </c>
      <c r="BW40" s="40" t="s">
        <v>48</v>
      </c>
      <c r="BX40" s="40" t="s">
        <v>48</v>
      </c>
      <c r="BY40" s="40" t="s">
        <v>48</v>
      </c>
      <c r="BZ40" s="40" t="s">
        <v>48</v>
      </c>
      <c r="CA40" s="40" t="s">
        <v>48</v>
      </c>
      <c r="CB40" s="40" t="s">
        <v>48</v>
      </c>
      <c r="CD40" s="33"/>
      <c r="CE40" s="38" t="str">
        <f>Notes!W41</f>
        <v xml:space="preserve">               </v>
      </c>
      <c r="CF40" s="4" t="s">
        <v>629</v>
      </c>
      <c r="CG40" s="44">
        <v>7.8726975681246074</v>
      </c>
      <c r="CH40" s="42" t="s">
        <v>48</v>
      </c>
      <c r="CI40" s="40" t="s">
        <v>48</v>
      </c>
      <c r="CJ40" s="40" t="s">
        <v>48</v>
      </c>
      <c r="CK40" s="40" t="s">
        <v>48</v>
      </c>
      <c r="CL40" s="40" t="s">
        <v>48</v>
      </c>
      <c r="CM40" s="40" t="s">
        <v>48</v>
      </c>
      <c r="CN40" s="40" t="s">
        <v>48</v>
      </c>
      <c r="CO40" s="40" t="s">
        <v>48</v>
      </c>
      <c r="CP40" s="40" t="s">
        <v>48</v>
      </c>
      <c r="CQ40" s="40" t="s">
        <v>48</v>
      </c>
      <c r="CR40" s="40" t="s">
        <v>48</v>
      </c>
      <c r="CS40" s="40" t="s">
        <v>48</v>
      </c>
      <c r="CT40" s="40" t="s">
        <v>48</v>
      </c>
      <c r="CU40" s="40" t="s">
        <v>48</v>
      </c>
      <c r="CV40" s="40" t="s">
        <v>48</v>
      </c>
    </row>
    <row r="41" spans="1:100" x14ac:dyDescent="0.35">
      <c r="A41" s="12">
        <v>34</v>
      </c>
      <c r="B41" s="33"/>
      <c r="C41" s="38" t="str">
        <f>Notes!W42</f>
        <v xml:space="preserve">               </v>
      </c>
      <c r="D41" s="4"/>
      <c r="E41" s="44"/>
      <c r="F41" s="42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V41" s="33"/>
      <c r="W41" s="38" t="str">
        <f>Notes!W42</f>
        <v xml:space="preserve">               </v>
      </c>
      <c r="X41" s="4"/>
      <c r="Y41" s="44"/>
      <c r="Z41" s="42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P41" s="33"/>
      <c r="AQ41" s="38" t="str">
        <f>Notes!U42</f>
        <v xml:space="preserve">               Cattle</v>
      </c>
      <c r="AR41" s="4" t="s">
        <v>488</v>
      </c>
      <c r="AS41" s="44">
        <v>1.7745044459248471E-3</v>
      </c>
      <c r="AT41" s="42" t="s">
        <v>48</v>
      </c>
      <c r="AU41" s="40" t="s">
        <v>48</v>
      </c>
      <c r="AV41" s="40" t="s">
        <v>48</v>
      </c>
      <c r="AW41" s="40" t="s">
        <v>48</v>
      </c>
      <c r="AX41" s="40" t="s">
        <v>48</v>
      </c>
      <c r="AY41" s="40" t="s">
        <v>48</v>
      </c>
      <c r="AZ41" s="40" t="s">
        <v>48</v>
      </c>
      <c r="BA41" s="40" t="s">
        <v>48</v>
      </c>
      <c r="BB41" s="40" t="s">
        <v>48</v>
      </c>
      <c r="BC41" s="40" t="s">
        <v>48</v>
      </c>
      <c r="BD41" s="40" t="s">
        <v>48</v>
      </c>
      <c r="BE41" s="40" t="s">
        <v>48</v>
      </c>
      <c r="BF41" s="40" t="s">
        <v>48</v>
      </c>
      <c r="BG41" s="40" t="s">
        <v>48</v>
      </c>
      <c r="BH41" s="40" t="s">
        <v>48</v>
      </c>
      <c r="BJ41" s="33"/>
      <c r="BK41" s="38" t="str">
        <f>Notes!W42</f>
        <v xml:space="preserve">               </v>
      </c>
      <c r="BL41" s="4"/>
      <c r="BM41" s="44"/>
      <c r="BN41" s="42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D41" s="33"/>
      <c r="CE41" s="38" t="str">
        <f>Notes!W42</f>
        <v xml:space="preserve">               </v>
      </c>
      <c r="CF41" s="4"/>
      <c r="CG41" s="44"/>
      <c r="CH41" s="42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</row>
    <row r="42" spans="1:100" x14ac:dyDescent="0.35">
      <c r="A42" s="12">
        <v>35</v>
      </c>
      <c r="B42" s="33"/>
      <c r="C42" s="38" t="str">
        <f>Notes!W43</f>
        <v xml:space="preserve">               </v>
      </c>
      <c r="D42" s="4"/>
      <c r="E42" s="44"/>
      <c r="F42" s="42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V42" s="33"/>
      <c r="W42" s="38" t="str">
        <f>Notes!W43</f>
        <v xml:space="preserve">               </v>
      </c>
      <c r="X42" s="4"/>
      <c r="Y42" s="44"/>
      <c r="Z42" s="42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P42" s="33"/>
      <c r="AQ42" s="38" t="str">
        <f>Notes!U43</f>
        <v xml:space="preserve">               Raw milk</v>
      </c>
      <c r="AR42" s="4" t="s">
        <v>491</v>
      </c>
      <c r="AS42" s="44">
        <v>3.0719021254680914E-2</v>
      </c>
      <c r="AT42" s="42" t="s">
        <v>48</v>
      </c>
      <c r="AU42" s="40" t="s">
        <v>48</v>
      </c>
      <c r="AV42" s="40" t="s">
        <v>48</v>
      </c>
      <c r="AW42" s="40" t="s">
        <v>48</v>
      </c>
      <c r="AX42" s="40" t="s">
        <v>48</v>
      </c>
      <c r="AY42" s="40" t="s">
        <v>48</v>
      </c>
      <c r="AZ42" s="40" t="s">
        <v>48</v>
      </c>
      <c r="BA42" s="40" t="s">
        <v>48</v>
      </c>
      <c r="BB42" s="40" t="s">
        <v>48</v>
      </c>
      <c r="BC42" s="40" t="s">
        <v>48</v>
      </c>
      <c r="BD42" s="40" t="s">
        <v>48</v>
      </c>
      <c r="BE42" s="40" t="s">
        <v>48</v>
      </c>
      <c r="BF42" s="40" t="s">
        <v>48</v>
      </c>
      <c r="BG42" s="40" t="s">
        <v>48</v>
      </c>
      <c r="BH42" s="40" t="s">
        <v>48</v>
      </c>
      <c r="BJ42" s="33"/>
      <c r="BK42" s="38" t="str">
        <f>Notes!W43</f>
        <v xml:space="preserve">               </v>
      </c>
      <c r="BL42" s="4"/>
      <c r="BM42" s="44"/>
      <c r="BN42" s="42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D42" s="33"/>
      <c r="CE42" s="38" t="str">
        <f>Notes!W43</f>
        <v xml:space="preserve">               </v>
      </c>
      <c r="CF42" s="4"/>
      <c r="CG42" s="44"/>
      <c r="CH42" s="42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</row>
    <row r="43" spans="1:100" x14ac:dyDescent="0.35">
      <c r="A43" s="12">
        <v>36</v>
      </c>
      <c r="B43" s="33"/>
      <c r="C43" s="38" t="str">
        <f>Notes!W44</f>
        <v xml:space="preserve">               </v>
      </c>
      <c r="D43" s="4"/>
      <c r="E43" s="44"/>
      <c r="F43" s="42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V43" s="33"/>
      <c r="W43" s="38" t="str">
        <f>Notes!W44</f>
        <v xml:space="preserve">               </v>
      </c>
      <c r="X43" s="4"/>
      <c r="Y43" s="44"/>
      <c r="Z43" s="42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P43" s="33"/>
      <c r="AQ43" s="38" t="str">
        <f>Notes!U44</f>
        <v xml:space="preserve">               Poultry</v>
      </c>
      <c r="AR43" s="4" t="s">
        <v>706</v>
      </c>
      <c r="AS43" s="44">
        <v>0.48436761219531421</v>
      </c>
      <c r="AT43" s="42" t="s">
        <v>48</v>
      </c>
      <c r="AU43" s="40" t="s">
        <v>48</v>
      </c>
      <c r="AV43" s="40" t="s">
        <v>48</v>
      </c>
      <c r="AW43" s="40" t="s">
        <v>48</v>
      </c>
      <c r="AX43" s="40" t="s">
        <v>48</v>
      </c>
      <c r="AY43" s="40" t="s">
        <v>48</v>
      </c>
      <c r="AZ43" s="40" t="s">
        <v>48</v>
      </c>
      <c r="BA43" s="40" t="s">
        <v>48</v>
      </c>
      <c r="BB43" s="40" t="s">
        <v>48</v>
      </c>
      <c r="BC43" s="40" t="s">
        <v>48</v>
      </c>
      <c r="BD43" s="40" t="s">
        <v>48</v>
      </c>
      <c r="BE43" s="40" t="s">
        <v>48</v>
      </c>
      <c r="BF43" s="40" t="s">
        <v>48</v>
      </c>
      <c r="BG43" s="40" t="s">
        <v>48</v>
      </c>
      <c r="BH43" s="40" t="s">
        <v>48</v>
      </c>
      <c r="BJ43" s="33"/>
      <c r="BK43" s="38" t="str">
        <f>Notes!W44</f>
        <v xml:space="preserve">               </v>
      </c>
      <c r="BL43" s="4"/>
      <c r="BM43" s="44"/>
      <c r="BN43" s="42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D43" s="33"/>
      <c r="CE43" s="38" t="str">
        <f>Notes!W44</f>
        <v xml:space="preserve">               </v>
      </c>
      <c r="CF43" s="4"/>
      <c r="CG43" s="44"/>
      <c r="CH43" s="42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</row>
    <row r="44" spans="1:100" x14ac:dyDescent="0.35">
      <c r="A44" s="12">
        <v>37</v>
      </c>
      <c r="B44" s="33"/>
      <c r="C44" s="38" t="str">
        <f>Notes!W45</f>
        <v xml:space="preserve">               </v>
      </c>
      <c r="D44" s="4"/>
      <c r="E44" s="44"/>
      <c r="F44" s="42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V44" s="33"/>
      <c r="W44" s="38" t="str">
        <f>Notes!W45</f>
        <v xml:space="preserve">               </v>
      </c>
      <c r="X44" s="4"/>
      <c r="Y44" s="44"/>
      <c r="Z44" s="42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P44" s="33"/>
      <c r="AQ44" s="38" t="str">
        <f>Notes!U45</f>
        <v xml:space="preserve">               Eggs</v>
      </c>
      <c r="AR44" s="4" t="s">
        <v>336</v>
      </c>
      <c r="AS44" s="44">
        <v>7.1340853044458793E-2</v>
      </c>
      <c r="AT44" s="42" t="s">
        <v>48</v>
      </c>
      <c r="AU44" s="40" t="s">
        <v>48</v>
      </c>
      <c r="AV44" s="40" t="s">
        <v>48</v>
      </c>
      <c r="AW44" s="40" t="s">
        <v>48</v>
      </c>
      <c r="AX44" s="40" t="s">
        <v>48</v>
      </c>
      <c r="AY44" s="40" t="s">
        <v>48</v>
      </c>
      <c r="AZ44" s="40" t="s">
        <v>48</v>
      </c>
      <c r="BA44" s="40" t="s">
        <v>48</v>
      </c>
      <c r="BB44" s="40" t="s">
        <v>48</v>
      </c>
      <c r="BC44" s="40" t="s">
        <v>48</v>
      </c>
      <c r="BD44" s="40" t="s">
        <v>48</v>
      </c>
      <c r="BE44" s="40" t="s">
        <v>48</v>
      </c>
      <c r="BF44" s="40" t="s">
        <v>48</v>
      </c>
      <c r="BG44" s="40" t="s">
        <v>48</v>
      </c>
      <c r="BH44" s="40" t="s">
        <v>48</v>
      </c>
      <c r="BJ44" s="33"/>
      <c r="BK44" s="38" t="str">
        <f>Notes!W45</f>
        <v xml:space="preserve">               </v>
      </c>
      <c r="BL44" s="4"/>
      <c r="BM44" s="44"/>
      <c r="BN44" s="42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D44" s="33"/>
      <c r="CE44" s="38" t="str">
        <f>Notes!W45</f>
        <v xml:space="preserve">               </v>
      </c>
      <c r="CF44" s="4"/>
      <c r="CG44" s="44"/>
      <c r="CH44" s="42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</row>
    <row r="45" spans="1:100" x14ac:dyDescent="0.35">
      <c r="A45" s="12">
        <v>38</v>
      </c>
      <c r="B45" s="33"/>
      <c r="C45" s="38" t="str">
        <f>Notes!W46</f>
        <v xml:space="preserve">               </v>
      </c>
      <c r="D45" s="4"/>
      <c r="E45" s="44"/>
      <c r="F45" s="42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V45" s="33"/>
      <c r="W45" s="38" t="str">
        <f>Notes!W46</f>
        <v xml:space="preserve">               </v>
      </c>
      <c r="X45" s="4"/>
      <c r="Y45" s="44"/>
      <c r="Z45" s="42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P45" s="33"/>
      <c r="AQ45" s="38" t="str">
        <f>Notes!U46</f>
        <v xml:space="preserve">               Small ruminants</v>
      </c>
      <c r="AR45" s="4" t="s">
        <v>707</v>
      </c>
      <c r="AS45" s="44">
        <v>1.4778522828104657</v>
      </c>
      <c r="AT45" s="42" t="s">
        <v>48</v>
      </c>
      <c r="AU45" s="40" t="s">
        <v>48</v>
      </c>
      <c r="AV45" s="40" t="s">
        <v>48</v>
      </c>
      <c r="AW45" s="40" t="s">
        <v>48</v>
      </c>
      <c r="AX45" s="40" t="s">
        <v>48</v>
      </c>
      <c r="AY45" s="40" t="s">
        <v>48</v>
      </c>
      <c r="AZ45" s="40" t="s">
        <v>48</v>
      </c>
      <c r="BA45" s="40" t="s">
        <v>48</v>
      </c>
      <c r="BB45" s="40" t="s">
        <v>48</v>
      </c>
      <c r="BC45" s="40" t="s">
        <v>48</v>
      </c>
      <c r="BD45" s="40" t="s">
        <v>48</v>
      </c>
      <c r="BE45" s="40" t="s">
        <v>48</v>
      </c>
      <c r="BF45" s="40" t="s">
        <v>48</v>
      </c>
      <c r="BG45" s="40" t="s">
        <v>48</v>
      </c>
      <c r="BH45" s="40" t="s">
        <v>48</v>
      </c>
      <c r="BJ45" s="33"/>
      <c r="BK45" s="38" t="str">
        <f>Notes!W46</f>
        <v xml:space="preserve">               </v>
      </c>
      <c r="BL45" s="4"/>
      <c r="BM45" s="44"/>
      <c r="BN45" s="42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D45" s="33"/>
      <c r="CE45" s="38" t="str">
        <f>Notes!W46</f>
        <v xml:space="preserve">               </v>
      </c>
      <c r="CF45" s="4"/>
      <c r="CG45" s="44"/>
      <c r="CH45" s="42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</row>
    <row r="46" spans="1:100" x14ac:dyDescent="0.35">
      <c r="A46" s="12">
        <v>39</v>
      </c>
      <c r="B46" s="33"/>
      <c r="C46" s="38" t="str">
        <f>Notes!W47</f>
        <v xml:space="preserve">               </v>
      </c>
      <c r="D46" s="4"/>
      <c r="E46" s="44"/>
      <c r="F46" s="42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V46" s="33"/>
      <c r="W46" s="38" t="str">
        <f>Notes!W47</f>
        <v xml:space="preserve">               </v>
      </c>
      <c r="X46" s="4"/>
      <c r="Y46" s="44"/>
      <c r="Z46" s="42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P46" s="33"/>
      <c r="AQ46" s="38" t="str">
        <f>Notes!U47</f>
        <v xml:space="preserve">               Other livestock</v>
      </c>
      <c r="AR46" s="4" t="s">
        <v>338</v>
      </c>
      <c r="AS46" s="44">
        <v>0.81742716368347279</v>
      </c>
      <c r="AT46" s="42" t="s">
        <v>48</v>
      </c>
      <c r="AU46" s="40" t="s">
        <v>48</v>
      </c>
      <c r="AV46" s="40" t="s">
        <v>48</v>
      </c>
      <c r="AW46" s="40" t="s">
        <v>48</v>
      </c>
      <c r="AX46" s="40" t="s">
        <v>48</v>
      </c>
      <c r="AY46" s="40" t="s">
        <v>48</v>
      </c>
      <c r="AZ46" s="40" t="s">
        <v>48</v>
      </c>
      <c r="BA46" s="40" t="s">
        <v>48</v>
      </c>
      <c r="BB46" s="40" t="s">
        <v>48</v>
      </c>
      <c r="BC46" s="40" t="s">
        <v>48</v>
      </c>
      <c r="BD46" s="40" t="s">
        <v>48</v>
      </c>
      <c r="BE46" s="40" t="s">
        <v>48</v>
      </c>
      <c r="BF46" s="40" t="s">
        <v>48</v>
      </c>
      <c r="BG46" s="40" t="s">
        <v>48</v>
      </c>
      <c r="BH46" s="40" t="s">
        <v>48</v>
      </c>
      <c r="BJ46" s="33"/>
      <c r="BK46" s="38" t="str">
        <f>Notes!W47</f>
        <v xml:space="preserve">               </v>
      </c>
      <c r="BL46" s="4"/>
      <c r="BM46" s="44"/>
      <c r="BN46" s="42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D46" s="33"/>
      <c r="CE46" s="38" t="str">
        <f>Notes!W47</f>
        <v xml:space="preserve">               </v>
      </c>
      <c r="CF46" s="4"/>
      <c r="CG46" s="44"/>
      <c r="CH46" s="42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</row>
    <row r="47" spans="1:100" x14ac:dyDescent="0.35">
      <c r="A47" s="12">
        <v>40</v>
      </c>
      <c r="B47" s="33"/>
      <c r="C47" s="38" t="str">
        <f>Notes!W48</f>
        <v xml:space="preserve">               </v>
      </c>
      <c r="D47" s="4"/>
      <c r="E47" s="44"/>
      <c r="F47" s="42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V47" s="33"/>
      <c r="W47" s="38" t="str">
        <f>Notes!W48</f>
        <v xml:space="preserve">               </v>
      </c>
      <c r="X47" s="4"/>
      <c r="Y47" s="44"/>
      <c r="Z47" s="42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P47" s="33"/>
      <c r="AQ47" s="38" t="str">
        <f>Notes!U48</f>
        <v xml:space="preserve">               Other agriculture</v>
      </c>
      <c r="AR47" s="4" t="s">
        <v>708</v>
      </c>
      <c r="AS47" s="44">
        <v>0.66042511912699287</v>
      </c>
      <c r="AT47" s="42" t="s">
        <v>48</v>
      </c>
      <c r="AU47" s="40" t="s">
        <v>48</v>
      </c>
      <c r="AV47" s="40" t="s">
        <v>48</v>
      </c>
      <c r="AW47" s="40" t="s">
        <v>48</v>
      </c>
      <c r="AX47" s="40" t="s">
        <v>48</v>
      </c>
      <c r="AY47" s="40" t="s">
        <v>48</v>
      </c>
      <c r="AZ47" s="40" t="s">
        <v>48</v>
      </c>
      <c r="BA47" s="40" t="s">
        <v>48</v>
      </c>
      <c r="BB47" s="40" t="s">
        <v>48</v>
      </c>
      <c r="BC47" s="40" t="s">
        <v>48</v>
      </c>
      <c r="BD47" s="40" t="s">
        <v>48</v>
      </c>
      <c r="BE47" s="40" t="s">
        <v>48</v>
      </c>
      <c r="BF47" s="40" t="s">
        <v>48</v>
      </c>
      <c r="BG47" s="40" t="s">
        <v>48</v>
      </c>
      <c r="BH47" s="40" t="s">
        <v>48</v>
      </c>
      <c r="BJ47" s="33"/>
      <c r="BK47" s="38" t="str">
        <f>Notes!W48</f>
        <v xml:space="preserve">               </v>
      </c>
      <c r="BL47" s="4"/>
      <c r="BM47" s="44"/>
      <c r="BN47" s="42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D47" s="33"/>
      <c r="CE47" s="38" t="str">
        <f>Notes!W48</f>
        <v xml:space="preserve">               </v>
      </c>
      <c r="CF47" s="4"/>
      <c r="CG47" s="44"/>
      <c r="CH47" s="42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</row>
    <row r="48" spans="1:100" x14ac:dyDescent="0.35">
      <c r="A48" s="12">
        <v>41</v>
      </c>
      <c r="B48" s="33"/>
      <c r="C48" s="38" t="str">
        <f>Notes!W49</f>
        <v xml:space="preserve">               </v>
      </c>
      <c r="D48" s="4"/>
      <c r="E48" s="44"/>
      <c r="F48" s="42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V48" s="33"/>
      <c r="W48" s="38" t="str">
        <f>Notes!W49</f>
        <v xml:space="preserve">               </v>
      </c>
      <c r="X48" s="4"/>
      <c r="Y48" s="44"/>
      <c r="Z48" s="42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P48" s="33"/>
      <c r="AQ48" s="38" t="str">
        <f>Notes!U49</f>
        <v xml:space="preserve">               Forestry</v>
      </c>
      <c r="AR48" s="4" t="s">
        <v>709</v>
      </c>
      <c r="AS48" s="44">
        <v>0.66042511912699287</v>
      </c>
      <c r="AT48" s="42" t="s">
        <v>48</v>
      </c>
      <c r="AU48" s="40" t="s">
        <v>48</v>
      </c>
      <c r="AV48" s="40" t="s">
        <v>48</v>
      </c>
      <c r="AW48" s="40" t="s">
        <v>48</v>
      </c>
      <c r="AX48" s="40" t="s">
        <v>48</v>
      </c>
      <c r="AY48" s="40" t="s">
        <v>48</v>
      </c>
      <c r="AZ48" s="40" t="s">
        <v>48</v>
      </c>
      <c r="BA48" s="40" t="s">
        <v>48</v>
      </c>
      <c r="BB48" s="40" t="s">
        <v>48</v>
      </c>
      <c r="BC48" s="40" t="s">
        <v>48</v>
      </c>
      <c r="BD48" s="40" t="s">
        <v>48</v>
      </c>
      <c r="BE48" s="40" t="s">
        <v>48</v>
      </c>
      <c r="BF48" s="40" t="s">
        <v>48</v>
      </c>
      <c r="BG48" s="40" t="s">
        <v>48</v>
      </c>
      <c r="BH48" s="40" t="s">
        <v>48</v>
      </c>
      <c r="BJ48" s="33"/>
      <c r="BK48" s="38" t="str">
        <f>Notes!W49</f>
        <v xml:space="preserve">               </v>
      </c>
      <c r="BL48" s="4"/>
      <c r="BM48" s="44"/>
      <c r="BN48" s="42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D48" s="33"/>
      <c r="CE48" s="38" t="str">
        <f>Notes!W49</f>
        <v xml:space="preserve">               </v>
      </c>
      <c r="CF48" s="4"/>
      <c r="CG48" s="44"/>
      <c r="CH48" s="42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</row>
    <row r="49" spans="1:100" x14ac:dyDescent="0.35">
      <c r="A49" s="12">
        <v>42</v>
      </c>
      <c r="B49" s="33"/>
      <c r="C49" s="38" t="str">
        <f>Notes!W50</f>
        <v xml:space="preserve">               </v>
      </c>
      <c r="D49" s="4"/>
      <c r="E49" s="44"/>
      <c r="F49" s="42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V49" s="33"/>
      <c r="W49" s="38" t="str">
        <f>Notes!W50</f>
        <v xml:space="preserve">               </v>
      </c>
      <c r="X49" s="4"/>
      <c r="Y49" s="44"/>
      <c r="Z49" s="42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P49" s="33"/>
      <c r="AQ49" s="38" t="str">
        <f>Notes!U50</f>
        <v xml:space="preserve">               Aquaculture</v>
      </c>
      <c r="AR49" s="4" t="s">
        <v>710</v>
      </c>
      <c r="AS49" s="44">
        <v>85.446472747660451</v>
      </c>
      <c r="AT49" s="42" t="s">
        <v>48</v>
      </c>
      <c r="AU49" s="40" t="s">
        <v>48</v>
      </c>
      <c r="AV49" s="40" t="s">
        <v>48</v>
      </c>
      <c r="AW49" s="40" t="s">
        <v>48</v>
      </c>
      <c r="AX49" s="40" t="s">
        <v>48</v>
      </c>
      <c r="AY49" s="40" t="s">
        <v>48</v>
      </c>
      <c r="AZ49" s="40" t="s">
        <v>48</v>
      </c>
      <c r="BA49" s="40" t="s">
        <v>48</v>
      </c>
      <c r="BB49" s="40" t="s">
        <v>48</v>
      </c>
      <c r="BC49" s="40" t="s">
        <v>48</v>
      </c>
      <c r="BD49" s="40" t="s">
        <v>48</v>
      </c>
      <c r="BE49" s="40" t="s">
        <v>48</v>
      </c>
      <c r="BF49" s="40" t="s">
        <v>48</v>
      </c>
      <c r="BG49" s="40" t="s">
        <v>48</v>
      </c>
      <c r="BH49" s="40" t="s">
        <v>48</v>
      </c>
      <c r="BJ49" s="33"/>
      <c r="BK49" s="38" t="str">
        <f>Notes!W50</f>
        <v xml:space="preserve">               </v>
      </c>
      <c r="BL49" s="4"/>
      <c r="BM49" s="44"/>
      <c r="BN49" s="42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D49" s="33"/>
      <c r="CE49" s="38" t="str">
        <f>Notes!W50</f>
        <v xml:space="preserve">               </v>
      </c>
      <c r="CF49" s="4"/>
      <c r="CG49" s="44"/>
      <c r="CH49" s="42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</row>
    <row r="50" spans="1:100" x14ac:dyDescent="0.35">
      <c r="A50" s="12">
        <v>43</v>
      </c>
      <c r="B50" s="33"/>
      <c r="C50" s="38" t="str">
        <f>Notes!W51</f>
        <v xml:space="preserve">               </v>
      </c>
      <c r="D50" s="4"/>
      <c r="E50" s="44"/>
      <c r="F50" s="42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V50" s="33"/>
      <c r="W50" s="38" t="str">
        <f>Notes!W51</f>
        <v xml:space="preserve">               </v>
      </c>
      <c r="X50" s="4"/>
      <c r="Y50" s="44"/>
      <c r="Z50" s="42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P50" s="33"/>
      <c r="AQ50" s="38" t="str">
        <f>Notes!U51</f>
        <v xml:space="preserve">               Capture fisheries</v>
      </c>
      <c r="AR50" s="4" t="s">
        <v>499</v>
      </c>
      <c r="AS50" s="44">
        <v>40.503521710728293</v>
      </c>
      <c r="AT50" s="42" t="s">
        <v>48</v>
      </c>
      <c r="AU50" s="40" t="s">
        <v>48</v>
      </c>
      <c r="AV50" s="40" t="s">
        <v>48</v>
      </c>
      <c r="AW50" s="40" t="s">
        <v>48</v>
      </c>
      <c r="AX50" s="40" t="s">
        <v>48</v>
      </c>
      <c r="AY50" s="40" t="s">
        <v>48</v>
      </c>
      <c r="AZ50" s="40" t="s">
        <v>48</v>
      </c>
      <c r="BA50" s="40" t="s">
        <v>48</v>
      </c>
      <c r="BB50" s="40" t="s">
        <v>48</v>
      </c>
      <c r="BC50" s="40" t="s">
        <v>48</v>
      </c>
      <c r="BD50" s="40" t="s">
        <v>48</v>
      </c>
      <c r="BE50" s="40" t="s">
        <v>48</v>
      </c>
      <c r="BF50" s="40" t="s">
        <v>48</v>
      </c>
      <c r="BG50" s="40" t="s">
        <v>48</v>
      </c>
      <c r="BH50" s="40" t="s">
        <v>48</v>
      </c>
      <c r="BJ50" s="33"/>
      <c r="BK50" s="38" t="str">
        <f>Notes!W51</f>
        <v xml:space="preserve">               </v>
      </c>
      <c r="BL50" s="4"/>
      <c r="BM50" s="44"/>
      <c r="BN50" s="42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D50" s="33"/>
      <c r="CE50" s="38" t="str">
        <f>Notes!W51</f>
        <v xml:space="preserve">               </v>
      </c>
      <c r="CF50" s="4"/>
      <c r="CG50" s="44"/>
      <c r="CH50" s="42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</row>
    <row r="51" spans="1:100" x14ac:dyDescent="0.35">
      <c r="A51" s="12">
        <v>44</v>
      </c>
      <c r="B51" s="33"/>
      <c r="C51" s="38" t="str">
        <f>Notes!W52</f>
        <v xml:space="preserve">               </v>
      </c>
      <c r="D51" s="4"/>
      <c r="E51" s="44"/>
      <c r="F51" s="42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V51" s="33"/>
      <c r="W51" s="38" t="str">
        <f>Notes!W52</f>
        <v xml:space="preserve">               </v>
      </c>
      <c r="X51" s="4"/>
      <c r="Y51" s="44"/>
      <c r="Z51" s="42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P51" s="33"/>
      <c r="AQ51" s="38" t="str">
        <f>Notes!U52</f>
        <v xml:space="preserve">               Industry</v>
      </c>
      <c r="AR51" s="4" t="s">
        <v>501</v>
      </c>
      <c r="AS51" s="44" t="s">
        <v>48</v>
      </c>
      <c r="AT51" s="42" t="s">
        <v>48</v>
      </c>
      <c r="AU51" s="40" t="s">
        <v>48</v>
      </c>
      <c r="AV51" s="40" t="s">
        <v>48</v>
      </c>
      <c r="AW51" s="40" t="s">
        <v>48</v>
      </c>
      <c r="AX51" s="40" t="s">
        <v>48</v>
      </c>
      <c r="AY51" s="40" t="s">
        <v>48</v>
      </c>
      <c r="AZ51" s="40" t="s">
        <v>48</v>
      </c>
      <c r="BA51" s="40" t="s">
        <v>48</v>
      </c>
      <c r="BB51" s="40" t="s">
        <v>48</v>
      </c>
      <c r="BC51" s="40" t="s">
        <v>48</v>
      </c>
      <c r="BD51" s="40" t="s">
        <v>48</v>
      </c>
      <c r="BE51" s="40" t="s">
        <v>48</v>
      </c>
      <c r="BF51" s="40" t="s">
        <v>48</v>
      </c>
      <c r="BG51" s="40" t="s">
        <v>48</v>
      </c>
      <c r="BH51" s="40" t="s">
        <v>48</v>
      </c>
      <c r="BJ51" s="33"/>
      <c r="BK51" s="38" t="str">
        <f>Notes!W52</f>
        <v xml:space="preserve">               </v>
      </c>
      <c r="BL51" s="4"/>
      <c r="BM51" s="44"/>
      <c r="BN51" s="42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D51" s="33"/>
      <c r="CE51" s="38" t="str">
        <f>Notes!W52</f>
        <v xml:space="preserve">               </v>
      </c>
      <c r="CF51" s="4"/>
      <c r="CG51" s="44"/>
      <c r="CH51" s="42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</row>
    <row r="52" spans="1:100" x14ac:dyDescent="0.35">
      <c r="A52" s="12">
        <v>45</v>
      </c>
      <c r="B52" s="33"/>
      <c r="C52" s="38" t="str">
        <f>Notes!W53</f>
        <v xml:space="preserve">               </v>
      </c>
      <c r="D52" s="4"/>
      <c r="E52" s="44"/>
      <c r="F52" s="42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V52" s="33"/>
      <c r="W52" s="38" t="str">
        <f>Notes!W53</f>
        <v xml:space="preserve">               </v>
      </c>
      <c r="X52" s="4"/>
      <c r="Y52" s="44"/>
      <c r="Z52" s="42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P52" s="33"/>
      <c r="AQ52" s="38" t="str">
        <f>Notes!U53</f>
        <v xml:space="preserve">               Mining</v>
      </c>
      <c r="AR52" s="4" t="s">
        <v>711</v>
      </c>
      <c r="AS52" s="44" t="s">
        <v>48</v>
      </c>
      <c r="AT52" s="42" t="s">
        <v>48</v>
      </c>
      <c r="AU52" s="40" t="s">
        <v>48</v>
      </c>
      <c r="AV52" s="40" t="s">
        <v>48</v>
      </c>
      <c r="AW52" s="40" t="s">
        <v>48</v>
      </c>
      <c r="AX52" s="40" t="s">
        <v>48</v>
      </c>
      <c r="AY52" s="40" t="s">
        <v>48</v>
      </c>
      <c r="AZ52" s="40" t="s">
        <v>48</v>
      </c>
      <c r="BA52" s="40" t="s">
        <v>48</v>
      </c>
      <c r="BB52" s="40" t="s">
        <v>48</v>
      </c>
      <c r="BC52" s="40" t="s">
        <v>48</v>
      </c>
      <c r="BD52" s="40" t="s">
        <v>48</v>
      </c>
      <c r="BE52" s="40" t="s">
        <v>48</v>
      </c>
      <c r="BF52" s="40" t="s">
        <v>48</v>
      </c>
      <c r="BG52" s="40" t="s">
        <v>48</v>
      </c>
      <c r="BH52" s="40" t="s">
        <v>48</v>
      </c>
      <c r="BJ52" s="33"/>
      <c r="BK52" s="38" t="str">
        <f>Notes!W53</f>
        <v xml:space="preserve">               </v>
      </c>
      <c r="BL52" s="4"/>
      <c r="BM52" s="44"/>
      <c r="BN52" s="42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D52" s="33"/>
      <c r="CE52" s="38" t="str">
        <f>Notes!W53</f>
        <v xml:space="preserve">               </v>
      </c>
      <c r="CF52" s="4"/>
      <c r="CG52" s="44"/>
      <c r="CH52" s="42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</row>
    <row r="53" spans="1:100" x14ac:dyDescent="0.35">
      <c r="A53" s="12">
        <v>46</v>
      </c>
      <c r="B53" s="33"/>
      <c r="C53" s="38" t="str">
        <f>Notes!W54</f>
        <v xml:space="preserve">               </v>
      </c>
      <c r="D53" s="4"/>
      <c r="E53" s="44"/>
      <c r="F53" s="42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V53" s="33"/>
      <c r="W53" s="38" t="str">
        <f>Notes!W54</f>
        <v xml:space="preserve">               </v>
      </c>
      <c r="X53" s="4"/>
      <c r="Y53" s="44"/>
      <c r="Z53" s="42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P53" s="33"/>
      <c r="AQ53" s="38" t="str">
        <f>Notes!U54</f>
        <v xml:space="preserve">               Coal and lignite</v>
      </c>
      <c r="AR53" s="4" t="s">
        <v>712</v>
      </c>
      <c r="AS53" s="44" t="s">
        <v>48</v>
      </c>
      <c r="AT53" s="42" t="s">
        <v>48</v>
      </c>
      <c r="AU53" s="40" t="s">
        <v>48</v>
      </c>
      <c r="AV53" s="40" t="s">
        <v>48</v>
      </c>
      <c r="AW53" s="40" t="s">
        <v>48</v>
      </c>
      <c r="AX53" s="40" t="s">
        <v>48</v>
      </c>
      <c r="AY53" s="40" t="s">
        <v>48</v>
      </c>
      <c r="AZ53" s="40" t="s">
        <v>48</v>
      </c>
      <c r="BA53" s="40" t="s">
        <v>48</v>
      </c>
      <c r="BB53" s="40" t="s">
        <v>48</v>
      </c>
      <c r="BC53" s="40" t="s">
        <v>48</v>
      </c>
      <c r="BD53" s="40" t="s">
        <v>48</v>
      </c>
      <c r="BE53" s="40" t="s">
        <v>48</v>
      </c>
      <c r="BF53" s="40" t="s">
        <v>48</v>
      </c>
      <c r="BG53" s="40" t="s">
        <v>48</v>
      </c>
      <c r="BH53" s="40" t="s">
        <v>48</v>
      </c>
      <c r="BJ53" s="33"/>
      <c r="BK53" s="38" t="str">
        <f>Notes!W54</f>
        <v xml:space="preserve">               </v>
      </c>
      <c r="BL53" s="4"/>
      <c r="BM53" s="44"/>
      <c r="BN53" s="42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D53" s="33"/>
      <c r="CE53" s="38" t="str">
        <f>Notes!W54</f>
        <v xml:space="preserve">               </v>
      </c>
      <c r="CF53" s="4"/>
      <c r="CG53" s="44"/>
      <c r="CH53" s="42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</row>
    <row r="54" spans="1:100" x14ac:dyDescent="0.35">
      <c r="A54" s="12">
        <v>47</v>
      </c>
      <c r="B54" s="33"/>
      <c r="C54" s="38" t="str">
        <f>Notes!W55</f>
        <v xml:space="preserve">               </v>
      </c>
      <c r="D54" s="4"/>
      <c r="E54" s="44"/>
      <c r="F54" s="42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V54" s="33"/>
      <c r="W54" s="38" t="str">
        <f>Notes!W55</f>
        <v xml:space="preserve">               </v>
      </c>
      <c r="X54" s="4"/>
      <c r="Y54" s="44"/>
      <c r="Z54" s="42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P54" s="33"/>
      <c r="AQ54" s="38" t="str">
        <f>Notes!U55</f>
        <v xml:space="preserve">               Crude oil</v>
      </c>
      <c r="AR54" s="4" t="s">
        <v>713</v>
      </c>
      <c r="AS54" s="44">
        <v>40.503521710728293</v>
      </c>
      <c r="AT54" s="42" t="s">
        <v>48</v>
      </c>
      <c r="AU54" s="40" t="s">
        <v>48</v>
      </c>
      <c r="AV54" s="40" t="s">
        <v>48</v>
      </c>
      <c r="AW54" s="40" t="s">
        <v>48</v>
      </c>
      <c r="AX54" s="40" t="s">
        <v>48</v>
      </c>
      <c r="AY54" s="40" t="s">
        <v>48</v>
      </c>
      <c r="AZ54" s="40" t="s">
        <v>48</v>
      </c>
      <c r="BA54" s="40" t="s">
        <v>48</v>
      </c>
      <c r="BB54" s="40" t="s">
        <v>48</v>
      </c>
      <c r="BC54" s="40" t="s">
        <v>48</v>
      </c>
      <c r="BD54" s="40" t="s">
        <v>48</v>
      </c>
      <c r="BE54" s="40" t="s">
        <v>48</v>
      </c>
      <c r="BF54" s="40" t="s">
        <v>48</v>
      </c>
      <c r="BG54" s="40" t="s">
        <v>48</v>
      </c>
      <c r="BH54" s="40" t="s">
        <v>48</v>
      </c>
      <c r="BJ54" s="33"/>
      <c r="BK54" s="38" t="str">
        <f>Notes!W55</f>
        <v xml:space="preserve">               </v>
      </c>
      <c r="BL54" s="4"/>
      <c r="BM54" s="44"/>
      <c r="BN54" s="42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D54" s="33"/>
      <c r="CE54" s="38" t="str">
        <f>Notes!W55</f>
        <v xml:space="preserve">               </v>
      </c>
      <c r="CF54" s="4"/>
      <c r="CG54" s="44"/>
      <c r="CH54" s="42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</row>
    <row r="55" spans="1:100" x14ac:dyDescent="0.35">
      <c r="A55" s="12">
        <v>48</v>
      </c>
      <c r="B55" s="33"/>
      <c r="C55" s="38" t="str">
        <f>Notes!W56</f>
        <v xml:space="preserve">               </v>
      </c>
      <c r="D55" s="4"/>
      <c r="E55" s="44"/>
      <c r="F55" s="42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V55" s="33"/>
      <c r="W55" s="38" t="str">
        <f>Notes!W56</f>
        <v xml:space="preserve">               </v>
      </c>
      <c r="X55" s="4"/>
      <c r="Y55" s="44"/>
      <c r="Z55" s="42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P55" s="33"/>
      <c r="AQ55" s="38" t="str">
        <f>Notes!U56</f>
        <v xml:space="preserve">               Natural gas</v>
      </c>
      <c r="AR55" s="4" t="s">
        <v>504</v>
      </c>
      <c r="AS55" s="44">
        <v>21.65148732346794</v>
      </c>
      <c r="AT55" s="42" t="s">
        <v>48</v>
      </c>
      <c r="AU55" s="40" t="s">
        <v>48</v>
      </c>
      <c r="AV55" s="40" t="s">
        <v>48</v>
      </c>
      <c r="AW55" s="40" t="s">
        <v>48</v>
      </c>
      <c r="AX55" s="40" t="s">
        <v>48</v>
      </c>
      <c r="AY55" s="40" t="s">
        <v>48</v>
      </c>
      <c r="AZ55" s="40" t="s">
        <v>48</v>
      </c>
      <c r="BA55" s="40" t="s">
        <v>48</v>
      </c>
      <c r="BB55" s="40" t="s">
        <v>48</v>
      </c>
      <c r="BC55" s="40" t="s">
        <v>48</v>
      </c>
      <c r="BD55" s="40" t="s">
        <v>48</v>
      </c>
      <c r="BE55" s="40" t="s">
        <v>48</v>
      </c>
      <c r="BF55" s="40" t="s">
        <v>48</v>
      </c>
      <c r="BG55" s="40" t="s">
        <v>48</v>
      </c>
      <c r="BH55" s="40" t="s">
        <v>48</v>
      </c>
      <c r="BJ55" s="33"/>
      <c r="BK55" s="38" t="str">
        <f>Notes!W56</f>
        <v xml:space="preserve">               </v>
      </c>
      <c r="BL55" s="4"/>
      <c r="BM55" s="44"/>
      <c r="BN55" s="42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D55" s="33"/>
      <c r="CE55" s="38" t="str">
        <f>Notes!W56</f>
        <v xml:space="preserve">               </v>
      </c>
      <c r="CF55" s="4"/>
      <c r="CG55" s="44"/>
      <c r="CH55" s="42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</row>
    <row r="56" spans="1:100" x14ac:dyDescent="0.35">
      <c r="A56" s="12">
        <v>49</v>
      </c>
      <c r="B56" s="33"/>
      <c r="C56" s="38" t="str">
        <f>Notes!W57</f>
        <v xml:space="preserve">               </v>
      </c>
      <c r="D56" s="4"/>
      <c r="E56" s="44"/>
      <c r="F56" s="42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V56" s="33"/>
      <c r="W56" s="38" t="str">
        <f>Notes!W57</f>
        <v xml:space="preserve">               </v>
      </c>
      <c r="X56" s="4"/>
      <c r="Y56" s="44"/>
      <c r="Z56" s="42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P56" s="33"/>
      <c r="AQ56" s="38" t="str">
        <f>Notes!U57</f>
        <v xml:space="preserve">               Other mining</v>
      </c>
      <c r="AR56" s="4" t="s">
        <v>766</v>
      </c>
      <c r="AS56" s="44">
        <v>14.921551775916869</v>
      </c>
      <c r="AT56" s="42" t="s">
        <v>48</v>
      </c>
      <c r="AU56" s="40" t="s">
        <v>48</v>
      </c>
      <c r="AV56" s="40" t="s">
        <v>48</v>
      </c>
      <c r="AW56" s="40" t="s">
        <v>48</v>
      </c>
      <c r="AX56" s="40" t="s">
        <v>48</v>
      </c>
      <c r="AY56" s="40" t="s">
        <v>48</v>
      </c>
      <c r="AZ56" s="40" t="s">
        <v>48</v>
      </c>
      <c r="BA56" s="40" t="s">
        <v>48</v>
      </c>
      <c r="BB56" s="40" t="s">
        <v>48</v>
      </c>
      <c r="BC56" s="40" t="s">
        <v>48</v>
      </c>
      <c r="BD56" s="40" t="s">
        <v>48</v>
      </c>
      <c r="BE56" s="40" t="s">
        <v>48</v>
      </c>
      <c r="BF56" s="40" t="s">
        <v>48</v>
      </c>
      <c r="BG56" s="40" t="s">
        <v>48</v>
      </c>
      <c r="BH56" s="40" t="s">
        <v>48</v>
      </c>
      <c r="BJ56" s="33"/>
      <c r="BK56" s="38" t="str">
        <f>Notes!W57</f>
        <v xml:space="preserve">               </v>
      </c>
      <c r="BL56" s="4"/>
      <c r="BM56" s="44"/>
      <c r="BN56" s="42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D56" s="33"/>
      <c r="CE56" s="38" t="str">
        <f>Notes!W57</f>
        <v xml:space="preserve">               </v>
      </c>
      <c r="CF56" s="4"/>
      <c r="CG56" s="44"/>
      <c r="CH56" s="42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</row>
    <row r="57" spans="1:100" x14ac:dyDescent="0.35">
      <c r="A57" s="12">
        <v>50</v>
      </c>
      <c r="B57" s="33"/>
      <c r="C57" s="38" t="str">
        <f>Notes!W58</f>
        <v xml:space="preserve">               </v>
      </c>
      <c r="D57" s="4"/>
      <c r="E57" s="44"/>
      <c r="F57" s="42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V57" s="33"/>
      <c r="W57" s="38" t="str">
        <f>Notes!W58</f>
        <v xml:space="preserve">               </v>
      </c>
      <c r="X57" s="4"/>
      <c r="Y57" s="44"/>
      <c r="Z57" s="42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P57" s="33"/>
      <c r="AQ57" s="38" t="str">
        <f>Notes!U58</f>
        <v xml:space="preserve">               Manufacturing</v>
      </c>
      <c r="AR57" s="4" t="s">
        <v>508</v>
      </c>
      <c r="AS57" s="44">
        <v>1.6511796369553202</v>
      </c>
      <c r="AT57" s="42" t="s">
        <v>48</v>
      </c>
      <c r="AU57" s="40" t="s">
        <v>48</v>
      </c>
      <c r="AV57" s="40" t="s">
        <v>48</v>
      </c>
      <c r="AW57" s="40" t="s">
        <v>48</v>
      </c>
      <c r="AX57" s="40" t="s">
        <v>48</v>
      </c>
      <c r="AY57" s="40" t="s">
        <v>48</v>
      </c>
      <c r="AZ57" s="40" t="s">
        <v>48</v>
      </c>
      <c r="BA57" s="40" t="s">
        <v>48</v>
      </c>
      <c r="BB57" s="40" t="s">
        <v>48</v>
      </c>
      <c r="BC57" s="40" t="s">
        <v>48</v>
      </c>
      <c r="BD57" s="40" t="s">
        <v>48</v>
      </c>
      <c r="BE57" s="40" t="s">
        <v>48</v>
      </c>
      <c r="BF57" s="40" t="s">
        <v>48</v>
      </c>
      <c r="BG57" s="40" t="s">
        <v>48</v>
      </c>
      <c r="BH57" s="40" t="s">
        <v>48</v>
      </c>
      <c r="BJ57" s="33"/>
      <c r="BK57" s="38" t="str">
        <f>Notes!W58</f>
        <v xml:space="preserve">               </v>
      </c>
      <c r="BL57" s="4"/>
      <c r="BM57" s="44"/>
      <c r="BN57" s="42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D57" s="33"/>
      <c r="CE57" s="38" t="str">
        <f>Notes!W58</f>
        <v xml:space="preserve">               </v>
      </c>
      <c r="CF57" s="4"/>
      <c r="CG57" s="44"/>
      <c r="CH57" s="42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</row>
    <row r="58" spans="1:100" x14ac:dyDescent="0.35">
      <c r="A58" s="12">
        <v>51</v>
      </c>
      <c r="B58" s="33"/>
      <c r="C58" s="38" t="str">
        <f>Notes!W59</f>
        <v xml:space="preserve">               </v>
      </c>
      <c r="D58" s="4"/>
      <c r="E58" s="44"/>
      <c r="F58" s="42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V58" s="33"/>
      <c r="W58" s="38" t="str">
        <f>Notes!W59</f>
        <v xml:space="preserve">               </v>
      </c>
      <c r="X58" s="4"/>
      <c r="Y58" s="44"/>
      <c r="Z58" s="42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P58" s="33"/>
      <c r="AQ58" s="38" t="str">
        <f>Notes!U59</f>
        <v xml:space="preserve">               Food processing</v>
      </c>
      <c r="AR58" s="4" t="s">
        <v>510</v>
      </c>
      <c r="AS58" s="44">
        <v>0.2243303016155461</v>
      </c>
      <c r="AT58" s="42" t="s">
        <v>48</v>
      </c>
      <c r="AU58" s="40" t="s">
        <v>48</v>
      </c>
      <c r="AV58" s="40" t="s">
        <v>48</v>
      </c>
      <c r="AW58" s="40" t="s">
        <v>48</v>
      </c>
      <c r="AX58" s="40" t="s">
        <v>48</v>
      </c>
      <c r="AY58" s="40" t="s">
        <v>48</v>
      </c>
      <c r="AZ58" s="40" t="s">
        <v>48</v>
      </c>
      <c r="BA58" s="40" t="s">
        <v>48</v>
      </c>
      <c r="BB58" s="40" t="s">
        <v>48</v>
      </c>
      <c r="BC58" s="40" t="s">
        <v>48</v>
      </c>
      <c r="BD58" s="40" t="s">
        <v>48</v>
      </c>
      <c r="BE58" s="40" t="s">
        <v>48</v>
      </c>
      <c r="BF58" s="40" t="s">
        <v>48</v>
      </c>
      <c r="BG58" s="40" t="s">
        <v>48</v>
      </c>
      <c r="BH58" s="40" t="s">
        <v>48</v>
      </c>
      <c r="BJ58" s="33"/>
      <c r="BK58" s="38" t="str">
        <f>Notes!W59</f>
        <v xml:space="preserve">               </v>
      </c>
      <c r="BL58" s="4"/>
      <c r="BM58" s="44"/>
      <c r="BN58" s="42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D58" s="33"/>
      <c r="CE58" s="38" t="str">
        <f>Notes!W59</f>
        <v xml:space="preserve">               </v>
      </c>
      <c r="CF58" s="4"/>
      <c r="CG58" s="44"/>
      <c r="CH58" s="42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</row>
    <row r="59" spans="1:100" x14ac:dyDescent="0.35">
      <c r="A59" s="12">
        <v>52</v>
      </c>
      <c r="B59" s="33"/>
      <c r="C59" s="38" t="str">
        <f>Notes!W60</f>
        <v xml:space="preserve">               </v>
      </c>
      <c r="D59" s="4"/>
      <c r="E59" s="44"/>
      <c r="F59" s="42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V59" s="33"/>
      <c r="W59" s="38" t="str">
        <f>Notes!W60</f>
        <v xml:space="preserve">               </v>
      </c>
      <c r="X59" s="4"/>
      <c r="Y59" s="44"/>
      <c r="Z59" s="42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P59" s="33"/>
      <c r="AQ59" s="38" t="str">
        <f>Notes!U60</f>
        <v xml:space="preserve">               Food processing</v>
      </c>
      <c r="AR59" s="4" t="s">
        <v>506</v>
      </c>
      <c r="AS59" s="44">
        <v>0.50703414402814428</v>
      </c>
      <c r="AT59" s="42" t="s">
        <v>48</v>
      </c>
      <c r="AU59" s="40" t="s">
        <v>48</v>
      </c>
      <c r="AV59" s="40" t="s">
        <v>48</v>
      </c>
      <c r="AW59" s="40" t="s">
        <v>48</v>
      </c>
      <c r="AX59" s="40" t="s">
        <v>48</v>
      </c>
      <c r="AY59" s="40" t="s">
        <v>48</v>
      </c>
      <c r="AZ59" s="40" t="s">
        <v>48</v>
      </c>
      <c r="BA59" s="40" t="s">
        <v>48</v>
      </c>
      <c r="BB59" s="40" t="s">
        <v>48</v>
      </c>
      <c r="BC59" s="40" t="s">
        <v>48</v>
      </c>
      <c r="BD59" s="40" t="s">
        <v>48</v>
      </c>
      <c r="BE59" s="40" t="s">
        <v>48</v>
      </c>
      <c r="BF59" s="40" t="s">
        <v>48</v>
      </c>
      <c r="BG59" s="40" t="s">
        <v>48</v>
      </c>
      <c r="BH59" s="40" t="s">
        <v>48</v>
      </c>
      <c r="BJ59" s="33"/>
      <c r="BK59" s="38" t="str">
        <f>Notes!W60</f>
        <v xml:space="preserve">               </v>
      </c>
      <c r="BL59" s="4"/>
      <c r="BM59" s="44"/>
      <c r="BN59" s="42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D59" s="33"/>
      <c r="CE59" s="38" t="str">
        <f>Notes!W60</f>
        <v xml:space="preserve">               </v>
      </c>
      <c r="CF59" s="4"/>
      <c r="CG59" s="44"/>
      <c r="CH59" s="42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</row>
    <row r="60" spans="1:100" x14ac:dyDescent="0.35">
      <c r="A60" s="12">
        <v>53</v>
      </c>
      <c r="B60" s="33"/>
      <c r="C60" s="38" t="str">
        <f>Notes!W61</f>
        <v xml:space="preserve">               </v>
      </c>
      <c r="D60" s="4"/>
      <c r="E60" s="44"/>
      <c r="F60" s="42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V60" s="33"/>
      <c r="W60" s="38" t="str">
        <f>Notes!W61</f>
        <v xml:space="preserve">               </v>
      </c>
      <c r="X60" s="4"/>
      <c r="Y60" s="44"/>
      <c r="Z60" s="42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P60" s="33"/>
      <c r="AQ60" s="38" t="str">
        <f>Notes!U61</f>
        <v xml:space="preserve">               Meat processing</v>
      </c>
      <c r="AR60" s="4" t="s">
        <v>342</v>
      </c>
      <c r="AS60" s="44">
        <v>1.6651024233239953</v>
      </c>
      <c r="AT60" s="42" t="s">
        <v>48</v>
      </c>
      <c r="AU60" s="40" t="s">
        <v>48</v>
      </c>
      <c r="AV60" s="40" t="s">
        <v>48</v>
      </c>
      <c r="AW60" s="40" t="s">
        <v>48</v>
      </c>
      <c r="AX60" s="40" t="s">
        <v>48</v>
      </c>
      <c r="AY60" s="40" t="s">
        <v>48</v>
      </c>
      <c r="AZ60" s="40" t="s">
        <v>48</v>
      </c>
      <c r="BA60" s="40" t="s">
        <v>48</v>
      </c>
      <c r="BB60" s="40" t="s">
        <v>48</v>
      </c>
      <c r="BC60" s="40" t="s">
        <v>48</v>
      </c>
      <c r="BD60" s="40" t="s">
        <v>48</v>
      </c>
      <c r="BE60" s="40" t="s">
        <v>48</v>
      </c>
      <c r="BF60" s="40" t="s">
        <v>48</v>
      </c>
      <c r="BG60" s="40" t="s">
        <v>48</v>
      </c>
      <c r="BH60" s="40" t="s">
        <v>48</v>
      </c>
      <c r="BJ60" s="33"/>
      <c r="BK60" s="38" t="str">
        <f>Notes!W61</f>
        <v xml:space="preserve">               </v>
      </c>
      <c r="BL60" s="4"/>
      <c r="BM60" s="44"/>
      <c r="BN60" s="42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D60" s="33"/>
      <c r="CE60" s="38" t="str">
        <f>Notes!W61</f>
        <v xml:space="preserve">               </v>
      </c>
      <c r="CF60" s="4"/>
      <c r="CG60" s="44"/>
      <c r="CH60" s="42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</row>
    <row r="61" spans="1:100" x14ac:dyDescent="0.35">
      <c r="A61" s="12">
        <v>54</v>
      </c>
      <c r="B61" s="33"/>
      <c r="C61" s="38" t="str">
        <f>Notes!W62</f>
        <v xml:space="preserve">               </v>
      </c>
      <c r="D61" s="4"/>
      <c r="E61" s="44"/>
      <c r="F61" s="42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V61" s="33"/>
      <c r="W61" s="38" t="str">
        <f>Notes!W62</f>
        <v xml:space="preserve">               </v>
      </c>
      <c r="X61" s="4"/>
      <c r="Y61" s="44"/>
      <c r="Z61" s="42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P61" s="33"/>
      <c r="AQ61" s="38" t="str">
        <f>Notes!U62</f>
        <v xml:space="preserve">               Fish and seafood processing</v>
      </c>
      <c r="AR61" s="4" t="s">
        <v>714</v>
      </c>
      <c r="AS61" s="44">
        <v>0.24311229260241032</v>
      </c>
      <c r="AT61" s="42" t="s">
        <v>48</v>
      </c>
      <c r="AU61" s="40" t="s">
        <v>48</v>
      </c>
      <c r="AV61" s="40" t="s">
        <v>48</v>
      </c>
      <c r="AW61" s="40" t="s">
        <v>48</v>
      </c>
      <c r="AX61" s="40" t="s">
        <v>48</v>
      </c>
      <c r="AY61" s="40" t="s">
        <v>48</v>
      </c>
      <c r="AZ61" s="40" t="s">
        <v>48</v>
      </c>
      <c r="BA61" s="40" t="s">
        <v>48</v>
      </c>
      <c r="BB61" s="40" t="s">
        <v>48</v>
      </c>
      <c r="BC61" s="40" t="s">
        <v>48</v>
      </c>
      <c r="BD61" s="40" t="s">
        <v>48</v>
      </c>
      <c r="BE61" s="40" t="s">
        <v>48</v>
      </c>
      <c r="BF61" s="40" t="s">
        <v>48</v>
      </c>
      <c r="BG61" s="40" t="s">
        <v>48</v>
      </c>
      <c r="BH61" s="40" t="s">
        <v>48</v>
      </c>
      <c r="BJ61" s="33"/>
      <c r="BK61" s="38" t="str">
        <f>Notes!W62</f>
        <v xml:space="preserve">               </v>
      </c>
      <c r="BL61" s="4"/>
      <c r="BM61" s="44"/>
      <c r="BN61" s="42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D61" s="33"/>
      <c r="CE61" s="38" t="str">
        <f>Notes!W62</f>
        <v xml:space="preserve">               </v>
      </c>
      <c r="CF61" s="4"/>
      <c r="CG61" s="44"/>
      <c r="CH61" s="42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</row>
    <row r="62" spans="1:100" x14ac:dyDescent="0.35">
      <c r="A62" s="12">
        <v>55</v>
      </c>
      <c r="B62" s="33"/>
      <c r="C62" s="38" t="str">
        <f>Notes!W63</f>
        <v xml:space="preserve">               </v>
      </c>
      <c r="D62" s="4"/>
      <c r="E62" s="44"/>
      <c r="F62" s="42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V62" s="33"/>
      <c r="W62" s="38" t="str">
        <f>Notes!W63</f>
        <v xml:space="preserve">               </v>
      </c>
      <c r="X62" s="4"/>
      <c r="Y62" s="44"/>
      <c r="Z62" s="42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P62" s="33"/>
      <c r="AQ62" s="38" t="str">
        <f>Notes!U63</f>
        <v xml:space="preserve">               Dairy</v>
      </c>
      <c r="AR62" s="4" t="s">
        <v>344</v>
      </c>
      <c r="AS62" s="44">
        <v>6.6489843717161738</v>
      </c>
      <c r="AT62" s="42" t="s">
        <v>48</v>
      </c>
      <c r="AU62" s="40" t="s">
        <v>48</v>
      </c>
      <c r="AV62" s="40" t="s">
        <v>48</v>
      </c>
      <c r="AW62" s="40" t="s">
        <v>48</v>
      </c>
      <c r="AX62" s="40" t="s">
        <v>48</v>
      </c>
      <c r="AY62" s="40" t="s">
        <v>48</v>
      </c>
      <c r="AZ62" s="40" t="s">
        <v>48</v>
      </c>
      <c r="BA62" s="40" t="s">
        <v>48</v>
      </c>
      <c r="BB62" s="40" t="s">
        <v>48</v>
      </c>
      <c r="BC62" s="40" t="s">
        <v>48</v>
      </c>
      <c r="BD62" s="40" t="s">
        <v>48</v>
      </c>
      <c r="BE62" s="40" t="s">
        <v>48</v>
      </c>
      <c r="BF62" s="40" t="s">
        <v>48</v>
      </c>
      <c r="BG62" s="40" t="s">
        <v>48</v>
      </c>
      <c r="BH62" s="40" t="s">
        <v>48</v>
      </c>
      <c r="BJ62" s="33"/>
      <c r="BK62" s="38" t="str">
        <f>Notes!W63</f>
        <v xml:space="preserve">               </v>
      </c>
      <c r="BL62" s="4"/>
      <c r="BM62" s="44"/>
      <c r="BN62" s="42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D62" s="33"/>
      <c r="CE62" s="38" t="str">
        <f>Notes!W63</f>
        <v xml:space="preserve">               </v>
      </c>
      <c r="CF62" s="4"/>
      <c r="CG62" s="44"/>
      <c r="CH62" s="42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</row>
    <row r="63" spans="1:100" x14ac:dyDescent="0.35">
      <c r="A63" s="12">
        <v>56</v>
      </c>
      <c r="B63" s="33"/>
      <c r="C63" s="38" t="str">
        <f>Notes!W64</f>
        <v xml:space="preserve">               </v>
      </c>
      <c r="D63" s="4"/>
      <c r="E63" s="44"/>
      <c r="F63" s="42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V63" s="33"/>
      <c r="W63" s="38" t="str">
        <f>Notes!W64</f>
        <v xml:space="preserve">               </v>
      </c>
      <c r="X63" s="4"/>
      <c r="Y63" s="44"/>
      <c r="Z63" s="42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P63" s="33"/>
      <c r="AQ63" s="38" t="str">
        <f>Notes!U64</f>
        <v xml:space="preserve">               Fruit and vegetable processing</v>
      </c>
      <c r="AR63" s="4" t="s">
        <v>343</v>
      </c>
      <c r="AS63" s="44">
        <v>1.4983458147551652</v>
      </c>
      <c r="AT63" s="42" t="s">
        <v>48</v>
      </c>
      <c r="AU63" s="40" t="s">
        <v>48</v>
      </c>
      <c r="AV63" s="40" t="s">
        <v>48</v>
      </c>
      <c r="AW63" s="40" t="s">
        <v>48</v>
      </c>
      <c r="AX63" s="40" t="s">
        <v>48</v>
      </c>
      <c r="AY63" s="40" t="s">
        <v>48</v>
      </c>
      <c r="AZ63" s="40" t="s">
        <v>48</v>
      </c>
      <c r="BA63" s="40" t="s">
        <v>48</v>
      </c>
      <c r="BB63" s="40" t="s">
        <v>48</v>
      </c>
      <c r="BC63" s="40" t="s">
        <v>48</v>
      </c>
      <c r="BD63" s="40" t="s">
        <v>48</v>
      </c>
      <c r="BE63" s="40" t="s">
        <v>48</v>
      </c>
      <c r="BF63" s="40" t="s">
        <v>48</v>
      </c>
      <c r="BG63" s="40" t="s">
        <v>48</v>
      </c>
      <c r="BH63" s="40" t="s">
        <v>48</v>
      </c>
      <c r="BJ63" s="33"/>
      <c r="BK63" s="38" t="str">
        <f>Notes!W64</f>
        <v xml:space="preserve">               </v>
      </c>
      <c r="BL63" s="4"/>
      <c r="BM63" s="44"/>
      <c r="BN63" s="42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D63" s="33"/>
      <c r="CE63" s="38" t="str">
        <f>Notes!W64</f>
        <v xml:space="preserve">               </v>
      </c>
      <c r="CF63" s="4"/>
      <c r="CG63" s="44"/>
      <c r="CH63" s="42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</row>
    <row r="64" spans="1:100" x14ac:dyDescent="0.35">
      <c r="A64" s="12">
        <v>57</v>
      </c>
      <c r="B64" s="33"/>
      <c r="C64" s="38" t="str">
        <f>Notes!W65</f>
        <v xml:space="preserve">               </v>
      </c>
      <c r="D64" s="4"/>
      <c r="E64" s="44"/>
      <c r="F64" s="42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V64" s="33"/>
      <c r="W64" s="38" t="str">
        <f>Notes!W65</f>
        <v xml:space="preserve">               </v>
      </c>
      <c r="X64" s="4"/>
      <c r="Y64" s="44"/>
      <c r="Z64" s="42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P64" s="33"/>
      <c r="AQ64" s="38" t="str">
        <f>Notes!U65</f>
        <v xml:space="preserve">               Fats and oils</v>
      </c>
      <c r="AR64" s="4" t="s">
        <v>715</v>
      </c>
      <c r="AS64" s="44" t="s">
        <v>48</v>
      </c>
      <c r="AT64" s="42" t="s">
        <v>48</v>
      </c>
      <c r="AU64" s="40" t="s">
        <v>48</v>
      </c>
      <c r="AV64" s="40" t="s">
        <v>48</v>
      </c>
      <c r="AW64" s="40" t="s">
        <v>48</v>
      </c>
      <c r="AX64" s="40" t="s">
        <v>48</v>
      </c>
      <c r="AY64" s="40" t="s">
        <v>48</v>
      </c>
      <c r="AZ64" s="40" t="s">
        <v>48</v>
      </c>
      <c r="BA64" s="40" t="s">
        <v>48</v>
      </c>
      <c r="BB64" s="40" t="s">
        <v>48</v>
      </c>
      <c r="BC64" s="40" t="s">
        <v>48</v>
      </c>
      <c r="BD64" s="40" t="s">
        <v>48</v>
      </c>
      <c r="BE64" s="40" t="s">
        <v>48</v>
      </c>
      <c r="BF64" s="40" t="s">
        <v>48</v>
      </c>
      <c r="BG64" s="40" t="s">
        <v>48</v>
      </c>
      <c r="BH64" s="40" t="s">
        <v>48</v>
      </c>
      <c r="BJ64" s="33"/>
      <c r="BK64" s="38" t="str">
        <f>Notes!W65</f>
        <v xml:space="preserve">               </v>
      </c>
      <c r="BL64" s="4"/>
      <c r="BM64" s="44"/>
      <c r="BN64" s="42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D64" s="33"/>
      <c r="CE64" s="38" t="str">
        <f>Notes!W65</f>
        <v xml:space="preserve">               </v>
      </c>
      <c r="CF64" s="4"/>
      <c r="CG64" s="44"/>
      <c r="CH64" s="42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</row>
    <row r="65" spans="1:100" x14ac:dyDescent="0.35">
      <c r="A65" s="12">
        <v>58</v>
      </c>
      <c r="B65" s="33"/>
      <c r="C65" s="38" t="str">
        <f>Notes!W66</f>
        <v xml:space="preserve">               </v>
      </c>
      <c r="D65" s="4"/>
      <c r="E65" s="44"/>
      <c r="F65" s="42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V65" s="33"/>
      <c r="W65" s="38" t="str">
        <f>Notes!W66</f>
        <v xml:space="preserve">               </v>
      </c>
      <c r="X65" s="4"/>
      <c r="Y65" s="44"/>
      <c r="Z65" s="42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P65" s="33"/>
      <c r="AQ65" s="38" t="str">
        <f>Notes!U66</f>
        <v xml:space="preserve">               Maize milling</v>
      </c>
      <c r="AR65" s="4" t="s">
        <v>345</v>
      </c>
      <c r="AS65" s="44">
        <v>2.4834627909201092</v>
      </c>
      <c r="AT65" s="42" t="s">
        <v>48</v>
      </c>
      <c r="AU65" s="40" t="s">
        <v>48</v>
      </c>
      <c r="AV65" s="40" t="s">
        <v>48</v>
      </c>
      <c r="AW65" s="40" t="s">
        <v>48</v>
      </c>
      <c r="AX65" s="40" t="s">
        <v>48</v>
      </c>
      <c r="AY65" s="40" t="s">
        <v>48</v>
      </c>
      <c r="AZ65" s="40" t="s">
        <v>48</v>
      </c>
      <c r="BA65" s="40" t="s">
        <v>48</v>
      </c>
      <c r="BB65" s="40" t="s">
        <v>48</v>
      </c>
      <c r="BC65" s="40" t="s">
        <v>48</v>
      </c>
      <c r="BD65" s="40" t="s">
        <v>48</v>
      </c>
      <c r="BE65" s="40" t="s">
        <v>48</v>
      </c>
      <c r="BF65" s="40" t="s">
        <v>48</v>
      </c>
      <c r="BG65" s="40" t="s">
        <v>48</v>
      </c>
      <c r="BH65" s="40" t="s">
        <v>48</v>
      </c>
      <c r="BJ65" s="33"/>
      <c r="BK65" s="38" t="str">
        <f>Notes!W66</f>
        <v xml:space="preserve">               </v>
      </c>
      <c r="BL65" s="4"/>
      <c r="BM65" s="44"/>
      <c r="BN65" s="42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D65" s="33"/>
      <c r="CE65" s="38" t="str">
        <f>Notes!W66</f>
        <v xml:space="preserve">               </v>
      </c>
      <c r="CF65" s="4"/>
      <c r="CG65" s="44"/>
      <c r="CH65" s="42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</row>
    <row r="66" spans="1:100" x14ac:dyDescent="0.35">
      <c r="A66" s="12">
        <v>59</v>
      </c>
      <c r="B66" s="33"/>
      <c r="C66" s="38" t="str">
        <f>Notes!W67</f>
        <v xml:space="preserve">               </v>
      </c>
      <c r="D66" s="4"/>
      <c r="E66" s="44"/>
      <c r="F66" s="42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V66" s="33"/>
      <c r="W66" s="38" t="str">
        <f>Notes!W67</f>
        <v xml:space="preserve">               </v>
      </c>
      <c r="X66" s="4"/>
      <c r="Y66" s="44"/>
      <c r="Z66" s="42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P66" s="33"/>
      <c r="AQ66" s="38" t="str">
        <f>Notes!U67</f>
        <v xml:space="preserve">               Sorghum and millet milling</v>
      </c>
      <c r="AR66" s="4" t="s">
        <v>346</v>
      </c>
      <c r="AS66" s="44">
        <v>6.2479602196712625</v>
      </c>
      <c r="AT66" s="42" t="s">
        <v>48</v>
      </c>
      <c r="AU66" s="40" t="s">
        <v>48</v>
      </c>
      <c r="AV66" s="40" t="s">
        <v>48</v>
      </c>
      <c r="AW66" s="40" t="s">
        <v>48</v>
      </c>
      <c r="AX66" s="40" t="s">
        <v>48</v>
      </c>
      <c r="AY66" s="40" t="s">
        <v>48</v>
      </c>
      <c r="AZ66" s="40" t="s">
        <v>48</v>
      </c>
      <c r="BA66" s="40" t="s">
        <v>48</v>
      </c>
      <c r="BB66" s="40" t="s">
        <v>48</v>
      </c>
      <c r="BC66" s="40" t="s">
        <v>48</v>
      </c>
      <c r="BD66" s="40" t="s">
        <v>48</v>
      </c>
      <c r="BE66" s="40" t="s">
        <v>48</v>
      </c>
      <c r="BF66" s="40" t="s">
        <v>48</v>
      </c>
      <c r="BG66" s="40" t="s">
        <v>48</v>
      </c>
      <c r="BH66" s="40" t="s">
        <v>48</v>
      </c>
      <c r="BJ66" s="33"/>
      <c r="BK66" s="38" t="str">
        <f>Notes!W67</f>
        <v xml:space="preserve">               </v>
      </c>
      <c r="BL66" s="4"/>
      <c r="BM66" s="44"/>
      <c r="BN66" s="42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D66" s="33"/>
      <c r="CE66" s="38" t="str">
        <f>Notes!W67</f>
        <v xml:space="preserve">               </v>
      </c>
      <c r="CF66" s="4"/>
      <c r="CG66" s="44"/>
      <c r="CH66" s="42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</row>
    <row r="67" spans="1:100" x14ac:dyDescent="0.35">
      <c r="A67" s="12">
        <v>60</v>
      </c>
      <c r="B67" s="33"/>
      <c r="C67" s="38" t="str">
        <f>Notes!W68</f>
        <v xml:space="preserve">               </v>
      </c>
      <c r="D67" s="4"/>
      <c r="E67" s="44"/>
      <c r="F67" s="42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V67" s="33"/>
      <c r="W67" s="38" t="str">
        <f>Notes!W68</f>
        <v xml:space="preserve">               </v>
      </c>
      <c r="X67" s="4"/>
      <c r="Y67" s="44"/>
      <c r="Z67" s="42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P67" s="33"/>
      <c r="AQ67" s="38" t="str">
        <f>Notes!U68</f>
        <v xml:space="preserve">               Rice milling</v>
      </c>
      <c r="AR67" s="4" t="s">
        <v>716</v>
      </c>
      <c r="AS67" s="44">
        <v>5.957122275977806</v>
      </c>
      <c r="AT67" s="42" t="s">
        <v>48</v>
      </c>
      <c r="AU67" s="40" t="s">
        <v>48</v>
      </c>
      <c r="AV67" s="40" t="s">
        <v>48</v>
      </c>
      <c r="AW67" s="40" t="s">
        <v>48</v>
      </c>
      <c r="AX67" s="40" t="s">
        <v>48</v>
      </c>
      <c r="AY67" s="40" t="s">
        <v>48</v>
      </c>
      <c r="AZ67" s="40" t="s">
        <v>48</v>
      </c>
      <c r="BA67" s="40" t="s">
        <v>48</v>
      </c>
      <c r="BB67" s="40" t="s">
        <v>48</v>
      </c>
      <c r="BC67" s="40" t="s">
        <v>48</v>
      </c>
      <c r="BD67" s="40" t="s">
        <v>48</v>
      </c>
      <c r="BE67" s="40" t="s">
        <v>48</v>
      </c>
      <c r="BF67" s="40" t="s">
        <v>48</v>
      </c>
      <c r="BG67" s="40" t="s">
        <v>48</v>
      </c>
      <c r="BH67" s="40" t="s">
        <v>48</v>
      </c>
      <c r="BJ67" s="33"/>
      <c r="BK67" s="38" t="str">
        <f>Notes!W68</f>
        <v xml:space="preserve">               </v>
      </c>
      <c r="BL67" s="4"/>
      <c r="BM67" s="44"/>
      <c r="BN67" s="42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D67" s="33"/>
      <c r="CE67" s="38" t="str">
        <f>Notes!W68</f>
        <v xml:space="preserve">               </v>
      </c>
      <c r="CF67" s="4"/>
      <c r="CG67" s="44"/>
      <c r="CH67" s="42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</row>
    <row r="68" spans="1:100" x14ac:dyDescent="0.35">
      <c r="A68" s="12">
        <v>61</v>
      </c>
      <c r="B68" s="33"/>
      <c r="C68" s="38" t="str">
        <f>Notes!W69</f>
        <v xml:space="preserve">               </v>
      </c>
      <c r="D68" s="4"/>
      <c r="E68" s="44"/>
      <c r="F68" s="42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V68" s="33"/>
      <c r="W68" s="38" t="str">
        <f>Notes!W69</f>
        <v xml:space="preserve">               </v>
      </c>
      <c r="X68" s="4"/>
      <c r="Y68" s="44"/>
      <c r="Z68" s="42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P68" s="33"/>
      <c r="AQ68" s="38" t="str">
        <f>Notes!U69</f>
        <v xml:space="preserve">               Rice milling - coarse</v>
      </c>
      <c r="AR68" s="4" t="s">
        <v>717</v>
      </c>
      <c r="AS68" s="44">
        <v>0.29083794369345578</v>
      </c>
      <c r="AT68" s="42" t="s">
        <v>48</v>
      </c>
      <c r="AU68" s="40" t="s">
        <v>48</v>
      </c>
      <c r="AV68" s="40" t="s">
        <v>48</v>
      </c>
      <c r="AW68" s="40" t="s">
        <v>48</v>
      </c>
      <c r="AX68" s="40" t="s">
        <v>48</v>
      </c>
      <c r="AY68" s="40" t="s">
        <v>48</v>
      </c>
      <c r="AZ68" s="40" t="s">
        <v>48</v>
      </c>
      <c r="BA68" s="40" t="s">
        <v>48</v>
      </c>
      <c r="BB68" s="40" t="s">
        <v>48</v>
      </c>
      <c r="BC68" s="40" t="s">
        <v>48</v>
      </c>
      <c r="BD68" s="40" t="s">
        <v>48</v>
      </c>
      <c r="BE68" s="40" t="s">
        <v>48</v>
      </c>
      <c r="BF68" s="40" t="s">
        <v>48</v>
      </c>
      <c r="BG68" s="40" t="s">
        <v>48</v>
      </c>
      <c r="BH68" s="40" t="s">
        <v>48</v>
      </c>
      <c r="BJ68" s="33"/>
      <c r="BK68" s="38" t="str">
        <f>Notes!W69</f>
        <v xml:space="preserve">               </v>
      </c>
      <c r="BL68" s="4"/>
      <c r="BM68" s="44"/>
      <c r="BN68" s="42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D68" s="33"/>
      <c r="CE68" s="38" t="str">
        <f>Notes!W69</f>
        <v xml:space="preserve">               </v>
      </c>
      <c r="CF68" s="4"/>
      <c r="CG68" s="44"/>
      <c r="CH68" s="42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</row>
    <row r="69" spans="1:100" x14ac:dyDescent="0.35">
      <c r="A69" s="12">
        <v>62</v>
      </c>
      <c r="B69" s="33"/>
      <c r="C69" s="38" t="str">
        <f>Notes!W70</f>
        <v xml:space="preserve">               </v>
      </c>
      <c r="D69" s="4"/>
      <c r="E69" s="44"/>
      <c r="F69" s="42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V69" s="33"/>
      <c r="W69" s="38" t="str">
        <f>Notes!W70</f>
        <v xml:space="preserve">               </v>
      </c>
      <c r="X69" s="4"/>
      <c r="Y69" s="44"/>
      <c r="Z69" s="42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P69" s="33"/>
      <c r="AQ69" s="38" t="str">
        <f>Notes!U70</f>
        <v xml:space="preserve">               Rice milling - other</v>
      </c>
      <c r="AR69" s="4" t="s">
        <v>347</v>
      </c>
      <c r="AS69" s="44">
        <v>19.334009715140127</v>
      </c>
      <c r="AT69" s="42" t="s">
        <v>48</v>
      </c>
      <c r="AU69" s="40" t="s">
        <v>48</v>
      </c>
      <c r="AV69" s="40" t="s">
        <v>48</v>
      </c>
      <c r="AW69" s="40" t="s">
        <v>48</v>
      </c>
      <c r="AX69" s="40" t="s">
        <v>48</v>
      </c>
      <c r="AY69" s="40" t="s">
        <v>48</v>
      </c>
      <c r="AZ69" s="40" t="s">
        <v>48</v>
      </c>
      <c r="BA69" s="40" t="s">
        <v>48</v>
      </c>
      <c r="BB69" s="40" t="s">
        <v>48</v>
      </c>
      <c r="BC69" s="40" t="s">
        <v>48</v>
      </c>
      <c r="BD69" s="40" t="s">
        <v>48</v>
      </c>
      <c r="BE69" s="40" t="s">
        <v>48</v>
      </c>
      <c r="BF69" s="40" t="s">
        <v>48</v>
      </c>
      <c r="BG69" s="40" t="s">
        <v>48</v>
      </c>
      <c r="BH69" s="40" t="s">
        <v>48</v>
      </c>
      <c r="BJ69" s="33"/>
      <c r="BK69" s="38" t="str">
        <f>Notes!W70</f>
        <v xml:space="preserve">               </v>
      </c>
      <c r="BL69" s="4"/>
      <c r="BM69" s="44"/>
      <c r="BN69" s="42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D69" s="33"/>
      <c r="CE69" s="38" t="str">
        <f>Notes!W70</f>
        <v xml:space="preserve">               </v>
      </c>
      <c r="CF69" s="4"/>
      <c r="CG69" s="44"/>
      <c r="CH69" s="42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</row>
    <row r="70" spans="1:100" x14ac:dyDescent="0.35">
      <c r="A70" s="12">
        <v>63</v>
      </c>
      <c r="B70" s="33"/>
      <c r="C70" s="38" t="str">
        <f>Notes!W71</f>
        <v xml:space="preserve">               </v>
      </c>
      <c r="D70" s="4"/>
      <c r="E70" s="44"/>
      <c r="F70" s="42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V70" s="33"/>
      <c r="W70" s="38" t="str">
        <f>Notes!W71</f>
        <v xml:space="preserve">               </v>
      </c>
      <c r="X70" s="4"/>
      <c r="Y70" s="44"/>
      <c r="Z70" s="42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P70" s="33"/>
      <c r="AQ70" s="38" t="str">
        <f>Notes!U71</f>
        <v xml:space="preserve">               Wheat and barley milling</v>
      </c>
      <c r="AR70" s="4" t="s">
        <v>718</v>
      </c>
      <c r="AS70" s="44">
        <v>5.9104590207183278</v>
      </c>
      <c r="AT70" s="42" t="s">
        <v>48</v>
      </c>
      <c r="AU70" s="40" t="s">
        <v>48</v>
      </c>
      <c r="AV70" s="40" t="s">
        <v>48</v>
      </c>
      <c r="AW70" s="40" t="s">
        <v>48</v>
      </c>
      <c r="AX70" s="40" t="s">
        <v>48</v>
      </c>
      <c r="AY70" s="40" t="s">
        <v>48</v>
      </c>
      <c r="AZ70" s="40" t="s">
        <v>48</v>
      </c>
      <c r="BA70" s="40" t="s">
        <v>48</v>
      </c>
      <c r="BB70" s="40" t="s">
        <v>48</v>
      </c>
      <c r="BC70" s="40" t="s">
        <v>48</v>
      </c>
      <c r="BD70" s="40" t="s">
        <v>48</v>
      </c>
      <c r="BE70" s="40" t="s">
        <v>48</v>
      </c>
      <c r="BF70" s="40" t="s">
        <v>48</v>
      </c>
      <c r="BG70" s="40" t="s">
        <v>48</v>
      </c>
      <c r="BH70" s="40" t="s">
        <v>48</v>
      </c>
      <c r="BJ70" s="33"/>
      <c r="BK70" s="38" t="str">
        <f>Notes!W71</f>
        <v xml:space="preserve">               </v>
      </c>
      <c r="BL70" s="4"/>
      <c r="BM70" s="44"/>
      <c r="BN70" s="42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D70" s="33"/>
      <c r="CE70" s="38" t="str">
        <f>Notes!W71</f>
        <v xml:space="preserve">               </v>
      </c>
      <c r="CF70" s="4"/>
      <c r="CG70" s="44"/>
      <c r="CH70" s="42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</row>
    <row r="71" spans="1:100" x14ac:dyDescent="0.35">
      <c r="A71" s="12">
        <v>64</v>
      </c>
      <c r="B71" s="33"/>
      <c r="C71" s="38" t="str">
        <f>Notes!W72</f>
        <v xml:space="preserve">               </v>
      </c>
      <c r="D71" s="4"/>
      <c r="E71" s="44"/>
      <c r="F71" s="42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V71" s="33"/>
      <c r="W71" s="38" t="str">
        <f>Notes!W72</f>
        <v xml:space="preserve">               </v>
      </c>
      <c r="X71" s="4"/>
      <c r="Y71" s="44"/>
      <c r="Z71" s="42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P71" s="33"/>
      <c r="AQ71" s="38" t="str">
        <f>Notes!U72</f>
        <v xml:space="preserve">               Other grain milling</v>
      </c>
      <c r="AR71" s="4" t="s">
        <v>349</v>
      </c>
      <c r="AS71" s="44">
        <v>5.9104590207183278</v>
      </c>
      <c r="AT71" s="42" t="s">
        <v>48</v>
      </c>
      <c r="AU71" s="40" t="s">
        <v>48</v>
      </c>
      <c r="AV71" s="40" t="s">
        <v>48</v>
      </c>
      <c r="AW71" s="40" t="s">
        <v>48</v>
      </c>
      <c r="AX71" s="40" t="s">
        <v>48</v>
      </c>
      <c r="AY71" s="40" t="s">
        <v>48</v>
      </c>
      <c r="AZ71" s="40" t="s">
        <v>48</v>
      </c>
      <c r="BA71" s="40" t="s">
        <v>48</v>
      </c>
      <c r="BB71" s="40" t="s">
        <v>48</v>
      </c>
      <c r="BC71" s="40" t="s">
        <v>48</v>
      </c>
      <c r="BD71" s="40" t="s">
        <v>48</v>
      </c>
      <c r="BE71" s="40" t="s">
        <v>48</v>
      </c>
      <c r="BF71" s="40" t="s">
        <v>48</v>
      </c>
      <c r="BG71" s="40" t="s">
        <v>48</v>
      </c>
      <c r="BH71" s="40" t="s">
        <v>48</v>
      </c>
      <c r="BJ71" s="33"/>
      <c r="BK71" s="38" t="str">
        <f>Notes!W72</f>
        <v xml:space="preserve">               </v>
      </c>
      <c r="BL71" s="4"/>
      <c r="BM71" s="44"/>
      <c r="BN71" s="42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D71" s="33"/>
      <c r="CE71" s="38" t="str">
        <f>Notes!W72</f>
        <v xml:space="preserve">               </v>
      </c>
      <c r="CF71" s="4"/>
      <c r="CG71" s="44"/>
      <c r="CH71" s="42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</row>
    <row r="72" spans="1:100" x14ac:dyDescent="0.35">
      <c r="A72" s="12">
        <v>65</v>
      </c>
      <c r="B72" s="33"/>
      <c r="C72" s="38" t="str">
        <f>Notes!W73</f>
        <v xml:space="preserve">               </v>
      </c>
      <c r="D72" s="4"/>
      <c r="E72" s="44"/>
      <c r="F72" s="42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V72" s="33"/>
      <c r="W72" s="38" t="str">
        <f>Notes!W73</f>
        <v xml:space="preserve">               </v>
      </c>
      <c r="X72" s="4"/>
      <c r="Y72" s="44"/>
      <c r="Z72" s="42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P72" s="33"/>
      <c r="AQ72" s="38" t="str">
        <f>Notes!U73</f>
        <v xml:space="preserve">               Sugar refining</v>
      </c>
      <c r="AR72" s="4" t="s">
        <v>719</v>
      </c>
      <c r="AS72" s="44">
        <v>0.56103295966167843</v>
      </c>
      <c r="AT72" s="42" t="s">
        <v>48</v>
      </c>
      <c r="AU72" s="40" t="s">
        <v>48</v>
      </c>
      <c r="AV72" s="40" t="s">
        <v>48</v>
      </c>
      <c r="AW72" s="40" t="s">
        <v>48</v>
      </c>
      <c r="AX72" s="40" t="s">
        <v>48</v>
      </c>
      <c r="AY72" s="40" t="s">
        <v>48</v>
      </c>
      <c r="AZ72" s="40" t="s">
        <v>48</v>
      </c>
      <c r="BA72" s="40" t="s">
        <v>48</v>
      </c>
      <c r="BB72" s="40" t="s">
        <v>48</v>
      </c>
      <c r="BC72" s="40" t="s">
        <v>48</v>
      </c>
      <c r="BD72" s="40" t="s">
        <v>48</v>
      </c>
      <c r="BE72" s="40" t="s">
        <v>48</v>
      </c>
      <c r="BF72" s="40" t="s">
        <v>48</v>
      </c>
      <c r="BG72" s="40" t="s">
        <v>48</v>
      </c>
      <c r="BH72" s="40" t="s">
        <v>48</v>
      </c>
      <c r="BJ72" s="33"/>
      <c r="BK72" s="38" t="str">
        <f>Notes!W73</f>
        <v xml:space="preserve">               </v>
      </c>
      <c r="BL72" s="4"/>
      <c r="BM72" s="44"/>
      <c r="BN72" s="42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D72" s="33"/>
      <c r="CE72" s="38" t="str">
        <f>Notes!W73</f>
        <v xml:space="preserve">               </v>
      </c>
      <c r="CF72" s="4"/>
      <c r="CG72" s="44"/>
      <c r="CH72" s="42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</row>
    <row r="73" spans="1:100" x14ac:dyDescent="0.35">
      <c r="A73" s="12">
        <v>66</v>
      </c>
      <c r="B73" s="33"/>
      <c r="C73" s="38" t="str">
        <f>Notes!W74</f>
        <v xml:space="preserve">               </v>
      </c>
      <c r="D73" s="4"/>
      <c r="E73" s="44"/>
      <c r="F73" s="42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V73" s="33"/>
      <c r="W73" s="38" t="str">
        <f>Notes!W74</f>
        <v xml:space="preserve">               </v>
      </c>
      <c r="X73" s="4"/>
      <c r="Y73" s="44"/>
      <c r="Z73" s="42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P73" s="33"/>
      <c r="AQ73" s="38" t="str">
        <f>Notes!U74</f>
        <v xml:space="preserve">               Coffee processing</v>
      </c>
      <c r="AR73" s="4" t="s">
        <v>720</v>
      </c>
      <c r="AS73" s="44">
        <v>0.48197532787980563</v>
      </c>
      <c r="AT73" s="42" t="s">
        <v>48</v>
      </c>
      <c r="AU73" s="40" t="s">
        <v>48</v>
      </c>
      <c r="AV73" s="40" t="s">
        <v>48</v>
      </c>
      <c r="AW73" s="40" t="s">
        <v>48</v>
      </c>
      <c r="AX73" s="40" t="s">
        <v>48</v>
      </c>
      <c r="AY73" s="40" t="s">
        <v>48</v>
      </c>
      <c r="AZ73" s="40" t="s">
        <v>48</v>
      </c>
      <c r="BA73" s="40" t="s">
        <v>48</v>
      </c>
      <c r="BB73" s="40" t="s">
        <v>48</v>
      </c>
      <c r="BC73" s="40" t="s">
        <v>48</v>
      </c>
      <c r="BD73" s="40" t="s">
        <v>48</v>
      </c>
      <c r="BE73" s="40" t="s">
        <v>48</v>
      </c>
      <c r="BF73" s="40" t="s">
        <v>48</v>
      </c>
      <c r="BG73" s="40" t="s">
        <v>48</v>
      </c>
      <c r="BH73" s="40" t="s">
        <v>48</v>
      </c>
      <c r="BJ73" s="33"/>
      <c r="BK73" s="38" t="str">
        <f>Notes!W74</f>
        <v xml:space="preserve">               </v>
      </c>
      <c r="BL73" s="4"/>
      <c r="BM73" s="44"/>
      <c r="BN73" s="42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D73" s="33"/>
      <c r="CE73" s="38" t="str">
        <f>Notes!W74</f>
        <v xml:space="preserve">               </v>
      </c>
      <c r="CF73" s="4"/>
      <c r="CG73" s="44"/>
      <c r="CH73" s="42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</row>
    <row r="74" spans="1:100" x14ac:dyDescent="0.35">
      <c r="A74" s="12">
        <v>67</v>
      </c>
      <c r="B74" s="33"/>
      <c r="C74" s="38" t="str">
        <f>Notes!W75</f>
        <v xml:space="preserve">               </v>
      </c>
      <c r="D74" s="4"/>
      <c r="E74" s="44"/>
      <c r="F74" s="42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V74" s="33"/>
      <c r="W74" s="38" t="str">
        <f>Notes!W75</f>
        <v xml:space="preserve">               </v>
      </c>
      <c r="X74" s="4"/>
      <c r="Y74" s="44"/>
      <c r="Z74" s="42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P74" s="33"/>
      <c r="AQ74" s="38" t="str">
        <f>Notes!U75</f>
        <v xml:space="preserve">               Tea processing</v>
      </c>
      <c r="AR74" s="4" t="s">
        <v>350</v>
      </c>
      <c r="AS74" s="44">
        <v>7.9057631781872917E-2</v>
      </c>
      <c r="AT74" s="42" t="s">
        <v>48</v>
      </c>
      <c r="AU74" s="40" t="s">
        <v>48</v>
      </c>
      <c r="AV74" s="40" t="s">
        <v>48</v>
      </c>
      <c r="AW74" s="40" t="s">
        <v>48</v>
      </c>
      <c r="AX74" s="40" t="s">
        <v>48</v>
      </c>
      <c r="AY74" s="40" t="s">
        <v>48</v>
      </c>
      <c r="AZ74" s="40" t="s">
        <v>48</v>
      </c>
      <c r="BA74" s="40" t="s">
        <v>48</v>
      </c>
      <c r="BB74" s="40" t="s">
        <v>48</v>
      </c>
      <c r="BC74" s="40" t="s">
        <v>48</v>
      </c>
      <c r="BD74" s="40" t="s">
        <v>48</v>
      </c>
      <c r="BE74" s="40" t="s">
        <v>48</v>
      </c>
      <c r="BF74" s="40" t="s">
        <v>48</v>
      </c>
      <c r="BG74" s="40" t="s">
        <v>48</v>
      </c>
      <c r="BH74" s="40" t="s">
        <v>48</v>
      </c>
      <c r="BJ74" s="33"/>
      <c r="BK74" s="38" t="str">
        <f>Notes!W75</f>
        <v xml:space="preserve">               </v>
      </c>
      <c r="BL74" s="4"/>
      <c r="BM74" s="44"/>
      <c r="BN74" s="42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D74" s="33"/>
      <c r="CE74" s="38" t="str">
        <f>Notes!W75</f>
        <v xml:space="preserve">               </v>
      </c>
      <c r="CF74" s="4"/>
      <c r="CG74" s="44"/>
      <c r="CH74" s="42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</row>
    <row r="75" spans="1:100" x14ac:dyDescent="0.35">
      <c r="A75" s="12">
        <v>68</v>
      </c>
      <c r="B75" s="33"/>
      <c r="C75" s="38" t="str">
        <f>Notes!W76</f>
        <v xml:space="preserve">               </v>
      </c>
      <c r="D75" s="4"/>
      <c r="E75" s="44"/>
      <c r="F75" s="42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V75" s="33"/>
      <c r="W75" s="38" t="str">
        <f>Notes!W76</f>
        <v xml:space="preserve">               </v>
      </c>
      <c r="X75" s="4"/>
      <c r="Y75" s="44"/>
      <c r="Z75" s="42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P75" s="33"/>
      <c r="AQ75" s="38" t="str">
        <f>Notes!U76</f>
        <v xml:space="preserve">               Other foods</v>
      </c>
      <c r="AR75" s="4" t="s">
        <v>351</v>
      </c>
      <c r="AS75" s="44">
        <v>5.4674613556625351</v>
      </c>
      <c r="AT75" s="42" t="s">
        <v>48</v>
      </c>
      <c r="AU75" s="40" t="s">
        <v>48</v>
      </c>
      <c r="AV75" s="40" t="s">
        <v>48</v>
      </c>
      <c r="AW75" s="40" t="s">
        <v>48</v>
      </c>
      <c r="AX75" s="40" t="s">
        <v>48</v>
      </c>
      <c r="AY75" s="40" t="s">
        <v>48</v>
      </c>
      <c r="AZ75" s="40" t="s">
        <v>48</v>
      </c>
      <c r="BA75" s="40" t="s">
        <v>48</v>
      </c>
      <c r="BB75" s="40" t="s">
        <v>48</v>
      </c>
      <c r="BC75" s="40" t="s">
        <v>48</v>
      </c>
      <c r="BD75" s="40" t="s">
        <v>48</v>
      </c>
      <c r="BE75" s="40" t="s">
        <v>48</v>
      </c>
      <c r="BF75" s="40" t="s">
        <v>48</v>
      </c>
      <c r="BG75" s="40" t="s">
        <v>48</v>
      </c>
      <c r="BH75" s="40" t="s">
        <v>48</v>
      </c>
      <c r="BJ75" s="33"/>
      <c r="BK75" s="38" t="str">
        <f>Notes!W76</f>
        <v xml:space="preserve">               </v>
      </c>
      <c r="BL75" s="4"/>
      <c r="BM75" s="44"/>
      <c r="BN75" s="42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D75" s="33"/>
      <c r="CE75" s="38" t="str">
        <f>Notes!W76</f>
        <v xml:space="preserve">               </v>
      </c>
      <c r="CF75" s="4"/>
      <c r="CG75" s="44"/>
      <c r="CH75" s="42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</row>
    <row r="76" spans="1:100" x14ac:dyDescent="0.35">
      <c r="A76" s="12">
        <v>69</v>
      </c>
      <c r="B76" s="33"/>
      <c r="C76" s="38" t="str">
        <f>Notes!W77</f>
        <v xml:space="preserve">               </v>
      </c>
      <c r="D76" s="4"/>
      <c r="E76" s="44"/>
      <c r="F76" s="42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V76" s="33"/>
      <c r="W76" s="38" t="str">
        <f>Notes!W77</f>
        <v xml:space="preserve">               </v>
      </c>
      <c r="X76" s="4"/>
      <c r="Y76" s="44"/>
      <c r="Z76" s="42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P76" s="33"/>
      <c r="AQ76" s="38" t="str">
        <f>Notes!U77</f>
        <v xml:space="preserve">               Animal feed</v>
      </c>
      <c r="AR76" s="4" t="s">
        <v>721</v>
      </c>
      <c r="AS76" s="44">
        <v>1.4909365693650374</v>
      </c>
      <c r="AT76" s="42" t="s">
        <v>48</v>
      </c>
      <c r="AU76" s="40" t="s">
        <v>48</v>
      </c>
      <c r="AV76" s="40" t="s">
        <v>48</v>
      </c>
      <c r="AW76" s="40" t="s">
        <v>48</v>
      </c>
      <c r="AX76" s="40" t="s">
        <v>48</v>
      </c>
      <c r="AY76" s="40" t="s">
        <v>48</v>
      </c>
      <c r="AZ76" s="40" t="s">
        <v>48</v>
      </c>
      <c r="BA76" s="40" t="s">
        <v>48</v>
      </c>
      <c r="BB76" s="40" t="s">
        <v>48</v>
      </c>
      <c r="BC76" s="40" t="s">
        <v>48</v>
      </c>
      <c r="BD76" s="40" t="s">
        <v>48</v>
      </c>
      <c r="BE76" s="40" t="s">
        <v>48</v>
      </c>
      <c r="BF76" s="40" t="s">
        <v>48</v>
      </c>
      <c r="BG76" s="40" t="s">
        <v>48</v>
      </c>
      <c r="BH76" s="40" t="s">
        <v>48</v>
      </c>
      <c r="BJ76" s="33"/>
      <c r="BK76" s="38" t="str">
        <f>Notes!W77</f>
        <v xml:space="preserve">               </v>
      </c>
      <c r="BL76" s="4"/>
      <c r="BM76" s="44"/>
      <c r="BN76" s="42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D76" s="33"/>
      <c r="CE76" s="38" t="str">
        <f>Notes!W77</f>
        <v xml:space="preserve">               </v>
      </c>
      <c r="CF76" s="4"/>
      <c r="CG76" s="44"/>
      <c r="CH76" s="42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</row>
    <row r="77" spans="1:100" x14ac:dyDescent="0.35">
      <c r="A77" s="12">
        <v>70</v>
      </c>
      <c r="B77" s="33"/>
      <c r="C77" s="38" t="str">
        <f>Notes!W78</f>
        <v xml:space="preserve">               </v>
      </c>
      <c r="D77" s="4"/>
      <c r="E77" s="44"/>
      <c r="F77" s="42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V77" s="33"/>
      <c r="W77" s="38" t="str">
        <f>Notes!W78</f>
        <v xml:space="preserve">               </v>
      </c>
      <c r="X77" s="4"/>
      <c r="Y77" s="44"/>
      <c r="Z77" s="42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P77" s="33"/>
      <c r="AQ77" s="38" t="str">
        <f>Notes!U78</f>
        <v xml:space="preserve">               Beverages and tobacco</v>
      </c>
      <c r="AR77" s="4" t="s">
        <v>722</v>
      </c>
      <c r="AS77" s="44">
        <v>2.7696901219820038</v>
      </c>
      <c r="AT77" s="42" t="s">
        <v>48</v>
      </c>
      <c r="AU77" s="40" t="s">
        <v>48</v>
      </c>
      <c r="AV77" s="40" t="s">
        <v>48</v>
      </c>
      <c r="AW77" s="40" t="s">
        <v>48</v>
      </c>
      <c r="AX77" s="40" t="s">
        <v>48</v>
      </c>
      <c r="AY77" s="40" t="s">
        <v>48</v>
      </c>
      <c r="AZ77" s="40" t="s">
        <v>48</v>
      </c>
      <c r="BA77" s="40" t="s">
        <v>48</v>
      </c>
      <c r="BB77" s="40" t="s">
        <v>48</v>
      </c>
      <c r="BC77" s="40" t="s">
        <v>48</v>
      </c>
      <c r="BD77" s="40" t="s">
        <v>48</v>
      </c>
      <c r="BE77" s="40" t="s">
        <v>48</v>
      </c>
      <c r="BF77" s="40" t="s">
        <v>48</v>
      </c>
      <c r="BG77" s="40" t="s">
        <v>48</v>
      </c>
      <c r="BH77" s="40" t="s">
        <v>48</v>
      </c>
      <c r="BJ77" s="33"/>
      <c r="BK77" s="38" t="str">
        <f>Notes!W78</f>
        <v xml:space="preserve">               </v>
      </c>
      <c r="BL77" s="4"/>
      <c r="BM77" s="44"/>
      <c r="BN77" s="42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D77" s="33"/>
      <c r="CE77" s="38" t="str">
        <f>Notes!W78</f>
        <v xml:space="preserve">               </v>
      </c>
      <c r="CF77" s="4"/>
      <c r="CG77" s="44"/>
      <c r="CH77" s="42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</row>
    <row r="78" spans="1:100" x14ac:dyDescent="0.35">
      <c r="A78" s="12">
        <v>71</v>
      </c>
      <c r="B78" s="33"/>
      <c r="C78" s="38" t="str">
        <f>Notes!W79</f>
        <v xml:space="preserve">               </v>
      </c>
      <c r="D78" s="4"/>
      <c r="E78" s="44"/>
      <c r="F78" s="42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V78" s="33"/>
      <c r="W78" s="38" t="str">
        <f>Notes!W79</f>
        <v xml:space="preserve">               </v>
      </c>
      <c r="X78" s="4"/>
      <c r="Y78" s="44"/>
      <c r="Z78" s="42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P78" s="33"/>
      <c r="AQ78" s="38" t="str">
        <f>Notes!U79</f>
        <v xml:space="preserve">               Beverages</v>
      </c>
      <c r="AR78" s="4" t="s">
        <v>723</v>
      </c>
      <c r="AS78" s="44">
        <v>1.2068346643154932</v>
      </c>
      <c r="AT78" s="42" t="s">
        <v>48</v>
      </c>
      <c r="AU78" s="40" t="s">
        <v>48</v>
      </c>
      <c r="AV78" s="40" t="s">
        <v>48</v>
      </c>
      <c r="AW78" s="40" t="s">
        <v>48</v>
      </c>
      <c r="AX78" s="40" t="s">
        <v>48</v>
      </c>
      <c r="AY78" s="40" t="s">
        <v>48</v>
      </c>
      <c r="AZ78" s="40" t="s">
        <v>48</v>
      </c>
      <c r="BA78" s="40" t="s">
        <v>48</v>
      </c>
      <c r="BB78" s="40" t="s">
        <v>48</v>
      </c>
      <c r="BC78" s="40" t="s">
        <v>48</v>
      </c>
      <c r="BD78" s="40" t="s">
        <v>48</v>
      </c>
      <c r="BE78" s="40" t="s">
        <v>48</v>
      </c>
      <c r="BF78" s="40" t="s">
        <v>48</v>
      </c>
      <c r="BG78" s="40" t="s">
        <v>48</v>
      </c>
      <c r="BH78" s="40" t="s">
        <v>48</v>
      </c>
      <c r="BJ78" s="33"/>
      <c r="BK78" s="38" t="str">
        <f>Notes!W79</f>
        <v xml:space="preserve">               </v>
      </c>
      <c r="BL78" s="4"/>
      <c r="BM78" s="44"/>
      <c r="BN78" s="42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D78" s="33"/>
      <c r="CE78" s="38" t="str">
        <f>Notes!W79</f>
        <v xml:space="preserve">               </v>
      </c>
      <c r="CF78" s="4"/>
      <c r="CG78" s="44"/>
      <c r="CH78" s="42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</row>
    <row r="79" spans="1:100" x14ac:dyDescent="0.35">
      <c r="A79" s="12">
        <v>72</v>
      </c>
      <c r="B79" s="33"/>
      <c r="C79" s="38" t="str">
        <f>Notes!W80</f>
        <v xml:space="preserve">               </v>
      </c>
      <c r="D79" s="4"/>
      <c r="E79" s="44"/>
      <c r="F79" s="42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V79" s="33"/>
      <c r="W79" s="38" t="str">
        <f>Notes!W80</f>
        <v xml:space="preserve">               </v>
      </c>
      <c r="X79" s="4"/>
      <c r="Y79" s="44"/>
      <c r="Z79" s="42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P79" s="33"/>
      <c r="AQ79" s="38" t="str">
        <f>Notes!U80</f>
        <v xml:space="preserve">               Tobacco processing</v>
      </c>
      <c r="AR79" s="4" t="s">
        <v>352</v>
      </c>
      <c r="AS79" s="44">
        <v>5.0501847069771362</v>
      </c>
      <c r="AT79" s="42" t="s">
        <v>48</v>
      </c>
      <c r="AU79" s="40" t="s">
        <v>48</v>
      </c>
      <c r="AV79" s="40" t="s">
        <v>48</v>
      </c>
      <c r="AW79" s="40" t="s">
        <v>48</v>
      </c>
      <c r="AX79" s="40" t="s">
        <v>48</v>
      </c>
      <c r="AY79" s="40" t="s">
        <v>48</v>
      </c>
      <c r="AZ79" s="40" t="s">
        <v>48</v>
      </c>
      <c r="BA79" s="40" t="s">
        <v>48</v>
      </c>
      <c r="BB79" s="40" t="s">
        <v>48</v>
      </c>
      <c r="BC79" s="40" t="s">
        <v>48</v>
      </c>
      <c r="BD79" s="40" t="s">
        <v>48</v>
      </c>
      <c r="BE79" s="40" t="s">
        <v>48</v>
      </c>
      <c r="BF79" s="40" t="s">
        <v>48</v>
      </c>
      <c r="BG79" s="40" t="s">
        <v>48</v>
      </c>
      <c r="BH79" s="40" t="s">
        <v>48</v>
      </c>
      <c r="BJ79" s="33"/>
      <c r="BK79" s="38" t="str">
        <f>Notes!W80</f>
        <v xml:space="preserve">               </v>
      </c>
      <c r="BL79" s="4"/>
      <c r="BM79" s="44"/>
      <c r="BN79" s="42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D79" s="33"/>
      <c r="CE79" s="38" t="str">
        <f>Notes!W80</f>
        <v xml:space="preserve">               </v>
      </c>
      <c r="CF79" s="4"/>
      <c r="CG79" s="44"/>
      <c r="CH79" s="42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</row>
    <row r="80" spans="1:100" x14ac:dyDescent="0.35">
      <c r="A80" s="12">
        <v>73</v>
      </c>
      <c r="B80" s="33"/>
      <c r="C80" s="38" t="str">
        <f>Notes!W81</f>
        <v xml:space="preserve">               </v>
      </c>
      <c r="D80" s="4"/>
      <c r="E80" s="44"/>
      <c r="F80" s="42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V80" s="33"/>
      <c r="W80" s="38" t="str">
        <f>Notes!W81</f>
        <v xml:space="preserve">               </v>
      </c>
      <c r="X80" s="4"/>
      <c r="Y80" s="44"/>
      <c r="Z80" s="42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P80" s="33"/>
      <c r="AQ80" s="38" t="str">
        <f>Notes!U81</f>
        <v xml:space="preserve">               Textiles, clothing and leather</v>
      </c>
      <c r="AR80" s="4" t="s">
        <v>724</v>
      </c>
      <c r="AS80" s="44" t="s">
        <v>48</v>
      </c>
      <c r="AT80" s="42" t="s">
        <v>48</v>
      </c>
      <c r="AU80" s="40" t="s">
        <v>48</v>
      </c>
      <c r="AV80" s="40" t="s">
        <v>48</v>
      </c>
      <c r="AW80" s="40" t="s">
        <v>48</v>
      </c>
      <c r="AX80" s="40" t="s">
        <v>48</v>
      </c>
      <c r="AY80" s="40" t="s">
        <v>48</v>
      </c>
      <c r="AZ80" s="40" t="s">
        <v>48</v>
      </c>
      <c r="BA80" s="40" t="s">
        <v>48</v>
      </c>
      <c r="BB80" s="40" t="s">
        <v>48</v>
      </c>
      <c r="BC80" s="40" t="s">
        <v>48</v>
      </c>
      <c r="BD80" s="40" t="s">
        <v>48</v>
      </c>
      <c r="BE80" s="40" t="s">
        <v>48</v>
      </c>
      <c r="BF80" s="40" t="s">
        <v>48</v>
      </c>
      <c r="BG80" s="40" t="s">
        <v>48</v>
      </c>
      <c r="BH80" s="40" t="s">
        <v>48</v>
      </c>
      <c r="BJ80" s="33"/>
      <c r="BK80" s="38" t="str">
        <f>Notes!W81</f>
        <v xml:space="preserve">               </v>
      </c>
      <c r="BL80" s="4"/>
      <c r="BM80" s="44"/>
      <c r="BN80" s="42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D80" s="33"/>
      <c r="CE80" s="38" t="str">
        <f>Notes!W81</f>
        <v xml:space="preserve">               </v>
      </c>
      <c r="CF80" s="4"/>
      <c r="CG80" s="44"/>
      <c r="CH80" s="42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</row>
    <row r="81" spans="1:100" x14ac:dyDescent="0.35">
      <c r="A81" s="12">
        <v>74</v>
      </c>
      <c r="B81" s="33"/>
      <c r="C81" s="38" t="str">
        <f>Notes!W82</f>
        <v xml:space="preserve">               </v>
      </c>
      <c r="D81" s="4"/>
      <c r="E81" s="44"/>
      <c r="F81" s="42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V81" s="33"/>
      <c r="W81" s="38" t="str">
        <f>Notes!W82</f>
        <v xml:space="preserve">               </v>
      </c>
      <c r="X81" s="4"/>
      <c r="Y81" s="44"/>
      <c r="Z81" s="42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P81" s="33"/>
      <c r="AQ81" s="38" t="str">
        <f>Notes!U82</f>
        <v xml:space="preserve">               Jute baling</v>
      </c>
      <c r="AR81" s="4" t="s">
        <v>354</v>
      </c>
      <c r="AS81" s="44">
        <v>6.8441479619560708E-2</v>
      </c>
      <c r="AT81" s="42" t="s">
        <v>48</v>
      </c>
      <c r="AU81" s="40" t="s">
        <v>48</v>
      </c>
      <c r="AV81" s="40" t="s">
        <v>48</v>
      </c>
      <c r="AW81" s="40" t="s">
        <v>48</v>
      </c>
      <c r="AX81" s="40" t="s">
        <v>48</v>
      </c>
      <c r="AY81" s="40" t="s">
        <v>48</v>
      </c>
      <c r="AZ81" s="40" t="s">
        <v>48</v>
      </c>
      <c r="BA81" s="40" t="s">
        <v>48</v>
      </c>
      <c r="BB81" s="40" t="s">
        <v>48</v>
      </c>
      <c r="BC81" s="40" t="s">
        <v>48</v>
      </c>
      <c r="BD81" s="40" t="s">
        <v>48</v>
      </c>
      <c r="BE81" s="40" t="s">
        <v>48</v>
      </c>
      <c r="BF81" s="40" t="s">
        <v>48</v>
      </c>
      <c r="BG81" s="40" t="s">
        <v>48</v>
      </c>
      <c r="BH81" s="40" t="s">
        <v>48</v>
      </c>
      <c r="BJ81" s="33"/>
      <c r="BK81" s="38" t="str">
        <f>Notes!W82</f>
        <v xml:space="preserve">               </v>
      </c>
      <c r="BL81" s="4"/>
      <c r="BM81" s="44"/>
      <c r="BN81" s="42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D81" s="33"/>
      <c r="CE81" s="38" t="str">
        <f>Notes!W82</f>
        <v xml:space="preserve">               </v>
      </c>
      <c r="CF81" s="4"/>
      <c r="CG81" s="44"/>
      <c r="CH81" s="42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</row>
    <row r="82" spans="1:100" x14ac:dyDescent="0.35">
      <c r="A82" s="12">
        <v>75</v>
      </c>
      <c r="B82" s="33"/>
      <c r="C82" s="38" t="str">
        <f>Notes!W83</f>
        <v xml:space="preserve">               </v>
      </c>
      <c r="D82" s="4"/>
      <c r="E82" s="44"/>
      <c r="F82" s="42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V82" s="33"/>
      <c r="W82" s="38" t="str">
        <f>Notes!W83</f>
        <v xml:space="preserve">               </v>
      </c>
      <c r="X82" s="4"/>
      <c r="Y82" s="44"/>
      <c r="Z82" s="42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P82" s="33"/>
      <c r="AQ82" s="38" t="str">
        <f>Notes!U83</f>
        <v xml:space="preserve">               Jute fabrication</v>
      </c>
      <c r="AR82" s="4" t="s">
        <v>355</v>
      </c>
      <c r="AS82" s="44" t="s">
        <v>48</v>
      </c>
      <c r="AT82" s="42" t="s">
        <v>48</v>
      </c>
      <c r="AU82" s="40" t="s">
        <v>48</v>
      </c>
      <c r="AV82" s="40" t="s">
        <v>48</v>
      </c>
      <c r="AW82" s="40" t="s">
        <v>48</v>
      </c>
      <c r="AX82" s="40" t="s">
        <v>48</v>
      </c>
      <c r="AY82" s="40" t="s">
        <v>48</v>
      </c>
      <c r="AZ82" s="40" t="s">
        <v>48</v>
      </c>
      <c r="BA82" s="40" t="s">
        <v>48</v>
      </c>
      <c r="BB82" s="40" t="s">
        <v>48</v>
      </c>
      <c r="BC82" s="40" t="s">
        <v>48</v>
      </c>
      <c r="BD82" s="40" t="s">
        <v>48</v>
      </c>
      <c r="BE82" s="40" t="s">
        <v>48</v>
      </c>
      <c r="BF82" s="40" t="s">
        <v>48</v>
      </c>
      <c r="BG82" s="40" t="s">
        <v>48</v>
      </c>
      <c r="BH82" s="40" t="s">
        <v>48</v>
      </c>
      <c r="BJ82" s="33"/>
      <c r="BK82" s="38" t="str">
        <f>Notes!W83</f>
        <v xml:space="preserve">               </v>
      </c>
      <c r="BL82" s="4"/>
      <c r="BM82" s="44"/>
      <c r="BN82" s="42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D82" s="33"/>
      <c r="CE82" s="38" t="str">
        <f>Notes!W83</f>
        <v xml:space="preserve">               </v>
      </c>
      <c r="CF82" s="4"/>
      <c r="CG82" s="44"/>
      <c r="CH82" s="42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</row>
    <row r="83" spans="1:100" x14ac:dyDescent="0.35">
      <c r="A83" s="12">
        <v>76</v>
      </c>
      <c r="B83" s="33"/>
      <c r="C83" s="38" t="str">
        <f>Notes!W84</f>
        <v xml:space="preserve">               </v>
      </c>
      <c r="D83" s="4"/>
      <c r="E83" s="44"/>
      <c r="F83" s="42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V83" s="33"/>
      <c r="W83" s="38" t="str">
        <f>Notes!W84</f>
        <v xml:space="preserve">               </v>
      </c>
      <c r="X83" s="4"/>
      <c r="Y83" s="44"/>
      <c r="Z83" s="42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P83" s="33"/>
      <c r="AQ83" s="38" t="str">
        <f>Notes!U84</f>
        <v xml:space="preserve">               Cotton yarn</v>
      </c>
      <c r="AR83" s="4" t="s">
        <v>356</v>
      </c>
      <c r="AS83" s="44">
        <v>9.2626644639884542E-2</v>
      </c>
      <c r="AT83" s="42" t="s">
        <v>48</v>
      </c>
      <c r="AU83" s="40" t="s">
        <v>48</v>
      </c>
      <c r="AV83" s="40" t="s">
        <v>48</v>
      </c>
      <c r="AW83" s="40" t="s">
        <v>48</v>
      </c>
      <c r="AX83" s="40" t="s">
        <v>48</v>
      </c>
      <c r="AY83" s="40" t="s">
        <v>48</v>
      </c>
      <c r="AZ83" s="40" t="s">
        <v>48</v>
      </c>
      <c r="BA83" s="40" t="s">
        <v>48</v>
      </c>
      <c r="BB83" s="40" t="s">
        <v>48</v>
      </c>
      <c r="BC83" s="40" t="s">
        <v>48</v>
      </c>
      <c r="BD83" s="40" t="s">
        <v>48</v>
      </c>
      <c r="BE83" s="40" t="s">
        <v>48</v>
      </c>
      <c r="BF83" s="40" t="s">
        <v>48</v>
      </c>
      <c r="BG83" s="40" t="s">
        <v>48</v>
      </c>
      <c r="BH83" s="40" t="s">
        <v>48</v>
      </c>
      <c r="BJ83" s="33"/>
      <c r="BK83" s="38" t="str">
        <f>Notes!W84</f>
        <v xml:space="preserve">               </v>
      </c>
      <c r="BL83" s="4"/>
      <c r="BM83" s="44"/>
      <c r="BN83" s="42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D83" s="33"/>
      <c r="CE83" s="38" t="str">
        <f>Notes!W84</f>
        <v xml:space="preserve">               </v>
      </c>
      <c r="CF83" s="4"/>
      <c r="CG83" s="44"/>
      <c r="CH83" s="42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</row>
    <row r="84" spans="1:100" x14ac:dyDescent="0.35">
      <c r="A84" s="12">
        <v>77</v>
      </c>
      <c r="B84" s="33"/>
      <c r="C84" s="38" t="str">
        <f>Notes!W85</f>
        <v xml:space="preserve">               </v>
      </c>
      <c r="D84" s="4"/>
      <c r="E84" s="44"/>
      <c r="F84" s="42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V84" s="33"/>
      <c r="W84" s="38" t="str">
        <f>Notes!W85</f>
        <v xml:space="preserve">               </v>
      </c>
      <c r="X84" s="4"/>
      <c r="Y84" s="44"/>
      <c r="Z84" s="42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P84" s="33"/>
      <c r="AQ84" s="38" t="str">
        <f>Notes!U85</f>
        <v xml:space="preserve">               Textiles</v>
      </c>
      <c r="AR84" s="4" t="s">
        <v>725</v>
      </c>
      <c r="AS84" s="44">
        <v>1.2087879751879174</v>
      </c>
      <c r="AT84" s="42" t="s">
        <v>48</v>
      </c>
      <c r="AU84" s="40" t="s">
        <v>48</v>
      </c>
      <c r="AV84" s="40" t="s">
        <v>48</v>
      </c>
      <c r="AW84" s="40" t="s">
        <v>48</v>
      </c>
      <c r="AX84" s="40" t="s">
        <v>48</v>
      </c>
      <c r="AY84" s="40" t="s">
        <v>48</v>
      </c>
      <c r="AZ84" s="40" t="s">
        <v>48</v>
      </c>
      <c r="BA84" s="40" t="s">
        <v>48</v>
      </c>
      <c r="BB84" s="40" t="s">
        <v>48</v>
      </c>
      <c r="BC84" s="40" t="s">
        <v>48</v>
      </c>
      <c r="BD84" s="40" t="s">
        <v>48</v>
      </c>
      <c r="BE84" s="40" t="s">
        <v>48</v>
      </c>
      <c r="BF84" s="40" t="s">
        <v>48</v>
      </c>
      <c r="BG84" s="40" t="s">
        <v>48</v>
      </c>
      <c r="BH84" s="40" t="s">
        <v>48</v>
      </c>
      <c r="BJ84" s="33"/>
      <c r="BK84" s="38" t="str">
        <f>Notes!W85</f>
        <v xml:space="preserve">               </v>
      </c>
      <c r="BL84" s="4"/>
      <c r="BM84" s="44"/>
      <c r="BN84" s="42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D84" s="33"/>
      <c r="CE84" s="38" t="str">
        <f>Notes!W85</f>
        <v xml:space="preserve">               </v>
      </c>
      <c r="CF84" s="4"/>
      <c r="CG84" s="44"/>
      <c r="CH84" s="42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</row>
    <row r="85" spans="1:100" x14ac:dyDescent="0.35">
      <c r="A85" s="12">
        <v>78</v>
      </c>
      <c r="B85" s="33"/>
      <c r="C85" s="38" t="str">
        <f>Notes!W86</f>
        <v xml:space="preserve">               </v>
      </c>
      <c r="D85" s="4"/>
      <c r="E85" s="44"/>
      <c r="F85" s="42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V85" s="33"/>
      <c r="W85" s="38" t="str">
        <f>Notes!W86</f>
        <v xml:space="preserve">               </v>
      </c>
      <c r="X85" s="4"/>
      <c r="Y85" s="44"/>
      <c r="Z85" s="42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P85" s="33"/>
      <c r="AQ85" s="38" t="str">
        <f>Notes!U86</f>
        <v xml:space="preserve">               Clothing</v>
      </c>
      <c r="AR85" s="4" t="s">
        <v>357</v>
      </c>
      <c r="AS85" s="44">
        <v>2.2829189125072609</v>
      </c>
      <c r="AT85" s="42" t="s">
        <v>48</v>
      </c>
      <c r="AU85" s="40" t="s">
        <v>48</v>
      </c>
      <c r="AV85" s="40" t="s">
        <v>48</v>
      </c>
      <c r="AW85" s="40" t="s">
        <v>48</v>
      </c>
      <c r="AX85" s="40" t="s">
        <v>48</v>
      </c>
      <c r="AY85" s="40" t="s">
        <v>48</v>
      </c>
      <c r="AZ85" s="40" t="s">
        <v>48</v>
      </c>
      <c r="BA85" s="40" t="s">
        <v>48</v>
      </c>
      <c r="BB85" s="40" t="s">
        <v>48</v>
      </c>
      <c r="BC85" s="40" t="s">
        <v>48</v>
      </c>
      <c r="BD85" s="40" t="s">
        <v>48</v>
      </c>
      <c r="BE85" s="40" t="s">
        <v>48</v>
      </c>
      <c r="BF85" s="40" t="s">
        <v>48</v>
      </c>
      <c r="BG85" s="40" t="s">
        <v>48</v>
      </c>
      <c r="BH85" s="40" t="s">
        <v>48</v>
      </c>
      <c r="BJ85" s="33"/>
      <c r="BK85" s="38" t="str">
        <f>Notes!W86</f>
        <v xml:space="preserve">               </v>
      </c>
      <c r="BL85" s="4"/>
      <c r="BM85" s="44"/>
      <c r="BN85" s="42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D85" s="33"/>
      <c r="CE85" s="38" t="str">
        <f>Notes!W86</f>
        <v xml:space="preserve">               </v>
      </c>
      <c r="CF85" s="4"/>
      <c r="CG85" s="44"/>
      <c r="CH85" s="42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</row>
    <row r="86" spans="1:100" x14ac:dyDescent="0.35">
      <c r="A86" s="12">
        <v>79</v>
      </c>
      <c r="B86" s="33"/>
      <c r="C86" s="38" t="str">
        <f>Notes!W87</f>
        <v xml:space="preserve">               </v>
      </c>
      <c r="D86" s="4"/>
      <c r="E86" s="44"/>
      <c r="F86" s="42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V86" s="33"/>
      <c r="W86" s="38" t="str">
        <f>Notes!W87</f>
        <v xml:space="preserve">               </v>
      </c>
      <c r="X86" s="4"/>
      <c r="Y86" s="44"/>
      <c r="Z86" s="42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P86" s="33"/>
      <c r="AQ86" s="38" t="str">
        <f>Notes!U87</f>
        <v xml:space="preserve">               Leather and footwear</v>
      </c>
      <c r="AR86" s="4" t="s">
        <v>726</v>
      </c>
      <c r="AS86" s="44">
        <v>0.37999120998609337</v>
      </c>
      <c r="AT86" s="42" t="s">
        <v>48</v>
      </c>
      <c r="AU86" s="40" t="s">
        <v>48</v>
      </c>
      <c r="AV86" s="40" t="s">
        <v>48</v>
      </c>
      <c r="AW86" s="40" t="s">
        <v>48</v>
      </c>
      <c r="AX86" s="40" t="s">
        <v>48</v>
      </c>
      <c r="AY86" s="40" t="s">
        <v>48</v>
      </c>
      <c r="AZ86" s="40" t="s">
        <v>48</v>
      </c>
      <c r="BA86" s="40" t="s">
        <v>48</v>
      </c>
      <c r="BB86" s="40" t="s">
        <v>48</v>
      </c>
      <c r="BC86" s="40" t="s">
        <v>48</v>
      </c>
      <c r="BD86" s="40" t="s">
        <v>48</v>
      </c>
      <c r="BE86" s="40" t="s">
        <v>48</v>
      </c>
      <c r="BF86" s="40" t="s">
        <v>48</v>
      </c>
      <c r="BG86" s="40" t="s">
        <v>48</v>
      </c>
      <c r="BH86" s="40" t="s">
        <v>48</v>
      </c>
      <c r="BJ86" s="33"/>
      <c r="BK86" s="38" t="str">
        <f>Notes!W87</f>
        <v xml:space="preserve">               </v>
      </c>
      <c r="BL86" s="4"/>
      <c r="BM86" s="44"/>
      <c r="BN86" s="42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D86" s="33"/>
      <c r="CE86" s="38" t="str">
        <f>Notes!W87</f>
        <v xml:space="preserve">               </v>
      </c>
      <c r="CF86" s="4"/>
      <c r="CG86" s="44"/>
      <c r="CH86" s="42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</row>
    <row r="87" spans="1:100" x14ac:dyDescent="0.35">
      <c r="A87" s="12">
        <v>80</v>
      </c>
      <c r="B87" s="33"/>
      <c r="C87" s="38" t="str">
        <f>Notes!W88</f>
        <v xml:space="preserve">               </v>
      </c>
      <c r="D87" s="4"/>
      <c r="E87" s="44"/>
      <c r="F87" s="42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V87" s="33"/>
      <c r="W87" s="38" t="str">
        <f>Notes!W88</f>
        <v xml:space="preserve">               </v>
      </c>
      <c r="X87" s="4"/>
      <c r="Y87" s="44"/>
      <c r="Z87" s="42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P87" s="33"/>
      <c r="AQ87" s="38" t="str">
        <f>Notes!U88</f>
        <v xml:space="preserve">               Wood and paper products</v>
      </c>
      <c r="AR87" s="4" t="s">
        <v>727</v>
      </c>
      <c r="AS87" s="44">
        <v>1.0174184850364199</v>
      </c>
      <c r="AT87" s="42" t="s">
        <v>48</v>
      </c>
      <c r="AU87" s="40" t="s">
        <v>48</v>
      </c>
      <c r="AV87" s="40" t="s">
        <v>48</v>
      </c>
      <c r="AW87" s="40" t="s">
        <v>48</v>
      </c>
      <c r="AX87" s="40" t="s">
        <v>48</v>
      </c>
      <c r="AY87" s="40" t="s">
        <v>48</v>
      </c>
      <c r="AZ87" s="40" t="s">
        <v>48</v>
      </c>
      <c r="BA87" s="40" t="s">
        <v>48</v>
      </c>
      <c r="BB87" s="40" t="s">
        <v>48</v>
      </c>
      <c r="BC87" s="40" t="s">
        <v>48</v>
      </c>
      <c r="BD87" s="40" t="s">
        <v>48</v>
      </c>
      <c r="BE87" s="40" t="s">
        <v>48</v>
      </c>
      <c r="BF87" s="40" t="s">
        <v>48</v>
      </c>
      <c r="BG87" s="40" t="s">
        <v>48</v>
      </c>
      <c r="BH87" s="40" t="s">
        <v>48</v>
      </c>
      <c r="BJ87" s="33"/>
      <c r="BK87" s="38" t="str">
        <f>Notes!W88</f>
        <v xml:space="preserve">               </v>
      </c>
      <c r="BL87" s="4"/>
      <c r="BM87" s="44"/>
      <c r="BN87" s="42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D87" s="33"/>
      <c r="CE87" s="38" t="str">
        <f>Notes!W88</f>
        <v xml:space="preserve">               </v>
      </c>
      <c r="CF87" s="4"/>
      <c r="CG87" s="44"/>
      <c r="CH87" s="42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</row>
    <row r="88" spans="1:100" x14ac:dyDescent="0.35">
      <c r="A88" s="12">
        <v>81</v>
      </c>
      <c r="B88" s="33"/>
      <c r="C88" s="38" t="str">
        <f>Notes!W89</f>
        <v xml:space="preserve">               </v>
      </c>
      <c r="D88" s="4"/>
      <c r="E88" s="44"/>
      <c r="F88" s="42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V88" s="33"/>
      <c r="W88" s="38" t="str">
        <f>Notes!W89</f>
        <v xml:space="preserve">               </v>
      </c>
      <c r="X88" s="4"/>
      <c r="Y88" s="44"/>
      <c r="Z88" s="42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P88" s="33"/>
      <c r="AQ88" s="38" t="str">
        <f>Notes!U89</f>
        <v xml:space="preserve">               Wood products</v>
      </c>
      <c r="AR88" s="4" t="s">
        <v>360</v>
      </c>
      <c r="AS88" s="44">
        <v>2.3448716721204597</v>
      </c>
      <c r="AT88" s="42" t="s">
        <v>48</v>
      </c>
      <c r="AU88" s="40" t="s">
        <v>48</v>
      </c>
      <c r="AV88" s="40" t="s">
        <v>48</v>
      </c>
      <c r="AW88" s="40" t="s">
        <v>48</v>
      </c>
      <c r="AX88" s="40" t="s">
        <v>48</v>
      </c>
      <c r="AY88" s="40" t="s">
        <v>48</v>
      </c>
      <c r="AZ88" s="40" t="s">
        <v>48</v>
      </c>
      <c r="BA88" s="40" t="s">
        <v>48</v>
      </c>
      <c r="BB88" s="40" t="s">
        <v>48</v>
      </c>
      <c r="BC88" s="40" t="s">
        <v>48</v>
      </c>
      <c r="BD88" s="40" t="s">
        <v>48</v>
      </c>
      <c r="BE88" s="40" t="s">
        <v>48</v>
      </c>
      <c r="BF88" s="40" t="s">
        <v>48</v>
      </c>
      <c r="BG88" s="40" t="s">
        <v>48</v>
      </c>
      <c r="BH88" s="40" t="s">
        <v>48</v>
      </c>
      <c r="BJ88" s="33"/>
      <c r="BK88" s="38" t="str">
        <f>Notes!W89</f>
        <v xml:space="preserve">               </v>
      </c>
      <c r="BL88" s="4"/>
      <c r="BM88" s="44"/>
      <c r="BN88" s="42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D88" s="33"/>
      <c r="CE88" s="38" t="str">
        <f>Notes!W89</f>
        <v xml:space="preserve">               </v>
      </c>
      <c r="CF88" s="4"/>
      <c r="CG88" s="44"/>
      <c r="CH88" s="42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</row>
    <row r="89" spans="1:100" x14ac:dyDescent="0.35">
      <c r="A89" s="12">
        <v>82</v>
      </c>
      <c r="B89" s="33"/>
      <c r="C89" s="38" t="str">
        <f>Notes!W90</f>
        <v xml:space="preserve">               </v>
      </c>
      <c r="D89" s="4"/>
      <c r="E89" s="44"/>
      <c r="F89" s="42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V89" s="33"/>
      <c r="W89" s="38" t="str">
        <f>Notes!W90</f>
        <v xml:space="preserve">               </v>
      </c>
      <c r="X89" s="4"/>
      <c r="Y89" s="44"/>
      <c r="Z89" s="42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P89" s="33"/>
      <c r="AQ89" s="38" t="str">
        <f>Notes!U90</f>
        <v xml:space="preserve">               Paper products and publishing</v>
      </c>
      <c r="AR89" s="4" t="s">
        <v>362</v>
      </c>
      <c r="AS89" s="44">
        <v>1.0030451886644118</v>
      </c>
      <c r="AT89" s="42" t="s">
        <v>48</v>
      </c>
      <c r="AU89" s="40" t="s">
        <v>48</v>
      </c>
      <c r="AV89" s="40" t="s">
        <v>48</v>
      </c>
      <c r="AW89" s="40" t="s">
        <v>48</v>
      </c>
      <c r="AX89" s="40" t="s">
        <v>48</v>
      </c>
      <c r="AY89" s="40" t="s">
        <v>48</v>
      </c>
      <c r="AZ89" s="40" t="s">
        <v>48</v>
      </c>
      <c r="BA89" s="40" t="s">
        <v>48</v>
      </c>
      <c r="BB89" s="40" t="s">
        <v>48</v>
      </c>
      <c r="BC89" s="40" t="s">
        <v>48</v>
      </c>
      <c r="BD89" s="40" t="s">
        <v>48</v>
      </c>
      <c r="BE89" s="40" t="s">
        <v>48</v>
      </c>
      <c r="BF89" s="40" t="s">
        <v>48</v>
      </c>
      <c r="BG89" s="40" t="s">
        <v>48</v>
      </c>
      <c r="BH89" s="40" t="s">
        <v>48</v>
      </c>
      <c r="BJ89" s="33"/>
      <c r="BK89" s="38" t="str">
        <f>Notes!W90</f>
        <v xml:space="preserve">               </v>
      </c>
      <c r="BL89" s="4"/>
      <c r="BM89" s="44"/>
      <c r="BN89" s="42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D89" s="33"/>
      <c r="CE89" s="38" t="str">
        <f>Notes!W90</f>
        <v xml:space="preserve">               </v>
      </c>
      <c r="CF89" s="4"/>
      <c r="CG89" s="44"/>
      <c r="CH89" s="42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</row>
    <row r="90" spans="1:100" x14ac:dyDescent="0.35">
      <c r="A90" s="12">
        <v>83</v>
      </c>
      <c r="B90" s="33"/>
      <c r="C90" s="38" t="str">
        <f>Notes!W91</f>
        <v xml:space="preserve">               </v>
      </c>
      <c r="D90" s="4"/>
      <c r="E90" s="44"/>
      <c r="F90" s="42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V90" s="33"/>
      <c r="W90" s="38" t="str">
        <f>Notes!W91</f>
        <v xml:space="preserve">               </v>
      </c>
      <c r="X90" s="4"/>
      <c r="Y90" s="44"/>
      <c r="Z90" s="42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P90" s="33"/>
      <c r="AQ90" s="38" t="str">
        <f>Notes!U91</f>
        <v xml:space="preserve">               Chemical products</v>
      </c>
      <c r="AR90" s="4" t="s">
        <v>364</v>
      </c>
      <c r="AS90" s="44">
        <v>0.47306962921919549</v>
      </c>
      <c r="AT90" s="42" t="s">
        <v>48</v>
      </c>
      <c r="AU90" s="40" t="s">
        <v>48</v>
      </c>
      <c r="AV90" s="40" t="s">
        <v>48</v>
      </c>
      <c r="AW90" s="40" t="s">
        <v>48</v>
      </c>
      <c r="AX90" s="40" t="s">
        <v>48</v>
      </c>
      <c r="AY90" s="40" t="s">
        <v>48</v>
      </c>
      <c r="AZ90" s="40" t="s">
        <v>48</v>
      </c>
      <c r="BA90" s="40" t="s">
        <v>48</v>
      </c>
      <c r="BB90" s="40" t="s">
        <v>48</v>
      </c>
      <c r="BC90" s="40" t="s">
        <v>48</v>
      </c>
      <c r="BD90" s="40" t="s">
        <v>48</v>
      </c>
      <c r="BE90" s="40" t="s">
        <v>48</v>
      </c>
      <c r="BF90" s="40" t="s">
        <v>48</v>
      </c>
      <c r="BG90" s="40" t="s">
        <v>48</v>
      </c>
      <c r="BH90" s="40" t="s">
        <v>48</v>
      </c>
      <c r="BJ90" s="33"/>
      <c r="BK90" s="38" t="str">
        <f>Notes!W91</f>
        <v xml:space="preserve">               </v>
      </c>
      <c r="BL90" s="4"/>
      <c r="BM90" s="44"/>
      <c r="BN90" s="42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D90" s="33"/>
      <c r="CE90" s="38" t="str">
        <f>Notes!W91</f>
        <v xml:space="preserve">               </v>
      </c>
      <c r="CF90" s="4"/>
      <c r="CG90" s="44"/>
      <c r="CH90" s="42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</row>
    <row r="91" spans="1:100" x14ac:dyDescent="0.35">
      <c r="A91" s="12">
        <v>84</v>
      </c>
      <c r="B91" s="33"/>
      <c r="C91" s="38" t="str">
        <f>Notes!W92</f>
        <v xml:space="preserve">               </v>
      </c>
      <c r="D91" s="4"/>
      <c r="E91" s="44"/>
      <c r="F91" s="42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V91" s="33"/>
      <c r="W91" s="38" t="str">
        <f>Notes!W92</f>
        <v xml:space="preserve">               </v>
      </c>
      <c r="X91" s="4"/>
      <c r="Y91" s="44"/>
      <c r="Z91" s="42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P91" s="33"/>
      <c r="AQ91" s="38" t="str">
        <f>Notes!U92</f>
        <v xml:space="preserve">               Petroleum products</v>
      </c>
      <c r="AR91" s="4" t="s">
        <v>728</v>
      </c>
      <c r="AS91" s="44">
        <v>0.52997555944521646</v>
      </c>
      <c r="AT91" s="42" t="s">
        <v>48</v>
      </c>
      <c r="AU91" s="40" t="s">
        <v>48</v>
      </c>
      <c r="AV91" s="40" t="s">
        <v>48</v>
      </c>
      <c r="AW91" s="40" t="s">
        <v>48</v>
      </c>
      <c r="AX91" s="40" t="s">
        <v>48</v>
      </c>
      <c r="AY91" s="40" t="s">
        <v>48</v>
      </c>
      <c r="AZ91" s="40" t="s">
        <v>48</v>
      </c>
      <c r="BA91" s="40" t="s">
        <v>48</v>
      </c>
      <c r="BB91" s="40" t="s">
        <v>48</v>
      </c>
      <c r="BC91" s="40" t="s">
        <v>48</v>
      </c>
      <c r="BD91" s="40" t="s">
        <v>48</v>
      </c>
      <c r="BE91" s="40" t="s">
        <v>48</v>
      </c>
      <c r="BF91" s="40" t="s">
        <v>48</v>
      </c>
      <c r="BG91" s="40" t="s">
        <v>48</v>
      </c>
      <c r="BH91" s="40" t="s">
        <v>48</v>
      </c>
      <c r="BJ91" s="33"/>
      <c r="BK91" s="38" t="str">
        <f>Notes!W92</f>
        <v xml:space="preserve">               </v>
      </c>
      <c r="BL91" s="4"/>
      <c r="BM91" s="44"/>
      <c r="BN91" s="42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D91" s="33"/>
      <c r="CE91" s="38" t="str">
        <f>Notes!W92</f>
        <v xml:space="preserve">               </v>
      </c>
      <c r="CF91" s="4"/>
      <c r="CG91" s="44"/>
      <c r="CH91" s="42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</row>
    <row r="92" spans="1:100" x14ac:dyDescent="0.35">
      <c r="A92" s="12">
        <v>85</v>
      </c>
      <c r="B92" s="33"/>
      <c r="C92" s="38" t="str">
        <f>Notes!W93</f>
        <v xml:space="preserve">               </v>
      </c>
      <c r="D92" s="4"/>
      <c r="E92" s="44"/>
      <c r="F92" s="42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V92" s="33"/>
      <c r="W92" s="38" t="str">
        <f>Notes!W93</f>
        <v xml:space="preserve">               </v>
      </c>
      <c r="X92" s="4"/>
      <c r="Y92" s="44"/>
      <c r="Z92" s="42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P92" s="33"/>
      <c r="AQ92" s="38" t="str">
        <f>Notes!U93</f>
        <v xml:space="preserve">               Fertilizers and herbicides</v>
      </c>
      <c r="AR92" s="4" t="s">
        <v>729</v>
      </c>
      <c r="AS92" s="44">
        <v>1.3418264834560469</v>
      </c>
      <c r="AT92" s="42" t="s">
        <v>48</v>
      </c>
      <c r="AU92" s="40" t="s">
        <v>48</v>
      </c>
      <c r="AV92" s="40" t="s">
        <v>48</v>
      </c>
      <c r="AW92" s="40" t="s">
        <v>48</v>
      </c>
      <c r="AX92" s="40" t="s">
        <v>48</v>
      </c>
      <c r="AY92" s="40" t="s">
        <v>48</v>
      </c>
      <c r="AZ92" s="40" t="s">
        <v>48</v>
      </c>
      <c r="BA92" s="40" t="s">
        <v>48</v>
      </c>
      <c r="BB92" s="40" t="s">
        <v>48</v>
      </c>
      <c r="BC92" s="40" t="s">
        <v>48</v>
      </c>
      <c r="BD92" s="40" t="s">
        <v>48</v>
      </c>
      <c r="BE92" s="40" t="s">
        <v>48</v>
      </c>
      <c r="BF92" s="40" t="s">
        <v>48</v>
      </c>
      <c r="BG92" s="40" t="s">
        <v>48</v>
      </c>
      <c r="BH92" s="40" t="s">
        <v>48</v>
      </c>
      <c r="BJ92" s="33"/>
      <c r="BK92" s="38" t="str">
        <f>Notes!W93</f>
        <v xml:space="preserve">               </v>
      </c>
      <c r="BL92" s="4"/>
      <c r="BM92" s="44"/>
      <c r="BN92" s="42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D92" s="33"/>
      <c r="CE92" s="38" t="str">
        <f>Notes!W93</f>
        <v xml:space="preserve">               </v>
      </c>
      <c r="CF92" s="4"/>
      <c r="CG92" s="44"/>
      <c r="CH92" s="42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</row>
    <row r="93" spans="1:100" x14ac:dyDescent="0.35">
      <c r="A93" s="12">
        <v>86</v>
      </c>
      <c r="B93" s="33"/>
      <c r="C93" s="38" t="str">
        <f>Notes!W94</f>
        <v xml:space="preserve">               </v>
      </c>
      <c r="D93" s="4"/>
      <c r="E93" s="44"/>
      <c r="F93" s="42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V93" s="33"/>
      <c r="W93" s="38" t="str">
        <f>Notes!W94</f>
        <v xml:space="preserve">               </v>
      </c>
      <c r="X93" s="4"/>
      <c r="Y93" s="44"/>
      <c r="Z93" s="42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P93" s="33"/>
      <c r="AQ93" s="38" t="str">
        <f>Notes!U94</f>
        <v xml:space="preserve">               Other chemicals</v>
      </c>
      <c r="AR93" s="4" t="s">
        <v>368</v>
      </c>
      <c r="AS93" s="44">
        <v>44.942951036932193</v>
      </c>
      <c r="AT93" s="42" t="s">
        <v>48</v>
      </c>
      <c r="AU93" s="40" t="s">
        <v>48</v>
      </c>
      <c r="AV93" s="40" t="s">
        <v>48</v>
      </c>
      <c r="AW93" s="40" t="s">
        <v>48</v>
      </c>
      <c r="AX93" s="40" t="s">
        <v>48</v>
      </c>
      <c r="AY93" s="40" t="s">
        <v>48</v>
      </c>
      <c r="AZ93" s="40" t="s">
        <v>48</v>
      </c>
      <c r="BA93" s="40" t="s">
        <v>48</v>
      </c>
      <c r="BB93" s="40" t="s">
        <v>48</v>
      </c>
      <c r="BC93" s="40" t="s">
        <v>48</v>
      </c>
      <c r="BD93" s="40" t="s">
        <v>48</v>
      </c>
      <c r="BE93" s="40" t="s">
        <v>48</v>
      </c>
      <c r="BF93" s="40" t="s">
        <v>48</v>
      </c>
      <c r="BG93" s="40" t="s">
        <v>48</v>
      </c>
      <c r="BH93" s="40" t="s">
        <v>48</v>
      </c>
      <c r="BJ93" s="33"/>
      <c r="BK93" s="38" t="str">
        <f>Notes!W94</f>
        <v xml:space="preserve">               </v>
      </c>
      <c r="BL93" s="4"/>
      <c r="BM93" s="44"/>
      <c r="BN93" s="42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D93" s="33"/>
      <c r="CE93" s="38" t="str">
        <f>Notes!W94</f>
        <v xml:space="preserve">               </v>
      </c>
      <c r="CF93" s="4"/>
      <c r="CG93" s="44"/>
      <c r="CH93" s="42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</row>
    <row r="94" spans="1:100" x14ac:dyDescent="0.35">
      <c r="A94" s="12">
        <v>87</v>
      </c>
      <c r="B94" s="33"/>
      <c r="C94" s="38" t="str">
        <f>Notes!W95</f>
        <v xml:space="preserve">               </v>
      </c>
      <c r="D94" s="4"/>
      <c r="E94" s="44"/>
      <c r="F94" s="42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V94" s="33"/>
      <c r="W94" s="38" t="str">
        <f>Notes!W95</f>
        <v xml:space="preserve">               </v>
      </c>
      <c r="X94" s="4"/>
      <c r="Y94" s="44"/>
      <c r="Z94" s="42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P94" s="33"/>
      <c r="AQ94" s="38" t="str">
        <f>Notes!U95</f>
        <v xml:space="preserve">               Non-metal minerals</v>
      </c>
      <c r="AR94" s="4" t="s">
        <v>730</v>
      </c>
      <c r="AS94" s="44">
        <v>0.1650117112745598</v>
      </c>
      <c r="AT94" s="42" t="s">
        <v>48</v>
      </c>
      <c r="AU94" s="40" t="s">
        <v>48</v>
      </c>
      <c r="AV94" s="40" t="s">
        <v>48</v>
      </c>
      <c r="AW94" s="40" t="s">
        <v>48</v>
      </c>
      <c r="AX94" s="40" t="s">
        <v>48</v>
      </c>
      <c r="AY94" s="40" t="s">
        <v>48</v>
      </c>
      <c r="AZ94" s="40" t="s">
        <v>48</v>
      </c>
      <c r="BA94" s="40" t="s">
        <v>48</v>
      </c>
      <c r="BB94" s="40" t="s">
        <v>48</v>
      </c>
      <c r="BC94" s="40" t="s">
        <v>48</v>
      </c>
      <c r="BD94" s="40" t="s">
        <v>48</v>
      </c>
      <c r="BE94" s="40" t="s">
        <v>48</v>
      </c>
      <c r="BF94" s="40" t="s">
        <v>48</v>
      </c>
      <c r="BG94" s="40" t="s">
        <v>48</v>
      </c>
      <c r="BH94" s="40" t="s">
        <v>48</v>
      </c>
      <c r="BJ94" s="33"/>
      <c r="BK94" s="38" t="str">
        <f>Notes!W95</f>
        <v xml:space="preserve">               </v>
      </c>
      <c r="BL94" s="4"/>
      <c r="BM94" s="44"/>
      <c r="BN94" s="42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D94" s="33"/>
      <c r="CE94" s="38" t="str">
        <f>Notes!W95</f>
        <v xml:space="preserve">               </v>
      </c>
      <c r="CF94" s="4"/>
      <c r="CG94" s="44"/>
      <c r="CH94" s="42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</row>
    <row r="95" spans="1:100" x14ac:dyDescent="0.35">
      <c r="A95" s="12">
        <v>88</v>
      </c>
      <c r="B95" s="33"/>
      <c r="C95" s="38" t="str">
        <f>Notes!W96</f>
        <v xml:space="preserve">               </v>
      </c>
      <c r="D95" s="4"/>
      <c r="E95" s="44"/>
      <c r="F95" s="42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V95" s="33"/>
      <c r="W95" s="38" t="str">
        <f>Notes!W96</f>
        <v xml:space="preserve">               </v>
      </c>
      <c r="X95" s="4"/>
      <c r="Y95" s="44"/>
      <c r="Z95" s="42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P95" s="33"/>
      <c r="AQ95" s="38" t="str">
        <f>Notes!U96</f>
        <v xml:space="preserve">               Metals and metal products</v>
      </c>
      <c r="AR95" s="4" t="s">
        <v>371</v>
      </c>
      <c r="AS95" s="44">
        <v>0.1650117112745598</v>
      </c>
      <c r="AT95" s="42" t="s">
        <v>48</v>
      </c>
      <c r="AU95" s="40" t="s">
        <v>48</v>
      </c>
      <c r="AV95" s="40" t="s">
        <v>48</v>
      </c>
      <c r="AW95" s="40" t="s">
        <v>48</v>
      </c>
      <c r="AX95" s="40" t="s">
        <v>48</v>
      </c>
      <c r="AY95" s="40" t="s">
        <v>48</v>
      </c>
      <c r="AZ95" s="40" t="s">
        <v>48</v>
      </c>
      <c r="BA95" s="40" t="s">
        <v>48</v>
      </c>
      <c r="BB95" s="40" t="s">
        <v>48</v>
      </c>
      <c r="BC95" s="40" t="s">
        <v>48</v>
      </c>
      <c r="BD95" s="40" t="s">
        <v>48</v>
      </c>
      <c r="BE95" s="40" t="s">
        <v>48</v>
      </c>
      <c r="BF95" s="40" t="s">
        <v>48</v>
      </c>
      <c r="BG95" s="40" t="s">
        <v>48</v>
      </c>
      <c r="BH95" s="40" t="s">
        <v>48</v>
      </c>
      <c r="BJ95" s="33"/>
      <c r="BK95" s="38" t="str">
        <f>Notes!W96</f>
        <v xml:space="preserve">               </v>
      </c>
      <c r="BL95" s="4"/>
      <c r="BM95" s="44"/>
      <c r="BN95" s="42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D95" s="33"/>
      <c r="CE95" s="38" t="str">
        <f>Notes!W96</f>
        <v xml:space="preserve">               </v>
      </c>
      <c r="CF95" s="4"/>
      <c r="CG95" s="44"/>
      <c r="CH95" s="42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</row>
    <row r="96" spans="1:100" x14ac:dyDescent="0.35">
      <c r="A96" s="12">
        <v>89</v>
      </c>
      <c r="B96" s="33"/>
      <c r="C96" s="38" t="str">
        <f>Notes!W97</f>
        <v xml:space="preserve">               </v>
      </c>
      <c r="D96" s="4"/>
      <c r="E96" s="44"/>
      <c r="F96" s="42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V96" s="33"/>
      <c r="W96" s="38" t="str">
        <f>Notes!W97</f>
        <v xml:space="preserve">               </v>
      </c>
      <c r="X96" s="4"/>
      <c r="Y96" s="44"/>
      <c r="Z96" s="42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P96" s="33"/>
      <c r="AQ96" s="38" t="str">
        <f>Notes!U97</f>
        <v xml:space="preserve">               Machinery and equipment</v>
      </c>
      <c r="AR96" s="4" t="s">
        <v>731</v>
      </c>
      <c r="AS96" s="44">
        <v>6.2445361975066085</v>
      </c>
      <c r="AT96" s="42" t="s">
        <v>48</v>
      </c>
      <c r="AU96" s="40" t="s">
        <v>48</v>
      </c>
      <c r="AV96" s="40" t="s">
        <v>48</v>
      </c>
      <c r="AW96" s="40" t="s">
        <v>48</v>
      </c>
      <c r="AX96" s="40" t="s">
        <v>48</v>
      </c>
      <c r="AY96" s="40" t="s">
        <v>48</v>
      </c>
      <c r="AZ96" s="40" t="s">
        <v>48</v>
      </c>
      <c r="BA96" s="40" t="s">
        <v>48</v>
      </c>
      <c r="BB96" s="40" t="s">
        <v>48</v>
      </c>
      <c r="BC96" s="40" t="s">
        <v>48</v>
      </c>
      <c r="BD96" s="40" t="s">
        <v>48</v>
      </c>
      <c r="BE96" s="40" t="s">
        <v>48</v>
      </c>
      <c r="BF96" s="40" t="s">
        <v>48</v>
      </c>
      <c r="BG96" s="40" t="s">
        <v>48</v>
      </c>
      <c r="BH96" s="40" t="s">
        <v>48</v>
      </c>
      <c r="BJ96" s="33"/>
      <c r="BK96" s="38" t="str">
        <f>Notes!W97</f>
        <v xml:space="preserve">               </v>
      </c>
      <c r="BL96" s="4"/>
      <c r="BM96" s="44"/>
      <c r="BN96" s="42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D96" s="33"/>
      <c r="CE96" s="38" t="str">
        <f>Notes!W97</f>
        <v xml:space="preserve">               </v>
      </c>
      <c r="CF96" s="4"/>
      <c r="CG96" s="44"/>
      <c r="CH96" s="42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</row>
    <row r="97" spans="1:100" x14ac:dyDescent="0.35">
      <c r="A97" s="12">
        <v>90</v>
      </c>
      <c r="B97" s="33"/>
      <c r="C97" s="38" t="str">
        <f>Notes!W98</f>
        <v xml:space="preserve">               </v>
      </c>
      <c r="D97" s="4"/>
      <c r="E97" s="44"/>
      <c r="F97" s="42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V97" s="33"/>
      <c r="W97" s="38" t="str">
        <f>Notes!W98</f>
        <v xml:space="preserve">               </v>
      </c>
      <c r="X97" s="4"/>
      <c r="Y97" s="44"/>
      <c r="Z97" s="42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P97" s="33"/>
      <c r="AQ97" s="38" t="str">
        <f>Notes!U98</f>
        <v xml:space="preserve">               Machinery and other equipment</v>
      </c>
      <c r="AR97" s="4" t="s">
        <v>732</v>
      </c>
      <c r="AS97" s="44">
        <v>6.2213331346316609</v>
      </c>
      <c r="AT97" s="42" t="s">
        <v>48</v>
      </c>
      <c r="AU97" s="40" t="s">
        <v>48</v>
      </c>
      <c r="AV97" s="40" t="s">
        <v>48</v>
      </c>
      <c r="AW97" s="40" t="s">
        <v>48</v>
      </c>
      <c r="AX97" s="40" t="s">
        <v>48</v>
      </c>
      <c r="AY97" s="40" t="s">
        <v>48</v>
      </c>
      <c r="AZ97" s="40" t="s">
        <v>48</v>
      </c>
      <c r="BA97" s="40" t="s">
        <v>48</v>
      </c>
      <c r="BB97" s="40" t="s">
        <v>48</v>
      </c>
      <c r="BC97" s="40" t="s">
        <v>48</v>
      </c>
      <c r="BD97" s="40" t="s">
        <v>48</v>
      </c>
      <c r="BE97" s="40" t="s">
        <v>48</v>
      </c>
      <c r="BF97" s="40" t="s">
        <v>48</v>
      </c>
      <c r="BG97" s="40" t="s">
        <v>48</v>
      </c>
      <c r="BH97" s="40" t="s">
        <v>48</v>
      </c>
      <c r="BJ97" s="33"/>
      <c r="BK97" s="38" t="str">
        <f>Notes!W98</f>
        <v xml:space="preserve">               </v>
      </c>
      <c r="BL97" s="4"/>
      <c r="BM97" s="44"/>
      <c r="BN97" s="42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D97" s="33"/>
      <c r="CE97" s="38" t="str">
        <f>Notes!W98</f>
        <v xml:space="preserve">               </v>
      </c>
      <c r="CF97" s="4"/>
      <c r="CG97" s="44"/>
      <c r="CH97" s="42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</row>
    <row r="98" spans="1:100" x14ac:dyDescent="0.35">
      <c r="A98" s="12">
        <v>91</v>
      </c>
      <c r="B98" s="33"/>
      <c r="C98" s="38" t="str">
        <f>Notes!W99</f>
        <v xml:space="preserve">               </v>
      </c>
      <c r="D98" s="4"/>
      <c r="E98" s="44"/>
      <c r="F98" s="42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V98" s="33"/>
      <c r="W98" s="38" t="str">
        <f>Notes!W99</f>
        <v xml:space="preserve">               </v>
      </c>
      <c r="X98" s="4"/>
      <c r="Y98" s="44"/>
      <c r="Z98" s="42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P98" s="33"/>
      <c r="AQ98" s="38" t="str">
        <f>Notes!U99</f>
        <v xml:space="preserve">               Electrical equipment</v>
      </c>
      <c r="AR98" s="4" t="s">
        <v>373</v>
      </c>
      <c r="AS98" s="44">
        <v>2.3203062874948881E-2</v>
      </c>
      <c r="AT98" s="42" t="s">
        <v>48</v>
      </c>
      <c r="AU98" s="40" t="s">
        <v>48</v>
      </c>
      <c r="AV98" s="40" t="s">
        <v>48</v>
      </c>
      <c r="AW98" s="40" t="s">
        <v>48</v>
      </c>
      <c r="AX98" s="40" t="s">
        <v>48</v>
      </c>
      <c r="AY98" s="40" t="s">
        <v>48</v>
      </c>
      <c r="AZ98" s="40" t="s">
        <v>48</v>
      </c>
      <c r="BA98" s="40" t="s">
        <v>48</v>
      </c>
      <c r="BB98" s="40" t="s">
        <v>48</v>
      </c>
      <c r="BC98" s="40" t="s">
        <v>48</v>
      </c>
      <c r="BD98" s="40" t="s">
        <v>48</v>
      </c>
      <c r="BE98" s="40" t="s">
        <v>48</v>
      </c>
      <c r="BF98" s="40" t="s">
        <v>48</v>
      </c>
      <c r="BG98" s="40" t="s">
        <v>48</v>
      </c>
      <c r="BH98" s="40" t="s">
        <v>48</v>
      </c>
      <c r="BJ98" s="33"/>
      <c r="BK98" s="38" t="str">
        <f>Notes!W99</f>
        <v xml:space="preserve">               </v>
      </c>
      <c r="BL98" s="4"/>
      <c r="BM98" s="44"/>
      <c r="BN98" s="42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D98" s="33"/>
      <c r="CE98" s="38" t="str">
        <f>Notes!W99</f>
        <v xml:space="preserve">               </v>
      </c>
      <c r="CF98" s="4"/>
      <c r="CG98" s="44"/>
      <c r="CH98" s="42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</row>
    <row r="99" spans="1:100" x14ac:dyDescent="0.35">
      <c r="A99" s="12">
        <v>92</v>
      </c>
      <c r="B99" s="33"/>
      <c r="C99" s="38" t="str">
        <f>Notes!W100</f>
        <v xml:space="preserve">               </v>
      </c>
      <c r="D99" s="4"/>
      <c r="E99" s="44"/>
      <c r="F99" s="42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V99" s="33"/>
      <c r="W99" s="38" t="str">
        <f>Notes!W100</f>
        <v xml:space="preserve">               </v>
      </c>
      <c r="X99" s="4"/>
      <c r="Y99" s="44"/>
      <c r="Z99" s="42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P99" s="33"/>
      <c r="AQ99" s="38" t="str">
        <f>Notes!U100</f>
        <v xml:space="preserve">               Vehicles and transport equipment</v>
      </c>
      <c r="AR99" s="4" t="s">
        <v>733</v>
      </c>
      <c r="AS99" s="44">
        <v>10.229638428906043</v>
      </c>
      <c r="AT99" s="42" t="s">
        <v>48</v>
      </c>
      <c r="AU99" s="40" t="s">
        <v>48</v>
      </c>
      <c r="AV99" s="40" t="s">
        <v>48</v>
      </c>
      <c r="AW99" s="40" t="s">
        <v>48</v>
      </c>
      <c r="AX99" s="40" t="s">
        <v>48</v>
      </c>
      <c r="AY99" s="40" t="s">
        <v>48</v>
      </c>
      <c r="AZ99" s="40" t="s">
        <v>48</v>
      </c>
      <c r="BA99" s="40" t="s">
        <v>48</v>
      </c>
      <c r="BB99" s="40" t="s">
        <v>48</v>
      </c>
      <c r="BC99" s="40" t="s">
        <v>48</v>
      </c>
      <c r="BD99" s="40" t="s">
        <v>48</v>
      </c>
      <c r="BE99" s="40" t="s">
        <v>48</v>
      </c>
      <c r="BF99" s="40" t="s">
        <v>48</v>
      </c>
      <c r="BG99" s="40" t="s">
        <v>48</v>
      </c>
      <c r="BH99" s="40" t="s">
        <v>48</v>
      </c>
      <c r="BJ99" s="33"/>
      <c r="BK99" s="38" t="str">
        <f>Notes!W100</f>
        <v xml:space="preserve">               </v>
      </c>
      <c r="BL99" s="4"/>
      <c r="BM99" s="44"/>
      <c r="BN99" s="42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D99" s="33"/>
      <c r="CE99" s="38" t="str">
        <f>Notes!W100</f>
        <v xml:space="preserve">               </v>
      </c>
      <c r="CF99" s="4"/>
      <c r="CG99" s="44"/>
      <c r="CH99" s="42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</row>
    <row r="100" spans="1:100" x14ac:dyDescent="0.35">
      <c r="A100" s="12">
        <v>93</v>
      </c>
      <c r="B100" s="33"/>
      <c r="C100" s="38" t="str">
        <f>Notes!W101</f>
        <v xml:space="preserve">               </v>
      </c>
      <c r="D100" s="4"/>
      <c r="E100" s="44"/>
      <c r="F100" s="42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V100" s="33"/>
      <c r="W100" s="38" t="str">
        <f>Notes!W101</f>
        <v xml:space="preserve">               </v>
      </c>
      <c r="X100" s="4"/>
      <c r="Y100" s="44"/>
      <c r="Z100" s="42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P100" s="33"/>
      <c r="AQ100" s="38" t="str">
        <f>Notes!U101</f>
        <v xml:space="preserve">               Other manufacturing</v>
      </c>
      <c r="AR100" s="4" t="s">
        <v>374</v>
      </c>
      <c r="AS100" s="44">
        <v>7.6252104130907137</v>
      </c>
      <c r="AT100" s="42" t="s">
        <v>48</v>
      </c>
      <c r="AU100" s="40" t="s">
        <v>48</v>
      </c>
      <c r="AV100" s="40" t="s">
        <v>48</v>
      </c>
      <c r="AW100" s="40" t="s">
        <v>48</v>
      </c>
      <c r="AX100" s="40" t="s">
        <v>48</v>
      </c>
      <c r="AY100" s="40" t="s">
        <v>48</v>
      </c>
      <c r="AZ100" s="40" t="s">
        <v>48</v>
      </c>
      <c r="BA100" s="40" t="s">
        <v>48</v>
      </c>
      <c r="BB100" s="40" t="s">
        <v>48</v>
      </c>
      <c r="BC100" s="40" t="s">
        <v>48</v>
      </c>
      <c r="BD100" s="40" t="s">
        <v>48</v>
      </c>
      <c r="BE100" s="40" t="s">
        <v>48</v>
      </c>
      <c r="BF100" s="40" t="s">
        <v>48</v>
      </c>
      <c r="BG100" s="40" t="s">
        <v>48</v>
      </c>
      <c r="BH100" s="40" t="s">
        <v>48</v>
      </c>
      <c r="BJ100" s="33"/>
      <c r="BK100" s="38" t="str">
        <f>Notes!W101</f>
        <v xml:space="preserve">               </v>
      </c>
      <c r="BL100" s="4"/>
      <c r="BM100" s="44"/>
      <c r="BN100" s="42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D100" s="33"/>
      <c r="CE100" s="38" t="str">
        <f>Notes!W101</f>
        <v xml:space="preserve">               </v>
      </c>
      <c r="CF100" s="4"/>
      <c r="CG100" s="44"/>
      <c r="CH100" s="42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</row>
    <row r="101" spans="1:100" x14ac:dyDescent="0.35">
      <c r="A101" s="12">
        <v>94</v>
      </c>
      <c r="B101" s="33"/>
      <c r="C101" s="38" t="str">
        <f>Notes!W102</f>
        <v xml:space="preserve">               </v>
      </c>
      <c r="D101" s="4"/>
      <c r="E101" s="44"/>
      <c r="F101" s="42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V101" s="33"/>
      <c r="W101" s="38" t="str">
        <f>Notes!W102</f>
        <v xml:space="preserve">               </v>
      </c>
      <c r="X101" s="4"/>
      <c r="Y101" s="44"/>
      <c r="Z101" s="42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P101" s="33"/>
      <c r="AQ101" s="38" t="str">
        <f>Notes!U102</f>
        <v xml:space="preserve">               Utilities</v>
      </c>
      <c r="AR101" s="4" t="s">
        <v>734</v>
      </c>
      <c r="AS101" s="44" t="s">
        <v>48</v>
      </c>
      <c r="AT101" s="42" t="s">
        <v>48</v>
      </c>
      <c r="AU101" s="40" t="s">
        <v>48</v>
      </c>
      <c r="AV101" s="40" t="s">
        <v>48</v>
      </c>
      <c r="AW101" s="40" t="s">
        <v>48</v>
      </c>
      <c r="AX101" s="40" t="s">
        <v>48</v>
      </c>
      <c r="AY101" s="40" t="s">
        <v>48</v>
      </c>
      <c r="AZ101" s="40" t="s">
        <v>48</v>
      </c>
      <c r="BA101" s="40" t="s">
        <v>48</v>
      </c>
      <c r="BB101" s="40" t="s">
        <v>48</v>
      </c>
      <c r="BC101" s="40" t="s">
        <v>48</v>
      </c>
      <c r="BD101" s="40" t="s">
        <v>48</v>
      </c>
      <c r="BE101" s="40" t="s">
        <v>48</v>
      </c>
      <c r="BF101" s="40" t="s">
        <v>48</v>
      </c>
      <c r="BG101" s="40" t="s">
        <v>48</v>
      </c>
      <c r="BH101" s="40" t="s">
        <v>48</v>
      </c>
      <c r="BJ101" s="33"/>
      <c r="BK101" s="38" t="str">
        <f>Notes!W102</f>
        <v xml:space="preserve">               </v>
      </c>
      <c r="BL101" s="4"/>
      <c r="BM101" s="44"/>
      <c r="BN101" s="42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D101" s="33"/>
      <c r="CE101" s="38" t="str">
        <f>Notes!W102</f>
        <v xml:space="preserve">               </v>
      </c>
      <c r="CF101" s="4"/>
      <c r="CG101" s="44"/>
      <c r="CH101" s="42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</row>
    <row r="102" spans="1:100" x14ac:dyDescent="0.35">
      <c r="A102" s="12">
        <v>95</v>
      </c>
      <c r="B102" s="33"/>
      <c r="C102" s="38" t="str">
        <f>Notes!W103</f>
        <v xml:space="preserve">               </v>
      </c>
      <c r="D102" s="4"/>
      <c r="E102" s="44"/>
      <c r="F102" s="42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V102" s="33"/>
      <c r="W102" s="38" t="str">
        <f>Notes!W103</f>
        <v xml:space="preserve">               </v>
      </c>
      <c r="X102" s="4"/>
      <c r="Y102" s="44"/>
      <c r="Z102" s="42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P102" s="33"/>
      <c r="AQ102" s="38" t="str">
        <f>Notes!U103</f>
        <v xml:space="preserve">               Electricity, gas and steam</v>
      </c>
      <c r="AR102" s="4" t="s">
        <v>735</v>
      </c>
      <c r="AS102" s="44">
        <v>2.6044280158153303</v>
      </c>
      <c r="AT102" s="42" t="s">
        <v>48</v>
      </c>
      <c r="AU102" s="40" t="s">
        <v>48</v>
      </c>
      <c r="AV102" s="40" t="s">
        <v>48</v>
      </c>
      <c r="AW102" s="40" t="s">
        <v>48</v>
      </c>
      <c r="AX102" s="40" t="s">
        <v>48</v>
      </c>
      <c r="AY102" s="40" t="s">
        <v>48</v>
      </c>
      <c r="AZ102" s="40" t="s">
        <v>48</v>
      </c>
      <c r="BA102" s="40" t="s">
        <v>48</v>
      </c>
      <c r="BB102" s="40" t="s">
        <v>48</v>
      </c>
      <c r="BC102" s="40" t="s">
        <v>48</v>
      </c>
      <c r="BD102" s="40" t="s">
        <v>48</v>
      </c>
      <c r="BE102" s="40" t="s">
        <v>48</v>
      </c>
      <c r="BF102" s="40" t="s">
        <v>48</v>
      </c>
      <c r="BG102" s="40" t="s">
        <v>48</v>
      </c>
      <c r="BH102" s="40" t="s">
        <v>48</v>
      </c>
      <c r="BJ102" s="33"/>
      <c r="BK102" s="38" t="str">
        <f>Notes!W103</f>
        <v xml:space="preserve">               </v>
      </c>
      <c r="BL102" s="4"/>
      <c r="BM102" s="44"/>
      <c r="BN102" s="42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D102" s="33"/>
      <c r="CE102" s="38" t="str">
        <f>Notes!W103</f>
        <v xml:space="preserve">               </v>
      </c>
      <c r="CF102" s="4"/>
      <c r="CG102" s="44"/>
      <c r="CH102" s="42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</row>
    <row r="103" spans="1:100" x14ac:dyDescent="0.35">
      <c r="A103" s="12">
        <v>96</v>
      </c>
      <c r="B103" s="33"/>
      <c r="C103" s="38" t="str">
        <f>Notes!W104</f>
        <v xml:space="preserve">               </v>
      </c>
      <c r="D103" s="4"/>
      <c r="E103" s="44"/>
      <c r="F103" s="42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V103" s="33"/>
      <c r="W103" s="38" t="str">
        <f>Notes!W104</f>
        <v xml:space="preserve">               </v>
      </c>
      <c r="X103" s="4"/>
      <c r="Y103" s="44"/>
      <c r="Z103" s="42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P103" s="33"/>
      <c r="AQ103" s="38" t="str">
        <f>Notes!U104</f>
        <v xml:space="preserve">               Water supply and sewage</v>
      </c>
      <c r="AR103" s="4" t="s">
        <v>736</v>
      </c>
      <c r="AS103" s="44" t="s">
        <v>48</v>
      </c>
      <c r="AT103" s="42" t="s">
        <v>48</v>
      </c>
      <c r="AU103" s="40" t="s">
        <v>48</v>
      </c>
      <c r="AV103" s="40" t="s">
        <v>48</v>
      </c>
      <c r="AW103" s="40" t="s">
        <v>48</v>
      </c>
      <c r="AX103" s="40" t="s">
        <v>48</v>
      </c>
      <c r="AY103" s="40" t="s">
        <v>48</v>
      </c>
      <c r="AZ103" s="40" t="s">
        <v>48</v>
      </c>
      <c r="BA103" s="40" t="s">
        <v>48</v>
      </c>
      <c r="BB103" s="40" t="s">
        <v>48</v>
      </c>
      <c r="BC103" s="40" t="s">
        <v>48</v>
      </c>
      <c r="BD103" s="40" t="s">
        <v>48</v>
      </c>
      <c r="BE103" s="40" t="s">
        <v>48</v>
      </c>
      <c r="BF103" s="40" t="s">
        <v>48</v>
      </c>
      <c r="BG103" s="40" t="s">
        <v>48</v>
      </c>
      <c r="BH103" s="40" t="s">
        <v>48</v>
      </c>
      <c r="BJ103" s="33"/>
      <c r="BK103" s="38" t="str">
        <f>Notes!W104</f>
        <v xml:space="preserve">               </v>
      </c>
      <c r="BL103" s="4"/>
      <c r="BM103" s="44"/>
      <c r="BN103" s="42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D103" s="33"/>
      <c r="CE103" s="38" t="str">
        <f>Notes!W104</f>
        <v xml:space="preserve">               </v>
      </c>
      <c r="CF103" s="4"/>
      <c r="CG103" s="44"/>
      <c r="CH103" s="42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</row>
    <row r="104" spans="1:100" x14ac:dyDescent="0.35">
      <c r="A104" s="12">
        <v>97</v>
      </c>
      <c r="B104" s="33"/>
      <c r="C104" s="38" t="str">
        <f>Notes!W105</f>
        <v xml:space="preserve">               </v>
      </c>
      <c r="D104" s="4"/>
      <c r="E104" s="44"/>
      <c r="F104" s="42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V104" s="33"/>
      <c r="W104" s="38" t="str">
        <f>Notes!W105</f>
        <v xml:space="preserve">               </v>
      </c>
      <c r="X104" s="4"/>
      <c r="Y104" s="44"/>
      <c r="Z104" s="42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P104" s="33"/>
      <c r="AQ104" s="38" t="str">
        <f>Notes!U105</f>
        <v xml:space="preserve">               Construction</v>
      </c>
      <c r="AR104" s="4" t="s">
        <v>737</v>
      </c>
      <c r="AS104" s="44">
        <v>12.699936913366122</v>
      </c>
      <c r="AT104" s="42" t="s">
        <v>48</v>
      </c>
      <c r="AU104" s="40" t="s">
        <v>48</v>
      </c>
      <c r="AV104" s="40" t="s">
        <v>48</v>
      </c>
      <c r="AW104" s="40" t="s">
        <v>48</v>
      </c>
      <c r="AX104" s="40" t="s">
        <v>48</v>
      </c>
      <c r="AY104" s="40" t="s">
        <v>48</v>
      </c>
      <c r="AZ104" s="40" t="s">
        <v>48</v>
      </c>
      <c r="BA104" s="40" t="s">
        <v>48</v>
      </c>
      <c r="BB104" s="40" t="s">
        <v>48</v>
      </c>
      <c r="BC104" s="40" t="s">
        <v>48</v>
      </c>
      <c r="BD104" s="40" t="s">
        <v>48</v>
      </c>
      <c r="BE104" s="40" t="s">
        <v>48</v>
      </c>
      <c r="BF104" s="40" t="s">
        <v>48</v>
      </c>
      <c r="BG104" s="40" t="s">
        <v>48</v>
      </c>
      <c r="BH104" s="40" t="s">
        <v>48</v>
      </c>
      <c r="BJ104" s="33"/>
      <c r="BK104" s="38" t="str">
        <f>Notes!W105</f>
        <v xml:space="preserve">               </v>
      </c>
      <c r="BL104" s="4"/>
      <c r="BM104" s="44"/>
      <c r="BN104" s="42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D104" s="33"/>
      <c r="CE104" s="38" t="str">
        <f>Notes!W105</f>
        <v xml:space="preserve">               </v>
      </c>
      <c r="CF104" s="4"/>
      <c r="CG104" s="44"/>
      <c r="CH104" s="42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</row>
    <row r="105" spans="1:100" x14ac:dyDescent="0.35">
      <c r="A105" s="12">
        <v>98</v>
      </c>
      <c r="B105" s="33"/>
      <c r="C105" s="38" t="str">
        <f>Notes!W106</f>
        <v xml:space="preserve">               </v>
      </c>
      <c r="D105" s="4"/>
      <c r="E105" s="44"/>
      <c r="F105" s="42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V105" s="33"/>
      <c r="W105" s="38" t="str">
        <f>Notes!W106</f>
        <v xml:space="preserve">               </v>
      </c>
      <c r="X105" s="4"/>
      <c r="Y105" s="44"/>
      <c r="Z105" s="42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P105" s="33"/>
      <c r="AQ105" s="38" t="str">
        <f>Notes!U106</f>
        <v xml:space="preserve">               Services</v>
      </c>
      <c r="AR105" s="4" t="s">
        <v>738</v>
      </c>
      <c r="AS105" s="44">
        <v>1.0363821205733574</v>
      </c>
      <c r="AT105" s="42" t="s">
        <v>48</v>
      </c>
      <c r="AU105" s="40" t="s">
        <v>48</v>
      </c>
      <c r="AV105" s="40" t="s">
        <v>48</v>
      </c>
      <c r="AW105" s="40" t="s">
        <v>48</v>
      </c>
      <c r="AX105" s="40" t="s">
        <v>48</v>
      </c>
      <c r="AY105" s="40" t="s">
        <v>48</v>
      </c>
      <c r="AZ105" s="40" t="s">
        <v>48</v>
      </c>
      <c r="BA105" s="40" t="s">
        <v>48</v>
      </c>
      <c r="BB105" s="40" t="s">
        <v>48</v>
      </c>
      <c r="BC105" s="40" t="s">
        <v>48</v>
      </c>
      <c r="BD105" s="40" t="s">
        <v>48</v>
      </c>
      <c r="BE105" s="40" t="s">
        <v>48</v>
      </c>
      <c r="BF105" s="40" t="s">
        <v>48</v>
      </c>
      <c r="BG105" s="40" t="s">
        <v>48</v>
      </c>
      <c r="BH105" s="40" t="s">
        <v>48</v>
      </c>
      <c r="BJ105" s="33"/>
      <c r="BK105" s="38" t="str">
        <f>Notes!W106</f>
        <v xml:space="preserve">               </v>
      </c>
      <c r="BL105" s="4"/>
      <c r="BM105" s="44"/>
      <c r="BN105" s="42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D105" s="33"/>
      <c r="CE105" s="38" t="str">
        <f>Notes!W106</f>
        <v xml:space="preserve">               </v>
      </c>
      <c r="CF105" s="4"/>
      <c r="CG105" s="44"/>
      <c r="CH105" s="42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</row>
    <row r="106" spans="1:100" x14ac:dyDescent="0.35">
      <c r="A106" s="12">
        <v>99</v>
      </c>
      <c r="B106" s="33"/>
      <c r="C106" s="38" t="str">
        <f>Notes!W107</f>
        <v xml:space="preserve">               </v>
      </c>
      <c r="D106" s="4"/>
      <c r="E106" s="44"/>
      <c r="F106" s="42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V106" s="33"/>
      <c r="W106" s="38" t="str">
        <f>Notes!W107</f>
        <v xml:space="preserve">               </v>
      </c>
      <c r="X106" s="4"/>
      <c r="Y106" s="44"/>
      <c r="Z106" s="42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P106" s="33"/>
      <c r="AQ106" s="38" t="str">
        <f>Notes!U107</f>
        <v xml:space="preserve">               Trade and food services</v>
      </c>
      <c r="AR106" s="4" t="s">
        <v>739</v>
      </c>
      <c r="AS106" s="44">
        <v>0.52577682699546002</v>
      </c>
      <c r="AT106" s="42" t="s">
        <v>48</v>
      </c>
      <c r="AU106" s="40" t="s">
        <v>48</v>
      </c>
      <c r="AV106" s="40" t="s">
        <v>48</v>
      </c>
      <c r="AW106" s="40" t="s">
        <v>48</v>
      </c>
      <c r="AX106" s="40" t="s">
        <v>48</v>
      </c>
      <c r="AY106" s="40" t="s">
        <v>48</v>
      </c>
      <c r="AZ106" s="40" t="s">
        <v>48</v>
      </c>
      <c r="BA106" s="40" t="s">
        <v>48</v>
      </c>
      <c r="BB106" s="40" t="s">
        <v>48</v>
      </c>
      <c r="BC106" s="40" t="s">
        <v>48</v>
      </c>
      <c r="BD106" s="40" t="s">
        <v>48</v>
      </c>
      <c r="BE106" s="40" t="s">
        <v>48</v>
      </c>
      <c r="BF106" s="40" t="s">
        <v>48</v>
      </c>
      <c r="BG106" s="40" t="s">
        <v>48</v>
      </c>
      <c r="BH106" s="40" t="s">
        <v>48</v>
      </c>
      <c r="BJ106" s="33"/>
      <c r="BK106" s="38" t="str">
        <f>Notes!W107</f>
        <v xml:space="preserve">               </v>
      </c>
      <c r="BL106" s="4"/>
      <c r="BM106" s="44"/>
      <c r="BN106" s="42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D106" s="33"/>
      <c r="CE106" s="38" t="str">
        <f>Notes!W107</f>
        <v xml:space="preserve">               </v>
      </c>
      <c r="CF106" s="4"/>
      <c r="CG106" s="44"/>
      <c r="CH106" s="42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</row>
    <row r="107" spans="1:100" x14ac:dyDescent="0.35">
      <c r="A107" s="12">
        <v>100</v>
      </c>
      <c r="B107" s="33"/>
      <c r="C107" s="38" t="str">
        <f>Notes!W108</f>
        <v xml:space="preserve">               </v>
      </c>
      <c r="D107" s="4"/>
      <c r="E107" s="44"/>
      <c r="F107" s="42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V107" s="33"/>
      <c r="W107" s="38" t="str">
        <f>Notes!W108</f>
        <v xml:space="preserve">               </v>
      </c>
      <c r="X107" s="4"/>
      <c r="Y107" s="44"/>
      <c r="Z107" s="42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P107" s="33"/>
      <c r="AQ107" s="38" t="str">
        <f>Notes!U108</f>
        <v xml:space="preserve">               Wholesale and retail trade</v>
      </c>
      <c r="AR107" s="4" t="s">
        <v>378</v>
      </c>
      <c r="AS107" s="44">
        <v>1.5140359619782371</v>
      </c>
      <c r="AT107" s="42" t="s">
        <v>48</v>
      </c>
      <c r="AU107" s="40" t="s">
        <v>48</v>
      </c>
      <c r="AV107" s="40" t="s">
        <v>48</v>
      </c>
      <c r="AW107" s="40" t="s">
        <v>48</v>
      </c>
      <c r="AX107" s="40" t="s">
        <v>48</v>
      </c>
      <c r="AY107" s="40" t="s">
        <v>48</v>
      </c>
      <c r="AZ107" s="40" t="s">
        <v>48</v>
      </c>
      <c r="BA107" s="40" t="s">
        <v>48</v>
      </c>
      <c r="BB107" s="40" t="s">
        <v>48</v>
      </c>
      <c r="BC107" s="40" t="s">
        <v>48</v>
      </c>
      <c r="BD107" s="40" t="s">
        <v>48</v>
      </c>
      <c r="BE107" s="40" t="s">
        <v>48</v>
      </c>
      <c r="BF107" s="40" t="s">
        <v>48</v>
      </c>
      <c r="BG107" s="40" t="s">
        <v>48</v>
      </c>
      <c r="BH107" s="40" t="s">
        <v>48</v>
      </c>
      <c r="BJ107" s="33"/>
      <c r="BK107" s="38" t="str">
        <f>Notes!W108</f>
        <v xml:space="preserve">               </v>
      </c>
      <c r="BL107" s="4"/>
      <c r="BM107" s="44"/>
      <c r="BN107" s="42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D107" s="33"/>
      <c r="CE107" s="38" t="str">
        <f>Notes!W108</f>
        <v xml:space="preserve">               </v>
      </c>
      <c r="CF107" s="4"/>
      <c r="CG107" s="44"/>
      <c r="CH107" s="42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</row>
    <row r="108" spans="1:100" x14ac:dyDescent="0.35">
      <c r="A108" s="12">
        <v>101</v>
      </c>
      <c r="B108" s="33"/>
      <c r="C108" s="38" t="str">
        <f>Notes!W109</f>
        <v xml:space="preserve">               </v>
      </c>
      <c r="D108" s="4"/>
      <c r="E108" s="44"/>
      <c r="F108" s="42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V108" s="33"/>
      <c r="W108" s="38" t="str">
        <f>Notes!W109</f>
        <v xml:space="preserve">               </v>
      </c>
      <c r="X108" s="4"/>
      <c r="Y108" s="44"/>
      <c r="Z108" s="42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P108" s="33"/>
      <c r="AQ108" s="38" t="str">
        <f>Notes!U109</f>
        <v xml:space="preserve">               Accommodation</v>
      </c>
      <c r="AR108" s="4" t="s">
        <v>740</v>
      </c>
      <c r="AS108" s="44">
        <v>8.7786349579347647</v>
      </c>
      <c r="AT108" s="42" t="s">
        <v>48</v>
      </c>
      <c r="AU108" s="40" t="s">
        <v>48</v>
      </c>
      <c r="AV108" s="40" t="s">
        <v>48</v>
      </c>
      <c r="AW108" s="40" t="s">
        <v>48</v>
      </c>
      <c r="AX108" s="40" t="s">
        <v>48</v>
      </c>
      <c r="AY108" s="40" t="s">
        <v>48</v>
      </c>
      <c r="AZ108" s="40" t="s">
        <v>48</v>
      </c>
      <c r="BA108" s="40" t="s">
        <v>48</v>
      </c>
      <c r="BB108" s="40" t="s">
        <v>48</v>
      </c>
      <c r="BC108" s="40" t="s">
        <v>48</v>
      </c>
      <c r="BD108" s="40" t="s">
        <v>48</v>
      </c>
      <c r="BE108" s="40" t="s">
        <v>48</v>
      </c>
      <c r="BF108" s="40" t="s">
        <v>48</v>
      </c>
      <c r="BG108" s="40" t="s">
        <v>48</v>
      </c>
      <c r="BH108" s="40" t="s">
        <v>48</v>
      </c>
      <c r="BJ108" s="33"/>
      <c r="BK108" s="38" t="str">
        <f>Notes!W109</f>
        <v xml:space="preserve">               </v>
      </c>
      <c r="BL108" s="4"/>
      <c r="BM108" s="44"/>
      <c r="BN108" s="42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D108" s="33"/>
      <c r="CE108" s="38" t="str">
        <f>Notes!W109</f>
        <v xml:space="preserve">               </v>
      </c>
      <c r="CF108" s="4"/>
      <c r="CG108" s="44"/>
      <c r="CH108" s="42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40"/>
      <c r="CU108" s="40"/>
      <c r="CV108" s="40"/>
    </row>
    <row r="109" spans="1:100" x14ac:dyDescent="0.35">
      <c r="A109" s="12">
        <v>102</v>
      </c>
      <c r="B109" s="33"/>
      <c r="C109" s="38" t="str">
        <f>Notes!W110</f>
        <v xml:space="preserve">               </v>
      </c>
      <c r="D109" s="4"/>
      <c r="E109" s="44"/>
      <c r="F109" s="42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V109" s="33"/>
      <c r="W109" s="38" t="str">
        <f>Notes!W110</f>
        <v xml:space="preserve">               </v>
      </c>
      <c r="X109" s="4"/>
      <c r="Y109" s="44"/>
      <c r="Z109" s="42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P109" s="33"/>
      <c r="AQ109" s="38" t="str">
        <f>Notes!U110</f>
        <v xml:space="preserve">               Restaurants and food services</v>
      </c>
      <c r="AR109" s="4" t="s">
        <v>741</v>
      </c>
      <c r="AS109" s="44">
        <v>1.394056959581545E-13</v>
      </c>
      <c r="AT109" s="42" t="s">
        <v>48</v>
      </c>
      <c r="AU109" s="40" t="s">
        <v>48</v>
      </c>
      <c r="AV109" s="40" t="s">
        <v>48</v>
      </c>
      <c r="AW109" s="40" t="s">
        <v>48</v>
      </c>
      <c r="AX109" s="40" t="s">
        <v>48</v>
      </c>
      <c r="AY109" s="40" t="s">
        <v>48</v>
      </c>
      <c r="AZ109" s="40" t="s">
        <v>48</v>
      </c>
      <c r="BA109" s="40" t="s">
        <v>48</v>
      </c>
      <c r="BB109" s="40" t="s">
        <v>48</v>
      </c>
      <c r="BC109" s="40" t="s">
        <v>48</v>
      </c>
      <c r="BD109" s="40" t="s">
        <v>48</v>
      </c>
      <c r="BE109" s="40" t="s">
        <v>48</v>
      </c>
      <c r="BF109" s="40" t="s">
        <v>48</v>
      </c>
      <c r="BG109" s="40" t="s">
        <v>48</v>
      </c>
      <c r="BH109" s="40" t="s">
        <v>48</v>
      </c>
      <c r="BJ109" s="33"/>
      <c r="BK109" s="38" t="str">
        <f>Notes!W110</f>
        <v xml:space="preserve">               </v>
      </c>
      <c r="BL109" s="4"/>
      <c r="BM109" s="44"/>
      <c r="BN109" s="42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D109" s="33"/>
      <c r="CE109" s="38" t="str">
        <f>Notes!W110</f>
        <v xml:space="preserve">               </v>
      </c>
      <c r="CF109" s="4"/>
      <c r="CG109" s="44"/>
      <c r="CH109" s="42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40"/>
      <c r="CV109" s="40"/>
    </row>
    <row r="110" spans="1:100" x14ac:dyDescent="0.35">
      <c r="A110" s="12">
        <v>103</v>
      </c>
      <c r="B110" s="33"/>
      <c r="C110" s="38" t="str">
        <f>Notes!W111</f>
        <v xml:space="preserve">               </v>
      </c>
      <c r="D110" s="4"/>
      <c r="E110" s="44"/>
      <c r="F110" s="42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V110" s="33"/>
      <c r="W110" s="38" t="str">
        <f>Notes!W111</f>
        <v xml:space="preserve">               </v>
      </c>
      <c r="X110" s="4"/>
      <c r="Y110" s="44"/>
      <c r="Z110" s="42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P110" s="33"/>
      <c r="AQ110" s="38" t="str">
        <f>Notes!U111</f>
        <v xml:space="preserve">               Transport and communication</v>
      </c>
      <c r="AR110" s="4" t="s">
        <v>382</v>
      </c>
      <c r="AS110" s="44">
        <v>0.84510704588415864</v>
      </c>
      <c r="AT110" s="42" t="s">
        <v>48</v>
      </c>
      <c r="AU110" s="40" t="s">
        <v>48</v>
      </c>
      <c r="AV110" s="40" t="s">
        <v>48</v>
      </c>
      <c r="AW110" s="40" t="s">
        <v>48</v>
      </c>
      <c r="AX110" s="40" t="s">
        <v>48</v>
      </c>
      <c r="AY110" s="40" t="s">
        <v>48</v>
      </c>
      <c r="AZ110" s="40" t="s">
        <v>48</v>
      </c>
      <c r="BA110" s="40" t="s">
        <v>48</v>
      </c>
      <c r="BB110" s="40" t="s">
        <v>48</v>
      </c>
      <c r="BC110" s="40" t="s">
        <v>48</v>
      </c>
      <c r="BD110" s="40" t="s">
        <v>48</v>
      </c>
      <c r="BE110" s="40" t="s">
        <v>48</v>
      </c>
      <c r="BF110" s="40" t="s">
        <v>48</v>
      </c>
      <c r="BG110" s="40" t="s">
        <v>48</v>
      </c>
      <c r="BH110" s="40" t="s">
        <v>48</v>
      </c>
      <c r="BJ110" s="33"/>
      <c r="BK110" s="38" t="str">
        <f>Notes!W111</f>
        <v xml:space="preserve">               </v>
      </c>
      <c r="BL110" s="4"/>
      <c r="BM110" s="44"/>
      <c r="BN110" s="42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D110" s="33"/>
      <c r="CE110" s="38" t="str">
        <f>Notes!W111</f>
        <v xml:space="preserve">               </v>
      </c>
      <c r="CF110" s="4"/>
      <c r="CG110" s="44"/>
      <c r="CH110" s="42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</row>
    <row r="111" spans="1:100" x14ac:dyDescent="0.35">
      <c r="A111" s="12">
        <v>104</v>
      </c>
      <c r="B111" s="33"/>
      <c r="C111" s="38" t="str">
        <f>Notes!W112</f>
        <v xml:space="preserve">               </v>
      </c>
      <c r="D111" s="4"/>
      <c r="E111" s="44"/>
      <c r="F111" s="42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V111" s="33"/>
      <c r="W111" s="38" t="str">
        <f>Notes!W112</f>
        <v xml:space="preserve">               </v>
      </c>
      <c r="X111" s="4"/>
      <c r="Y111" s="44"/>
      <c r="Z111" s="42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P111" s="33"/>
      <c r="AQ111" s="38" t="str">
        <f>Notes!U112</f>
        <v xml:space="preserve">               Transportation and storage</v>
      </c>
      <c r="AR111" s="4" t="s">
        <v>384</v>
      </c>
      <c r="AS111" s="44">
        <v>9.4804566381144966</v>
      </c>
      <c r="AT111" s="42" t="s">
        <v>48</v>
      </c>
      <c r="AU111" s="40" t="s">
        <v>48</v>
      </c>
      <c r="AV111" s="40" t="s">
        <v>48</v>
      </c>
      <c r="AW111" s="40" t="s">
        <v>48</v>
      </c>
      <c r="AX111" s="40" t="s">
        <v>48</v>
      </c>
      <c r="AY111" s="40" t="s">
        <v>48</v>
      </c>
      <c r="AZ111" s="40" t="s">
        <v>48</v>
      </c>
      <c r="BA111" s="40" t="s">
        <v>48</v>
      </c>
      <c r="BB111" s="40" t="s">
        <v>48</v>
      </c>
      <c r="BC111" s="40" t="s">
        <v>48</v>
      </c>
      <c r="BD111" s="40" t="s">
        <v>48</v>
      </c>
      <c r="BE111" s="40" t="s">
        <v>48</v>
      </c>
      <c r="BF111" s="40" t="s">
        <v>48</v>
      </c>
      <c r="BG111" s="40" t="s">
        <v>48</v>
      </c>
      <c r="BH111" s="40" t="s">
        <v>48</v>
      </c>
      <c r="BJ111" s="33"/>
      <c r="BK111" s="38" t="str">
        <f>Notes!W112</f>
        <v xml:space="preserve">               </v>
      </c>
      <c r="BL111" s="4"/>
      <c r="BM111" s="44"/>
      <c r="BN111" s="42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D111" s="33"/>
      <c r="CE111" s="38" t="str">
        <f>Notes!W112</f>
        <v xml:space="preserve">               </v>
      </c>
      <c r="CF111" s="4"/>
      <c r="CG111" s="44"/>
      <c r="CH111" s="42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</row>
    <row r="112" spans="1:100" x14ac:dyDescent="0.35">
      <c r="A112" s="12">
        <v>105</v>
      </c>
      <c r="B112" s="33"/>
      <c r="C112" s="38" t="str">
        <f>Notes!W113</f>
        <v xml:space="preserve">               </v>
      </c>
      <c r="D112" s="4"/>
      <c r="E112" s="44"/>
      <c r="F112" s="42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V112" s="33"/>
      <c r="W112" s="38" t="str">
        <f>Notes!W113</f>
        <v xml:space="preserve">               </v>
      </c>
      <c r="X112" s="4"/>
      <c r="Y112" s="44"/>
      <c r="Z112" s="42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P112" s="33"/>
      <c r="AQ112" s="38" t="str">
        <f>Notes!U113</f>
        <v xml:space="preserve">               Information and communication</v>
      </c>
      <c r="AR112" s="4" t="s">
        <v>386</v>
      </c>
      <c r="AS112" s="44">
        <v>0.91197975661635922</v>
      </c>
      <c r="AT112" s="42" t="s">
        <v>48</v>
      </c>
      <c r="AU112" s="40" t="s">
        <v>48</v>
      </c>
      <c r="AV112" s="40" t="s">
        <v>48</v>
      </c>
      <c r="AW112" s="40" t="s">
        <v>48</v>
      </c>
      <c r="AX112" s="40" t="s">
        <v>48</v>
      </c>
      <c r="AY112" s="40" t="s">
        <v>48</v>
      </c>
      <c r="AZ112" s="40" t="s">
        <v>48</v>
      </c>
      <c r="BA112" s="40" t="s">
        <v>48</v>
      </c>
      <c r="BB112" s="40" t="s">
        <v>48</v>
      </c>
      <c r="BC112" s="40" t="s">
        <v>48</v>
      </c>
      <c r="BD112" s="40" t="s">
        <v>48</v>
      </c>
      <c r="BE112" s="40" t="s">
        <v>48</v>
      </c>
      <c r="BF112" s="40" t="s">
        <v>48</v>
      </c>
      <c r="BG112" s="40" t="s">
        <v>48</v>
      </c>
      <c r="BH112" s="40" t="s">
        <v>48</v>
      </c>
      <c r="BJ112" s="33"/>
      <c r="BK112" s="38" t="str">
        <f>Notes!W113</f>
        <v xml:space="preserve">               </v>
      </c>
      <c r="BL112" s="4"/>
      <c r="BM112" s="44"/>
      <c r="BN112" s="42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D112" s="33"/>
      <c r="CE112" s="38" t="str">
        <f>Notes!W113</f>
        <v xml:space="preserve">               </v>
      </c>
      <c r="CF112" s="4"/>
      <c r="CG112" s="44"/>
      <c r="CH112" s="42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</row>
    <row r="113" spans="1:100" x14ac:dyDescent="0.35">
      <c r="A113" s="12">
        <v>106</v>
      </c>
      <c r="B113" s="33"/>
      <c r="C113" s="38" t="str">
        <f>Notes!W114</f>
        <v xml:space="preserve">               </v>
      </c>
      <c r="D113" s="4"/>
      <c r="E113" s="44"/>
      <c r="F113" s="42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V113" s="33"/>
      <c r="W113" s="38" t="str">
        <f>Notes!W114</f>
        <v xml:space="preserve">               </v>
      </c>
      <c r="X113" s="4"/>
      <c r="Y113" s="44"/>
      <c r="Z113" s="42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P113" s="33"/>
      <c r="AQ113" s="38" t="str">
        <f>Notes!U114</f>
        <v xml:space="preserve">               Finance and business services</v>
      </c>
      <c r="AR113" s="4" t="s">
        <v>742</v>
      </c>
      <c r="AS113" s="44">
        <v>4.4987206010039724</v>
      </c>
      <c r="AT113" s="42" t="s">
        <v>48</v>
      </c>
      <c r="AU113" s="40" t="s">
        <v>48</v>
      </c>
      <c r="AV113" s="40" t="s">
        <v>48</v>
      </c>
      <c r="AW113" s="40" t="s">
        <v>48</v>
      </c>
      <c r="AX113" s="40" t="s">
        <v>48</v>
      </c>
      <c r="AY113" s="40" t="s">
        <v>48</v>
      </c>
      <c r="AZ113" s="40" t="s">
        <v>48</v>
      </c>
      <c r="BA113" s="40" t="s">
        <v>48</v>
      </c>
      <c r="BB113" s="40" t="s">
        <v>48</v>
      </c>
      <c r="BC113" s="40" t="s">
        <v>48</v>
      </c>
      <c r="BD113" s="40" t="s">
        <v>48</v>
      </c>
      <c r="BE113" s="40" t="s">
        <v>48</v>
      </c>
      <c r="BF113" s="40" t="s">
        <v>48</v>
      </c>
      <c r="BG113" s="40" t="s">
        <v>48</v>
      </c>
      <c r="BH113" s="40" t="s">
        <v>48</v>
      </c>
      <c r="BJ113" s="33"/>
      <c r="BK113" s="38" t="str">
        <f>Notes!W114</f>
        <v xml:space="preserve">               </v>
      </c>
      <c r="BL113" s="4"/>
      <c r="BM113" s="44"/>
      <c r="BN113" s="42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D113" s="33"/>
      <c r="CE113" s="38" t="str">
        <f>Notes!W114</f>
        <v xml:space="preserve">               </v>
      </c>
      <c r="CF113" s="4"/>
      <c r="CG113" s="44"/>
      <c r="CH113" s="42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</row>
    <row r="114" spans="1:100" x14ac:dyDescent="0.35">
      <c r="A114" s="12">
        <v>107</v>
      </c>
      <c r="B114" s="33"/>
      <c r="C114" s="38" t="str">
        <f>Notes!W115</f>
        <v xml:space="preserve">               </v>
      </c>
      <c r="D114" s="4"/>
      <c r="E114" s="44"/>
      <c r="F114" s="42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V114" s="33"/>
      <c r="W114" s="38" t="str">
        <f>Notes!W115</f>
        <v xml:space="preserve">               </v>
      </c>
      <c r="X114" s="4"/>
      <c r="Y114" s="44"/>
      <c r="Z114" s="42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P114" s="33"/>
      <c r="AQ114" s="38" t="str">
        <f>Notes!U115</f>
        <v xml:space="preserve">               Finance and insurance</v>
      </c>
      <c r="AR114" s="4" t="s">
        <v>743</v>
      </c>
      <c r="AS114" s="44">
        <v>4.0697562804941665</v>
      </c>
      <c r="AT114" s="42" t="s">
        <v>48</v>
      </c>
      <c r="AU114" s="40" t="s">
        <v>48</v>
      </c>
      <c r="AV114" s="40" t="s">
        <v>48</v>
      </c>
      <c r="AW114" s="40" t="s">
        <v>48</v>
      </c>
      <c r="AX114" s="40" t="s">
        <v>48</v>
      </c>
      <c r="AY114" s="40" t="s">
        <v>48</v>
      </c>
      <c r="AZ114" s="40" t="s">
        <v>48</v>
      </c>
      <c r="BA114" s="40" t="s">
        <v>48</v>
      </c>
      <c r="BB114" s="40" t="s">
        <v>48</v>
      </c>
      <c r="BC114" s="40" t="s">
        <v>48</v>
      </c>
      <c r="BD114" s="40" t="s">
        <v>48</v>
      </c>
      <c r="BE114" s="40" t="s">
        <v>48</v>
      </c>
      <c r="BF114" s="40" t="s">
        <v>48</v>
      </c>
      <c r="BG114" s="40" t="s">
        <v>48</v>
      </c>
      <c r="BH114" s="40" t="s">
        <v>48</v>
      </c>
      <c r="BJ114" s="33"/>
      <c r="BK114" s="38" t="str">
        <f>Notes!W115</f>
        <v xml:space="preserve">               </v>
      </c>
      <c r="BL114" s="4"/>
      <c r="BM114" s="44"/>
      <c r="BN114" s="42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D114" s="33"/>
      <c r="CE114" s="38" t="str">
        <f>Notes!W115</f>
        <v xml:space="preserve">               </v>
      </c>
      <c r="CF114" s="4"/>
      <c r="CG114" s="44"/>
      <c r="CH114" s="42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</row>
    <row r="115" spans="1:100" x14ac:dyDescent="0.35">
      <c r="A115" s="12">
        <v>108</v>
      </c>
      <c r="B115" s="33"/>
      <c r="C115" s="38" t="str">
        <f>Notes!W116</f>
        <v xml:space="preserve">               </v>
      </c>
      <c r="D115" s="4"/>
      <c r="E115" s="44"/>
      <c r="F115" s="42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V115" s="33"/>
      <c r="W115" s="38" t="str">
        <f>Notes!W116</f>
        <v xml:space="preserve">               </v>
      </c>
      <c r="X115" s="4"/>
      <c r="Y115" s="44"/>
      <c r="Z115" s="42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P115" s="33"/>
      <c r="AQ115" s="38" t="str">
        <f>Notes!U116</f>
        <v xml:space="preserve">               Real estate activities</v>
      </c>
      <c r="AR115" s="4" t="s">
        <v>744</v>
      </c>
      <c r="AS115" s="44">
        <v>6.1233711477643498</v>
      </c>
      <c r="AT115" s="42" t="s">
        <v>48</v>
      </c>
      <c r="AU115" s="40" t="s">
        <v>48</v>
      </c>
      <c r="AV115" s="40" t="s">
        <v>48</v>
      </c>
      <c r="AW115" s="40" t="s">
        <v>48</v>
      </c>
      <c r="AX115" s="40" t="s">
        <v>48</v>
      </c>
      <c r="AY115" s="40" t="s">
        <v>48</v>
      </c>
      <c r="AZ115" s="40" t="s">
        <v>48</v>
      </c>
      <c r="BA115" s="40" t="s">
        <v>48</v>
      </c>
      <c r="BB115" s="40" t="s">
        <v>48</v>
      </c>
      <c r="BC115" s="40" t="s">
        <v>48</v>
      </c>
      <c r="BD115" s="40" t="s">
        <v>48</v>
      </c>
      <c r="BE115" s="40" t="s">
        <v>48</v>
      </c>
      <c r="BF115" s="40" t="s">
        <v>48</v>
      </c>
      <c r="BG115" s="40" t="s">
        <v>48</v>
      </c>
      <c r="BH115" s="40" t="s">
        <v>48</v>
      </c>
      <c r="BJ115" s="33"/>
      <c r="BK115" s="38" t="str">
        <f>Notes!W116</f>
        <v xml:space="preserve">               </v>
      </c>
      <c r="BL115" s="4"/>
      <c r="BM115" s="44"/>
      <c r="BN115" s="42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D115" s="33"/>
      <c r="CE115" s="38" t="str">
        <f>Notes!W116</f>
        <v xml:space="preserve">               </v>
      </c>
      <c r="CF115" s="4"/>
      <c r="CG115" s="44"/>
      <c r="CH115" s="42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</row>
    <row r="116" spans="1:100" x14ac:dyDescent="0.35">
      <c r="A116" s="12">
        <v>109</v>
      </c>
      <c r="B116" s="33"/>
      <c r="C116" s="38" t="str">
        <f>Notes!W117</f>
        <v xml:space="preserve">               </v>
      </c>
      <c r="D116" s="4"/>
      <c r="E116" s="44"/>
      <c r="F116" s="42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V116" s="33"/>
      <c r="W116" s="38" t="str">
        <f>Notes!W117</f>
        <v xml:space="preserve">               </v>
      </c>
      <c r="X116" s="4"/>
      <c r="Y116" s="44"/>
      <c r="Z116" s="42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P116" s="33"/>
      <c r="AQ116" s="38" t="str">
        <f>Notes!U117</f>
        <v xml:space="preserve">               Business services</v>
      </c>
      <c r="AR116" s="4" t="s">
        <v>745</v>
      </c>
      <c r="AS116" s="44">
        <v>0.15177663091981336</v>
      </c>
      <c r="AT116" s="42" t="s">
        <v>48</v>
      </c>
      <c r="AU116" s="40" t="s">
        <v>48</v>
      </c>
      <c r="AV116" s="40" t="s">
        <v>48</v>
      </c>
      <c r="AW116" s="40" t="s">
        <v>48</v>
      </c>
      <c r="AX116" s="40" t="s">
        <v>48</v>
      </c>
      <c r="AY116" s="40" t="s">
        <v>48</v>
      </c>
      <c r="AZ116" s="40" t="s">
        <v>48</v>
      </c>
      <c r="BA116" s="40" t="s">
        <v>48</v>
      </c>
      <c r="BB116" s="40" t="s">
        <v>48</v>
      </c>
      <c r="BC116" s="40" t="s">
        <v>48</v>
      </c>
      <c r="BD116" s="40" t="s">
        <v>48</v>
      </c>
      <c r="BE116" s="40" t="s">
        <v>48</v>
      </c>
      <c r="BF116" s="40" t="s">
        <v>48</v>
      </c>
      <c r="BG116" s="40" t="s">
        <v>48</v>
      </c>
      <c r="BH116" s="40" t="s">
        <v>48</v>
      </c>
      <c r="BJ116" s="33"/>
      <c r="BK116" s="38" t="str">
        <f>Notes!W117</f>
        <v xml:space="preserve">               </v>
      </c>
      <c r="BL116" s="4"/>
      <c r="BM116" s="44"/>
      <c r="BN116" s="42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D116" s="33"/>
      <c r="CE116" s="38" t="str">
        <f>Notes!W117</f>
        <v xml:space="preserve">               </v>
      </c>
      <c r="CF116" s="4"/>
      <c r="CG116" s="44"/>
      <c r="CH116" s="42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</row>
    <row r="117" spans="1:100" x14ac:dyDescent="0.35">
      <c r="A117" s="12">
        <v>110</v>
      </c>
      <c r="B117" s="33"/>
      <c r="C117" s="38" t="str">
        <f>Notes!W118</f>
        <v xml:space="preserve">               </v>
      </c>
      <c r="D117" s="4"/>
      <c r="E117" s="44"/>
      <c r="F117" s="42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V117" s="33"/>
      <c r="W117" s="38" t="str">
        <f>Notes!W118</f>
        <v xml:space="preserve">               </v>
      </c>
      <c r="X117" s="4"/>
      <c r="Y117" s="44"/>
      <c r="Z117" s="42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P117" s="33"/>
      <c r="AQ117" s="38" t="str">
        <f>Notes!U118</f>
        <v xml:space="preserve">               Public and social services</v>
      </c>
      <c r="AR117" s="4" t="s">
        <v>388</v>
      </c>
      <c r="AS117" s="44">
        <v>0.32647012949947996</v>
      </c>
      <c r="AT117" s="42" t="s">
        <v>48</v>
      </c>
      <c r="AU117" s="40" t="s">
        <v>48</v>
      </c>
      <c r="AV117" s="40" t="s">
        <v>48</v>
      </c>
      <c r="AW117" s="40" t="s">
        <v>48</v>
      </c>
      <c r="AX117" s="40" t="s">
        <v>48</v>
      </c>
      <c r="AY117" s="40" t="s">
        <v>48</v>
      </c>
      <c r="AZ117" s="40" t="s">
        <v>48</v>
      </c>
      <c r="BA117" s="40" t="s">
        <v>48</v>
      </c>
      <c r="BB117" s="40" t="s">
        <v>48</v>
      </c>
      <c r="BC117" s="40" t="s">
        <v>48</v>
      </c>
      <c r="BD117" s="40" t="s">
        <v>48</v>
      </c>
      <c r="BE117" s="40" t="s">
        <v>48</v>
      </c>
      <c r="BF117" s="40" t="s">
        <v>48</v>
      </c>
      <c r="BG117" s="40" t="s">
        <v>48</v>
      </c>
      <c r="BH117" s="40" t="s">
        <v>48</v>
      </c>
      <c r="BJ117" s="33"/>
      <c r="BK117" s="38" t="str">
        <f>Notes!W118</f>
        <v xml:space="preserve">               </v>
      </c>
      <c r="BL117" s="4"/>
      <c r="BM117" s="44"/>
      <c r="BN117" s="42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D117" s="33"/>
      <c r="CE117" s="38" t="str">
        <f>Notes!W118</f>
        <v xml:space="preserve">               </v>
      </c>
      <c r="CF117" s="4"/>
      <c r="CG117" s="44"/>
      <c r="CH117" s="42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</row>
    <row r="118" spans="1:100" x14ac:dyDescent="0.35">
      <c r="A118" s="12">
        <v>111</v>
      </c>
      <c r="B118" s="33"/>
      <c r="C118" s="38" t="str">
        <f>Notes!W119</f>
        <v xml:space="preserve">               </v>
      </c>
      <c r="D118" s="4"/>
      <c r="E118" s="44"/>
      <c r="F118" s="42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V118" s="33"/>
      <c r="W118" s="38" t="str">
        <f>Notes!W119</f>
        <v xml:space="preserve">               </v>
      </c>
      <c r="X118" s="4"/>
      <c r="Y118" s="44"/>
      <c r="Z118" s="42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P118" s="33"/>
      <c r="AQ118" s="38" t="str">
        <f>Notes!U119</f>
        <v xml:space="preserve">               Public administration</v>
      </c>
      <c r="AR118" s="4" t="s">
        <v>746</v>
      </c>
      <c r="AS118" s="44">
        <v>1.6839085364047002</v>
      </c>
      <c r="AT118" s="42" t="s">
        <v>48</v>
      </c>
      <c r="AU118" s="40" t="s">
        <v>48</v>
      </c>
      <c r="AV118" s="40" t="s">
        <v>48</v>
      </c>
      <c r="AW118" s="40" t="s">
        <v>48</v>
      </c>
      <c r="AX118" s="40" t="s">
        <v>48</v>
      </c>
      <c r="AY118" s="40" t="s">
        <v>48</v>
      </c>
      <c r="AZ118" s="40" t="s">
        <v>48</v>
      </c>
      <c r="BA118" s="40" t="s">
        <v>48</v>
      </c>
      <c r="BB118" s="40" t="s">
        <v>48</v>
      </c>
      <c r="BC118" s="40" t="s">
        <v>48</v>
      </c>
      <c r="BD118" s="40" t="s">
        <v>48</v>
      </c>
      <c r="BE118" s="40" t="s">
        <v>48</v>
      </c>
      <c r="BF118" s="40" t="s">
        <v>48</v>
      </c>
      <c r="BG118" s="40" t="s">
        <v>48</v>
      </c>
      <c r="BH118" s="40" t="s">
        <v>48</v>
      </c>
      <c r="BJ118" s="33"/>
      <c r="BK118" s="38" t="str">
        <f>Notes!W119</f>
        <v xml:space="preserve">               </v>
      </c>
      <c r="BL118" s="4"/>
      <c r="BM118" s="44"/>
      <c r="BN118" s="42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D118" s="33"/>
      <c r="CE118" s="38" t="str">
        <f>Notes!W119</f>
        <v xml:space="preserve">               </v>
      </c>
      <c r="CF118" s="4"/>
      <c r="CG118" s="44"/>
      <c r="CH118" s="42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</row>
    <row r="119" spans="1:100" x14ac:dyDescent="0.35">
      <c r="A119" s="12">
        <v>112</v>
      </c>
      <c r="B119" s="33"/>
      <c r="C119" s="38" t="str">
        <f>Notes!W120</f>
        <v xml:space="preserve">               </v>
      </c>
      <c r="D119" s="4"/>
      <c r="E119" s="44"/>
      <c r="F119" s="42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V119" s="33"/>
      <c r="W119" s="38" t="str">
        <f>Notes!W120</f>
        <v xml:space="preserve">               </v>
      </c>
      <c r="X119" s="4"/>
      <c r="Y119" s="44"/>
      <c r="Z119" s="42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P119" s="33"/>
      <c r="AQ119" s="38" t="str">
        <f>Notes!U120</f>
        <v xml:space="preserve">               Education</v>
      </c>
      <c r="AR119" s="4" t="s">
        <v>747</v>
      </c>
      <c r="AS119" s="44">
        <v>3.9612158509403548</v>
      </c>
      <c r="AT119" s="42" t="s">
        <v>48</v>
      </c>
      <c r="AU119" s="40" t="s">
        <v>48</v>
      </c>
      <c r="AV119" s="40" t="s">
        <v>48</v>
      </c>
      <c r="AW119" s="40" t="s">
        <v>48</v>
      </c>
      <c r="AX119" s="40" t="s">
        <v>48</v>
      </c>
      <c r="AY119" s="40" t="s">
        <v>48</v>
      </c>
      <c r="AZ119" s="40" t="s">
        <v>48</v>
      </c>
      <c r="BA119" s="40" t="s">
        <v>48</v>
      </c>
      <c r="BB119" s="40" t="s">
        <v>48</v>
      </c>
      <c r="BC119" s="40" t="s">
        <v>48</v>
      </c>
      <c r="BD119" s="40" t="s">
        <v>48</v>
      </c>
      <c r="BE119" s="40" t="s">
        <v>48</v>
      </c>
      <c r="BF119" s="40" t="s">
        <v>48</v>
      </c>
      <c r="BG119" s="40" t="s">
        <v>48</v>
      </c>
      <c r="BH119" s="40" t="s">
        <v>48</v>
      </c>
      <c r="BJ119" s="33"/>
      <c r="BK119" s="38" t="str">
        <f>Notes!W120</f>
        <v xml:space="preserve">               </v>
      </c>
      <c r="BL119" s="4"/>
      <c r="BM119" s="44"/>
      <c r="BN119" s="42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D119" s="33"/>
      <c r="CE119" s="38" t="str">
        <f>Notes!W120</f>
        <v xml:space="preserve">               </v>
      </c>
      <c r="CF119" s="4"/>
      <c r="CG119" s="44"/>
      <c r="CH119" s="42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</row>
    <row r="120" spans="1:100" x14ac:dyDescent="0.35">
      <c r="A120" s="12">
        <v>113</v>
      </c>
      <c r="B120" s="33"/>
      <c r="C120" s="38" t="str">
        <f>Notes!W121</f>
        <v xml:space="preserve">               </v>
      </c>
      <c r="D120" s="4"/>
      <c r="E120" s="44"/>
      <c r="F120" s="42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V120" s="33"/>
      <c r="W120" s="38" t="str">
        <f>Notes!W121</f>
        <v xml:space="preserve">               </v>
      </c>
      <c r="X120" s="4"/>
      <c r="Y120" s="44"/>
      <c r="Z120" s="42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P120" s="33"/>
      <c r="AQ120" s="38" t="str">
        <f>Notes!U121</f>
        <v xml:space="preserve">               Health and social work</v>
      </c>
      <c r="AR120" s="4" t="s">
        <v>746</v>
      </c>
      <c r="AS120" s="44">
        <v>0.54426430048992902</v>
      </c>
      <c r="AT120" s="42">
        <v>2.9789589041984144E-2</v>
      </c>
      <c r="AU120" s="40" t="s">
        <v>48</v>
      </c>
      <c r="AV120" s="40" t="s">
        <v>48</v>
      </c>
      <c r="AW120" s="40" t="s">
        <v>48</v>
      </c>
      <c r="AX120" s="40" t="s">
        <v>48</v>
      </c>
      <c r="AY120" s="40" t="s">
        <v>48</v>
      </c>
      <c r="AZ120" s="40" t="s">
        <v>48</v>
      </c>
      <c r="BA120" s="40" t="s">
        <v>48</v>
      </c>
      <c r="BB120" s="40" t="s">
        <v>48</v>
      </c>
      <c r="BC120" s="40" t="s">
        <v>48</v>
      </c>
      <c r="BD120" s="40" t="s">
        <v>48</v>
      </c>
      <c r="BE120" s="40" t="s">
        <v>48</v>
      </c>
      <c r="BF120" s="40" t="s">
        <v>48</v>
      </c>
      <c r="BG120" s="40" t="s">
        <v>48</v>
      </c>
      <c r="BH120" s="40" t="s">
        <v>48</v>
      </c>
      <c r="BJ120" s="33"/>
      <c r="BK120" s="38" t="str">
        <f>Notes!W121</f>
        <v xml:space="preserve">               </v>
      </c>
      <c r="BL120" s="4"/>
      <c r="BM120" s="44"/>
      <c r="BN120" s="42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D120" s="33"/>
      <c r="CE120" s="38" t="str">
        <f>Notes!W121</f>
        <v xml:space="preserve">               </v>
      </c>
      <c r="CF120" s="4"/>
      <c r="CG120" s="44"/>
      <c r="CH120" s="42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</row>
    <row r="121" spans="1:100" x14ac:dyDescent="0.35">
      <c r="A121" s="12">
        <v>114</v>
      </c>
      <c r="B121" s="33"/>
      <c r="C121" s="38" t="str">
        <f>Notes!W122</f>
        <v xml:space="preserve">               </v>
      </c>
      <c r="D121" s="4"/>
      <c r="E121" s="44"/>
      <c r="F121" s="42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V121" s="33"/>
      <c r="W121" s="38" t="str">
        <f>Notes!W122</f>
        <v xml:space="preserve">               </v>
      </c>
      <c r="X121" s="4"/>
      <c r="Y121" s="44"/>
      <c r="Z121" s="42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P121" s="33"/>
      <c r="AQ121" s="38" t="str">
        <f>Notes!U122</f>
        <v xml:space="preserve">               Other services</v>
      </c>
      <c r="AR121" s="4" t="s">
        <v>747</v>
      </c>
      <c r="AS121" s="44">
        <v>-4.8898904518748374</v>
      </c>
      <c r="AT121" s="42">
        <v>-4.1966034549767439E-2</v>
      </c>
      <c r="AU121" s="40" t="s">
        <v>48</v>
      </c>
      <c r="AV121" s="40" t="s">
        <v>48</v>
      </c>
      <c r="AW121" s="40" t="s">
        <v>48</v>
      </c>
      <c r="AX121" s="40" t="s">
        <v>48</v>
      </c>
      <c r="AY121" s="40" t="s">
        <v>48</v>
      </c>
      <c r="AZ121" s="40" t="s">
        <v>48</v>
      </c>
      <c r="BA121" s="40" t="s">
        <v>48</v>
      </c>
      <c r="BB121" s="40" t="s">
        <v>48</v>
      </c>
      <c r="BC121" s="40" t="s">
        <v>48</v>
      </c>
      <c r="BD121" s="40" t="s">
        <v>48</v>
      </c>
      <c r="BE121" s="40" t="s">
        <v>48</v>
      </c>
      <c r="BF121" s="40" t="s">
        <v>48</v>
      </c>
      <c r="BG121" s="40" t="s">
        <v>48</v>
      </c>
      <c r="BH121" s="40" t="s">
        <v>48</v>
      </c>
      <c r="BJ121" s="33"/>
      <c r="BK121" s="38" t="str">
        <f>Notes!W122</f>
        <v xml:space="preserve">               </v>
      </c>
      <c r="BL121" s="4"/>
      <c r="BM121" s="44"/>
      <c r="BN121" s="42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D121" s="33"/>
      <c r="CE121" s="38" t="str">
        <f>Notes!W122</f>
        <v xml:space="preserve">               </v>
      </c>
      <c r="CF121" s="4"/>
      <c r="CG121" s="44"/>
      <c r="CH121" s="42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</row>
    <row r="122" spans="1:100" x14ac:dyDescent="0.35">
      <c r="A122" s="12">
        <v>115</v>
      </c>
      <c r="B122" s="33"/>
      <c r="C122" s="38" t="str">
        <f>Notes!W123</f>
        <v xml:space="preserve">               </v>
      </c>
      <c r="D122" s="4"/>
      <c r="E122" s="44"/>
      <c r="F122" s="42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V122" s="33"/>
      <c r="W122" s="38" t="str">
        <f>Notes!W123</f>
        <v xml:space="preserve">               </v>
      </c>
      <c r="X122" s="4"/>
      <c r="Y122" s="44"/>
      <c r="Z122" s="42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P122" s="33"/>
      <c r="AQ122" s="38" t="str">
        <f>Notes!U123</f>
        <v xml:space="preserve">               </v>
      </c>
      <c r="AR122" s="4" t="s">
        <v>386</v>
      </c>
      <c r="AS122" s="44"/>
      <c r="AT122" s="42"/>
      <c r="AU122" s="40"/>
      <c r="AV122" s="40"/>
      <c r="AW122" s="40"/>
      <c r="AX122" s="40"/>
      <c r="AY122" s="40"/>
      <c r="AZ122" s="40"/>
      <c r="BA122" s="40"/>
      <c r="BB122" s="40"/>
      <c r="BC122" s="40" t="s">
        <v>48</v>
      </c>
      <c r="BD122" s="40" t="s">
        <v>48</v>
      </c>
      <c r="BE122" s="40" t="s">
        <v>48</v>
      </c>
      <c r="BF122" s="40" t="s">
        <v>48</v>
      </c>
      <c r="BG122" s="40" t="s">
        <v>48</v>
      </c>
      <c r="BH122" s="40" t="s">
        <v>48</v>
      </c>
      <c r="BJ122" s="33"/>
      <c r="BK122" s="38" t="str">
        <f>Notes!W123</f>
        <v xml:space="preserve">               </v>
      </c>
      <c r="BL122" s="4"/>
      <c r="BM122" s="44"/>
      <c r="BN122" s="42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D122" s="33"/>
      <c r="CE122" s="38" t="str">
        <f>Notes!W123</f>
        <v xml:space="preserve">               </v>
      </c>
      <c r="CF122" s="4"/>
      <c r="CG122" s="44"/>
      <c r="CH122" s="42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</row>
    <row r="123" spans="1:100" x14ac:dyDescent="0.35">
      <c r="A123" s="12">
        <v>116</v>
      </c>
      <c r="B123" s="33"/>
      <c r="C123" s="38" t="str">
        <f>Notes!W124</f>
        <v xml:space="preserve">               </v>
      </c>
      <c r="D123" s="4"/>
      <c r="E123" s="44"/>
      <c r="F123" s="42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V123" s="33"/>
      <c r="W123" s="38" t="str">
        <f>Notes!W124</f>
        <v xml:space="preserve">               </v>
      </c>
      <c r="X123" s="4"/>
      <c r="Y123" s="44"/>
      <c r="Z123" s="42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P123" s="33"/>
      <c r="AQ123" s="38" t="str">
        <f>Notes!U124</f>
        <v xml:space="preserve">               </v>
      </c>
      <c r="AR123" s="4" t="s">
        <v>388</v>
      </c>
      <c r="AS123" s="44"/>
      <c r="AT123" s="42"/>
      <c r="AU123" s="40"/>
      <c r="AV123" s="40"/>
      <c r="AW123" s="40"/>
      <c r="AX123" s="40"/>
      <c r="AY123" s="40"/>
      <c r="AZ123" s="40"/>
      <c r="BA123" s="40"/>
      <c r="BB123" s="40"/>
      <c r="BC123" s="40" t="s">
        <v>48</v>
      </c>
      <c r="BD123" s="40" t="s">
        <v>48</v>
      </c>
      <c r="BE123" s="40" t="s">
        <v>48</v>
      </c>
      <c r="BF123" s="40" t="s">
        <v>48</v>
      </c>
      <c r="BG123" s="40" t="s">
        <v>48</v>
      </c>
      <c r="BH123" s="40" t="s">
        <v>48</v>
      </c>
      <c r="BJ123" s="33"/>
      <c r="BK123" s="38" t="str">
        <f>Notes!W124</f>
        <v xml:space="preserve">               </v>
      </c>
      <c r="BL123" s="4"/>
      <c r="BM123" s="44"/>
      <c r="BN123" s="42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D123" s="33"/>
      <c r="CE123" s="38" t="str">
        <f>Notes!W124</f>
        <v xml:space="preserve">               </v>
      </c>
      <c r="CF123" s="4"/>
      <c r="CG123" s="44"/>
      <c r="CH123" s="42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</row>
    <row r="124" spans="1:100" x14ac:dyDescent="0.35">
      <c r="A124" s="12">
        <v>117</v>
      </c>
      <c r="B124" s="33"/>
      <c r="C124" s="38" t="str">
        <f>Notes!W125</f>
        <v xml:space="preserve">               </v>
      </c>
      <c r="D124" s="4"/>
      <c r="E124" s="44"/>
      <c r="F124" s="42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V124" s="33"/>
      <c r="W124" s="38" t="str">
        <f>Notes!W125</f>
        <v xml:space="preserve">               </v>
      </c>
      <c r="X124" s="4"/>
      <c r="Y124" s="44"/>
      <c r="Z124" s="42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P124" s="33"/>
      <c r="AQ124" s="38" t="str">
        <f>Notes!U125</f>
        <v xml:space="preserve">               </v>
      </c>
      <c r="AR124" s="4"/>
      <c r="AS124" s="44"/>
      <c r="AT124" s="42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J124" s="33"/>
      <c r="BK124" s="38" t="str">
        <f>Notes!W125</f>
        <v xml:space="preserve">               </v>
      </c>
      <c r="BL124" s="4"/>
      <c r="BM124" s="44"/>
      <c r="BN124" s="42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D124" s="33"/>
      <c r="CE124" s="38" t="str">
        <f>Notes!W125</f>
        <v xml:space="preserve">               </v>
      </c>
      <c r="CF124" s="4"/>
      <c r="CG124" s="44"/>
      <c r="CH124" s="42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</row>
    <row r="125" spans="1:100" x14ac:dyDescent="0.35">
      <c r="A125" s="12">
        <v>118</v>
      </c>
      <c r="B125" s="33"/>
      <c r="C125" s="38" t="str">
        <f>Notes!W126</f>
        <v xml:space="preserve">               </v>
      </c>
      <c r="D125" s="4"/>
      <c r="E125" s="44"/>
      <c r="F125" s="42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V125" s="33"/>
      <c r="W125" s="38" t="str">
        <f>Notes!W126</f>
        <v xml:space="preserve">               </v>
      </c>
      <c r="X125" s="4"/>
      <c r="Y125" s="44"/>
      <c r="Z125" s="42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P125" s="33"/>
      <c r="AQ125" s="38" t="str">
        <f>Notes!U126</f>
        <v xml:space="preserve">               </v>
      </c>
      <c r="AR125" s="4"/>
      <c r="AS125" s="44"/>
      <c r="AT125" s="42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J125" s="33"/>
      <c r="BK125" s="38" t="str">
        <f>Notes!W126</f>
        <v xml:space="preserve">               </v>
      </c>
      <c r="BL125" s="4"/>
      <c r="BM125" s="44"/>
      <c r="BN125" s="42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D125" s="33"/>
      <c r="CE125" s="38" t="str">
        <f>Notes!W126</f>
        <v xml:space="preserve">               </v>
      </c>
      <c r="CF125" s="4"/>
      <c r="CG125" s="44"/>
      <c r="CH125" s="42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</row>
    <row r="126" spans="1:100" x14ac:dyDescent="0.35">
      <c r="A126" s="12">
        <v>119</v>
      </c>
      <c r="B126" s="33"/>
      <c r="C126" s="38" t="str">
        <f>Notes!W127</f>
        <v xml:space="preserve">               </v>
      </c>
      <c r="D126" s="4"/>
      <c r="E126" s="44"/>
      <c r="F126" s="42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V126" s="33"/>
      <c r="W126" s="38" t="str">
        <f>Notes!W127</f>
        <v xml:space="preserve">               </v>
      </c>
      <c r="X126" s="4"/>
      <c r="Y126" s="44"/>
      <c r="Z126" s="42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P126" s="33"/>
      <c r="AQ126" s="38" t="str">
        <f>Notes!U127</f>
        <v xml:space="preserve">               </v>
      </c>
      <c r="AR126" s="4"/>
      <c r="AS126" s="44"/>
      <c r="AT126" s="42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J126" s="33"/>
      <c r="BK126" s="38" t="str">
        <f>Notes!W127</f>
        <v xml:space="preserve">               </v>
      </c>
      <c r="BL126" s="4"/>
      <c r="BM126" s="44"/>
      <c r="BN126" s="42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D126" s="33"/>
      <c r="CE126" s="38" t="str">
        <f>Notes!W127</f>
        <v xml:space="preserve">               </v>
      </c>
      <c r="CF126" s="4"/>
      <c r="CG126" s="44"/>
      <c r="CH126" s="42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</row>
    <row r="127" spans="1:100" x14ac:dyDescent="0.35">
      <c r="A127" s="12">
        <v>120</v>
      </c>
      <c r="B127" s="33"/>
      <c r="C127" s="38" t="str">
        <f>Notes!W128</f>
        <v xml:space="preserve">               </v>
      </c>
      <c r="D127" s="4"/>
      <c r="E127" s="44"/>
      <c r="F127" s="42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V127" s="33"/>
      <c r="W127" s="38" t="str">
        <f>Notes!W128</f>
        <v xml:space="preserve">               </v>
      </c>
      <c r="X127" s="4"/>
      <c r="Y127" s="44"/>
      <c r="Z127" s="42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P127" s="33"/>
      <c r="AQ127" s="38" t="str">
        <f>Notes!U128</f>
        <v xml:space="preserve">               </v>
      </c>
      <c r="AR127" s="4"/>
      <c r="AS127" s="44"/>
      <c r="AT127" s="42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J127" s="33"/>
      <c r="BK127" s="38" t="str">
        <f>Notes!W128</f>
        <v xml:space="preserve">               </v>
      </c>
      <c r="BL127" s="4"/>
      <c r="BM127" s="44"/>
      <c r="BN127" s="42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D127" s="33"/>
      <c r="CE127" s="38" t="str">
        <f>Notes!W128</f>
        <v xml:space="preserve">               </v>
      </c>
      <c r="CF127" s="4"/>
      <c r="CG127" s="44"/>
      <c r="CH127" s="42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</row>
    <row r="128" spans="1:100" x14ac:dyDescent="0.35">
      <c r="A128" s="12">
        <v>121</v>
      </c>
      <c r="B128" s="33"/>
      <c r="C128" s="38" t="str">
        <f>Notes!W129</f>
        <v xml:space="preserve">               </v>
      </c>
      <c r="D128" s="4"/>
      <c r="E128" s="44"/>
      <c r="F128" s="42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V128" s="33"/>
      <c r="W128" s="38" t="str">
        <f>Notes!W129</f>
        <v xml:space="preserve">               </v>
      </c>
      <c r="X128" s="4"/>
      <c r="Y128" s="44"/>
      <c r="Z128" s="42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P128" s="33"/>
      <c r="AQ128" s="38" t="str">
        <f>Notes!U129</f>
        <v xml:space="preserve">               </v>
      </c>
      <c r="AR128" s="4"/>
      <c r="AS128" s="44"/>
      <c r="AT128" s="42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J128" s="33"/>
      <c r="BK128" s="38" t="str">
        <f>Notes!W129</f>
        <v xml:space="preserve">               </v>
      </c>
      <c r="BL128" s="4"/>
      <c r="BM128" s="44"/>
      <c r="BN128" s="42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D128" s="33"/>
      <c r="CE128" s="38" t="str">
        <f>Notes!W129</f>
        <v xml:space="preserve">               </v>
      </c>
      <c r="CF128" s="4"/>
      <c r="CG128" s="44"/>
      <c r="CH128" s="42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</row>
    <row r="129" spans="1:100" x14ac:dyDescent="0.35">
      <c r="A129" s="12">
        <v>122</v>
      </c>
      <c r="B129" s="33"/>
      <c r="C129" s="38" t="str">
        <f>Notes!W130</f>
        <v xml:space="preserve">               </v>
      </c>
      <c r="D129" s="4"/>
      <c r="E129" s="44"/>
      <c r="F129" s="42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V129" s="33"/>
      <c r="W129" s="38" t="str">
        <f>Notes!W130</f>
        <v xml:space="preserve">               </v>
      </c>
      <c r="X129" s="4"/>
      <c r="Y129" s="44"/>
      <c r="Z129" s="42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P129" s="33"/>
      <c r="AQ129" s="38" t="str">
        <f>Notes!U130</f>
        <v xml:space="preserve">               </v>
      </c>
      <c r="AR129" s="4"/>
      <c r="AS129" s="44"/>
      <c r="AT129" s="42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J129" s="33"/>
      <c r="BK129" s="38" t="str">
        <f>Notes!W130</f>
        <v xml:space="preserve">               </v>
      </c>
      <c r="BL129" s="4"/>
      <c r="BM129" s="44"/>
      <c r="BN129" s="42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D129" s="33"/>
      <c r="CE129" s="38" t="str">
        <f>Notes!W130</f>
        <v xml:space="preserve">               </v>
      </c>
      <c r="CF129" s="4"/>
      <c r="CG129" s="44"/>
      <c r="CH129" s="42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</row>
    <row r="130" spans="1:100" x14ac:dyDescent="0.35">
      <c r="A130" s="12">
        <v>123</v>
      </c>
      <c r="B130" s="33"/>
      <c r="C130" s="38" t="str">
        <f>Notes!W131</f>
        <v xml:space="preserve">               </v>
      </c>
      <c r="D130" s="4"/>
      <c r="E130" s="44"/>
      <c r="F130" s="42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V130" s="33"/>
      <c r="W130" s="38" t="str">
        <f>Notes!W131</f>
        <v xml:space="preserve">               </v>
      </c>
      <c r="X130" s="4"/>
      <c r="Y130" s="44"/>
      <c r="Z130" s="42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P130" s="33"/>
      <c r="AQ130" s="38" t="str">
        <f>Notes!U131</f>
        <v xml:space="preserve">               </v>
      </c>
      <c r="AR130" s="4"/>
      <c r="AS130" s="44"/>
      <c r="AT130" s="42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J130" s="33"/>
      <c r="BK130" s="38" t="str">
        <f>Notes!W131</f>
        <v xml:space="preserve">               </v>
      </c>
      <c r="BL130" s="4"/>
      <c r="BM130" s="44"/>
      <c r="BN130" s="42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D130" s="33"/>
      <c r="CE130" s="38" t="str">
        <f>Notes!W131</f>
        <v xml:space="preserve">               </v>
      </c>
      <c r="CF130" s="4"/>
      <c r="CG130" s="44"/>
      <c r="CH130" s="42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</row>
    <row r="131" spans="1:100" x14ac:dyDescent="0.35">
      <c r="A131" s="12">
        <v>124</v>
      </c>
      <c r="B131" s="33"/>
      <c r="C131" s="38" t="str">
        <f>Notes!W132</f>
        <v xml:space="preserve">               </v>
      </c>
      <c r="D131" s="4"/>
      <c r="E131" s="44"/>
      <c r="F131" s="42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V131" s="33"/>
      <c r="W131" s="38" t="str">
        <f>Notes!W132</f>
        <v xml:space="preserve">               </v>
      </c>
      <c r="X131" s="4"/>
      <c r="Y131" s="44"/>
      <c r="Z131" s="42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P131" s="33"/>
      <c r="AQ131" s="38" t="str">
        <f>Notes!U132</f>
        <v xml:space="preserve">               </v>
      </c>
      <c r="AR131" s="4"/>
      <c r="AS131" s="44"/>
      <c r="AT131" s="42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J131" s="33"/>
      <c r="BK131" s="38" t="str">
        <f>Notes!W132</f>
        <v xml:space="preserve">               </v>
      </c>
      <c r="BL131" s="4"/>
      <c r="BM131" s="44"/>
      <c r="BN131" s="42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D131" s="33"/>
      <c r="CE131" s="38" t="str">
        <f>Notes!W132</f>
        <v xml:space="preserve">               </v>
      </c>
      <c r="CF131" s="4"/>
      <c r="CG131" s="44"/>
      <c r="CH131" s="42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</row>
    <row r="132" spans="1:100" x14ac:dyDescent="0.35">
      <c r="A132" s="12">
        <v>125</v>
      </c>
      <c r="B132" s="33"/>
      <c r="C132" s="38" t="str">
        <f>Notes!W133</f>
        <v xml:space="preserve">               </v>
      </c>
      <c r="D132" s="4"/>
      <c r="E132" s="44"/>
      <c r="F132" s="42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V132" s="33"/>
      <c r="W132" s="38" t="str">
        <f>Notes!W133</f>
        <v xml:space="preserve">               </v>
      </c>
      <c r="X132" s="4"/>
      <c r="Y132" s="44"/>
      <c r="Z132" s="42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P132" s="33"/>
      <c r="AQ132" s="38" t="str">
        <f>Notes!U133</f>
        <v xml:space="preserve">               </v>
      </c>
      <c r="AR132" s="4"/>
      <c r="AS132" s="44"/>
      <c r="AT132" s="42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J132" s="33"/>
      <c r="BK132" s="38" t="str">
        <f>Notes!W133</f>
        <v xml:space="preserve">               </v>
      </c>
      <c r="BL132" s="4"/>
      <c r="BM132" s="44"/>
      <c r="BN132" s="42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D132" s="33"/>
      <c r="CE132" s="38" t="str">
        <f>Notes!W133</f>
        <v xml:space="preserve">               </v>
      </c>
      <c r="CF132" s="4"/>
      <c r="CG132" s="44"/>
      <c r="CH132" s="42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</row>
    <row r="133" spans="1:100" x14ac:dyDescent="0.35">
      <c r="A133" s="12">
        <v>126</v>
      </c>
      <c r="B133" s="33"/>
      <c r="C133" s="38" t="str">
        <f>Notes!W134</f>
        <v xml:space="preserve">               </v>
      </c>
      <c r="D133" s="4"/>
      <c r="E133" s="44"/>
      <c r="F133" s="42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V133" s="33"/>
      <c r="W133" s="38" t="str">
        <f>Notes!W134</f>
        <v xml:space="preserve">               </v>
      </c>
      <c r="X133" s="4"/>
      <c r="Y133" s="44"/>
      <c r="Z133" s="42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P133" s="33"/>
      <c r="AQ133" s="38" t="str">
        <f>Notes!U134</f>
        <v xml:space="preserve">               </v>
      </c>
      <c r="AR133" s="4"/>
      <c r="AS133" s="44"/>
      <c r="AT133" s="42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J133" s="33"/>
      <c r="BK133" s="38" t="str">
        <f>Notes!W134</f>
        <v xml:space="preserve">               </v>
      </c>
      <c r="BL133" s="4"/>
      <c r="BM133" s="44"/>
      <c r="BN133" s="42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D133" s="33"/>
      <c r="CE133" s="38" t="str">
        <f>Notes!W134</f>
        <v xml:space="preserve">               </v>
      </c>
      <c r="CF133" s="4"/>
      <c r="CG133" s="44"/>
      <c r="CH133" s="42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</row>
    <row r="134" spans="1:100" x14ac:dyDescent="0.35">
      <c r="A134" s="12">
        <v>127</v>
      </c>
      <c r="B134" s="33"/>
      <c r="C134" s="38" t="str">
        <f>Notes!W135</f>
        <v xml:space="preserve">               </v>
      </c>
      <c r="D134" s="4"/>
      <c r="E134" s="44"/>
      <c r="F134" s="42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V134" s="33"/>
      <c r="W134" s="38" t="str">
        <f>Notes!W135</f>
        <v xml:space="preserve">               </v>
      </c>
      <c r="X134" s="4"/>
      <c r="Y134" s="44"/>
      <c r="Z134" s="42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P134" s="33"/>
      <c r="AQ134" s="38" t="str">
        <f>Notes!U135</f>
        <v xml:space="preserve">               </v>
      </c>
      <c r="AR134" s="4"/>
      <c r="AS134" s="44"/>
      <c r="AT134" s="42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J134" s="33"/>
      <c r="BK134" s="38" t="str">
        <f>Notes!W135</f>
        <v xml:space="preserve">               </v>
      </c>
      <c r="BL134" s="4"/>
      <c r="BM134" s="44"/>
      <c r="BN134" s="42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D134" s="33"/>
      <c r="CE134" s="38" t="str">
        <f>Notes!W135</f>
        <v xml:space="preserve">               </v>
      </c>
      <c r="CF134" s="4"/>
      <c r="CG134" s="44"/>
      <c r="CH134" s="42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</row>
    <row r="135" spans="1:100" x14ac:dyDescent="0.35">
      <c r="A135" s="12">
        <v>128</v>
      </c>
      <c r="B135" s="33"/>
      <c r="C135" s="38" t="str">
        <f>Notes!W136</f>
        <v xml:space="preserve">               </v>
      </c>
      <c r="D135" s="4"/>
      <c r="E135" s="44"/>
      <c r="F135" s="42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V135" s="33"/>
      <c r="W135" s="38" t="str">
        <f>Notes!W136</f>
        <v xml:space="preserve">               </v>
      </c>
      <c r="X135" s="4"/>
      <c r="Y135" s="44"/>
      <c r="Z135" s="42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P135" s="33"/>
      <c r="AQ135" s="38" t="str">
        <f>Notes!U136</f>
        <v xml:space="preserve">               </v>
      </c>
      <c r="AR135" s="4"/>
      <c r="AS135" s="44"/>
      <c r="AT135" s="42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J135" s="33"/>
      <c r="BK135" s="38" t="str">
        <f>Notes!W136</f>
        <v xml:space="preserve">               </v>
      </c>
      <c r="BL135" s="4"/>
      <c r="BM135" s="44"/>
      <c r="BN135" s="42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D135" s="33"/>
      <c r="CE135" s="38" t="str">
        <f>Notes!W136</f>
        <v xml:space="preserve">               </v>
      </c>
      <c r="CF135" s="4"/>
      <c r="CG135" s="44"/>
      <c r="CH135" s="42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</row>
    <row r="136" spans="1:100" x14ac:dyDescent="0.35">
      <c r="A136" s="12">
        <v>129</v>
      </c>
      <c r="B136" s="33"/>
      <c r="C136" s="38" t="str">
        <f>Notes!W137</f>
        <v xml:space="preserve">               </v>
      </c>
      <c r="D136" s="4"/>
      <c r="E136" s="44"/>
      <c r="F136" s="42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V136" s="33"/>
      <c r="W136" s="38" t="str">
        <f>Notes!W137</f>
        <v xml:space="preserve">               </v>
      </c>
      <c r="X136" s="4"/>
      <c r="Y136" s="44"/>
      <c r="Z136" s="42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P136" s="33"/>
      <c r="AQ136" s="38" t="str">
        <f>Notes!U137</f>
        <v xml:space="preserve">               </v>
      </c>
      <c r="AR136" s="4"/>
      <c r="AS136" s="44"/>
      <c r="AT136" s="42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J136" s="33"/>
      <c r="BK136" s="38" t="str">
        <f>Notes!W137</f>
        <v xml:space="preserve">               </v>
      </c>
      <c r="BL136" s="4"/>
      <c r="BM136" s="44"/>
      <c r="BN136" s="42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D136" s="33"/>
      <c r="CE136" s="38" t="str">
        <f>Notes!W137</f>
        <v xml:space="preserve">               </v>
      </c>
      <c r="CF136" s="4"/>
      <c r="CG136" s="44"/>
      <c r="CH136" s="42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</row>
    <row r="137" spans="1:100" x14ac:dyDescent="0.35">
      <c r="A137" s="12">
        <v>130</v>
      </c>
      <c r="B137" s="33"/>
      <c r="C137" s="38" t="str">
        <f>Notes!W138</f>
        <v xml:space="preserve">               </v>
      </c>
      <c r="D137" s="4"/>
      <c r="E137" s="44"/>
      <c r="F137" s="42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V137" s="33"/>
      <c r="W137" s="38" t="str">
        <f>Notes!W138</f>
        <v xml:space="preserve">               </v>
      </c>
      <c r="X137" s="4"/>
      <c r="Y137" s="44"/>
      <c r="Z137" s="42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P137" s="33"/>
      <c r="AQ137" s="38" t="str">
        <f>Notes!U138</f>
        <v xml:space="preserve">               </v>
      </c>
      <c r="AR137" s="4"/>
      <c r="AS137" s="44"/>
      <c r="AT137" s="42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J137" s="33"/>
      <c r="BK137" s="38" t="str">
        <f>Notes!W138</f>
        <v xml:space="preserve">               </v>
      </c>
      <c r="BL137" s="4"/>
      <c r="BM137" s="44"/>
      <c r="BN137" s="42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D137" s="33"/>
      <c r="CE137" s="38" t="str">
        <f>Notes!W138</f>
        <v xml:space="preserve">               </v>
      </c>
      <c r="CF137" s="4"/>
      <c r="CG137" s="44"/>
      <c r="CH137" s="42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</row>
    <row r="138" spans="1:100" x14ac:dyDescent="0.35">
      <c r="A138" s="12">
        <v>131</v>
      </c>
      <c r="B138" s="33"/>
      <c r="C138" s="38" t="str">
        <f>Notes!W139</f>
        <v xml:space="preserve">               </v>
      </c>
      <c r="D138" s="4"/>
      <c r="E138" s="44"/>
      <c r="F138" s="42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V138" s="33"/>
      <c r="W138" s="38" t="str">
        <f>Notes!W139</f>
        <v xml:space="preserve">               </v>
      </c>
      <c r="X138" s="4"/>
      <c r="Y138" s="44"/>
      <c r="Z138" s="42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P138" s="33"/>
      <c r="AQ138" s="38" t="str">
        <f>Notes!U139</f>
        <v xml:space="preserve">               </v>
      </c>
      <c r="AR138" s="4"/>
      <c r="AS138" s="44"/>
      <c r="AT138" s="42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J138" s="33"/>
      <c r="BK138" s="38" t="str">
        <f>Notes!W139</f>
        <v xml:space="preserve">               </v>
      </c>
      <c r="BL138" s="4"/>
      <c r="BM138" s="44"/>
      <c r="BN138" s="42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D138" s="33"/>
      <c r="CE138" s="38" t="str">
        <f>Notes!W139</f>
        <v xml:space="preserve">               </v>
      </c>
      <c r="CF138" s="4"/>
      <c r="CG138" s="44"/>
      <c r="CH138" s="42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</row>
    <row r="139" spans="1:100" x14ac:dyDescent="0.35">
      <c r="A139" s="12">
        <v>132</v>
      </c>
      <c r="B139" s="33"/>
      <c r="C139" s="38" t="str">
        <f>Notes!W140</f>
        <v xml:space="preserve">               </v>
      </c>
      <c r="D139" s="4"/>
      <c r="E139" s="44"/>
      <c r="F139" s="42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V139" s="33"/>
      <c r="W139" s="38" t="str">
        <f>Notes!W140</f>
        <v xml:space="preserve">               </v>
      </c>
      <c r="X139" s="4"/>
      <c r="Y139" s="44"/>
      <c r="Z139" s="42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P139" s="33"/>
      <c r="AQ139" s="38" t="str">
        <f>Notes!U140</f>
        <v xml:space="preserve">               </v>
      </c>
      <c r="AR139" s="4"/>
      <c r="AS139" s="44"/>
      <c r="AT139" s="42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J139" s="33"/>
      <c r="BK139" s="38" t="str">
        <f>Notes!W140</f>
        <v xml:space="preserve">               </v>
      </c>
      <c r="BL139" s="4"/>
      <c r="BM139" s="44"/>
      <c r="BN139" s="42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D139" s="33"/>
      <c r="CE139" s="38" t="str">
        <f>Notes!W140</f>
        <v xml:space="preserve">               </v>
      </c>
      <c r="CF139" s="4"/>
      <c r="CG139" s="44"/>
      <c r="CH139" s="42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</row>
    <row r="140" spans="1:100" x14ac:dyDescent="0.35">
      <c r="A140" s="12">
        <v>133</v>
      </c>
      <c r="B140" s="33"/>
      <c r="C140" s="38" t="str">
        <f>Notes!W141</f>
        <v xml:space="preserve">               </v>
      </c>
      <c r="D140" s="4"/>
      <c r="E140" s="44"/>
      <c r="F140" s="42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V140" s="33"/>
      <c r="W140" s="38" t="str">
        <f>Notes!W141</f>
        <v xml:space="preserve">               </v>
      </c>
      <c r="X140" s="4"/>
      <c r="Y140" s="44"/>
      <c r="Z140" s="42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P140" s="33"/>
      <c r="AQ140" s="38" t="str">
        <f>Notes!U141</f>
        <v xml:space="preserve">               </v>
      </c>
      <c r="AR140" s="4"/>
      <c r="AS140" s="44"/>
      <c r="AT140" s="42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J140" s="33"/>
      <c r="BK140" s="38" t="str">
        <f>Notes!W141</f>
        <v xml:space="preserve">               </v>
      </c>
      <c r="BL140" s="4"/>
      <c r="BM140" s="44"/>
      <c r="BN140" s="42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D140" s="33"/>
      <c r="CE140" s="38" t="str">
        <f>Notes!W141</f>
        <v xml:space="preserve">               </v>
      </c>
      <c r="CF140" s="4"/>
      <c r="CG140" s="44"/>
      <c r="CH140" s="42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</row>
    <row r="141" spans="1:100" x14ac:dyDescent="0.35">
      <c r="A141" s="12">
        <v>134</v>
      </c>
      <c r="B141" s="33"/>
      <c r="C141" s="38" t="str">
        <f>Notes!W142</f>
        <v xml:space="preserve">               </v>
      </c>
      <c r="D141" s="4"/>
      <c r="E141" s="44"/>
      <c r="F141" s="42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V141" s="33"/>
      <c r="W141" s="38" t="str">
        <f>Notes!W142</f>
        <v xml:space="preserve">               </v>
      </c>
      <c r="X141" s="4"/>
      <c r="Y141" s="44"/>
      <c r="Z141" s="42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P141" s="33"/>
      <c r="AQ141" s="38" t="str">
        <f>Notes!U142</f>
        <v xml:space="preserve">               </v>
      </c>
      <c r="AR141" s="4"/>
      <c r="AS141" s="44"/>
      <c r="AT141" s="42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J141" s="33"/>
      <c r="BK141" s="38" t="str">
        <f>Notes!W142</f>
        <v xml:space="preserve">               </v>
      </c>
      <c r="BL141" s="4"/>
      <c r="BM141" s="44"/>
      <c r="BN141" s="42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D141" s="33"/>
      <c r="CE141" s="38" t="str">
        <f>Notes!W142</f>
        <v xml:space="preserve">               </v>
      </c>
      <c r="CF141" s="4"/>
      <c r="CG141" s="44"/>
      <c r="CH141" s="42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</row>
    <row r="142" spans="1:100" x14ac:dyDescent="0.35">
      <c r="A142" s="12">
        <v>135</v>
      </c>
      <c r="B142" s="33"/>
      <c r="C142" s="38" t="str">
        <f>Notes!W143</f>
        <v xml:space="preserve">               </v>
      </c>
      <c r="D142" s="4"/>
      <c r="E142" s="44"/>
      <c r="F142" s="42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V142" s="33"/>
      <c r="W142" s="38" t="str">
        <f>Notes!W143</f>
        <v xml:space="preserve">               </v>
      </c>
      <c r="X142" s="4"/>
      <c r="Y142" s="44"/>
      <c r="Z142" s="42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P142" s="33"/>
      <c r="AQ142" s="38" t="str">
        <f>Notes!U143</f>
        <v xml:space="preserve">               </v>
      </c>
      <c r="AR142" s="4"/>
      <c r="AS142" s="44"/>
      <c r="AT142" s="42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J142" s="33"/>
      <c r="BK142" s="38" t="str">
        <f>Notes!W143</f>
        <v xml:space="preserve">               </v>
      </c>
      <c r="BL142" s="4"/>
      <c r="BM142" s="44"/>
      <c r="BN142" s="42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D142" s="33"/>
      <c r="CE142" s="38" t="str">
        <f>Notes!W143</f>
        <v xml:space="preserve">               </v>
      </c>
      <c r="CF142" s="4"/>
      <c r="CG142" s="44"/>
      <c r="CH142" s="42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</row>
    <row r="143" spans="1:100" x14ac:dyDescent="0.35">
      <c r="A143" s="12">
        <v>136</v>
      </c>
      <c r="B143" s="33"/>
      <c r="C143" s="38" t="str">
        <f>Notes!W144</f>
        <v xml:space="preserve">               </v>
      </c>
      <c r="D143" s="4"/>
      <c r="E143" s="44"/>
      <c r="F143" s="42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V143" s="33"/>
      <c r="W143" s="38" t="str">
        <f>Notes!W144</f>
        <v xml:space="preserve">               </v>
      </c>
      <c r="X143" s="4"/>
      <c r="Y143" s="44"/>
      <c r="Z143" s="42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P143" s="33"/>
      <c r="AQ143" s="38" t="str">
        <f>Notes!U144</f>
        <v xml:space="preserve">               </v>
      </c>
      <c r="AR143" s="4"/>
      <c r="AS143" s="44"/>
      <c r="AT143" s="42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J143" s="33"/>
      <c r="BK143" s="38" t="str">
        <f>Notes!W144</f>
        <v xml:space="preserve">               </v>
      </c>
      <c r="BL143" s="4"/>
      <c r="BM143" s="44"/>
      <c r="BN143" s="42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D143" s="33"/>
      <c r="CE143" s="38" t="str">
        <f>Notes!W144</f>
        <v xml:space="preserve">               </v>
      </c>
      <c r="CF143" s="4"/>
      <c r="CG143" s="44"/>
      <c r="CH143" s="42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</row>
    <row r="144" spans="1:100" x14ac:dyDescent="0.35">
      <c r="A144" s="12">
        <v>137</v>
      </c>
      <c r="B144" s="33"/>
      <c r="C144" s="38" t="str">
        <f>Notes!W145</f>
        <v xml:space="preserve">               </v>
      </c>
      <c r="D144" s="4"/>
      <c r="E144" s="44"/>
      <c r="F144" s="42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V144" s="33"/>
      <c r="W144" s="38" t="str">
        <f>Notes!W145</f>
        <v xml:space="preserve">               </v>
      </c>
      <c r="X144" s="4"/>
      <c r="Y144" s="44"/>
      <c r="Z144" s="42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P144" s="33"/>
      <c r="AQ144" s="38" t="str">
        <f>Notes!U145</f>
        <v xml:space="preserve">               </v>
      </c>
      <c r="AR144" s="4"/>
      <c r="AS144" s="44"/>
      <c r="AT144" s="42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J144" s="33"/>
      <c r="BK144" s="38" t="str">
        <f>Notes!W145</f>
        <v xml:space="preserve">               </v>
      </c>
      <c r="BL144" s="4"/>
      <c r="BM144" s="44"/>
      <c r="BN144" s="42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D144" s="33"/>
      <c r="CE144" s="38" t="str">
        <f>Notes!W145</f>
        <v xml:space="preserve">               </v>
      </c>
      <c r="CF144" s="4"/>
      <c r="CG144" s="44"/>
      <c r="CH144" s="42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</row>
    <row r="145" spans="1:100" x14ac:dyDescent="0.35">
      <c r="A145" s="12">
        <v>138</v>
      </c>
      <c r="B145" s="33"/>
      <c r="C145" s="38" t="str">
        <f>Notes!W146</f>
        <v xml:space="preserve">               </v>
      </c>
      <c r="D145" s="4"/>
      <c r="E145" s="44"/>
      <c r="F145" s="42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V145" s="33"/>
      <c r="W145" s="38" t="str">
        <f>Notes!W146</f>
        <v xml:space="preserve">               </v>
      </c>
      <c r="X145" s="4"/>
      <c r="Y145" s="44"/>
      <c r="Z145" s="42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P145" s="33"/>
      <c r="AQ145" s="38" t="str">
        <f>Notes!U146</f>
        <v xml:space="preserve">               </v>
      </c>
      <c r="AR145" s="4"/>
      <c r="AS145" s="44"/>
      <c r="AT145" s="42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J145" s="33"/>
      <c r="BK145" s="38" t="str">
        <f>Notes!W146</f>
        <v xml:space="preserve">               </v>
      </c>
      <c r="BL145" s="4"/>
      <c r="BM145" s="44"/>
      <c r="BN145" s="42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D145" s="33"/>
      <c r="CE145" s="38" t="str">
        <f>Notes!W146</f>
        <v xml:space="preserve">               </v>
      </c>
      <c r="CF145" s="4"/>
      <c r="CG145" s="44"/>
      <c r="CH145" s="42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</row>
    <row r="146" spans="1:100" x14ac:dyDescent="0.35">
      <c r="A146" s="12">
        <v>139</v>
      </c>
      <c r="B146" s="33"/>
      <c r="C146" s="38" t="str">
        <f>Notes!W147</f>
        <v xml:space="preserve">               </v>
      </c>
      <c r="D146" s="4"/>
      <c r="E146" s="44"/>
      <c r="F146" s="42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V146" s="33"/>
      <c r="W146" s="38" t="str">
        <f>Notes!W147</f>
        <v xml:space="preserve">               </v>
      </c>
      <c r="X146" s="4"/>
      <c r="Y146" s="44"/>
      <c r="Z146" s="42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P146" s="33"/>
      <c r="AQ146" s="38" t="str">
        <f>Notes!U147</f>
        <v xml:space="preserve">               </v>
      </c>
      <c r="AR146" s="4"/>
      <c r="AS146" s="44"/>
      <c r="AT146" s="42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J146" s="33"/>
      <c r="BK146" s="38" t="str">
        <f>Notes!W147</f>
        <v xml:space="preserve">               </v>
      </c>
      <c r="BL146" s="4"/>
      <c r="BM146" s="44"/>
      <c r="BN146" s="42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D146" s="33"/>
      <c r="CE146" s="38" t="str">
        <f>Notes!W147</f>
        <v xml:space="preserve">               </v>
      </c>
      <c r="CF146" s="4"/>
      <c r="CG146" s="44"/>
      <c r="CH146" s="42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</row>
    <row r="147" spans="1:100" x14ac:dyDescent="0.35">
      <c r="A147" s="12">
        <v>140</v>
      </c>
      <c r="B147" s="33"/>
      <c r="C147" s="38" t="str">
        <f>Notes!W148</f>
        <v xml:space="preserve">               </v>
      </c>
      <c r="D147" s="4"/>
      <c r="E147" s="44"/>
      <c r="F147" s="42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V147" s="33"/>
      <c r="W147" s="38" t="str">
        <f>Notes!W148</f>
        <v xml:space="preserve">               </v>
      </c>
      <c r="X147" s="4"/>
      <c r="Y147" s="44"/>
      <c r="Z147" s="42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P147" s="33"/>
      <c r="AQ147" s="38" t="str">
        <f>Notes!U148</f>
        <v xml:space="preserve">               </v>
      </c>
      <c r="AR147" s="4"/>
      <c r="AS147" s="44"/>
      <c r="AT147" s="42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J147" s="33"/>
      <c r="BK147" s="38" t="str">
        <f>Notes!W148</f>
        <v xml:space="preserve">               </v>
      </c>
      <c r="BL147" s="4"/>
      <c r="BM147" s="44"/>
      <c r="BN147" s="42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D147" s="33"/>
      <c r="CE147" s="38" t="str">
        <f>Notes!W148</f>
        <v xml:space="preserve">               </v>
      </c>
      <c r="CF147" s="4"/>
      <c r="CG147" s="44"/>
      <c r="CH147" s="42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</row>
    <row r="148" spans="1:100" x14ac:dyDescent="0.35">
      <c r="A148" s="12">
        <v>141</v>
      </c>
      <c r="B148" s="33"/>
      <c r="C148" s="38" t="str">
        <f>Notes!W149</f>
        <v xml:space="preserve">               </v>
      </c>
      <c r="D148" s="4"/>
      <c r="E148" s="44"/>
      <c r="F148" s="42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V148" s="33"/>
      <c r="W148" s="38" t="str">
        <f>Notes!W149</f>
        <v xml:space="preserve">               </v>
      </c>
      <c r="X148" s="4"/>
      <c r="Y148" s="44"/>
      <c r="Z148" s="42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P148" s="33"/>
      <c r="AQ148" s="38" t="str">
        <f>Notes!U149</f>
        <v xml:space="preserve">               </v>
      </c>
      <c r="AR148" s="4"/>
      <c r="AS148" s="44"/>
      <c r="AT148" s="42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J148" s="33"/>
      <c r="BK148" s="38" t="str">
        <f>Notes!W149</f>
        <v xml:space="preserve">               </v>
      </c>
      <c r="BL148" s="4"/>
      <c r="BM148" s="44"/>
      <c r="BN148" s="42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D148" s="33"/>
      <c r="CE148" s="38" t="str">
        <f>Notes!W149</f>
        <v xml:space="preserve">               </v>
      </c>
      <c r="CF148" s="4"/>
      <c r="CG148" s="44"/>
      <c r="CH148" s="42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</row>
    <row r="149" spans="1:100" x14ac:dyDescent="0.35">
      <c r="A149" s="12">
        <v>142</v>
      </c>
      <c r="B149" s="33"/>
      <c r="C149" s="38" t="str">
        <f>Notes!W150</f>
        <v xml:space="preserve">               </v>
      </c>
      <c r="D149" s="4"/>
      <c r="E149" s="44"/>
      <c r="F149" s="42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V149" s="33"/>
      <c r="W149" s="38" t="str">
        <f>Notes!W150</f>
        <v xml:space="preserve">               </v>
      </c>
      <c r="X149" s="4"/>
      <c r="Y149" s="44"/>
      <c r="Z149" s="42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P149" s="33"/>
      <c r="AQ149" s="38" t="str">
        <f>Notes!U150</f>
        <v xml:space="preserve">               </v>
      </c>
      <c r="AR149" s="4"/>
      <c r="AS149" s="44"/>
      <c r="AT149" s="42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J149" s="33"/>
      <c r="BK149" s="38" t="str">
        <f>Notes!W150</f>
        <v xml:space="preserve">               </v>
      </c>
      <c r="BL149" s="4"/>
      <c r="BM149" s="44"/>
      <c r="BN149" s="42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D149" s="33"/>
      <c r="CE149" s="38" t="str">
        <f>Notes!W150</f>
        <v xml:space="preserve">               </v>
      </c>
      <c r="CF149" s="4"/>
      <c r="CG149" s="44"/>
      <c r="CH149" s="42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</row>
    <row r="150" spans="1:100" x14ac:dyDescent="0.35">
      <c r="A150" s="12">
        <v>143</v>
      </c>
      <c r="B150" s="33"/>
      <c r="C150" s="38" t="str">
        <f>Notes!W151</f>
        <v xml:space="preserve">               </v>
      </c>
      <c r="D150" s="4"/>
      <c r="E150" s="44"/>
      <c r="F150" s="42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V150" s="33"/>
      <c r="W150" s="38" t="str">
        <f>Notes!W151</f>
        <v xml:space="preserve">               </v>
      </c>
      <c r="X150" s="4"/>
      <c r="Y150" s="44"/>
      <c r="Z150" s="42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P150" s="33"/>
      <c r="AQ150" s="38" t="str">
        <f>Notes!U151</f>
        <v xml:space="preserve">               </v>
      </c>
      <c r="AR150" s="4"/>
      <c r="AS150" s="44"/>
      <c r="AT150" s="42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J150" s="33"/>
      <c r="BK150" s="38" t="str">
        <f>Notes!W151</f>
        <v xml:space="preserve">               </v>
      </c>
      <c r="BL150" s="4"/>
      <c r="BM150" s="44"/>
      <c r="BN150" s="42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D150" s="33"/>
      <c r="CE150" s="38" t="str">
        <f>Notes!W151</f>
        <v xml:space="preserve">               </v>
      </c>
      <c r="CF150" s="4"/>
      <c r="CG150" s="44"/>
      <c r="CH150" s="42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</row>
    <row r="151" spans="1:100" x14ac:dyDescent="0.35">
      <c r="A151" s="12">
        <v>144</v>
      </c>
      <c r="B151" s="33"/>
      <c r="C151" s="38" t="str">
        <f>Notes!W152</f>
        <v xml:space="preserve">               </v>
      </c>
      <c r="D151" s="4"/>
      <c r="E151" s="44"/>
      <c r="F151" s="42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V151" s="33"/>
      <c r="W151" s="38" t="str">
        <f>Notes!W152</f>
        <v xml:space="preserve">               </v>
      </c>
      <c r="X151" s="4"/>
      <c r="Y151" s="44"/>
      <c r="Z151" s="42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P151" s="33"/>
      <c r="AQ151" s="38" t="str">
        <f>Notes!U152</f>
        <v xml:space="preserve">               </v>
      </c>
      <c r="AR151" s="4"/>
      <c r="AS151" s="44"/>
      <c r="AT151" s="42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J151" s="33"/>
      <c r="BK151" s="38" t="str">
        <f>Notes!W152</f>
        <v xml:space="preserve">               </v>
      </c>
      <c r="BL151" s="4"/>
      <c r="BM151" s="44"/>
      <c r="BN151" s="42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D151" s="33"/>
      <c r="CE151" s="38" t="str">
        <f>Notes!W152</f>
        <v xml:space="preserve">               </v>
      </c>
      <c r="CF151" s="4"/>
      <c r="CG151" s="44"/>
      <c r="CH151" s="42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</row>
    <row r="152" spans="1:100" x14ac:dyDescent="0.35">
      <c r="A152" s="12">
        <v>145</v>
      </c>
      <c r="B152" s="33"/>
      <c r="C152" s="38" t="str">
        <f>Notes!W153</f>
        <v xml:space="preserve">               </v>
      </c>
      <c r="D152" s="4"/>
      <c r="E152" s="44"/>
      <c r="F152" s="42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V152" s="33"/>
      <c r="W152" s="38" t="str">
        <f>Notes!W153</f>
        <v xml:space="preserve">               </v>
      </c>
      <c r="X152" s="4"/>
      <c r="Y152" s="44"/>
      <c r="Z152" s="42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P152" s="33"/>
      <c r="AQ152" s="38" t="str">
        <f>Notes!U153</f>
        <v xml:space="preserve">               </v>
      </c>
      <c r="AR152" s="4"/>
      <c r="AS152" s="44"/>
      <c r="AT152" s="42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J152" s="33"/>
      <c r="BK152" s="38" t="str">
        <f>Notes!W153</f>
        <v xml:space="preserve">               </v>
      </c>
      <c r="BL152" s="4"/>
      <c r="BM152" s="44"/>
      <c r="BN152" s="42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D152" s="33"/>
      <c r="CE152" s="38" t="str">
        <f>Notes!W153</f>
        <v xml:space="preserve">               </v>
      </c>
      <c r="CF152" s="4"/>
      <c r="CG152" s="44"/>
      <c r="CH152" s="42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</row>
    <row r="153" spans="1:100" x14ac:dyDescent="0.35">
      <c r="A153" s="12">
        <v>146</v>
      </c>
      <c r="B153" s="33"/>
      <c r="C153" s="38" t="str">
        <f>Notes!W154</f>
        <v xml:space="preserve">               </v>
      </c>
      <c r="D153" s="4"/>
      <c r="E153" s="44"/>
      <c r="F153" s="42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V153" s="33"/>
      <c r="W153" s="38" t="str">
        <f>Notes!W154</f>
        <v xml:space="preserve">               </v>
      </c>
      <c r="X153" s="4"/>
      <c r="Y153" s="44"/>
      <c r="Z153" s="42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P153" s="33"/>
      <c r="AQ153" s="38" t="str">
        <f>Notes!U154</f>
        <v xml:space="preserve">               </v>
      </c>
      <c r="AR153" s="4"/>
      <c r="AS153" s="44"/>
      <c r="AT153" s="42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J153" s="33"/>
      <c r="BK153" s="38" t="str">
        <f>Notes!W154</f>
        <v xml:space="preserve">               </v>
      </c>
      <c r="BL153" s="4"/>
      <c r="BM153" s="44"/>
      <c r="BN153" s="42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D153" s="33"/>
      <c r="CE153" s="38" t="str">
        <f>Notes!W154</f>
        <v xml:space="preserve">               </v>
      </c>
      <c r="CF153" s="4"/>
      <c r="CG153" s="44"/>
      <c r="CH153" s="42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</row>
    <row r="154" spans="1:100" x14ac:dyDescent="0.35">
      <c r="A154" s="12">
        <v>147</v>
      </c>
      <c r="B154" s="33"/>
      <c r="C154" s="38" t="str">
        <f>Notes!W155</f>
        <v xml:space="preserve">               </v>
      </c>
      <c r="D154" s="4"/>
      <c r="E154" s="44"/>
      <c r="F154" s="42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V154" s="33"/>
      <c r="W154" s="38" t="str">
        <f>Notes!W155</f>
        <v xml:space="preserve">               </v>
      </c>
      <c r="X154" s="4"/>
      <c r="Y154" s="44"/>
      <c r="Z154" s="42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P154" s="33"/>
      <c r="AQ154" s="38" t="str">
        <f>Notes!U155</f>
        <v xml:space="preserve">               </v>
      </c>
      <c r="AR154" s="4"/>
      <c r="AS154" s="44"/>
      <c r="AT154" s="42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J154" s="33"/>
      <c r="BK154" s="38" t="str">
        <f>Notes!W155</f>
        <v xml:space="preserve">               </v>
      </c>
      <c r="BL154" s="4"/>
      <c r="BM154" s="44"/>
      <c r="BN154" s="42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D154" s="33"/>
      <c r="CE154" s="38" t="str">
        <f>Notes!W155</f>
        <v xml:space="preserve">               </v>
      </c>
      <c r="CF154" s="4"/>
      <c r="CG154" s="44"/>
      <c r="CH154" s="42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</row>
    <row r="155" spans="1:100" x14ac:dyDescent="0.35">
      <c r="A155" s="12">
        <v>148</v>
      </c>
      <c r="B155" s="33"/>
      <c r="C155" s="38" t="str">
        <f>Notes!W156</f>
        <v xml:space="preserve">               </v>
      </c>
      <c r="D155" s="4"/>
      <c r="E155" s="44"/>
      <c r="F155" s="42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V155" s="33"/>
      <c r="W155" s="38" t="str">
        <f>Notes!W156</f>
        <v xml:space="preserve">               </v>
      </c>
      <c r="X155" s="4"/>
      <c r="Y155" s="44"/>
      <c r="Z155" s="42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P155" s="33"/>
      <c r="AQ155" s="38" t="str">
        <f>Notes!U156</f>
        <v xml:space="preserve">               </v>
      </c>
      <c r="AR155" s="4"/>
      <c r="AS155" s="44"/>
      <c r="AT155" s="42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J155" s="33"/>
      <c r="BK155" s="38" t="str">
        <f>Notes!W156</f>
        <v xml:space="preserve">               </v>
      </c>
      <c r="BL155" s="4"/>
      <c r="BM155" s="44"/>
      <c r="BN155" s="42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D155" s="33"/>
      <c r="CE155" s="38" t="str">
        <f>Notes!W156</f>
        <v xml:space="preserve">               </v>
      </c>
      <c r="CF155" s="4"/>
      <c r="CG155" s="44"/>
      <c r="CH155" s="42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</row>
    <row r="156" spans="1:100" x14ac:dyDescent="0.35">
      <c r="A156" s="12">
        <v>149</v>
      </c>
      <c r="B156" s="33"/>
      <c r="C156" s="38" t="str">
        <f>Notes!W157</f>
        <v xml:space="preserve">               </v>
      </c>
      <c r="D156" s="4"/>
      <c r="E156" s="44"/>
      <c r="F156" s="42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V156" s="33"/>
      <c r="W156" s="38" t="str">
        <f>Notes!W157</f>
        <v xml:space="preserve">               </v>
      </c>
      <c r="X156" s="4"/>
      <c r="Y156" s="44"/>
      <c r="Z156" s="42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P156" s="33"/>
      <c r="AQ156" s="38" t="str">
        <f>Notes!U157</f>
        <v xml:space="preserve">               </v>
      </c>
      <c r="AR156" s="4"/>
      <c r="AS156" s="44"/>
      <c r="AT156" s="42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J156" s="33"/>
      <c r="BK156" s="38" t="str">
        <f>Notes!W157</f>
        <v xml:space="preserve">               </v>
      </c>
      <c r="BL156" s="4"/>
      <c r="BM156" s="44"/>
      <c r="BN156" s="42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D156" s="33"/>
      <c r="CE156" s="38" t="str">
        <f>Notes!W157</f>
        <v xml:space="preserve">               </v>
      </c>
      <c r="CF156" s="4"/>
      <c r="CG156" s="44"/>
      <c r="CH156" s="42"/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</row>
    <row r="157" spans="1:100" x14ac:dyDescent="0.35">
      <c r="A157" s="12">
        <v>150</v>
      </c>
      <c r="B157" s="33"/>
      <c r="C157" s="38" t="str">
        <f>Notes!W158</f>
        <v xml:space="preserve">               </v>
      </c>
      <c r="D157" s="4"/>
      <c r="E157" s="45"/>
      <c r="F157" s="42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V157" s="33"/>
      <c r="W157" s="38" t="str">
        <f>Notes!W158</f>
        <v xml:space="preserve">               </v>
      </c>
      <c r="X157" s="4"/>
      <c r="Y157" s="44"/>
      <c r="Z157" s="42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P157" s="33"/>
      <c r="AQ157" s="38" t="str">
        <f>Notes!U158</f>
        <v xml:space="preserve">               </v>
      </c>
      <c r="AR157" s="4"/>
      <c r="AS157" s="44"/>
      <c r="AT157" s="42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J157" s="33"/>
      <c r="BK157" s="38" t="str">
        <f>Notes!W158</f>
        <v xml:space="preserve">               </v>
      </c>
      <c r="BL157" s="4"/>
      <c r="BM157" s="44"/>
      <c r="BN157" s="42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D157" s="33"/>
      <c r="CE157" s="38" t="str">
        <f>Notes!W158</f>
        <v xml:space="preserve">               </v>
      </c>
      <c r="CF157" s="4"/>
      <c r="CG157" s="44"/>
      <c r="CH157" s="42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</row>
    <row r="158" spans="1:100" x14ac:dyDescent="0.35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</row>
  </sheetData>
  <sheetProtection sheet="1" objects="1" scenarios="1"/>
  <conditionalFormatting sqref="E8:T157">
    <cfRule type="cellIs" dxfId="4" priority="15" operator="equal">
      <formula>"Eps"</formula>
    </cfRule>
  </conditionalFormatting>
  <conditionalFormatting sqref="Y8:AN157">
    <cfRule type="cellIs" dxfId="3" priority="5" operator="equal">
      <formula>"Eps"</formula>
    </cfRule>
  </conditionalFormatting>
  <conditionalFormatting sqref="AS8:BH157">
    <cfRule type="cellIs" dxfId="2" priority="3" operator="equal">
      <formula>"Eps"</formula>
    </cfRule>
  </conditionalFormatting>
  <conditionalFormatting sqref="BM8:CB157">
    <cfRule type="cellIs" dxfId="1" priority="2" operator="equal">
      <formula>"Eps"</formula>
    </cfRule>
  </conditionalFormatting>
  <conditionalFormatting sqref="CG8:CV157">
    <cfRule type="cellIs" dxfId="0" priority="1" operator="equal">
      <formula>"Eps"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3056-1B8D-4E0F-AF47-A8AD3FA6EFF5}">
  <sheetPr>
    <tabColor theme="9" tint="-0.499984740745262"/>
  </sheetPr>
  <dimension ref="A1:I158"/>
  <sheetViews>
    <sheetView zoomScale="85" zoomScaleNormal="85" workbookViewId="0">
      <pane ySplit="6" topLeftCell="A103" activePane="bottomLeft" state="frozen"/>
      <selection activeCell="K75" sqref="K75"/>
      <selection pane="bottomLeft" activeCell="C119" sqref="C119:C120"/>
    </sheetView>
  </sheetViews>
  <sheetFormatPr defaultColWidth="0" defaultRowHeight="14.5" zeroHeight="1" x14ac:dyDescent="0.35"/>
  <cols>
    <col min="1" max="2" width="2.453125" customWidth="1"/>
    <col min="3" max="8" width="15.54296875" customWidth="1"/>
    <col min="9" max="9" width="2.453125" customWidth="1"/>
    <col min="10" max="16384" width="9.08984375" hidden="1"/>
  </cols>
  <sheetData>
    <row r="1" spans="1:9" ht="18.5" x14ac:dyDescent="0.45">
      <c r="A1" s="9" t="s">
        <v>283</v>
      </c>
      <c r="B1" s="10"/>
      <c r="C1" s="10"/>
      <c r="D1" s="10"/>
      <c r="E1" s="10"/>
      <c r="F1" s="10"/>
      <c r="G1" s="10"/>
      <c r="H1" s="10"/>
      <c r="I1" s="10"/>
    </row>
    <row r="2" spans="1:9" x14ac:dyDescent="0.35"/>
    <row r="3" spans="1:9" x14ac:dyDescent="0.35"/>
    <row r="4" spans="1:9" x14ac:dyDescent="0.35">
      <c r="B4" s="13"/>
      <c r="C4" s="82" t="s">
        <v>280</v>
      </c>
      <c r="D4" s="82"/>
      <c r="E4" s="88" t="s">
        <v>281</v>
      </c>
      <c r="F4" s="82"/>
      <c r="G4" s="88" t="s">
        <v>282</v>
      </c>
      <c r="H4" s="13"/>
    </row>
    <row r="5" spans="1:9" x14ac:dyDescent="0.35">
      <c r="B5" s="83"/>
      <c r="C5" s="36" t="s">
        <v>284</v>
      </c>
      <c r="D5" s="36" t="s">
        <v>285</v>
      </c>
      <c r="E5" s="81" t="s">
        <v>284</v>
      </c>
      <c r="F5" s="36" t="s">
        <v>285</v>
      </c>
      <c r="G5" s="81" t="s">
        <v>284</v>
      </c>
      <c r="H5" s="36" t="s">
        <v>285</v>
      </c>
    </row>
    <row r="6" spans="1:9" x14ac:dyDescent="0.35">
      <c r="B6" s="33"/>
      <c r="C6" s="84" t="s">
        <v>12</v>
      </c>
      <c r="D6" s="84" t="s">
        <v>15</v>
      </c>
      <c r="E6" s="85" t="s">
        <v>13</v>
      </c>
      <c r="F6" s="84" t="s">
        <v>14</v>
      </c>
      <c r="G6" s="85" t="s">
        <v>16</v>
      </c>
      <c r="H6" s="84" t="s">
        <v>17</v>
      </c>
    </row>
    <row r="7" spans="1:9" x14ac:dyDescent="0.35">
      <c r="B7" s="33"/>
      <c r="C7" s="5" t="s">
        <v>309</v>
      </c>
      <c r="D7" s="5" t="s">
        <v>309</v>
      </c>
      <c r="E7" s="86" t="s">
        <v>391</v>
      </c>
      <c r="F7" s="5" t="s">
        <v>391</v>
      </c>
      <c r="G7" s="86" t="s">
        <v>411</v>
      </c>
      <c r="H7" s="5" t="s">
        <v>411</v>
      </c>
    </row>
    <row r="8" spans="1:9" x14ac:dyDescent="0.35">
      <c r="B8" s="33"/>
      <c r="C8" s="5" t="s">
        <v>695</v>
      </c>
      <c r="D8" s="5" t="s">
        <v>695</v>
      </c>
      <c r="E8" s="86" t="s">
        <v>534</v>
      </c>
      <c r="F8" s="5" t="s">
        <v>534</v>
      </c>
      <c r="G8" s="86" t="s">
        <v>645</v>
      </c>
      <c r="H8" s="5" t="s">
        <v>645</v>
      </c>
    </row>
    <row r="9" spans="1:9" x14ac:dyDescent="0.35">
      <c r="B9" s="33"/>
      <c r="C9" s="5" t="s">
        <v>696</v>
      </c>
      <c r="D9" s="5" t="s">
        <v>705</v>
      </c>
      <c r="E9" s="86" t="s">
        <v>536</v>
      </c>
      <c r="F9" s="5" t="s">
        <v>536</v>
      </c>
      <c r="G9" s="86" t="s">
        <v>646</v>
      </c>
      <c r="H9" s="5" t="s">
        <v>646</v>
      </c>
    </row>
    <row r="10" spans="1:9" x14ac:dyDescent="0.35">
      <c r="B10" s="33"/>
      <c r="C10" s="5" t="s">
        <v>466</v>
      </c>
      <c r="D10" s="5" t="s">
        <v>706</v>
      </c>
      <c r="E10" s="86" t="s">
        <v>537</v>
      </c>
      <c r="F10" s="5" t="s">
        <v>537</v>
      </c>
      <c r="G10" s="86" t="s">
        <v>647</v>
      </c>
      <c r="H10" s="5" t="s">
        <v>647</v>
      </c>
    </row>
    <row r="11" spans="1:9" x14ac:dyDescent="0.35">
      <c r="B11" s="33"/>
      <c r="C11" s="5" t="s">
        <v>314</v>
      </c>
      <c r="D11" s="5" t="s">
        <v>707</v>
      </c>
      <c r="E11" s="86" t="s">
        <v>538</v>
      </c>
      <c r="F11" s="5" t="s">
        <v>538</v>
      </c>
      <c r="G11" s="86" t="s">
        <v>648</v>
      </c>
      <c r="H11" s="5" t="s">
        <v>648</v>
      </c>
    </row>
    <row r="12" spans="1:9" x14ac:dyDescent="0.35">
      <c r="B12" s="33"/>
      <c r="C12" s="5" t="s">
        <v>468</v>
      </c>
      <c r="D12" s="5" t="s">
        <v>708</v>
      </c>
      <c r="E12" s="86" t="s">
        <v>539</v>
      </c>
      <c r="F12" s="5" t="s">
        <v>539</v>
      </c>
      <c r="G12" s="86" t="s">
        <v>649</v>
      </c>
      <c r="H12" s="5" t="s">
        <v>649</v>
      </c>
    </row>
    <row r="13" spans="1:9" x14ac:dyDescent="0.35">
      <c r="B13" s="33"/>
      <c r="C13" s="5" t="s">
        <v>697</v>
      </c>
      <c r="D13" s="5" t="s">
        <v>709</v>
      </c>
      <c r="E13" s="86" t="s">
        <v>396</v>
      </c>
      <c r="F13" s="5" t="s">
        <v>400</v>
      </c>
      <c r="G13" s="86" t="s">
        <v>412</v>
      </c>
      <c r="H13" s="5" t="s">
        <v>412</v>
      </c>
    </row>
    <row r="14" spans="1:9" x14ac:dyDescent="0.35">
      <c r="B14" s="33"/>
      <c r="C14" s="5" t="s">
        <v>316</v>
      </c>
      <c r="D14" s="5" t="s">
        <v>710</v>
      </c>
      <c r="E14" s="86" t="s">
        <v>397</v>
      </c>
      <c r="F14" s="5" t="s">
        <v>406</v>
      </c>
      <c r="G14" s="86" t="s">
        <v>611</v>
      </c>
      <c r="H14" s="5" t="s">
        <v>413</v>
      </c>
    </row>
    <row r="15" spans="1:9" x14ac:dyDescent="0.35">
      <c r="B15" s="33"/>
      <c r="C15" s="5" t="s">
        <v>475</v>
      </c>
      <c r="D15" s="5" t="s">
        <v>711</v>
      </c>
      <c r="E15" s="86" t="s">
        <v>398</v>
      </c>
      <c r="F15" s="5"/>
      <c r="G15" s="86" t="s">
        <v>612</v>
      </c>
      <c r="H15" s="5"/>
    </row>
    <row r="16" spans="1:9" x14ac:dyDescent="0.35">
      <c r="B16" s="33"/>
      <c r="C16" s="5" t="s">
        <v>477</v>
      </c>
      <c r="D16" s="5" t="s">
        <v>712</v>
      </c>
      <c r="E16" s="86" t="s">
        <v>399</v>
      </c>
      <c r="F16" s="5"/>
      <c r="G16" s="86" t="s">
        <v>613</v>
      </c>
      <c r="H16" s="5"/>
    </row>
    <row r="17" spans="2:8" x14ac:dyDescent="0.35">
      <c r="B17" s="33"/>
      <c r="C17" s="5" t="s">
        <v>473</v>
      </c>
      <c r="D17" s="5" t="s">
        <v>713</v>
      </c>
      <c r="E17" s="86" t="s">
        <v>400</v>
      </c>
      <c r="F17" s="5"/>
      <c r="G17" s="86" t="s">
        <v>614</v>
      </c>
      <c r="H17" s="5"/>
    </row>
    <row r="18" spans="2:8" x14ac:dyDescent="0.35">
      <c r="B18" s="33"/>
      <c r="C18" s="5" t="s">
        <v>319</v>
      </c>
      <c r="D18" s="5" t="s">
        <v>715</v>
      </c>
      <c r="E18" s="86" t="s">
        <v>401</v>
      </c>
      <c r="F18" s="5"/>
      <c r="G18" s="86" t="s">
        <v>615</v>
      </c>
      <c r="H18" s="5"/>
    </row>
    <row r="19" spans="2:8" x14ac:dyDescent="0.35">
      <c r="B19" s="33"/>
      <c r="C19" s="5" t="s">
        <v>698</v>
      </c>
      <c r="D19" s="5" t="s">
        <v>716</v>
      </c>
      <c r="E19" s="86" t="s">
        <v>402</v>
      </c>
      <c r="F19" s="5"/>
      <c r="G19" s="86" t="s">
        <v>413</v>
      </c>
      <c r="H19" s="5"/>
    </row>
    <row r="20" spans="2:8" x14ac:dyDescent="0.35">
      <c r="B20" s="33"/>
      <c r="C20" s="5" t="s">
        <v>699</v>
      </c>
      <c r="D20" s="5" t="s">
        <v>717</v>
      </c>
      <c r="E20" s="86" t="s">
        <v>403</v>
      </c>
      <c r="F20" s="5"/>
      <c r="G20" s="86" t="s">
        <v>621</v>
      </c>
      <c r="H20" s="5"/>
    </row>
    <row r="21" spans="2:8" x14ac:dyDescent="0.35">
      <c r="B21" s="33"/>
      <c r="C21" s="5" t="s">
        <v>320</v>
      </c>
      <c r="D21" s="5" t="s">
        <v>718</v>
      </c>
      <c r="E21" s="86" t="s">
        <v>404</v>
      </c>
      <c r="F21" s="5"/>
      <c r="G21" s="86" t="s">
        <v>622</v>
      </c>
      <c r="H21" s="5"/>
    </row>
    <row r="22" spans="2:8" x14ac:dyDescent="0.35">
      <c r="B22" s="33"/>
      <c r="C22" s="5" t="s">
        <v>700</v>
      </c>
      <c r="D22" s="5" t="s">
        <v>720</v>
      </c>
      <c r="E22" s="86" t="s">
        <v>7</v>
      </c>
      <c r="F22" s="5"/>
      <c r="G22" s="86" t="s">
        <v>623</v>
      </c>
      <c r="H22" s="5"/>
    </row>
    <row r="23" spans="2:8" x14ac:dyDescent="0.35">
      <c r="B23" s="33"/>
      <c r="C23" s="5" t="s">
        <v>701</v>
      </c>
      <c r="D23" s="5" t="s">
        <v>722</v>
      </c>
      <c r="E23" s="86" t="s">
        <v>406</v>
      </c>
      <c r="F23" s="5"/>
      <c r="G23" s="86" t="s">
        <v>624</v>
      </c>
      <c r="H23" s="5"/>
    </row>
    <row r="24" spans="2:8" x14ac:dyDescent="0.35">
      <c r="B24" s="33"/>
      <c r="C24" s="5" t="s">
        <v>702</v>
      </c>
      <c r="D24" s="5" t="s">
        <v>726</v>
      </c>
      <c r="E24" s="86" t="s">
        <v>408</v>
      </c>
      <c r="F24" s="5"/>
      <c r="G24" s="86" t="s">
        <v>625</v>
      </c>
      <c r="H24" s="5"/>
    </row>
    <row r="25" spans="2:8" x14ac:dyDescent="0.35">
      <c r="B25" s="33"/>
      <c r="C25" s="5" t="s">
        <v>326</v>
      </c>
      <c r="D25" s="5" t="s">
        <v>727</v>
      </c>
      <c r="E25" s="86" t="s">
        <v>409</v>
      </c>
      <c r="F25" s="5"/>
      <c r="G25" s="86"/>
      <c r="H25" s="5"/>
    </row>
    <row r="26" spans="2:8" x14ac:dyDescent="0.35">
      <c r="B26" s="33"/>
      <c r="C26" s="5" t="s">
        <v>470</v>
      </c>
      <c r="D26" s="5" t="s">
        <v>728</v>
      </c>
      <c r="E26" s="86" t="s">
        <v>410</v>
      </c>
      <c r="F26" s="5"/>
      <c r="G26" s="86"/>
      <c r="H26" s="5"/>
    </row>
    <row r="27" spans="2:8" x14ac:dyDescent="0.35">
      <c r="B27" s="33"/>
      <c r="C27" s="5" t="s">
        <v>703</v>
      </c>
      <c r="D27" s="5" t="s">
        <v>729</v>
      </c>
      <c r="E27" s="86" t="s">
        <v>553</v>
      </c>
      <c r="F27" s="5"/>
      <c r="G27" s="86"/>
      <c r="H27" s="5"/>
    </row>
    <row r="28" spans="2:8" x14ac:dyDescent="0.35">
      <c r="B28" s="33"/>
      <c r="C28" s="5" t="s">
        <v>765</v>
      </c>
      <c r="D28" s="5" t="s">
        <v>730</v>
      </c>
      <c r="E28" s="86"/>
      <c r="F28" s="5"/>
      <c r="G28" s="86"/>
      <c r="H28" s="5"/>
    </row>
    <row r="29" spans="2:8" x14ac:dyDescent="0.35">
      <c r="B29" s="33"/>
      <c r="C29" s="5" t="s">
        <v>327</v>
      </c>
      <c r="D29" s="5" t="s">
        <v>735</v>
      </c>
      <c r="E29" s="86"/>
      <c r="F29" s="5"/>
      <c r="G29" s="86"/>
      <c r="H29" s="5"/>
    </row>
    <row r="30" spans="2:8" x14ac:dyDescent="0.35">
      <c r="B30" s="33"/>
      <c r="C30" s="5" t="s">
        <v>481</v>
      </c>
      <c r="D30" s="5" t="s">
        <v>741</v>
      </c>
      <c r="E30" s="86"/>
      <c r="F30" s="5"/>
      <c r="G30" s="86"/>
      <c r="H30" s="5"/>
    </row>
    <row r="31" spans="2:8" x14ac:dyDescent="0.35">
      <c r="B31" s="33"/>
      <c r="C31" s="5" t="s">
        <v>323</v>
      </c>
      <c r="D31" s="5" t="s">
        <v>742</v>
      </c>
      <c r="E31" s="86"/>
      <c r="F31" s="5"/>
      <c r="G31" s="86"/>
      <c r="H31" s="5"/>
    </row>
    <row r="32" spans="2:8" x14ac:dyDescent="0.35">
      <c r="B32" s="33"/>
      <c r="C32" s="5" t="s">
        <v>321</v>
      </c>
      <c r="D32" s="5"/>
      <c r="E32" s="86"/>
      <c r="F32" s="5"/>
      <c r="G32" s="86"/>
      <c r="H32" s="5"/>
    </row>
    <row r="33" spans="2:8" x14ac:dyDescent="0.35">
      <c r="B33" s="33"/>
      <c r="C33" s="5" t="s">
        <v>704</v>
      </c>
      <c r="D33" s="5"/>
      <c r="E33" s="86"/>
      <c r="F33" s="5"/>
      <c r="G33" s="86"/>
      <c r="H33" s="5"/>
    </row>
    <row r="34" spans="2:8" x14ac:dyDescent="0.35">
      <c r="B34" s="33"/>
      <c r="C34" s="5" t="s">
        <v>328</v>
      </c>
      <c r="D34" s="5"/>
      <c r="E34" s="86"/>
      <c r="F34" s="5"/>
      <c r="G34" s="86"/>
      <c r="H34" s="5"/>
    </row>
    <row r="35" spans="2:8" x14ac:dyDescent="0.35">
      <c r="B35" s="33"/>
      <c r="C35" s="5" t="s">
        <v>705</v>
      </c>
      <c r="D35" s="5"/>
      <c r="E35" s="86"/>
      <c r="F35" s="5"/>
      <c r="G35" s="86"/>
      <c r="H35" s="5"/>
    </row>
    <row r="36" spans="2:8" x14ac:dyDescent="0.35">
      <c r="B36" s="33"/>
      <c r="C36" s="5" t="s">
        <v>331</v>
      </c>
      <c r="D36" s="5"/>
      <c r="E36" s="86"/>
      <c r="F36" s="5"/>
      <c r="G36" s="86"/>
      <c r="H36" s="5"/>
    </row>
    <row r="37" spans="2:8" x14ac:dyDescent="0.35">
      <c r="B37" s="33"/>
      <c r="C37" s="5" t="s">
        <v>493</v>
      </c>
      <c r="D37" s="5"/>
      <c r="E37" s="86"/>
      <c r="F37" s="5"/>
      <c r="G37" s="86"/>
      <c r="H37" s="5"/>
    </row>
    <row r="38" spans="2:8" x14ac:dyDescent="0.35">
      <c r="B38" s="33"/>
      <c r="C38" s="5" t="s">
        <v>332</v>
      </c>
      <c r="D38" s="5"/>
      <c r="E38" s="86"/>
      <c r="F38" s="5"/>
      <c r="G38" s="86"/>
      <c r="H38" s="5"/>
    </row>
    <row r="39" spans="2:8" x14ac:dyDescent="0.35">
      <c r="B39" s="33"/>
      <c r="C39" s="5" t="s">
        <v>333</v>
      </c>
      <c r="D39" s="5"/>
      <c r="E39" s="86"/>
      <c r="F39" s="5"/>
      <c r="G39" s="86"/>
      <c r="H39" s="5"/>
    </row>
    <row r="40" spans="2:8" x14ac:dyDescent="0.35">
      <c r="B40" s="33"/>
      <c r="C40" s="5" t="s">
        <v>488</v>
      </c>
      <c r="D40" s="5"/>
      <c r="E40" s="86"/>
      <c r="F40" s="5"/>
      <c r="G40" s="86"/>
      <c r="H40" s="5"/>
    </row>
    <row r="41" spans="2:8" x14ac:dyDescent="0.35">
      <c r="B41" s="33"/>
      <c r="C41" s="5" t="s">
        <v>491</v>
      </c>
      <c r="D41" s="5"/>
      <c r="E41" s="86"/>
      <c r="F41" s="5"/>
      <c r="G41" s="86"/>
      <c r="H41" s="5"/>
    </row>
    <row r="42" spans="2:8" x14ac:dyDescent="0.35">
      <c r="B42" s="33"/>
      <c r="C42" s="5" t="s">
        <v>706</v>
      </c>
      <c r="D42" s="5"/>
      <c r="E42" s="86"/>
      <c r="F42" s="5"/>
      <c r="G42" s="86"/>
      <c r="H42" s="5"/>
    </row>
    <row r="43" spans="2:8" x14ac:dyDescent="0.35">
      <c r="B43" s="33"/>
      <c r="C43" s="5" t="s">
        <v>336</v>
      </c>
      <c r="D43" s="5"/>
      <c r="E43" s="86"/>
      <c r="F43" s="5"/>
      <c r="G43" s="86"/>
      <c r="H43" s="5"/>
    </row>
    <row r="44" spans="2:8" x14ac:dyDescent="0.35">
      <c r="B44" s="33"/>
      <c r="C44" s="5" t="s">
        <v>707</v>
      </c>
      <c r="D44" s="5"/>
      <c r="E44" s="86"/>
      <c r="F44" s="5"/>
      <c r="G44" s="86"/>
      <c r="H44" s="5"/>
    </row>
    <row r="45" spans="2:8" x14ac:dyDescent="0.35">
      <c r="B45" s="33"/>
      <c r="C45" s="5" t="s">
        <v>338</v>
      </c>
      <c r="D45" s="5"/>
      <c r="E45" s="86"/>
      <c r="F45" s="5"/>
      <c r="G45" s="86"/>
      <c r="H45" s="5"/>
    </row>
    <row r="46" spans="2:8" x14ac:dyDescent="0.35">
      <c r="B46" s="33"/>
      <c r="C46" s="5" t="s">
        <v>708</v>
      </c>
      <c r="D46" s="5"/>
      <c r="E46" s="86"/>
      <c r="F46" s="5"/>
      <c r="G46" s="86"/>
      <c r="H46" s="5"/>
    </row>
    <row r="47" spans="2:8" x14ac:dyDescent="0.35">
      <c r="B47" s="33"/>
      <c r="C47" s="5" t="s">
        <v>709</v>
      </c>
      <c r="D47" s="5"/>
      <c r="E47" s="86"/>
      <c r="F47" s="5"/>
      <c r="G47" s="86"/>
      <c r="H47" s="5"/>
    </row>
    <row r="48" spans="2:8" x14ac:dyDescent="0.35">
      <c r="B48" s="33"/>
      <c r="C48" s="5" t="s">
        <v>710</v>
      </c>
      <c r="D48" s="5"/>
      <c r="E48" s="86"/>
      <c r="F48" s="5"/>
      <c r="G48" s="86"/>
      <c r="H48" s="5"/>
    </row>
    <row r="49" spans="2:8" x14ac:dyDescent="0.35">
      <c r="B49" s="33"/>
      <c r="C49" s="5" t="s">
        <v>499</v>
      </c>
      <c r="D49" s="5"/>
      <c r="E49" s="86"/>
      <c r="F49" s="5"/>
      <c r="G49" s="86"/>
      <c r="H49" s="5"/>
    </row>
    <row r="50" spans="2:8" x14ac:dyDescent="0.35">
      <c r="B50" s="33"/>
      <c r="C50" s="5" t="s">
        <v>501</v>
      </c>
      <c r="D50" s="5"/>
      <c r="E50" s="86"/>
      <c r="F50" s="5"/>
      <c r="G50" s="86"/>
      <c r="H50" s="5"/>
    </row>
    <row r="51" spans="2:8" x14ac:dyDescent="0.35">
      <c r="B51" s="33"/>
      <c r="C51" s="5" t="s">
        <v>711</v>
      </c>
      <c r="D51" s="5"/>
      <c r="E51" s="86"/>
      <c r="F51" s="5"/>
      <c r="G51" s="86"/>
      <c r="H51" s="5"/>
    </row>
    <row r="52" spans="2:8" x14ac:dyDescent="0.35">
      <c r="B52" s="33"/>
      <c r="C52" s="5" t="s">
        <v>712</v>
      </c>
      <c r="D52" s="5"/>
      <c r="E52" s="86"/>
      <c r="F52" s="5"/>
      <c r="G52" s="86"/>
      <c r="H52" s="5"/>
    </row>
    <row r="53" spans="2:8" x14ac:dyDescent="0.35">
      <c r="B53" s="33"/>
      <c r="C53" s="5" t="s">
        <v>713</v>
      </c>
      <c r="D53" s="5"/>
      <c r="E53" s="86"/>
      <c r="F53" s="5"/>
      <c r="G53" s="86"/>
      <c r="H53" s="5"/>
    </row>
    <row r="54" spans="2:8" x14ac:dyDescent="0.35">
      <c r="B54" s="33"/>
      <c r="C54" s="5" t="s">
        <v>504</v>
      </c>
      <c r="D54" s="5"/>
      <c r="E54" s="86"/>
      <c r="F54" s="5"/>
      <c r="G54" s="86"/>
      <c r="H54" s="5"/>
    </row>
    <row r="55" spans="2:8" x14ac:dyDescent="0.35">
      <c r="B55" s="33"/>
      <c r="C55" s="5" t="s">
        <v>766</v>
      </c>
      <c r="D55" s="5"/>
      <c r="E55" s="86"/>
      <c r="F55" s="5"/>
      <c r="G55" s="86"/>
      <c r="H55" s="5"/>
    </row>
    <row r="56" spans="2:8" x14ac:dyDescent="0.35">
      <c r="B56" s="33"/>
      <c r="C56" s="5" t="s">
        <v>508</v>
      </c>
      <c r="D56" s="5"/>
      <c r="E56" s="86"/>
      <c r="F56" s="5"/>
      <c r="G56" s="86"/>
      <c r="H56" s="5"/>
    </row>
    <row r="57" spans="2:8" x14ac:dyDescent="0.35">
      <c r="B57" s="33"/>
      <c r="C57" s="5" t="s">
        <v>510</v>
      </c>
      <c r="D57" s="5"/>
      <c r="E57" s="86"/>
      <c r="F57" s="5"/>
      <c r="G57" s="86"/>
      <c r="H57" s="5"/>
    </row>
    <row r="58" spans="2:8" x14ac:dyDescent="0.35">
      <c r="B58" s="33"/>
      <c r="C58" s="5" t="s">
        <v>506</v>
      </c>
      <c r="D58" s="5"/>
      <c r="E58" s="86"/>
      <c r="F58" s="5"/>
      <c r="G58" s="86"/>
      <c r="H58" s="5"/>
    </row>
    <row r="59" spans="2:8" x14ac:dyDescent="0.35">
      <c r="B59" s="33"/>
      <c r="C59" s="5" t="s">
        <v>342</v>
      </c>
      <c r="D59" s="5"/>
      <c r="E59" s="86"/>
      <c r="F59" s="5"/>
      <c r="G59" s="86"/>
      <c r="H59" s="5"/>
    </row>
    <row r="60" spans="2:8" x14ac:dyDescent="0.35">
      <c r="B60" s="33"/>
      <c r="C60" s="5" t="s">
        <v>714</v>
      </c>
      <c r="D60" s="5"/>
      <c r="E60" s="86"/>
      <c r="F60" s="5"/>
      <c r="G60" s="86"/>
      <c r="H60" s="5"/>
    </row>
    <row r="61" spans="2:8" x14ac:dyDescent="0.35">
      <c r="B61" s="33"/>
      <c r="C61" s="5" t="s">
        <v>344</v>
      </c>
      <c r="D61" s="5"/>
      <c r="E61" s="86"/>
      <c r="F61" s="5"/>
      <c r="G61" s="86"/>
      <c r="H61" s="5"/>
    </row>
    <row r="62" spans="2:8" x14ac:dyDescent="0.35">
      <c r="B62" s="33"/>
      <c r="C62" s="5" t="s">
        <v>343</v>
      </c>
      <c r="D62" s="5"/>
      <c r="E62" s="86"/>
      <c r="F62" s="5"/>
      <c r="G62" s="86"/>
      <c r="H62" s="5"/>
    </row>
    <row r="63" spans="2:8" x14ac:dyDescent="0.35">
      <c r="B63" s="33"/>
      <c r="C63" s="5" t="s">
        <v>715</v>
      </c>
      <c r="D63" s="5"/>
      <c r="E63" s="86"/>
      <c r="F63" s="5"/>
      <c r="G63" s="86"/>
      <c r="H63" s="5"/>
    </row>
    <row r="64" spans="2:8" x14ac:dyDescent="0.35">
      <c r="B64" s="33"/>
      <c r="C64" s="5" t="s">
        <v>345</v>
      </c>
      <c r="D64" s="5"/>
      <c r="E64" s="86"/>
      <c r="F64" s="5"/>
      <c r="G64" s="86"/>
      <c r="H64" s="5"/>
    </row>
    <row r="65" spans="2:8" x14ac:dyDescent="0.35">
      <c r="B65" s="33"/>
      <c r="C65" s="5" t="s">
        <v>346</v>
      </c>
      <c r="D65" s="5"/>
      <c r="E65" s="86"/>
      <c r="F65" s="5"/>
      <c r="G65" s="86"/>
      <c r="H65" s="5"/>
    </row>
    <row r="66" spans="2:8" x14ac:dyDescent="0.35">
      <c r="B66" s="33"/>
      <c r="C66" s="5" t="s">
        <v>716</v>
      </c>
      <c r="D66" s="5"/>
      <c r="E66" s="86"/>
      <c r="F66" s="5"/>
      <c r="G66" s="86"/>
      <c r="H66" s="5"/>
    </row>
    <row r="67" spans="2:8" x14ac:dyDescent="0.35">
      <c r="B67" s="33"/>
      <c r="C67" s="5" t="s">
        <v>717</v>
      </c>
      <c r="D67" s="5"/>
      <c r="E67" s="86"/>
      <c r="F67" s="5"/>
      <c r="G67" s="86"/>
      <c r="H67" s="5"/>
    </row>
    <row r="68" spans="2:8" x14ac:dyDescent="0.35">
      <c r="B68" s="33"/>
      <c r="C68" s="5" t="s">
        <v>347</v>
      </c>
      <c r="D68" s="5"/>
      <c r="E68" s="86"/>
      <c r="F68" s="5"/>
      <c r="G68" s="86"/>
      <c r="H68" s="5"/>
    </row>
    <row r="69" spans="2:8" x14ac:dyDescent="0.35">
      <c r="B69" s="33"/>
      <c r="C69" s="5" t="s">
        <v>718</v>
      </c>
      <c r="D69" s="5"/>
      <c r="E69" s="86"/>
      <c r="F69" s="5"/>
      <c r="G69" s="86"/>
      <c r="H69" s="5"/>
    </row>
    <row r="70" spans="2:8" x14ac:dyDescent="0.35">
      <c r="B70" s="33"/>
      <c r="C70" s="5" t="s">
        <v>349</v>
      </c>
      <c r="D70" s="5"/>
      <c r="E70" s="86"/>
      <c r="F70" s="5"/>
      <c r="G70" s="86"/>
      <c r="H70" s="5"/>
    </row>
    <row r="71" spans="2:8" x14ac:dyDescent="0.35">
      <c r="B71" s="33"/>
      <c r="C71" s="5" t="s">
        <v>719</v>
      </c>
      <c r="D71" s="5"/>
      <c r="E71" s="86"/>
      <c r="F71" s="5"/>
      <c r="G71" s="86"/>
      <c r="H71" s="5"/>
    </row>
    <row r="72" spans="2:8" x14ac:dyDescent="0.35">
      <c r="B72" s="33"/>
      <c r="C72" s="5" t="s">
        <v>720</v>
      </c>
      <c r="D72" s="5"/>
      <c r="E72" s="86"/>
      <c r="F72" s="5"/>
      <c r="G72" s="86"/>
      <c r="H72" s="5"/>
    </row>
    <row r="73" spans="2:8" x14ac:dyDescent="0.35">
      <c r="B73" s="33"/>
      <c r="C73" s="5" t="s">
        <v>350</v>
      </c>
      <c r="D73" s="5"/>
      <c r="E73" s="86"/>
      <c r="F73" s="5"/>
      <c r="G73" s="86"/>
      <c r="H73" s="5"/>
    </row>
    <row r="74" spans="2:8" x14ac:dyDescent="0.35">
      <c r="B74" s="33"/>
      <c r="C74" s="5" t="s">
        <v>351</v>
      </c>
      <c r="D74" s="5"/>
      <c r="E74" s="86"/>
      <c r="F74" s="5"/>
      <c r="G74" s="86"/>
      <c r="H74" s="5"/>
    </row>
    <row r="75" spans="2:8" x14ac:dyDescent="0.35">
      <c r="B75" s="33"/>
      <c r="C75" s="5" t="s">
        <v>721</v>
      </c>
      <c r="D75" s="5"/>
      <c r="E75" s="86"/>
      <c r="F75" s="5"/>
      <c r="G75" s="86"/>
      <c r="H75" s="5"/>
    </row>
    <row r="76" spans="2:8" x14ac:dyDescent="0.35">
      <c r="B76" s="33"/>
      <c r="C76" s="5" t="s">
        <v>722</v>
      </c>
      <c r="D76" s="5"/>
      <c r="E76" s="86"/>
      <c r="F76" s="5"/>
      <c r="G76" s="86"/>
      <c r="H76" s="5"/>
    </row>
    <row r="77" spans="2:8" x14ac:dyDescent="0.35">
      <c r="B77" s="33"/>
      <c r="C77" s="5" t="s">
        <v>723</v>
      </c>
      <c r="D77" s="5"/>
      <c r="E77" s="86"/>
      <c r="F77" s="5"/>
      <c r="G77" s="86"/>
      <c r="H77" s="5"/>
    </row>
    <row r="78" spans="2:8" x14ac:dyDescent="0.35">
      <c r="B78" s="33"/>
      <c r="C78" s="5" t="s">
        <v>352</v>
      </c>
      <c r="D78" s="5"/>
      <c r="E78" s="86"/>
      <c r="F78" s="5"/>
      <c r="G78" s="86"/>
      <c r="H78" s="5"/>
    </row>
    <row r="79" spans="2:8" x14ac:dyDescent="0.35">
      <c r="B79" s="33"/>
      <c r="C79" s="5" t="s">
        <v>724</v>
      </c>
      <c r="D79" s="5"/>
      <c r="E79" s="86"/>
      <c r="F79" s="5"/>
      <c r="G79" s="86"/>
      <c r="H79" s="5"/>
    </row>
    <row r="80" spans="2:8" x14ac:dyDescent="0.35">
      <c r="B80" s="33"/>
      <c r="C80" s="5" t="s">
        <v>354</v>
      </c>
      <c r="D80" s="5"/>
      <c r="E80" s="86"/>
      <c r="F80" s="5"/>
      <c r="G80" s="86"/>
      <c r="H80" s="5"/>
    </row>
    <row r="81" spans="2:8" x14ac:dyDescent="0.35">
      <c r="B81" s="33"/>
      <c r="C81" s="5" t="s">
        <v>355</v>
      </c>
      <c r="D81" s="5"/>
      <c r="E81" s="86"/>
      <c r="F81" s="5"/>
      <c r="G81" s="86"/>
      <c r="H81" s="5"/>
    </row>
    <row r="82" spans="2:8" x14ac:dyDescent="0.35">
      <c r="B82" s="33"/>
      <c r="C82" s="5" t="s">
        <v>356</v>
      </c>
      <c r="D82" s="5"/>
      <c r="E82" s="86"/>
      <c r="F82" s="5"/>
      <c r="G82" s="86"/>
      <c r="H82" s="5"/>
    </row>
    <row r="83" spans="2:8" x14ac:dyDescent="0.35">
      <c r="B83" s="33"/>
      <c r="C83" s="5" t="s">
        <v>725</v>
      </c>
      <c r="D83" s="5"/>
      <c r="E83" s="86"/>
      <c r="F83" s="5"/>
      <c r="G83" s="86"/>
      <c r="H83" s="5"/>
    </row>
    <row r="84" spans="2:8" x14ac:dyDescent="0.35">
      <c r="B84" s="33"/>
      <c r="C84" s="5" t="s">
        <v>357</v>
      </c>
      <c r="D84" s="5"/>
      <c r="E84" s="86"/>
      <c r="F84" s="5"/>
      <c r="G84" s="86"/>
      <c r="H84" s="5"/>
    </row>
    <row r="85" spans="2:8" x14ac:dyDescent="0.35">
      <c r="B85" s="33"/>
      <c r="C85" s="5" t="s">
        <v>726</v>
      </c>
      <c r="D85" s="5"/>
      <c r="E85" s="86"/>
      <c r="F85" s="5"/>
      <c r="G85" s="86"/>
      <c r="H85" s="5"/>
    </row>
    <row r="86" spans="2:8" x14ac:dyDescent="0.35">
      <c r="B86" s="33"/>
      <c r="C86" s="5" t="s">
        <v>727</v>
      </c>
      <c r="D86" s="5"/>
      <c r="E86" s="86"/>
      <c r="F86" s="5"/>
      <c r="G86" s="86"/>
      <c r="H86" s="5"/>
    </row>
    <row r="87" spans="2:8" x14ac:dyDescent="0.35">
      <c r="B87" s="33"/>
      <c r="C87" s="5" t="s">
        <v>360</v>
      </c>
      <c r="D87" s="5"/>
      <c r="E87" s="86"/>
      <c r="F87" s="5"/>
      <c r="G87" s="86"/>
      <c r="H87" s="5"/>
    </row>
    <row r="88" spans="2:8" x14ac:dyDescent="0.35">
      <c r="B88" s="33"/>
      <c r="C88" s="5" t="s">
        <v>362</v>
      </c>
      <c r="D88" s="5"/>
      <c r="E88" s="86"/>
      <c r="F88" s="5"/>
      <c r="G88" s="86"/>
      <c r="H88" s="5"/>
    </row>
    <row r="89" spans="2:8" x14ac:dyDescent="0.35">
      <c r="B89" s="33"/>
      <c r="C89" s="5" t="s">
        <v>364</v>
      </c>
      <c r="D89" s="5"/>
      <c r="E89" s="86"/>
      <c r="F89" s="5"/>
      <c r="G89" s="86"/>
      <c r="H89" s="5"/>
    </row>
    <row r="90" spans="2:8" x14ac:dyDescent="0.35">
      <c r="B90" s="33"/>
      <c r="C90" s="5" t="s">
        <v>728</v>
      </c>
      <c r="D90" s="5"/>
      <c r="E90" s="86"/>
      <c r="F90" s="5"/>
      <c r="G90" s="86"/>
      <c r="H90" s="5"/>
    </row>
    <row r="91" spans="2:8" x14ac:dyDescent="0.35">
      <c r="B91" s="33"/>
      <c r="C91" s="5" t="s">
        <v>729</v>
      </c>
      <c r="D91" s="5"/>
      <c r="E91" s="86"/>
      <c r="F91" s="5"/>
      <c r="G91" s="86"/>
      <c r="H91" s="5"/>
    </row>
    <row r="92" spans="2:8" x14ac:dyDescent="0.35">
      <c r="B92" s="33"/>
      <c r="C92" s="5" t="s">
        <v>368</v>
      </c>
      <c r="D92" s="5"/>
      <c r="E92" s="86"/>
      <c r="F92" s="5"/>
      <c r="G92" s="86"/>
      <c r="H92" s="5"/>
    </row>
    <row r="93" spans="2:8" x14ac:dyDescent="0.35">
      <c r="B93" s="33"/>
      <c r="C93" s="5" t="s">
        <v>730</v>
      </c>
      <c r="D93" s="5"/>
      <c r="E93" s="86"/>
      <c r="F93" s="5"/>
      <c r="G93" s="86"/>
      <c r="H93" s="5"/>
    </row>
    <row r="94" spans="2:8" x14ac:dyDescent="0.35">
      <c r="B94" s="33"/>
      <c r="C94" s="5" t="s">
        <v>371</v>
      </c>
      <c r="D94" s="5"/>
      <c r="E94" s="86"/>
      <c r="F94" s="5"/>
      <c r="G94" s="86"/>
      <c r="H94" s="5"/>
    </row>
    <row r="95" spans="2:8" x14ac:dyDescent="0.35">
      <c r="B95" s="33"/>
      <c r="C95" s="5" t="s">
        <v>731</v>
      </c>
      <c r="D95" s="5"/>
      <c r="E95" s="86"/>
      <c r="F95" s="5"/>
      <c r="G95" s="86"/>
      <c r="H95" s="5"/>
    </row>
    <row r="96" spans="2:8" x14ac:dyDescent="0.35">
      <c r="B96" s="33"/>
      <c r="C96" s="5" t="s">
        <v>732</v>
      </c>
      <c r="D96" s="5"/>
      <c r="E96" s="86"/>
      <c r="F96" s="5"/>
      <c r="G96" s="86"/>
      <c r="H96" s="5"/>
    </row>
    <row r="97" spans="2:8" x14ac:dyDescent="0.35">
      <c r="B97" s="33"/>
      <c r="C97" s="5" t="s">
        <v>373</v>
      </c>
      <c r="D97" s="5"/>
      <c r="E97" s="86"/>
      <c r="F97" s="5"/>
      <c r="G97" s="86"/>
      <c r="H97" s="5"/>
    </row>
    <row r="98" spans="2:8" x14ac:dyDescent="0.35">
      <c r="B98" s="33"/>
      <c r="C98" s="5" t="s">
        <v>733</v>
      </c>
      <c r="D98" s="5"/>
      <c r="E98" s="86"/>
      <c r="F98" s="5"/>
      <c r="G98" s="86"/>
      <c r="H98" s="5"/>
    </row>
    <row r="99" spans="2:8" x14ac:dyDescent="0.35">
      <c r="B99" s="33"/>
      <c r="C99" s="5" t="s">
        <v>374</v>
      </c>
      <c r="D99" s="5"/>
      <c r="E99" s="86"/>
      <c r="F99" s="5"/>
      <c r="G99" s="86"/>
      <c r="H99" s="5"/>
    </row>
    <row r="100" spans="2:8" x14ac:dyDescent="0.35">
      <c r="B100" s="33"/>
      <c r="C100" s="5" t="s">
        <v>734</v>
      </c>
      <c r="D100" s="5"/>
      <c r="E100" s="86"/>
      <c r="F100" s="5"/>
      <c r="G100" s="86"/>
      <c r="H100" s="5"/>
    </row>
    <row r="101" spans="2:8" x14ac:dyDescent="0.35">
      <c r="B101" s="33"/>
      <c r="C101" s="5" t="s">
        <v>735</v>
      </c>
      <c r="D101" s="5"/>
      <c r="E101" s="86"/>
      <c r="F101" s="5"/>
      <c r="G101" s="86"/>
      <c r="H101" s="5"/>
    </row>
    <row r="102" spans="2:8" x14ac:dyDescent="0.35">
      <c r="B102" s="33"/>
      <c r="C102" s="5" t="s">
        <v>736</v>
      </c>
      <c r="D102" s="5"/>
      <c r="E102" s="86"/>
      <c r="F102" s="5"/>
      <c r="G102" s="86"/>
      <c r="H102" s="5"/>
    </row>
    <row r="103" spans="2:8" x14ac:dyDescent="0.35">
      <c r="B103" s="33"/>
      <c r="C103" s="5" t="s">
        <v>737</v>
      </c>
      <c r="D103" s="5"/>
      <c r="E103" s="86"/>
      <c r="F103" s="5"/>
      <c r="G103" s="86"/>
      <c r="H103" s="5"/>
    </row>
    <row r="104" spans="2:8" x14ac:dyDescent="0.35">
      <c r="B104" s="33"/>
      <c r="C104" s="5" t="s">
        <v>738</v>
      </c>
      <c r="D104" s="5"/>
      <c r="E104" s="86"/>
      <c r="F104" s="5"/>
      <c r="G104" s="86"/>
      <c r="H104" s="5"/>
    </row>
    <row r="105" spans="2:8" x14ac:dyDescent="0.35">
      <c r="B105" s="33"/>
      <c r="C105" s="5" t="s">
        <v>739</v>
      </c>
      <c r="D105" s="5"/>
      <c r="E105" s="86"/>
      <c r="F105" s="5"/>
      <c r="G105" s="86"/>
      <c r="H105" s="5"/>
    </row>
    <row r="106" spans="2:8" x14ac:dyDescent="0.35">
      <c r="B106" s="33"/>
      <c r="C106" s="5" t="s">
        <v>378</v>
      </c>
      <c r="D106" s="5"/>
      <c r="E106" s="86"/>
      <c r="F106" s="5"/>
      <c r="G106" s="86"/>
      <c r="H106" s="5"/>
    </row>
    <row r="107" spans="2:8" x14ac:dyDescent="0.35">
      <c r="B107" s="33"/>
      <c r="C107" s="5" t="s">
        <v>740</v>
      </c>
      <c r="D107" s="5"/>
      <c r="E107" s="86"/>
      <c r="F107" s="5"/>
      <c r="G107" s="86"/>
      <c r="H107" s="5"/>
    </row>
    <row r="108" spans="2:8" x14ac:dyDescent="0.35">
      <c r="B108" s="33"/>
      <c r="C108" s="5" t="s">
        <v>741</v>
      </c>
      <c r="D108" s="5"/>
      <c r="E108" s="86"/>
      <c r="F108" s="5"/>
      <c r="G108" s="86"/>
      <c r="H108" s="5"/>
    </row>
    <row r="109" spans="2:8" x14ac:dyDescent="0.35">
      <c r="B109" s="33"/>
      <c r="C109" s="5" t="s">
        <v>382</v>
      </c>
      <c r="D109" s="5"/>
      <c r="E109" s="86"/>
      <c r="F109" s="5"/>
      <c r="G109" s="86"/>
      <c r="H109" s="5"/>
    </row>
    <row r="110" spans="2:8" x14ac:dyDescent="0.35">
      <c r="B110" s="33"/>
      <c r="C110" s="5" t="s">
        <v>384</v>
      </c>
      <c r="D110" s="5"/>
      <c r="E110" s="86"/>
      <c r="F110" s="5"/>
      <c r="G110" s="86"/>
      <c r="H110" s="5"/>
    </row>
    <row r="111" spans="2:8" x14ac:dyDescent="0.35">
      <c r="B111" s="33"/>
      <c r="C111" s="5" t="s">
        <v>386</v>
      </c>
      <c r="D111" s="5"/>
      <c r="E111" s="86"/>
      <c r="F111" s="5"/>
      <c r="G111" s="86"/>
      <c r="H111" s="5"/>
    </row>
    <row r="112" spans="2:8" x14ac:dyDescent="0.35">
      <c r="B112" s="33"/>
      <c r="C112" s="5" t="s">
        <v>742</v>
      </c>
      <c r="D112" s="5"/>
      <c r="E112" s="86"/>
      <c r="F112" s="5"/>
      <c r="G112" s="86"/>
      <c r="H112" s="5"/>
    </row>
    <row r="113" spans="2:8" x14ac:dyDescent="0.35">
      <c r="B113" s="33"/>
      <c r="C113" s="5" t="s">
        <v>743</v>
      </c>
      <c r="D113" s="5"/>
      <c r="E113" s="86"/>
      <c r="F113" s="5"/>
      <c r="G113" s="86"/>
      <c r="H113" s="5"/>
    </row>
    <row r="114" spans="2:8" x14ac:dyDescent="0.35">
      <c r="B114" s="33"/>
      <c r="C114" s="5" t="s">
        <v>744</v>
      </c>
      <c r="D114" s="5"/>
      <c r="E114" s="86"/>
      <c r="F114" s="5"/>
      <c r="G114" s="86"/>
      <c r="H114" s="5"/>
    </row>
    <row r="115" spans="2:8" x14ac:dyDescent="0.35">
      <c r="B115" s="33"/>
      <c r="C115" s="5" t="s">
        <v>745</v>
      </c>
      <c r="D115" s="5"/>
      <c r="E115" s="86"/>
      <c r="F115" s="5"/>
      <c r="G115" s="86"/>
      <c r="H115" s="5"/>
    </row>
    <row r="116" spans="2:8" x14ac:dyDescent="0.35">
      <c r="B116" s="33"/>
      <c r="C116" s="5" t="s">
        <v>388</v>
      </c>
      <c r="D116" s="5"/>
      <c r="E116" s="86"/>
      <c r="F116" s="5"/>
      <c r="G116" s="86"/>
      <c r="H116" s="5"/>
    </row>
    <row r="117" spans="2:8" x14ac:dyDescent="0.35">
      <c r="B117" s="33"/>
      <c r="C117" s="5" t="s">
        <v>746</v>
      </c>
      <c r="D117" s="5"/>
      <c r="E117" s="86"/>
      <c r="F117" s="5"/>
      <c r="G117" s="86"/>
      <c r="H117" s="5"/>
    </row>
    <row r="118" spans="2:8" x14ac:dyDescent="0.35">
      <c r="B118" s="33"/>
      <c r="C118" s="5" t="s">
        <v>747</v>
      </c>
      <c r="D118" s="5"/>
      <c r="E118" s="86"/>
      <c r="F118" s="5"/>
      <c r="G118" s="86"/>
      <c r="H118" s="5"/>
    </row>
    <row r="119" spans="2:8" x14ac:dyDescent="0.35">
      <c r="B119" s="33"/>
      <c r="C119" s="5"/>
      <c r="D119" s="5"/>
      <c r="E119" s="86"/>
      <c r="F119" s="5"/>
      <c r="G119" s="86"/>
      <c r="H119" s="5"/>
    </row>
    <row r="120" spans="2:8" x14ac:dyDescent="0.35">
      <c r="B120" s="33"/>
      <c r="C120" s="5"/>
      <c r="D120" s="5"/>
      <c r="E120" s="86"/>
      <c r="F120" s="5"/>
      <c r="G120" s="86"/>
      <c r="H120" s="5"/>
    </row>
    <row r="121" spans="2:8" x14ac:dyDescent="0.35">
      <c r="B121" s="33"/>
      <c r="C121" s="5"/>
      <c r="D121" s="5"/>
      <c r="E121" s="86"/>
      <c r="F121" s="5"/>
      <c r="G121" s="86"/>
      <c r="H121" s="5"/>
    </row>
    <row r="122" spans="2:8" x14ac:dyDescent="0.35">
      <c r="B122" s="33"/>
      <c r="C122" s="5"/>
      <c r="D122" s="5"/>
      <c r="E122" s="86"/>
      <c r="F122" s="5"/>
      <c r="G122" s="86"/>
      <c r="H122" s="5"/>
    </row>
    <row r="123" spans="2:8" x14ac:dyDescent="0.35">
      <c r="B123" s="33"/>
      <c r="C123" s="5"/>
      <c r="D123" s="5"/>
      <c r="E123" s="86"/>
      <c r="F123" s="5"/>
      <c r="G123" s="86"/>
      <c r="H123" s="5"/>
    </row>
    <row r="124" spans="2:8" x14ac:dyDescent="0.35">
      <c r="B124" s="33"/>
      <c r="C124" s="5"/>
      <c r="D124" s="5"/>
      <c r="E124" s="86"/>
      <c r="F124" s="5"/>
      <c r="G124" s="86"/>
      <c r="H124" s="5"/>
    </row>
    <row r="125" spans="2:8" x14ac:dyDescent="0.35">
      <c r="B125" s="33"/>
      <c r="C125" s="5"/>
      <c r="D125" s="5"/>
      <c r="E125" s="86"/>
      <c r="F125" s="5"/>
      <c r="G125" s="86"/>
      <c r="H125" s="5"/>
    </row>
    <row r="126" spans="2:8" x14ac:dyDescent="0.35">
      <c r="B126" s="33"/>
      <c r="C126" s="5"/>
      <c r="D126" s="5"/>
      <c r="E126" s="86"/>
      <c r="F126" s="5"/>
      <c r="G126" s="86"/>
      <c r="H126" s="5"/>
    </row>
    <row r="127" spans="2:8" x14ac:dyDescent="0.35">
      <c r="B127" s="33"/>
      <c r="C127" s="5"/>
      <c r="D127" s="5"/>
      <c r="E127" s="86"/>
      <c r="F127" s="5"/>
      <c r="G127" s="86"/>
      <c r="H127" s="5"/>
    </row>
    <row r="128" spans="2:8" x14ac:dyDescent="0.35">
      <c r="B128" s="33"/>
      <c r="C128" s="5"/>
      <c r="D128" s="5"/>
      <c r="E128" s="86"/>
      <c r="F128" s="5"/>
      <c r="G128" s="86"/>
      <c r="H128" s="5"/>
    </row>
    <row r="129" spans="2:8" x14ac:dyDescent="0.35">
      <c r="B129" s="33"/>
      <c r="C129" s="5"/>
      <c r="D129" s="5"/>
      <c r="E129" s="86"/>
      <c r="F129" s="5"/>
      <c r="G129" s="86"/>
      <c r="H129" s="5"/>
    </row>
    <row r="130" spans="2:8" x14ac:dyDescent="0.35">
      <c r="B130" s="33"/>
      <c r="C130" s="5"/>
      <c r="D130" s="5"/>
      <c r="E130" s="86"/>
      <c r="F130" s="5"/>
      <c r="G130" s="86"/>
      <c r="H130" s="5"/>
    </row>
    <row r="131" spans="2:8" x14ac:dyDescent="0.35">
      <c r="B131" s="33"/>
      <c r="C131" s="5"/>
      <c r="D131" s="5"/>
      <c r="E131" s="86"/>
      <c r="F131" s="5"/>
      <c r="G131" s="86"/>
      <c r="H131" s="5"/>
    </row>
    <row r="132" spans="2:8" x14ac:dyDescent="0.35">
      <c r="B132" s="33"/>
      <c r="C132" s="5"/>
      <c r="D132" s="5"/>
      <c r="E132" s="86"/>
      <c r="F132" s="5"/>
      <c r="G132" s="86"/>
      <c r="H132" s="5"/>
    </row>
    <row r="133" spans="2:8" x14ac:dyDescent="0.35">
      <c r="B133" s="33"/>
      <c r="C133" s="5"/>
      <c r="D133" s="5"/>
      <c r="E133" s="86"/>
      <c r="F133" s="5"/>
      <c r="G133" s="86"/>
      <c r="H133" s="5"/>
    </row>
    <row r="134" spans="2:8" x14ac:dyDescent="0.35">
      <c r="B134" s="33"/>
      <c r="C134" s="5"/>
      <c r="D134" s="5"/>
      <c r="E134" s="86"/>
      <c r="F134" s="5"/>
      <c r="G134" s="86"/>
      <c r="H134" s="5"/>
    </row>
    <row r="135" spans="2:8" x14ac:dyDescent="0.35">
      <c r="B135" s="33"/>
      <c r="C135" s="5"/>
      <c r="D135" s="5"/>
      <c r="E135" s="86"/>
      <c r="F135" s="5"/>
      <c r="G135" s="86"/>
      <c r="H135" s="5"/>
    </row>
    <row r="136" spans="2:8" x14ac:dyDescent="0.35">
      <c r="B136" s="33"/>
      <c r="C136" s="5"/>
      <c r="D136" s="5"/>
      <c r="E136" s="86"/>
      <c r="F136" s="5"/>
      <c r="G136" s="86"/>
      <c r="H136" s="5"/>
    </row>
    <row r="137" spans="2:8" x14ac:dyDescent="0.35">
      <c r="B137" s="33"/>
      <c r="C137" s="5"/>
      <c r="D137" s="5"/>
      <c r="E137" s="86"/>
      <c r="F137" s="5"/>
      <c r="G137" s="86"/>
      <c r="H137" s="5"/>
    </row>
    <row r="138" spans="2:8" x14ac:dyDescent="0.35">
      <c r="B138" s="33"/>
      <c r="C138" s="5"/>
      <c r="D138" s="5"/>
      <c r="E138" s="86"/>
      <c r="F138" s="5"/>
      <c r="G138" s="86"/>
      <c r="H138" s="5"/>
    </row>
    <row r="139" spans="2:8" x14ac:dyDescent="0.35">
      <c r="B139" s="33"/>
      <c r="C139" s="5"/>
      <c r="D139" s="5"/>
      <c r="E139" s="86"/>
      <c r="F139" s="5"/>
      <c r="G139" s="86"/>
      <c r="H139" s="5"/>
    </row>
    <row r="140" spans="2:8" x14ac:dyDescent="0.35">
      <c r="B140" s="33"/>
      <c r="C140" s="5"/>
      <c r="D140" s="5"/>
      <c r="E140" s="86"/>
      <c r="F140" s="5"/>
      <c r="G140" s="86"/>
      <c r="H140" s="5"/>
    </row>
    <row r="141" spans="2:8" x14ac:dyDescent="0.35">
      <c r="B141" s="33"/>
      <c r="C141" s="5"/>
      <c r="D141" s="5"/>
      <c r="E141" s="86"/>
      <c r="F141" s="5"/>
      <c r="G141" s="86"/>
      <c r="H141" s="5"/>
    </row>
    <row r="142" spans="2:8" x14ac:dyDescent="0.35">
      <c r="B142" s="33"/>
      <c r="C142" s="5"/>
      <c r="D142" s="5"/>
      <c r="E142" s="86"/>
      <c r="F142" s="5"/>
      <c r="G142" s="86"/>
      <c r="H142" s="5"/>
    </row>
    <row r="143" spans="2:8" x14ac:dyDescent="0.35">
      <c r="B143" s="33"/>
      <c r="C143" s="5"/>
      <c r="D143" s="5"/>
      <c r="E143" s="86"/>
      <c r="F143" s="5"/>
      <c r="G143" s="86"/>
      <c r="H143" s="5"/>
    </row>
    <row r="144" spans="2:8" x14ac:dyDescent="0.35">
      <c r="B144" s="33"/>
      <c r="C144" s="5"/>
      <c r="D144" s="5"/>
      <c r="E144" s="86"/>
      <c r="F144" s="5"/>
      <c r="G144" s="86"/>
      <c r="H144" s="5"/>
    </row>
    <row r="145" spans="2:8" x14ac:dyDescent="0.35">
      <c r="B145" s="33"/>
      <c r="C145" s="5"/>
      <c r="D145" s="5"/>
      <c r="E145" s="86"/>
      <c r="F145" s="5"/>
      <c r="G145" s="86"/>
      <c r="H145" s="5"/>
    </row>
    <row r="146" spans="2:8" x14ac:dyDescent="0.35">
      <c r="B146" s="33"/>
      <c r="C146" s="5"/>
      <c r="D146" s="5"/>
      <c r="E146" s="86"/>
      <c r="F146" s="5"/>
      <c r="G146" s="86"/>
      <c r="H146" s="5"/>
    </row>
    <row r="147" spans="2:8" x14ac:dyDescent="0.35">
      <c r="B147" s="33"/>
      <c r="C147" s="5"/>
      <c r="D147" s="5"/>
      <c r="E147" s="86"/>
      <c r="F147" s="5"/>
      <c r="G147" s="86"/>
      <c r="H147" s="5"/>
    </row>
    <row r="148" spans="2:8" x14ac:dyDescent="0.35">
      <c r="B148" s="33"/>
      <c r="C148" s="5"/>
      <c r="D148" s="5"/>
      <c r="E148" s="86"/>
      <c r="F148" s="5"/>
      <c r="G148" s="86"/>
      <c r="H148" s="5"/>
    </row>
    <row r="149" spans="2:8" x14ac:dyDescent="0.35">
      <c r="B149" s="33"/>
      <c r="C149" s="5"/>
      <c r="D149" s="5"/>
      <c r="E149" s="86"/>
      <c r="F149" s="5"/>
      <c r="G149" s="86"/>
      <c r="H149" s="5"/>
    </row>
    <row r="150" spans="2:8" x14ac:dyDescent="0.35">
      <c r="B150" s="33"/>
      <c r="C150" s="5"/>
      <c r="D150" s="5"/>
      <c r="E150" s="86"/>
      <c r="F150" s="5"/>
      <c r="G150" s="86"/>
      <c r="H150" s="5"/>
    </row>
    <row r="151" spans="2:8" x14ac:dyDescent="0.35">
      <c r="B151" s="33"/>
      <c r="C151" s="5"/>
      <c r="D151" s="5"/>
      <c r="E151" s="86"/>
      <c r="F151" s="5"/>
      <c r="G151" s="86"/>
      <c r="H151" s="5"/>
    </row>
    <row r="152" spans="2:8" x14ac:dyDescent="0.35">
      <c r="B152" s="33"/>
      <c r="C152" s="5"/>
      <c r="D152" s="5"/>
      <c r="E152" s="86"/>
      <c r="F152" s="5"/>
      <c r="G152" s="86"/>
      <c r="H152" s="5"/>
    </row>
    <row r="153" spans="2:8" x14ac:dyDescent="0.35">
      <c r="B153" s="33"/>
      <c r="C153" s="5"/>
      <c r="D153" s="5"/>
      <c r="E153" s="86"/>
      <c r="F153" s="5"/>
      <c r="G153" s="86"/>
      <c r="H153" s="5"/>
    </row>
    <row r="154" spans="2:8" x14ac:dyDescent="0.35">
      <c r="B154" s="33"/>
      <c r="C154" s="5"/>
      <c r="D154" s="5"/>
      <c r="E154" s="86"/>
      <c r="F154" s="5"/>
      <c r="G154" s="86"/>
      <c r="H154" s="5"/>
    </row>
    <row r="155" spans="2:8" x14ac:dyDescent="0.35">
      <c r="B155" s="33"/>
      <c r="C155" s="5"/>
      <c r="D155" s="5"/>
      <c r="E155" s="86"/>
      <c r="F155" s="5"/>
      <c r="G155" s="86"/>
      <c r="H155" s="5"/>
    </row>
    <row r="156" spans="2:8" x14ac:dyDescent="0.35">
      <c r="B156" s="33"/>
      <c r="C156" s="5"/>
      <c r="D156" s="5"/>
      <c r="E156" s="86"/>
      <c r="F156" s="5"/>
      <c r="G156" s="86"/>
      <c r="H156" s="5"/>
    </row>
    <row r="157" spans="2:8" x14ac:dyDescent="0.35">
      <c r="B157" s="33"/>
      <c r="C157" s="5"/>
      <c r="D157" s="5"/>
      <c r="E157" s="87"/>
      <c r="F157" s="5"/>
      <c r="G157" s="87"/>
      <c r="H157" s="5"/>
    </row>
    <row r="158" spans="2:8" x14ac:dyDescent="0.35">
      <c r="B158" s="37"/>
      <c r="C158" s="37"/>
      <c r="D158" s="37"/>
      <c r="E158" s="37"/>
      <c r="F158" s="37"/>
      <c r="G158" s="37"/>
      <c r="H158" s="37"/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D1D5-6E25-48E8-88AD-987F8F30C5EE}">
  <sheetPr>
    <tabColor theme="9" tint="-0.499984740745262"/>
  </sheetPr>
  <dimension ref="A1:EY157"/>
  <sheetViews>
    <sheetView showZeros="0" zoomScale="85" zoomScaleNormal="85" workbookViewId="0">
      <pane xSplit="4" ySplit="6" topLeftCell="CC103" activePane="bottomRight" state="frozen"/>
      <selection activeCell="K75" sqref="K75"/>
      <selection pane="topRight" activeCell="K75" sqref="K75"/>
      <selection pane="bottomLeft" activeCell="K75" sqref="K75"/>
      <selection pane="bottomRight" activeCell="A120" sqref="A120:XFD120"/>
    </sheetView>
  </sheetViews>
  <sheetFormatPr defaultColWidth="0" defaultRowHeight="14.5" zeroHeight="1" x14ac:dyDescent="0.35"/>
  <cols>
    <col min="1" max="2" width="2.453125" customWidth="1"/>
    <col min="3" max="3" width="28.90625" customWidth="1"/>
    <col min="4" max="4" width="15.54296875" customWidth="1"/>
    <col min="5" max="154" width="9.08984375" customWidth="1"/>
    <col min="155" max="155" width="2.453125" customWidth="1"/>
    <col min="156" max="16384" width="9.08984375" hidden="1"/>
  </cols>
  <sheetData>
    <row r="1" spans="1:155" ht="18.5" x14ac:dyDescent="0.45">
      <c r="A1" s="9" t="s">
        <v>36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</row>
    <row r="2" spans="1:155" x14ac:dyDescent="0.35"/>
    <row r="3" spans="1:155" x14ac:dyDescent="0.35"/>
    <row r="4" spans="1:155" x14ac:dyDescent="0.35"/>
    <row r="5" spans="1:155" x14ac:dyDescent="0.35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5" x14ac:dyDescent="0.35">
      <c r="B6" s="33"/>
      <c r="D6" s="5"/>
      <c r="E6" s="5" t="s">
        <v>555</v>
      </c>
      <c r="F6" s="5" t="s">
        <v>414</v>
      </c>
      <c r="G6" s="5" t="s">
        <v>556</v>
      </c>
      <c r="H6" s="5" t="s">
        <v>669</v>
      </c>
      <c r="I6" s="5" t="s">
        <v>415</v>
      </c>
      <c r="J6" s="5" t="s">
        <v>559</v>
      </c>
      <c r="K6" s="5" t="s">
        <v>560</v>
      </c>
      <c r="L6" s="5" t="s">
        <v>558</v>
      </c>
      <c r="M6" s="5" t="s">
        <v>416</v>
      </c>
      <c r="N6" s="5" t="s">
        <v>670</v>
      </c>
      <c r="O6" s="5" t="s">
        <v>671</v>
      </c>
      <c r="P6" s="5" t="s">
        <v>417</v>
      </c>
      <c r="Q6" s="5" t="s">
        <v>672</v>
      </c>
      <c r="R6" s="5" t="s">
        <v>673</v>
      </c>
      <c r="S6" s="5" t="s">
        <v>674</v>
      </c>
      <c r="T6" s="5" t="s">
        <v>420</v>
      </c>
      <c r="U6" s="5" t="s">
        <v>557</v>
      </c>
      <c r="V6" s="5" t="s">
        <v>675</v>
      </c>
      <c r="W6" s="5" t="s">
        <v>767</v>
      </c>
      <c r="X6" s="5" t="s">
        <v>421</v>
      </c>
      <c r="Y6" s="5" t="s">
        <v>561</v>
      </c>
      <c r="Z6" s="5" t="s">
        <v>419</v>
      </c>
      <c r="AA6" s="5" t="s">
        <v>418</v>
      </c>
      <c r="AB6" s="5" t="s">
        <v>676</v>
      </c>
      <c r="AC6" s="5" t="s">
        <v>422</v>
      </c>
      <c r="AD6" s="5" t="s">
        <v>423</v>
      </c>
      <c r="AE6" s="5" t="s">
        <v>564</v>
      </c>
      <c r="AF6" s="5" t="s">
        <v>424</v>
      </c>
      <c r="AG6" s="5" t="s">
        <v>425</v>
      </c>
      <c r="AH6" s="5" t="s">
        <v>562</v>
      </c>
      <c r="AI6" s="5" t="s">
        <v>563</v>
      </c>
      <c r="AJ6" s="5" t="s">
        <v>426</v>
      </c>
      <c r="AK6" s="5" t="s">
        <v>427</v>
      </c>
      <c r="AL6" s="5" t="s">
        <v>565</v>
      </c>
      <c r="AM6" s="5" t="s">
        <v>566</v>
      </c>
      <c r="AN6" s="5" t="s">
        <v>567</v>
      </c>
      <c r="AO6" s="5" t="s">
        <v>768</v>
      </c>
      <c r="AP6" s="5" t="s">
        <v>569</v>
      </c>
      <c r="AQ6" s="5" t="s">
        <v>570</v>
      </c>
      <c r="AR6" s="5" t="s">
        <v>568</v>
      </c>
      <c r="AS6" s="5" t="s">
        <v>571</v>
      </c>
      <c r="AT6" s="5" t="s">
        <v>677</v>
      </c>
      <c r="AU6" s="5" t="s">
        <v>572</v>
      </c>
      <c r="AV6" s="5" t="s">
        <v>428</v>
      </c>
      <c r="AW6" s="5" t="s">
        <v>429</v>
      </c>
      <c r="AX6" s="5" t="s">
        <v>573</v>
      </c>
      <c r="AY6" s="5" t="s">
        <v>430</v>
      </c>
      <c r="AZ6" s="5" t="s">
        <v>431</v>
      </c>
      <c r="BA6" s="5" t="s">
        <v>678</v>
      </c>
      <c r="BB6" s="5" t="s">
        <v>574</v>
      </c>
      <c r="BC6" s="5" t="s">
        <v>432</v>
      </c>
      <c r="BD6" s="5" t="s">
        <v>679</v>
      </c>
      <c r="BE6" s="5" t="s">
        <v>680</v>
      </c>
      <c r="BF6" s="5" t="s">
        <v>433</v>
      </c>
      <c r="BG6" s="5" t="s">
        <v>681</v>
      </c>
      <c r="BH6" s="5" t="s">
        <v>434</v>
      </c>
      <c r="BI6" s="5" t="s">
        <v>435</v>
      </c>
      <c r="BJ6" s="5" t="s">
        <v>575</v>
      </c>
      <c r="BK6" s="5" t="s">
        <v>682</v>
      </c>
      <c r="BL6" s="5" t="s">
        <v>436</v>
      </c>
      <c r="BM6" s="5" t="s">
        <v>437</v>
      </c>
      <c r="BN6" s="5" t="s">
        <v>438</v>
      </c>
      <c r="BO6" s="5" t="s">
        <v>439</v>
      </c>
      <c r="BP6" s="5" t="s">
        <v>440</v>
      </c>
      <c r="BQ6" s="5" t="s">
        <v>441</v>
      </c>
      <c r="BR6" s="5" t="s">
        <v>683</v>
      </c>
      <c r="BS6" s="5" t="s">
        <v>442</v>
      </c>
      <c r="BT6" s="5" t="s">
        <v>684</v>
      </c>
      <c r="BU6" s="5" t="s">
        <v>443</v>
      </c>
      <c r="BV6" s="5" t="s">
        <v>685</v>
      </c>
      <c r="BW6" s="5" t="s">
        <v>686</v>
      </c>
      <c r="BX6" s="5" t="s">
        <v>687</v>
      </c>
      <c r="BY6" s="5" t="s">
        <v>688</v>
      </c>
      <c r="BZ6" s="5" t="s">
        <v>689</v>
      </c>
      <c r="CA6" s="5" t="s">
        <v>444</v>
      </c>
      <c r="CB6" s="5" t="s">
        <v>690</v>
      </c>
      <c r="CC6" s="5" t="s">
        <v>445</v>
      </c>
      <c r="CD6" s="5" t="s">
        <v>446</v>
      </c>
      <c r="CE6" s="5" t="s">
        <v>447</v>
      </c>
      <c r="CF6" s="5" t="s">
        <v>691</v>
      </c>
      <c r="CG6" s="5" t="s">
        <v>692</v>
      </c>
      <c r="CH6" s="5" t="s">
        <v>693</v>
      </c>
      <c r="CI6" s="5" t="s">
        <v>448</v>
      </c>
      <c r="CJ6" s="5" t="s">
        <v>694</v>
      </c>
      <c r="CK6" s="5" t="s">
        <v>769</v>
      </c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</row>
    <row r="7" spans="1:155" x14ac:dyDescent="0.35">
      <c r="A7" s="3"/>
      <c r="B7" s="33"/>
      <c r="C7" t="str">
        <f>Notes!T9</f>
        <v xml:space="preserve">               All sectors</v>
      </c>
      <c r="D7" s="5" t="str">
        <f>Notes!D9</f>
        <v>aa_GDP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  <c r="BY7" s="5">
        <v>1</v>
      </c>
      <c r="BZ7" s="5">
        <v>1</v>
      </c>
      <c r="CA7" s="5">
        <v>1</v>
      </c>
      <c r="CB7" s="5">
        <v>1</v>
      </c>
      <c r="CC7" s="5">
        <v>1</v>
      </c>
      <c r="CD7" s="5">
        <v>1</v>
      </c>
      <c r="CE7" s="5">
        <v>1</v>
      </c>
      <c r="CF7" s="5">
        <v>1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</row>
    <row r="8" spans="1:155" x14ac:dyDescent="0.35">
      <c r="A8" s="3"/>
      <c r="B8" s="33"/>
      <c r="C8" t="str">
        <f>Notes!T10</f>
        <v xml:space="preserve">               Agriculture</v>
      </c>
      <c r="D8" s="5" t="str">
        <f>Notes!D10</f>
        <v>aa_AGR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</row>
    <row r="9" spans="1:155" x14ac:dyDescent="0.35">
      <c r="A9" s="3"/>
      <c r="B9" s="33"/>
      <c r="C9" t="str">
        <f>Notes!T11</f>
        <v xml:space="preserve">               All crops</v>
      </c>
      <c r="D9" s="5" t="str">
        <f>Notes!D11</f>
        <v>aa_CRP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</row>
    <row r="10" spans="1:155" x14ac:dyDescent="0.35">
      <c r="A10" s="3"/>
      <c r="B10" s="33"/>
      <c r="C10" t="str">
        <f>Notes!T12</f>
        <v xml:space="preserve">               Sorghum and millet</v>
      </c>
      <c r="D10" s="5" t="str">
        <f>Notes!D12</f>
        <v>a_sorg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</row>
    <row r="11" spans="1:155" x14ac:dyDescent="0.35">
      <c r="A11" s="3"/>
      <c r="B11" s="33"/>
      <c r="C11" t="str">
        <f>Notes!T13</f>
        <v xml:space="preserve">               Maize</v>
      </c>
      <c r="D11" s="5" t="str">
        <f>Notes!D13</f>
        <v>a_maiz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</row>
    <row r="12" spans="1:155" x14ac:dyDescent="0.35">
      <c r="A12" s="3"/>
      <c r="B12" s="33"/>
      <c r="C12" t="str">
        <f>Notes!T14</f>
        <v xml:space="preserve">               Wheat and barley</v>
      </c>
      <c r="D12" s="5" t="str">
        <f>Notes!D14</f>
        <v>a_whea</v>
      </c>
      <c r="E12" s="5">
        <v>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</row>
    <row r="13" spans="1:155" x14ac:dyDescent="0.35">
      <c r="A13" s="3"/>
      <c r="B13" s="33"/>
      <c r="C13" t="str">
        <f>Notes!T15</f>
        <v xml:space="preserve">               Rice paddy (Aman)</v>
      </c>
      <c r="D13" s="5" t="str">
        <f>Notes!D15</f>
        <v>a_rice</v>
      </c>
      <c r="E13" s="5"/>
      <c r="F13" s="5">
        <v>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</row>
    <row r="14" spans="1:155" x14ac:dyDescent="0.35">
      <c r="A14" s="3"/>
      <c r="B14" s="33"/>
      <c r="C14" t="str">
        <f>Notes!T16</f>
        <v xml:space="preserve">               Other cereals</v>
      </c>
      <c r="D14" s="5" t="str">
        <f>Notes!D16</f>
        <v>a_ocer</v>
      </c>
      <c r="E14" s="5"/>
      <c r="F14" s="5"/>
      <c r="G14" s="5"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</row>
    <row r="15" spans="1:155" x14ac:dyDescent="0.35">
      <c r="A15" s="3"/>
      <c r="B15" s="33"/>
      <c r="C15" t="str">
        <f>Notes!T17</f>
        <v xml:space="preserve">               Irish potatoes</v>
      </c>
      <c r="D15" s="5" t="str">
        <f>Notes!D17</f>
        <v>a_ipot</v>
      </c>
      <c r="E15" s="5"/>
      <c r="F15" s="5"/>
      <c r="G15" s="5"/>
      <c r="H15" s="5">
        <v>1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</row>
    <row r="16" spans="1:155" x14ac:dyDescent="0.35">
      <c r="A16" s="3"/>
      <c r="B16" s="33"/>
      <c r="C16" t="str">
        <f>Notes!T18</f>
        <v xml:space="preserve">               Sweet potatoes</v>
      </c>
      <c r="D16" s="5" t="str">
        <f>Notes!D18</f>
        <v>a_spot</v>
      </c>
      <c r="E16" s="5"/>
      <c r="F16" s="5"/>
      <c r="G16" s="5"/>
      <c r="H16" s="5"/>
      <c r="I16" s="5">
        <v>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</row>
    <row r="17" spans="1:154" x14ac:dyDescent="0.35">
      <c r="A17" s="3"/>
      <c r="B17" s="33"/>
      <c r="C17" t="str">
        <f>Notes!T19</f>
        <v xml:space="preserve">               Cassava</v>
      </c>
      <c r="D17" s="5" t="str">
        <f>Notes!D19</f>
        <v>a_cass</v>
      </c>
      <c r="E17" s="5"/>
      <c r="F17" s="5"/>
      <c r="G17" s="5"/>
      <c r="H17" s="5"/>
      <c r="I17" s="5"/>
      <c r="J17" s="5">
        <v>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</row>
    <row r="18" spans="1:154" x14ac:dyDescent="0.35">
      <c r="A18" s="3"/>
      <c r="B18" s="33"/>
      <c r="C18" t="str">
        <f>Notes!T20</f>
        <v xml:space="preserve">               Other roots</v>
      </c>
      <c r="D18" s="5" t="str">
        <f>Notes!D20</f>
        <v>a_root</v>
      </c>
      <c r="E18" s="5"/>
      <c r="F18" s="5"/>
      <c r="G18" s="5"/>
      <c r="H18" s="5"/>
      <c r="I18" s="5"/>
      <c r="J18" s="5"/>
      <c r="K18" s="5">
        <v>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</row>
    <row r="19" spans="1:154" x14ac:dyDescent="0.35">
      <c r="A19" s="3"/>
      <c r="B19" s="33"/>
      <c r="C19" t="str">
        <f>Notes!T21</f>
        <v xml:space="preserve">               Beans</v>
      </c>
      <c r="D19" s="5" t="str">
        <f>Notes!D21</f>
        <v>a_bean</v>
      </c>
      <c r="E19" s="5"/>
      <c r="F19" s="5"/>
      <c r="G19" s="5"/>
      <c r="H19" s="5"/>
      <c r="I19" s="5"/>
      <c r="J19" s="5"/>
      <c r="K19" s="5"/>
      <c r="L19" s="5">
        <v>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</row>
    <row r="20" spans="1:154" x14ac:dyDescent="0.35">
      <c r="A20" s="3"/>
      <c r="B20" s="33"/>
      <c r="C20" t="str">
        <f>Notes!T22</f>
        <v xml:space="preserve">               Peas</v>
      </c>
      <c r="D20" s="5" t="str">
        <f>Notes!D22</f>
        <v>a_peas</v>
      </c>
      <c r="E20" s="5"/>
      <c r="F20" s="5"/>
      <c r="G20" s="5"/>
      <c r="H20" s="5"/>
      <c r="I20" s="5"/>
      <c r="J20" s="5"/>
      <c r="K20" s="5"/>
      <c r="L20" s="5"/>
      <c r="M20" s="5">
        <v>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</row>
    <row r="21" spans="1:154" x14ac:dyDescent="0.35">
      <c r="A21" s="3"/>
      <c r="B21" s="33"/>
      <c r="C21" t="str">
        <f>Notes!T23</f>
        <v xml:space="preserve">               Other vegetables</v>
      </c>
      <c r="D21" s="5" t="str">
        <f>Notes!D23</f>
        <v>a_vege</v>
      </c>
      <c r="E21" s="5"/>
      <c r="F21" s="5"/>
      <c r="G21" s="5"/>
      <c r="H21" s="5"/>
      <c r="I21" s="5"/>
      <c r="J21" s="5"/>
      <c r="K21" s="5"/>
      <c r="L21" s="5"/>
      <c r="M21" s="5"/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</row>
    <row r="22" spans="1:154" x14ac:dyDescent="0.35">
      <c r="A22" s="3"/>
      <c r="B22" s="33"/>
      <c r="C22" t="str">
        <f>Notes!T24</f>
        <v xml:space="preserve">               Bananas and plantains</v>
      </c>
      <c r="D22" s="5" t="str">
        <f>Notes!D24</f>
        <v>a_banb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1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</row>
    <row r="23" spans="1:154" x14ac:dyDescent="0.35">
      <c r="A23" s="3"/>
      <c r="B23" s="33"/>
      <c r="C23" t="str">
        <f>Notes!T25</f>
        <v xml:space="preserve">               Bananas and plantains</v>
      </c>
      <c r="D23" s="5" t="str">
        <f>Notes!D25</f>
        <v>a_banc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</row>
    <row r="24" spans="1:154" x14ac:dyDescent="0.35">
      <c r="A24" s="3"/>
      <c r="B24" s="33"/>
      <c r="C24" t="str">
        <f>Notes!T26</f>
        <v xml:space="preserve">               Bananas and plantains</v>
      </c>
      <c r="D24" s="5" t="str">
        <f>Notes!D26</f>
        <v>a_bans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</row>
    <row r="25" spans="1:154" x14ac:dyDescent="0.35">
      <c r="A25" s="3"/>
      <c r="B25" s="33"/>
      <c r="C25" t="str">
        <f>Notes!T27</f>
        <v xml:space="preserve">               Other fruits</v>
      </c>
      <c r="D25" s="5" t="str">
        <f>Notes!D27</f>
        <v>a_frui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1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</row>
    <row r="26" spans="1:154" x14ac:dyDescent="0.35">
      <c r="A26" s="3"/>
      <c r="B26" s="33"/>
      <c r="C26" t="str">
        <f>Notes!T28</f>
        <v xml:space="preserve">               Groundnuts</v>
      </c>
      <c r="D26" s="5" t="str">
        <f>Notes!D28</f>
        <v>a_gnut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1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</row>
    <row r="27" spans="1:154" x14ac:dyDescent="0.35">
      <c r="A27" s="3"/>
      <c r="B27" s="33"/>
      <c r="C27" t="str">
        <f>Notes!T29</f>
        <v xml:space="preserve">               Soya</v>
      </c>
      <c r="D27" s="5" t="str">
        <f>Notes!D29</f>
        <v>a_soya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</row>
    <row r="28" spans="1:154" x14ac:dyDescent="0.35">
      <c r="A28" s="3"/>
      <c r="B28" s="33"/>
      <c r="C28" t="str">
        <f>Notes!T30</f>
        <v xml:space="preserve">               Other oilseeds</v>
      </c>
      <c r="D28" s="5" t="str">
        <f>Notes!D30</f>
        <v>a_oils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</row>
    <row r="29" spans="1:154" x14ac:dyDescent="0.35">
      <c r="A29" s="3"/>
      <c r="B29" s="33"/>
      <c r="C29" t="str">
        <f>Notes!T31</f>
        <v xml:space="preserve">               Coffee</v>
      </c>
      <c r="D29" s="5" t="str">
        <f>Notes!D31</f>
        <v>a_coff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</row>
    <row r="30" spans="1:154" x14ac:dyDescent="0.35">
      <c r="A30" s="3"/>
      <c r="B30" s="33"/>
      <c r="C30" t="str">
        <f>Notes!T32</f>
        <v xml:space="preserve">               Leaf tea</v>
      </c>
      <c r="D30" s="5" t="str">
        <f>Notes!D32</f>
        <v>a_teal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1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</row>
    <row r="31" spans="1:154" x14ac:dyDescent="0.35">
      <c r="A31" s="3"/>
      <c r="B31" s="33"/>
      <c r="C31" t="str">
        <f>Notes!T33</f>
        <v xml:space="preserve">               Tobacco</v>
      </c>
      <c r="D31" s="5" t="str">
        <f>Notes!D33</f>
        <v>a_toba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>
        <v>1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</row>
    <row r="32" spans="1:154" x14ac:dyDescent="0.35">
      <c r="A32" s="3"/>
      <c r="B32" s="33"/>
      <c r="C32" t="str">
        <f>Notes!T34</f>
        <v xml:space="preserve">               Sugar refining</v>
      </c>
      <c r="D32" s="5" t="str">
        <f>Notes!D34</f>
        <v>a_sugr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</row>
    <row r="33" spans="1:154" x14ac:dyDescent="0.35">
      <c r="A33" s="3"/>
      <c r="B33" s="33"/>
      <c r="C33" t="str">
        <f>Notes!T35</f>
        <v xml:space="preserve">               Pyre</v>
      </c>
      <c r="D33" s="5" t="str">
        <f>Notes!D35</f>
        <v>a_pyre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>
        <v>1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</row>
    <row r="34" spans="1:154" x14ac:dyDescent="0.35">
      <c r="A34" s="3"/>
      <c r="B34" s="33"/>
      <c r="C34" t="str">
        <f>Notes!T36</f>
        <v xml:space="preserve">               Other crops</v>
      </c>
      <c r="D34" s="5" t="str">
        <f>Notes!D36</f>
        <v>a_ocrp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</row>
    <row r="35" spans="1:154" x14ac:dyDescent="0.35">
      <c r="A35" s="3"/>
      <c r="B35" s="33"/>
      <c r="C35" t="str">
        <f>Notes!T37</f>
        <v xml:space="preserve">               Livestock</v>
      </c>
      <c r="D35" s="5" t="str">
        <f>Notes!D37</f>
        <v>aa_LIV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</row>
    <row r="36" spans="1:154" x14ac:dyDescent="0.35">
      <c r="A36" s="3"/>
      <c r="B36" s="33"/>
      <c r="C36" t="str">
        <f>Notes!T38</f>
        <v xml:space="preserve">               Cattle</v>
      </c>
      <c r="D36" s="5" t="str">
        <f>Notes!D38</f>
        <v>a_catt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</row>
    <row r="37" spans="1:154" x14ac:dyDescent="0.35">
      <c r="A37" s="3"/>
      <c r="B37" s="33"/>
      <c r="C37" t="str">
        <f>Notes!T39</f>
        <v xml:space="preserve">               Small ruminants</v>
      </c>
      <c r="D37" s="5" t="str">
        <f>Notes!D39</f>
        <v>a_smlr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</row>
    <row r="38" spans="1:154" x14ac:dyDescent="0.35">
      <c r="A38" s="3"/>
      <c r="B38" s="33"/>
      <c r="C38" t="str">
        <f>Notes!T40</f>
        <v xml:space="preserve">               Poultry</v>
      </c>
      <c r="D38" s="5" t="str">
        <f>Notes!D40</f>
        <v>a_poul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>
        <v>1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</row>
    <row r="39" spans="1:154" x14ac:dyDescent="0.35">
      <c r="A39" s="3"/>
      <c r="B39" s="33"/>
      <c r="C39" t="str">
        <f>Notes!T41</f>
        <v xml:space="preserve">               Other livestock</v>
      </c>
      <c r="D39" s="5" t="str">
        <f>Notes!D41</f>
        <v>a_oliv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</row>
    <row r="40" spans="1:154" x14ac:dyDescent="0.35">
      <c r="A40" s="3"/>
      <c r="B40" s="33"/>
      <c r="C40" t="str">
        <f>Notes!T42</f>
        <v xml:space="preserve">               Raw milk</v>
      </c>
      <c r="D40" s="5" t="str">
        <f>Notes!D42</f>
        <v>a_milk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>
        <v>1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</row>
    <row r="41" spans="1:154" x14ac:dyDescent="0.35">
      <c r="A41" s="3"/>
      <c r="B41" s="33"/>
      <c r="C41" t="str">
        <f>Notes!T43</f>
        <v xml:space="preserve">               Eggs</v>
      </c>
      <c r="D41" s="5" t="str">
        <f>Notes!D43</f>
        <v>a_eggs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</row>
    <row r="42" spans="1:154" x14ac:dyDescent="0.35">
      <c r="A42" s="3"/>
      <c r="B42" s="33"/>
      <c r="C42" t="str">
        <f>Notes!T44</f>
        <v xml:space="preserve">               Other agriculture</v>
      </c>
      <c r="D42" s="5" t="str">
        <f>Notes!D44</f>
        <v>aa_OAG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</row>
    <row r="43" spans="1:154" x14ac:dyDescent="0.35">
      <c r="A43" s="3"/>
      <c r="B43" s="33"/>
      <c r="C43" t="str">
        <f>Notes!T45</f>
        <v xml:space="preserve">               Forestry</v>
      </c>
      <c r="D43" s="5" t="str">
        <f>Notes!D45</f>
        <v>a_fore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</row>
    <row r="44" spans="1:154" x14ac:dyDescent="0.35">
      <c r="A44" s="3"/>
      <c r="B44" s="33"/>
      <c r="C44" t="str">
        <f>Notes!T46</f>
        <v xml:space="preserve">               Fishery and aquaculture</v>
      </c>
      <c r="D44" s="5" t="str">
        <f>Notes!D46</f>
        <v>aa_FSH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1</v>
      </c>
      <c r="AK44" s="5">
        <v>1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</row>
    <row r="45" spans="1:154" x14ac:dyDescent="0.35">
      <c r="A45" s="3"/>
      <c r="B45" s="33"/>
      <c r="C45" t="str">
        <f>Notes!T47</f>
        <v xml:space="preserve">               Capture fisheries</v>
      </c>
      <c r="D45" s="5" t="str">
        <f>Notes!D47</f>
        <v>a_fish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>
        <v>1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</row>
    <row r="46" spans="1:154" x14ac:dyDescent="0.35">
      <c r="A46" s="3"/>
      <c r="B46" s="33"/>
      <c r="C46" t="str">
        <f>Notes!T48</f>
        <v xml:space="preserve">               Non-agriculture</v>
      </c>
      <c r="D46" s="5" t="str">
        <f>Notes!D48</f>
        <v>aa_NAG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>
        <v>1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</row>
    <row r="47" spans="1:154" x14ac:dyDescent="0.35">
      <c r="A47" s="3"/>
      <c r="B47" s="33"/>
      <c r="C47" t="str">
        <f>Notes!T49</f>
        <v xml:space="preserve">               Industry</v>
      </c>
      <c r="D47" s="5" t="str">
        <f>Notes!D49</f>
        <v>aa_IND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v>1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</row>
    <row r="48" spans="1:154" x14ac:dyDescent="0.35">
      <c r="A48" s="3"/>
      <c r="B48" s="33"/>
      <c r="C48" t="str">
        <f>Notes!T50</f>
        <v xml:space="preserve">               Mining</v>
      </c>
      <c r="D48" s="5" t="str">
        <f>Notes!D50</f>
        <v>aa_MIN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1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5">
        <v>1</v>
      </c>
      <c r="AS48" s="5">
        <v>1</v>
      </c>
      <c r="AT48" s="5">
        <v>1</v>
      </c>
      <c r="AU48" s="5">
        <v>1</v>
      </c>
      <c r="AV48" s="5">
        <v>1</v>
      </c>
      <c r="AW48" s="5">
        <v>1</v>
      </c>
      <c r="AX48" s="5">
        <v>1</v>
      </c>
      <c r="AY48" s="5">
        <v>1</v>
      </c>
      <c r="AZ48" s="5">
        <v>1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  <c r="BF48" s="5">
        <v>1</v>
      </c>
      <c r="BG48" s="5">
        <v>1</v>
      </c>
      <c r="BH48" s="5">
        <v>1</v>
      </c>
      <c r="BI48" s="5">
        <v>1</v>
      </c>
      <c r="BJ48" s="5">
        <v>1</v>
      </c>
      <c r="BK48" s="5">
        <v>1</v>
      </c>
      <c r="BL48" s="5">
        <v>1</v>
      </c>
      <c r="BM48" s="5">
        <v>1</v>
      </c>
      <c r="BN48" s="5">
        <v>1</v>
      </c>
      <c r="BO48" s="5">
        <v>1</v>
      </c>
      <c r="BP48" s="5">
        <v>1</v>
      </c>
      <c r="BQ48" s="5">
        <v>1</v>
      </c>
      <c r="BR48" s="5">
        <v>1</v>
      </c>
      <c r="BS48" s="5">
        <v>1</v>
      </c>
      <c r="BT48" s="5">
        <v>1</v>
      </c>
      <c r="BU48" s="5">
        <v>1</v>
      </c>
      <c r="BV48" s="5">
        <v>1</v>
      </c>
      <c r="BW48" s="5">
        <v>1</v>
      </c>
      <c r="BX48" s="5">
        <v>1</v>
      </c>
      <c r="BY48" s="5">
        <v>1</v>
      </c>
      <c r="BZ48" s="5">
        <v>1</v>
      </c>
      <c r="CA48" s="5">
        <v>1</v>
      </c>
      <c r="CB48" s="5">
        <v>1</v>
      </c>
      <c r="CC48" s="5">
        <v>1</v>
      </c>
      <c r="CD48" s="5">
        <v>1</v>
      </c>
      <c r="CE48" s="5">
        <v>1</v>
      </c>
      <c r="CF48" s="5">
        <v>1</v>
      </c>
      <c r="CG48" s="5">
        <v>1</v>
      </c>
      <c r="CH48" s="5">
        <v>1</v>
      </c>
      <c r="CI48" s="5">
        <v>1</v>
      </c>
      <c r="CJ48" s="5">
        <v>1</v>
      </c>
      <c r="CK48" s="5">
        <v>1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</row>
    <row r="49" spans="1:154" x14ac:dyDescent="0.35">
      <c r="A49" s="3"/>
      <c r="B49" s="33"/>
      <c r="C49" t="str">
        <f>Notes!T51</f>
        <v xml:space="preserve">               Natural gas</v>
      </c>
      <c r="D49" s="5" t="str">
        <f>Notes!D51</f>
        <v>a_ngas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>
        <v>1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5">
        <v>1</v>
      </c>
      <c r="AY49" s="5">
        <v>1</v>
      </c>
      <c r="AZ49" s="5">
        <v>1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5">
        <v>1</v>
      </c>
      <c r="BG49" s="5">
        <v>1</v>
      </c>
      <c r="BH49" s="5">
        <v>1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5">
        <v>1</v>
      </c>
      <c r="BO49" s="5">
        <v>1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</row>
    <row r="50" spans="1:154" x14ac:dyDescent="0.35">
      <c r="A50" s="3"/>
      <c r="B50" s="33"/>
      <c r="C50" t="str">
        <f>Notes!T52</f>
        <v xml:space="preserve">               Other mining</v>
      </c>
      <c r="D50" s="5" t="str">
        <f>Notes!D52</f>
        <v>a_omin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1</v>
      </c>
      <c r="AM50" s="5">
        <v>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</row>
    <row r="51" spans="1:154" x14ac:dyDescent="0.35">
      <c r="A51" s="3"/>
      <c r="B51" s="33"/>
      <c r="C51" t="str">
        <f>Notes!T53</f>
        <v xml:space="preserve">               Manufacturing</v>
      </c>
      <c r="D51" s="5" t="str">
        <f>Notes!D53</f>
        <v>aa_MAN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1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</row>
    <row r="52" spans="1:154" x14ac:dyDescent="0.35">
      <c r="A52" s="3"/>
      <c r="B52" s="33"/>
      <c r="C52" t="str">
        <f>Notes!T54</f>
        <v xml:space="preserve">               Agro processing</v>
      </c>
      <c r="D52" s="5" t="str">
        <f>Notes!D54</f>
        <v>aa_APR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>
        <v>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</row>
    <row r="53" spans="1:154" x14ac:dyDescent="0.35">
      <c r="A53" s="3"/>
      <c r="B53" s="33"/>
      <c r="C53" t="str">
        <f>Notes!T55</f>
        <v xml:space="preserve">               Food processing</v>
      </c>
      <c r="D53" s="5" t="str">
        <f>Notes!D55</f>
        <v>aa_FPR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1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</row>
    <row r="54" spans="1:154" x14ac:dyDescent="0.35">
      <c r="A54" s="3"/>
      <c r="B54" s="33"/>
      <c r="C54" t="str">
        <f>Notes!T56</f>
        <v xml:space="preserve">               Meat processing</v>
      </c>
      <c r="D54" s="5" t="str">
        <f>Notes!D56</f>
        <v>a_meat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5">
        <v>1</v>
      </c>
      <c r="AX54" s="5">
        <v>1</v>
      </c>
      <c r="AY54" s="5"/>
      <c r="AZ54" s="5">
        <v>1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</row>
    <row r="55" spans="1:154" x14ac:dyDescent="0.35">
      <c r="A55" s="3"/>
      <c r="B55" s="33"/>
      <c r="C55" t="str">
        <f>Notes!T57</f>
        <v xml:space="preserve">               Fish and seafood processing</v>
      </c>
      <c r="D55" s="5" t="str">
        <f>Notes!D57</f>
        <v>a_fsea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v>1</v>
      </c>
      <c r="AO55" s="5">
        <v>1</v>
      </c>
      <c r="AP55" s="5">
        <v>1</v>
      </c>
      <c r="AQ55" s="5">
        <v>1</v>
      </c>
      <c r="AR55" s="5">
        <v>1</v>
      </c>
      <c r="AS55" s="5">
        <v>1</v>
      </c>
      <c r="AT55" s="5">
        <v>1</v>
      </c>
      <c r="AU55" s="5"/>
      <c r="AV55" s="5">
        <v>1</v>
      </c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</row>
    <row r="56" spans="1:154" x14ac:dyDescent="0.35">
      <c r="A56" s="3"/>
      <c r="B56" s="33"/>
      <c r="C56" t="str">
        <f>Notes!T58</f>
        <v xml:space="preserve">               Fruit and vegetable processing</v>
      </c>
      <c r="D56" s="5" t="str">
        <f>Notes!D58</f>
        <v>a_fveg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1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</row>
    <row r="57" spans="1:154" x14ac:dyDescent="0.35">
      <c r="A57" s="3"/>
      <c r="B57" s="33"/>
      <c r="C57" t="str">
        <f>Notes!T59</f>
        <v xml:space="preserve">               Fats and oils</v>
      </c>
      <c r="D57" s="5" t="str">
        <f>Notes!D59</f>
        <v>a_foil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>
        <v>1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</row>
    <row r="58" spans="1:154" x14ac:dyDescent="0.35">
      <c r="A58" s="3"/>
      <c r="B58" s="33"/>
      <c r="C58" t="str">
        <f>Notes!T60</f>
        <v xml:space="preserve">               Dairy</v>
      </c>
      <c r="D58" s="5" t="str">
        <f>Notes!D60</f>
        <v>a_dair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1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</row>
    <row r="59" spans="1:154" x14ac:dyDescent="0.35">
      <c r="A59" s="3"/>
      <c r="B59" s="33"/>
      <c r="C59" t="str">
        <f>Notes!T61</f>
        <v xml:space="preserve">               Grain millet milling</v>
      </c>
      <c r="D59" s="5" t="str">
        <f>Notes!D61</f>
        <v>a_gmll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</row>
    <row r="60" spans="1:154" x14ac:dyDescent="0.35">
      <c r="A60" s="3"/>
      <c r="B60" s="33"/>
      <c r="C60" t="str">
        <f>Notes!T62</f>
        <v xml:space="preserve">               Bakery</v>
      </c>
      <c r="D60" s="5" t="str">
        <f>Notes!D62</f>
        <v>a_bake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</row>
    <row r="61" spans="1:154" x14ac:dyDescent="0.35">
      <c r="A61" s="3"/>
      <c r="B61" s="33"/>
      <c r="C61" t="str">
        <f>Notes!T63</f>
        <v xml:space="preserve">               Animal feed</v>
      </c>
      <c r="D61" s="5" t="str">
        <f>Notes!D63</f>
        <v>a_feed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</v>
      </c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</row>
    <row r="62" spans="1:154" x14ac:dyDescent="0.35">
      <c r="A62" s="3"/>
      <c r="B62" s="33"/>
      <c r="C62" t="str">
        <f>Notes!T64</f>
        <v xml:space="preserve">               Other foods</v>
      </c>
      <c r="D62" s="5" t="str">
        <f>Notes!D64</f>
        <v>a_food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</row>
    <row r="63" spans="1:154" x14ac:dyDescent="0.35">
      <c r="A63" s="3"/>
      <c r="B63" s="33"/>
      <c r="C63" t="str">
        <f>Notes!T65</f>
        <v xml:space="preserve">               Beverage and Tobaco</v>
      </c>
      <c r="D63" s="5" t="str">
        <f>Notes!D65</f>
        <v>aa_BTOB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</row>
    <row r="64" spans="1:154" x14ac:dyDescent="0.35">
      <c r="A64" s="3"/>
      <c r="B64" s="33"/>
      <c r="C64" t="str">
        <f>Notes!T66</f>
        <v xml:space="preserve">               Beverages</v>
      </c>
      <c r="D64" s="5" t="str">
        <f>Notes!D66</f>
        <v>a_beve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</v>
      </c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</row>
    <row r="65" spans="1:154" x14ac:dyDescent="0.35">
      <c r="A65" s="3"/>
      <c r="B65" s="33"/>
      <c r="C65" t="str">
        <f>Notes!T67</f>
        <v xml:space="preserve">               Tobaco processing</v>
      </c>
      <c r="D65" s="5" t="str">
        <f>Notes!D67</f>
        <v>a_ptob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</v>
      </c>
      <c r="AX65" s="5">
        <v>1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</row>
    <row r="66" spans="1:154" x14ac:dyDescent="0.35">
      <c r="A66" s="3"/>
      <c r="B66" s="33"/>
      <c r="C66" t="str">
        <f>Notes!T68</f>
        <v xml:space="preserve">               Other manufacturing</v>
      </c>
      <c r="D66" s="5" t="str">
        <f>Notes!D68</f>
        <v>aa_OMN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</v>
      </c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</row>
    <row r="67" spans="1:154" x14ac:dyDescent="0.35">
      <c r="A67" s="3"/>
      <c r="B67" s="33"/>
      <c r="C67" t="str">
        <f>Notes!T69</f>
        <v xml:space="preserve">               Textiles, clothing and footwear</v>
      </c>
      <c r="D67" s="5" t="str">
        <f>Notes!D69</f>
        <v>aa_TXT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</row>
    <row r="68" spans="1:154" x14ac:dyDescent="0.35">
      <c r="A68" s="3"/>
      <c r="B68" s="33"/>
      <c r="C68" t="str">
        <f>Notes!T70</f>
        <v xml:space="preserve">               Textiles</v>
      </c>
      <c r="D68" s="5" t="str">
        <f>Notes!D70</f>
        <v>a_text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</v>
      </c>
      <c r="AZ68" s="5">
        <v>1</v>
      </c>
      <c r="BA68" s="5">
        <v>1</v>
      </c>
      <c r="BB68" s="5">
        <v>1</v>
      </c>
      <c r="BC68" s="5">
        <v>1</v>
      </c>
      <c r="BD68" s="5">
        <v>1</v>
      </c>
      <c r="BE68" s="5">
        <v>1</v>
      </c>
      <c r="BF68" s="5">
        <v>1</v>
      </c>
      <c r="BG68" s="5">
        <v>1</v>
      </c>
      <c r="BH68" s="5">
        <v>1</v>
      </c>
      <c r="BI68" s="5">
        <v>1</v>
      </c>
      <c r="BJ68" s="5">
        <v>1</v>
      </c>
      <c r="BK68" s="5">
        <v>1</v>
      </c>
      <c r="BL68" s="5">
        <v>1</v>
      </c>
      <c r="BM68" s="5">
        <v>1</v>
      </c>
      <c r="BN68" s="5">
        <v>1</v>
      </c>
      <c r="BO68" s="5">
        <v>1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</row>
    <row r="69" spans="1:154" x14ac:dyDescent="0.35">
      <c r="A69" s="3"/>
      <c r="B69" s="33"/>
      <c r="C69" t="str">
        <f>Notes!T71</f>
        <v xml:space="preserve">               Wood and paper products</v>
      </c>
      <c r="D69" s="5" t="str">
        <f>Notes!D71</f>
        <v>aa_WPR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>
        <v>1</v>
      </c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</row>
    <row r="70" spans="1:154" x14ac:dyDescent="0.35">
      <c r="A70" s="3"/>
      <c r="B70" s="33"/>
      <c r="C70" t="str">
        <f>Notes!T72</f>
        <v xml:space="preserve">               Wood and paper</v>
      </c>
      <c r="D70" s="5" t="str">
        <f>Notes!D72</f>
        <v>a_wood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1</v>
      </c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</row>
    <row r="71" spans="1:154" x14ac:dyDescent="0.35">
      <c r="A71" s="3"/>
      <c r="B71" s="33"/>
      <c r="C71" t="str">
        <f>Notes!T73</f>
        <v xml:space="preserve">               Printing</v>
      </c>
      <c r="D71" s="5" t="str">
        <f>Notes!D73</f>
        <v>a_prnt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</v>
      </c>
      <c r="BA71" s="5">
        <v>1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</row>
    <row r="72" spans="1:154" x14ac:dyDescent="0.35">
      <c r="A72" s="3"/>
      <c r="B72" s="33"/>
      <c r="C72" t="str">
        <f>Notes!T74</f>
        <v xml:space="preserve">               Chemicals</v>
      </c>
      <c r="D72" s="5" t="str">
        <f>Notes!D74</f>
        <v>aa_CHM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</row>
    <row r="73" spans="1:154" x14ac:dyDescent="0.35">
      <c r="A73" s="3"/>
      <c r="B73" s="33"/>
      <c r="C73" t="str">
        <f>Notes!T75</f>
        <v xml:space="preserve">               Petroleum</v>
      </c>
      <c r="D73" s="5" t="str">
        <f>Notes!D75</f>
        <v>a_petr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1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</row>
    <row r="74" spans="1:154" x14ac:dyDescent="0.35">
      <c r="A74" s="3"/>
      <c r="B74" s="33"/>
      <c r="C74" t="str">
        <f>Notes!T76</f>
        <v xml:space="preserve">               Other chemicals</v>
      </c>
      <c r="D74" s="5" t="str">
        <f>Notes!D76</f>
        <v>a_chem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1</v>
      </c>
      <c r="BC74" s="5">
        <v>1</v>
      </c>
      <c r="BD74" s="5">
        <v>1</v>
      </c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</row>
    <row r="75" spans="1:154" x14ac:dyDescent="0.35">
      <c r="A75" s="3"/>
      <c r="B75" s="33"/>
      <c r="C75" t="str">
        <f>Notes!T77</f>
        <v xml:space="preserve">               Pharmaceutical products (C53)</v>
      </c>
      <c r="D75" s="5" t="str">
        <f>Notes!D77</f>
        <v>a_phar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1</v>
      </c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</row>
    <row r="76" spans="1:154" x14ac:dyDescent="0.35">
      <c r="A76" s="3"/>
      <c r="B76" s="33"/>
      <c r="C76" t="str">
        <f>Notes!T78</f>
        <v xml:space="preserve">               Machinery and equipment</v>
      </c>
      <c r="D76" s="5" t="str">
        <f>Notes!D78</f>
        <v>aa_MCH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>
        <v>1</v>
      </c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</row>
    <row r="77" spans="1:154" x14ac:dyDescent="0.35">
      <c r="A77" s="3"/>
      <c r="B77" s="33"/>
      <c r="C77" t="str">
        <f>Notes!T79</f>
        <v xml:space="preserve">               Rubber and plastics products (C54)</v>
      </c>
      <c r="D77" s="5" t="str">
        <f>Notes!D79</f>
        <v>a_prub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</row>
    <row r="78" spans="1:154" x14ac:dyDescent="0.35">
      <c r="A78" s="3"/>
      <c r="B78" s="33"/>
      <c r="C78" t="str">
        <f>Notes!T80</f>
        <v xml:space="preserve">               Non-metallic mineral products n.e.c. (C61)</v>
      </c>
      <c r="D78" s="5" t="str">
        <f>Notes!D80</f>
        <v>a_nmet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</v>
      </c>
      <c r="BF78" s="5">
        <v>1</v>
      </c>
      <c r="BG78" s="5">
        <v>1</v>
      </c>
      <c r="BH78" s="5">
        <v>1</v>
      </c>
      <c r="BI78" s="5">
        <v>1</v>
      </c>
      <c r="BJ78" s="5">
        <v>1</v>
      </c>
      <c r="BK78" s="5">
        <v>1</v>
      </c>
      <c r="BL78" s="5">
        <v>1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</row>
    <row r="79" spans="1:154" x14ac:dyDescent="0.35">
      <c r="A79" s="3"/>
      <c r="B79" s="33"/>
      <c r="C79" t="str">
        <f>Notes!T81</f>
        <v xml:space="preserve">               Manufacture of cement, lime and plaster (C62)</v>
      </c>
      <c r="D79" s="5" t="str">
        <f>Notes!D81</f>
        <v>a_ceme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1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</row>
    <row r="80" spans="1:154" x14ac:dyDescent="0.35">
      <c r="A80" s="3"/>
      <c r="B80" s="33"/>
      <c r="C80" t="str">
        <f>Notes!T82</f>
        <v xml:space="preserve">               Metals &amp; metal products, except machinery and equipment (C72)</v>
      </c>
      <c r="D80" s="5" t="str">
        <f>Notes!D82</f>
        <v>a_metl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>
        <v>1</v>
      </c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</row>
    <row r="81" spans="1:154" x14ac:dyDescent="0.35">
      <c r="A81" s="3"/>
      <c r="B81" s="33"/>
      <c r="C81" t="str">
        <f>Notes!T83</f>
        <v xml:space="preserve">               Machinery and equipment (except transport) (C74)</v>
      </c>
      <c r="D81" s="5" t="str">
        <f>Notes!D83</f>
        <v>a_mach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1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</row>
    <row r="82" spans="1:154" x14ac:dyDescent="0.35">
      <c r="A82" s="3"/>
      <c r="B82" s="33"/>
      <c r="C82" t="str">
        <f>Notes!T84</f>
        <v xml:space="preserve">               Transport equipment (C76)</v>
      </c>
      <c r="D82" s="5" t="str">
        <f>Notes!D84</f>
        <v>a_vehi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1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</row>
    <row r="83" spans="1:154" x14ac:dyDescent="0.35">
      <c r="A83" s="3"/>
      <c r="B83" s="33"/>
      <c r="C83" t="str">
        <f>Notes!T85</f>
        <v xml:space="preserve">               Furniture (C81)</v>
      </c>
      <c r="D83" s="5" t="str">
        <f>Notes!D85</f>
        <v>a_furn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1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</row>
    <row r="84" spans="1:154" x14ac:dyDescent="0.35">
      <c r="A84" s="3"/>
      <c r="B84" s="33"/>
      <c r="C84" t="str">
        <f>Notes!T86</f>
        <v xml:space="preserve">               Other manufacturing (C82)</v>
      </c>
      <c r="D84" s="5" t="str">
        <f>Notes!D86</f>
        <v>a_oman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</row>
    <row r="85" spans="1:154" x14ac:dyDescent="0.35">
      <c r="A85" s="3"/>
      <c r="B85" s="33"/>
      <c r="C85" t="str">
        <f>Notes!T87</f>
        <v xml:space="preserve">               Other industry</v>
      </c>
      <c r="D85" s="5" t="str">
        <f>Notes!D87</f>
        <v>aa_OIN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</row>
    <row r="86" spans="1:154" x14ac:dyDescent="0.35">
      <c r="A86" s="3"/>
      <c r="B86" s="33"/>
      <c r="C86" t="str">
        <f>Notes!T88</f>
        <v xml:space="preserve">               Utility and Construction</v>
      </c>
      <c r="D86" s="5" t="str">
        <f>Notes!D88</f>
        <v>aa_UTL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>
        <v>1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</row>
    <row r="87" spans="1:154" x14ac:dyDescent="0.35">
      <c r="A87" s="3"/>
      <c r="B87" s="33"/>
      <c r="C87" t="str">
        <f>Notes!T89</f>
        <v xml:space="preserve">               Electricity, gas, steam and air conditioning supply (D00)</v>
      </c>
      <c r="D87" s="5" t="str">
        <f>Notes!D89</f>
        <v>a_elec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1</v>
      </c>
      <c r="BN87" s="5">
        <v>1</v>
      </c>
      <c r="BO87" s="5">
        <v>1</v>
      </c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</row>
    <row r="88" spans="1:154" x14ac:dyDescent="0.35">
      <c r="A88" s="3"/>
      <c r="B88" s="33"/>
      <c r="C88" t="str">
        <f>Notes!T90</f>
        <v xml:space="preserve">               Water collection, treatment and supply: sewrage (E01)</v>
      </c>
      <c r="D88" s="5" t="str">
        <f>Notes!D90</f>
        <v>a_watr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>
        <v>1</v>
      </c>
      <c r="BN88" s="5">
        <v>1</v>
      </c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</row>
    <row r="89" spans="1:154" x14ac:dyDescent="0.35">
      <c r="A89" s="3"/>
      <c r="B89" s="33"/>
      <c r="C89" t="str">
        <f>Notes!T91</f>
        <v xml:space="preserve">               Construction (modern) (F01)</v>
      </c>
      <c r="D89" s="5" t="str">
        <f>Notes!D91</f>
        <v>a_cons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1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</row>
    <row r="90" spans="1:154" x14ac:dyDescent="0.35">
      <c r="A90" s="3"/>
      <c r="B90" s="33"/>
      <c r="C90" t="str">
        <f>Notes!T92</f>
        <v xml:space="preserve">               Services</v>
      </c>
      <c r="D90" s="5" t="str">
        <f>Notes!D92</f>
        <v>aa_SRV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>
        <v>1</v>
      </c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</row>
    <row r="91" spans="1:154" x14ac:dyDescent="0.35">
      <c r="A91" s="3"/>
      <c r="B91" s="33"/>
      <c r="C91" t="str">
        <f>Notes!T93</f>
        <v xml:space="preserve">               Trade</v>
      </c>
      <c r="D91" s="5" t="str">
        <f>Notes!D93</f>
        <v>aa_TRD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</v>
      </c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</row>
    <row r="92" spans="1:154" x14ac:dyDescent="0.35">
      <c r="A92" s="3"/>
      <c r="B92" s="33"/>
      <c r="C92" t="str">
        <f>Notes!T94</f>
        <v xml:space="preserve">               Wholesale and retail trade of motor vehicles and motorcycles (G21)</v>
      </c>
      <c r="D92" s="5" t="str">
        <f>Notes!D94</f>
        <v>a_trad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>
        <v>1</v>
      </c>
      <c r="BQ92" s="5">
        <v>1</v>
      </c>
      <c r="BR92" s="5">
        <v>1</v>
      </c>
      <c r="BS92" s="5">
        <v>1</v>
      </c>
      <c r="BT92" s="5">
        <v>1</v>
      </c>
      <c r="BU92" s="5">
        <v>1</v>
      </c>
      <c r="BV92" s="5">
        <v>1</v>
      </c>
      <c r="BW92" s="5">
        <v>1</v>
      </c>
      <c r="BX92" s="5">
        <v>1</v>
      </c>
      <c r="BY92" s="5">
        <v>1</v>
      </c>
      <c r="BZ92" s="5">
        <v>1</v>
      </c>
      <c r="CA92" s="5">
        <v>1</v>
      </c>
      <c r="CB92" s="5">
        <v>1</v>
      </c>
      <c r="CC92" s="5">
        <v>1</v>
      </c>
      <c r="CD92" s="5">
        <v>1</v>
      </c>
      <c r="CE92" s="5">
        <v>1</v>
      </c>
      <c r="CF92" s="5">
        <v>1</v>
      </c>
      <c r="CG92" s="5">
        <v>1</v>
      </c>
      <c r="CH92" s="5">
        <v>1</v>
      </c>
      <c r="CI92" s="5">
        <v>1</v>
      </c>
      <c r="CJ92" s="5">
        <v>1</v>
      </c>
      <c r="CK92" s="5">
        <v>1</v>
      </c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</row>
    <row r="93" spans="1:154" x14ac:dyDescent="0.35">
      <c r="A93" s="3"/>
      <c r="B93" s="33"/>
      <c r="C93" t="str">
        <f>Notes!T95</f>
        <v xml:space="preserve">               Transport</v>
      </c>
      <c r="D93" s="5" t="str">
        <f>Notes!D95</f>
        <v>aa_TRN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>
        <v>1</v>
      </c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</row>
    <row r="94" spans="1:154" x14ac:dyDescent="0.35">
      <c r="A94" s="3"/>
      <c r="B94" s="33"/>
      <c r="C94" t="str">
        <f>Notes!T96</f>
        <v xml:space="preserve">               Transport</v>
      </c>
      <c r="D94" s="5" t="str">
        <f>Notes!D96</f>
        <v>a_tran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>
        <v>1</v>
      </c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</row>
    <row r="95" spans="1:154" x14ac:dyDescent="0.35">
      <c r="A95" s="3"/>
      <c r="B95" s="33"/>
      <c r="C95" t="str">
        <f>Notes!T97</f>
        <v xml:space="preserve">               Postal and courier activities (H32)</v>
      </c>
      <c r="D95" s="5" t="str">
        <f>Notes!D97</f>
        <v>a_post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>
        <v>1</v>
      </c>
      <c r="BR95" s="5">
        <v>1</v>
      </c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</row>
    <row r="96" spans="1:154" x14ac:dyDescent="0.35">
      <c r="A96" s="3"/>
      <c r="B96" s="33"/>
      <c r="C96" t="str">
        <f>Notes!T98</f>
        <v xml:space="preserve">               Hotel and related services</v>
      </c>
      <c r="D96" s="5" t="str">
        <f>Notes!D98</f>
        <v>aa_HFS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>
        <v>1</v>
      </c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</row>
    <row r="97" spans="1:154" x14ac:dyDescent="0.35">
      <c r="A97" s="3"/>
      <c r="B97" s="33"/>
      <c r="C97" t="str">
        <f>Notes!T99</f>
        <v xml:space="preserve">               Hotels &amp; restaurants (I00)</v>
      </c>
      <c r="D97" s="5" t="str">
        <f>Notes!D99</f>
        <v>a_hotl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>
        <v>1</v>
      </c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</row>
    <row r="98" spans="1:154" x14ac:dyDescent="0.35">
      <c r="A98" s="3"/>
      <c r="B98" s="33"/>
      <c r="C98" t="str">
        <f>Notes!T100</f>
        <v xml:space="preserve">               Publishing, video making, programming &amp; broadcasting activities (J10)</v>
      </c>
      <c r="D98" s="5" t="str">
        <f>Notes!D100</f>
        <v>a_publ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>
        <v>1</v>
      </c>
      <c r="BT98" s="5">
        <v>1</v>
      </c>
      <c r="BU98" s="5">
        <v>1</v>
      </c>
      <c r="BV98" s="5">
        <v>1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</row>
    <row r="99" spans="1:154" x14ac:dyDescent="0.35">
      <c r="A99" s="3"/>
      <c r="B99" s="33"/>
      <c r="C99" t="str">
        <f>Notes!T101</f>
        <v xml:space="preserve">               Telecommunication (J20)</v>
      </c>
      <c r="D99" s="5" t="str">
        <f>Notes!D101</f>
        <v>a_comm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>
        <v>1</v>
      </c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</row>
    <row r="100" spans="1:154" x14ac:dyDescent="0.35">
      <c r="A100" s="3"/>
      <c r="B100" s="33"/>
      <c r="C100" t="str">
        <f>Notes!T102</f>
        <v xml:space="preserve">               Information technology services (J30)</v>
      </c>
      <c r="D100" s="5" t="str">
        <f>Notes!D102</f>
        <v>a_info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>
        <v>1</v>
      </c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</row>
    <row r="101" spans="1:154" x14ac:dyDescent="0.35">
      <c r="A101" s="3"/>
      <c r="B101" s="33"/>
      <c r="C101" t="str">
        <f>Notes!T103</f>
        <v xml:space="preserve">               Financial and business services</v>
      </c>
      <c r="D101" s="5" t="str">
        <f>Notes!D103</f>
        <v>aa_FBR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>
        <v>1</v>
      </c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</row>
    <row r="102" spans="1:154" x14ac:dyDescent="0.35">
      <c r="A102" s="3"/>
      <c r="B102" s="33"/>
      <c r="C102" t="str">
        <f>Notes!T104</f>
        <v xml:space="preserve">               Monetary institutions (K01)</v>
      </c>
      <c r="D102" s="5" t="str">
        <f>Notes!D104</f>
        <v>a_bank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>
        <v>1</v>
      </c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</row>
    <row r="103" spans="1:154" x14ac:dyDescent="0.35">
      <c r="A103" s="3"/>
      <c r="B103" s="33"/>
      <c r="C103" t="str">
        <f>Notes!T105</f>
        <v xml:space="preserve">               Insurance, reinsurance and pension funding, except compulsory social security (K02)</v>
      </c>
      <c r="D103" s="5" t="str">
        <f>Notes!D105</f>
        <v>a_insu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>
        <v>1</v>
      </c>
      <c r="BX103" s="5">
        <v>1</v>
      </c>
      <c r="BY103" s="5">
        <v>1</v>
      </c>
      <c r="BZ103" s="5">
        <v>1</v>
      </c>
      <c r="CA103" s="5">
        <v>1</v>
      </c>
      <c r="CB103" s="5">
        <v>1</v>
      </c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</row>
    <row r="104" spans="1:154" x14ac:dyDescent="0.35">
      <c r="A104" s="3"/>
      <c r="B104" s="33"/>
      <c r="C104" t="str">
        <f>Notes!T106</f>
        <v xml:space="preserve">               Other financial services (K03)</v>
      </c>
      <c r="D104" s="5" t="str">
        <f>Notes!D106</f>
        <v>a_ofsv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1</v>
      </c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</row>
    <row r="105" spans="1:154" x14ac:dyDescent="0.35">
      <c r="A105" s="3"/>
      <c r="B105" s="33"/>
      <c r="C105" t="str">
        <f>Notes!T107</f>
        <v xml:space="preserve">               Rental value of dwellings (L01)</v>
      </c>
      <c r="D105" s="5" t="str">
        <f>Notes!D107</f>
        <v>a_rent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>
        <v>1</v>
      </c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</row>
    <row r="106" spans="1:154" x14ac:dyDescent="0.35">
      <c r="A106" s="3"/>
      <c r="B106" s="33"/>
      <c r="C106" t="str">
        <f>Notes!T108</f>
        <v xml:space="preserve">               Other real estate activities (L09)</v>
      </c>
      <c r="D106" s="5" t="str">
        <f>Notes!D108</f>
        <v>a_real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>
        <v>1</v>
      </c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</row>
    <row r="107" spans="1:154" x14ac:dyDescent="0.35">
      <c r="A107" s="3"/>
      <c r="B107" s="33"/>
      <c r="C107" t="str">
        <f>Notes!T109</f>
        <v xml:space="preserve">               Other professional, scientific and technical activities (M03)</v>
      </c>
      <c r="D107" s="5" t="str">
        <f>Notes!D109</f>
        <v>a_obsv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>
        <v>1</v>
      </c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</row>
    <row r="108" spans="1:154" x14ac:dyDescent="0.35">
      <c r="A108" s="3"/>
      <c r="B108" s="33"/>
      <c r="C108" t="str">
        <f>Notes!T110</f>
        <v xml:space="preserve">               Government services</v>
      </c>
      <c r="D108" s="5" t="str">
        <f>Notes!D110</f>
        <v>aa_GOV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>
        <v>1</v>
      </c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</row>
    <row r="109" spans="1:154" x14ac:dyDescent="0.35">
      <c r="A109" s="3"/>
      <c r="B109" s="33"/>
      <c r="C109" t="str">
        <f>Notes!T111</f>
        <v xml:space="preserve">               Public administration and defence; compulsory social security (O00)</v>
      </c>
      <c r="D109" s="5" t="str">
        <f>Notes!D111</f>
        <v>a_padm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>
        <v>1</v>
      </c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</row>
    <row r="110" spans="1:154" x14ac:dyDescent="0.35">
      <c r="A110" s="3"/>
      <c r="B110" s="33"/>
      <c r="C110" t="str">
        <f>Notes!T112</f>
        <v xml:space="preserve">               Education (P00)</v>
      </c>
      <c r="D110" s="5" t="str">
        <f>Notes!D112</f>
        <v>a_educ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>
        <v>1</v>
      </c>
      <c r="CD110" s="5">
        <v>1</v>
      </c>
      <c r="CE110" s="5">
        <v>1</v>
      </c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</row>
    <row r="111" spans="1:154" x14ac:dyDescent="0.35">
      <c r="A111" s="3"/>
      <c r="B111" s="33"/>
      <c r="C111" t="str">
        <f>Notes!T113</f>
        <v xml:space="preserve">               Human health activities (Q01)</v>
      </c>
      <c r="D111" s="5" t="str">
        <f>Notes!D113</f>
        <v>a_heal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>
        <v>1</v>
      </c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</row>
    <row r="112" spans="1:154" x14ac:dyDescent="0.35">
      <c r="A112" s="3"/>
      <c r="B112" s="33"/>
      <c r="C112" t="str">
        <f>Notes!T114</f>
        <v xml:space="preserve">               Other services</v>
      </c>
      <c r="D112" s="5" t="str">
        <f>Notes!D114</f>
        <v>aa_OSRV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>
        <v>1</v>
      </c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</row>
    <row r="113" spans="1:154" x14ac:dyDescent="0.35">
      <c r="A113" s="3"/>
      <c r="B113" s="33"/>
      <c r="C113" t="str">
        <f>Notes!T115</f>
        <v xml:space="preserve">               Social work activities (Q02)</v>
      </c>
      <c r="D113" s="5" t="str">
        <f>Notes!D115</f>
        <v>a_socw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>
        <v>1</v>
      </c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</row>
    <row r="114" spans="1:154" x14ac:dyDescent="0.35">
      <c r="A114" s="3"/>
      <c r="B114" s="33"/>
      <c r="C114" t="str">
        <f>Notes!T116</f>
        <v xml:space="preserve">               Libraries, archives, museums and other cultural activities (R01)</v>
      </c>
      <c r="D114" s="5" t="str">
        <f>Notes!D116</f>
        <v>a_cult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>
        <v>1</v>
      </c>
      <c r="CG114" s="5">
        <v>1</v>
      </c>
      <c r="CH114" s="5">
        <v>1</v>
      </c>
      <c r="CI114" s="5">
        <v>1</v>
      </c>
      <c r="CJ114" s="5">
        <v>1</v>
      </c>
      <c r="CK114" s="5">
        <v>1</v>
      </c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</row>
    <row r="115" spans="1:154" x14ac:dyDescent="0.35">
      <c r="A115" s="3"/>
      <c r="B115" s="33"/>
      <c r="C115" t="str">
        <f>Notes!T117</f>
        <v xml:space="preserve">               Other arts, entertainment and recreation (R09)</v>
      </c>
      <c r="D115" s="5" t="str">
        <f>Notes!D117</f>
        <v>a_arts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>
        <v>1</v>
      </c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</row>
    <row r="116" spans="1:154" x14ac:dyDescent="0.35">
      <c r="A116" s="3"/>
      <c r="B116" s="33"/>
      <c r="C116" t="str">
        <f>Notes!T118</f>
        <v xml:space="preserve">               Other service activities (S00)</v>
      </c>
      <c r="D116" s="5" t="str">
        <f>Notes!D118</f>
        <v>a_osrv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>
        <v>1</v>
      </c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</row>
    <row r="117" spans="1:154" x14ac:dyDescent="0.35">
      <c r="A117" s="3"/>
      <c r="B117" s="33"/>
      <c r="C117" t="str">
        <f>Notes!T119</f>
        <v xml:space="preserve">               Domestic services (T00)</v>
      </c>
      <c r="D117" s="5" t="str">
        <f>Notes!D119</f>
        <v>a_dsrv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>
        <v>1</v>
      </c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</row>
    <row r="118" spans="1:154" x14ac:dyDescent="0.35">
      <c r="A118" s="3"/>
      <c r="B118" s="33"/>
      <c r="C118" t="str">
        <f>Notes!T120</f>
        <v xml:space="preserve">               Travel debits &amp; credits (V00)</v>
      </c>
      <c r="D118" s="5" t="str">
        <f>Notes!D120</f>
        <v>a_trdc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>
        <v>1</v>
      </c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</row>
    <row r="119" spans="1:154" x14ac:dyDescent="0.35">
      <c r="A119" s="3"/>
      <c r="B119" s="33"/>
      <c r="C119" t="str">
        <f>Notes!T121</f>
        <v xml:space="preserve">               Domestic services (T00)</v>
      </c>
      <c r="D119" s="5" t="str">
        <f>Notes!D121</f>
        <v>a_dsrv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>
        <v>1</v>
      </c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</row>
    <row r="120" spans="1:154" x14ac:dyDescent="0.35">
      <c r="A120" s="3"/>
      <c r="B120" s="33"/>
      <c r="C120" t="str">
        <f>Notes!T122</f>
        <v xml:space="preserve">               Travel debits &amp; credits (V00)</v>
      </c>
      <c r="D120" s="5" t="str">
        <f>Notes!D122</f>
        <v>a_trdc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>
        <v>1</v>
      </c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</row>
    <row r="121" spans="1:154" x14ac:dyDescent="0.35">
      <c r="A121" s="3"/>
      <c r="B121" s="33"/>
      <c r="C121" t="str">
        <f>Notes!T123</f>
        <v xml:space="preserve">               </v>
      </c>
      <c r="D121" s="5">
        <f>Notes!D123</f>
        <v>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</row>
    <row r="122" spans="1:154" x14ac:dyDescent="0.35">
      <c r="A122" s="3"/>
      <c r="B122" s="33"/>
      <c r="C122" t="str">
        <f>Notes!T124</f>
        <v xml:space="preserve">               </v>
      </c>
      <c r="D122" s="5">
        <f>Notes!D124</f>
        <v>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</row>
    <row r="123" spans="1:154" x14ac:dyDescent="0.35">
      <c r="A123" s="3"/>
      <c r="B123" s="33"/>
      <c r="C123" t="str">
        <f>Notes!T125</f>
        <v xml:space="preserve">               </v>
      </c>
      <c r="D123" s="5">
        <f>Notes!D125</f>
        <v>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</row>
    <row r="124" spans="1:154" x14ac:dyDescent="0.35">
      <c r="A124" s="3"/>
      <c r="B124" s="33"/>
      <c r="C124" t="str">
        <f>Notes!T126</f>
        <v xml:space="preserve">               </v>
      </c>
      <c r="D124" s="5">
        <f>Notes!D126</f>
        <v>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</row>
    <row r="125" spans="1:154" x14ac:dyDescent="0.35">
      <c r="A125" s="3"/>
      <c r="B125" s="33"/>
      <c r="C125" t="str">
        <f>Notes!T127</f>
        <v xml:space="preserve">               </v>
      </c>
      <c r="D125" s="5">
        <f>Notes!D127</f>
        <v>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</row>
    <row r="126" spans="1:154" x14ac:dyDescent="0.35">
      <c r="A126" s="3"/>
      <c r="B126" s="33"/>
      <c r="C126" t="str">
        <f>Notes!T128</f>
        <v xml:space="preserve">               </v>
      </c>
      <c r="D126" s="5">
        <f>Notes!D128</f>
        <v>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</row>
    <row r="127" spans="1:154" x14ac:dyDescent="0.35">
      <c r="A127" s="3"/>
      <c r="B127" s="33"/>
      <c r="C127" t="str">
        <f>Notes!T129</f>
        <v xml:space="preserve">               </v>
      </c>
      <c r="D127" s="5">
        <f>Notes!D129</f>
        <v>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</row>
    <row r="128" spans="1:154" x14ac:dyDescent="0.35">
      <c r="A128" s="3"/>
      <c r="B128" s="33"/>
      <c r="C128" t="str">
        <f>Notes!T130</f>
        <v xml:space="preserve">               </v>
      </c>
      <c r="D128" s="5">
        <f>Notes!D130</f>
        <v>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</row>
    <row r="129" spans="1:154" x14ac:dyDescent="0.35">
      <c r="A129" s="3"/>
      <c r="B129" s="33"/>
      <c r="C129" t="str">
        <f>Notes!T131</f>
        <v xml:space="preserve">               </v>
      </c>
      <c r="D129" s="5">
        <f>Notes!D131</f>
        <v>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</row>
    <row r="130" spans="1:154" x14ac:dyDescent="0.35">
      <c r="A130" s="3"/>
      <c r="B130" s="33"/>
      <c r="C130" t="str">
        <f>Notes!T132</f>
        <v xml:space="preserve">               </v>
      </c>
      <c r="D130" s="5">
        <f>Notes!D132</f>
        <v>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</row>
    <row r="131" spans="1:154" x14ac:dyDescent="0.35">
      <c r="A131" s="3"/>
      <c r="B131" s="33"/>
      <c r="C131" t="str">
        <f>Notes!T133</f>
        <v xml:space="preserve">               </v>
      </c>
      <c r="D131" s="5">
        <f>Notes!D133</f>
        <v>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</row>
    <row r="132" spans="1:154" x14ac:dyDescent="0.35">
      <c r="A132" s="3"/>
      <c r="B132" s="33"/>
      <c r="C132" t="str">
        <f>Notes!T134</f>
        <v xml:space="preserve">               </v>
      </c>
      <c r="D132" s="5">
        <f>Notes!D134</f>
        <v>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</row>
    <row r="133" spans="1:154" x14ac:dyDescent="0.35">
      <c r="A133" s="3"/>
      <c r="B133" s="33"/>
      <c r="C133" t="str">
        <f>Notes!T135</f>
        <v xml:space="preserve">               </v>
      </c>
      <c r="D133" s="5">
        <f>Notes!D135</f>
        <v>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</row>
    <row r="134" spans="1:154" x14ac:dyDescent="0.35">
      <c r="A134" s="3"/>
      <c r="B134" s="33"/>
      <c r="C134" t="str">
        <f>Notes!T136</f>
        <v xml:space="preserve">               </v>
      </c>
      <c r="D134" s="5">
        <f>Notes!D136</f>
        <v>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</row>
    <row r="135" spans="1:154" x14ac:dyDescent="0.35">
      <c r="A135" s="3"/>
      <c r="B135" s="33"/>
      <c r="C135" t="str">
        <f>Notes!T137</f>
        <v xml:space="preserve">               </v>
      </c>
      <c r="D135" s="5">
        <f>Notes!D137</f>
        <v>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</row>
    <row r="136" spans="1:154" x14ac:dyDescent="0.35">
      <c r="A136" s="3"/>
      <c r="B136" s="33"/>
      <c r="C136" t="str">
        <f>Notes!T138</f>
        <v xml:space="preserve">               </v>
      </c>
      <c r="D136" s="5">
        <f>Notes!D138</f>
        <v>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</row>
    <row r="137" spans="1:154" x14ac:dyDescent="0.35">
      <c r="A137" s="3"/>
      <c r="B137" s="33"/>
      <c r="C137" t="str">
        <f>Notes!T139</f>
        <v xml:space="preserve">               </v>
      </c>
      <c r="D137" s="5">
        <f>Notes!D139</f>
        <v>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</row>
    <row r="138" spans="1:154" x14ac:dyDescent="0.35">
      <c r="A138" s="3"/>
      <c r="B138" s="33"/>
      <c r="C138" t="str">
        <f>Notes!T140</f>
        <v xml:space="preserve">               </v>
      </c>
      <c r="D138" s="5">
        <f>Notes!D140</f>
        <v>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</row>
    <row r="139" spans="1:154" x14ac:dyDescent="0.35">
      <c r="A139" s="3"/>
      <c r="B139" s="33"/>
      <c r="C139" t="str">
        <f>Notes!T141</f>
        <v xml:space="preserve">               </v>
      </c>
      <c r="D139" s="5">
        <f>Notes!D141</f>
        <v>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</row>
    <row r="140" spans="1:154" x14ac:dyDescent="0.35">
      <c r="A140" s="3"/>
      <c r="B140" s="33"/>
      <c r="C140" t="str">
        <f>Notes!T142</f>
        <v xml:space="preserve">               </v>
      </c>
      <c r="D140" s="5">
        <f>Notes!D142</f>
        <v>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</row>
    <row r="141" spans="1:154" x14ac:dyDescent="0.35">
      <c r="A141" s="3"/>
      <c r="B141" s="33"/>
      <c r="C141" t="str">
        <f>Notes!T143</f>
        <v xml:space="preserve">               </v>
      </c>
      <c r="D141" s="5">
        <f>Notes!D143</f>
        <v>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</row>
    <row r="142" spans="1:154" x14ac:dyDescent="0.35">
      <c r="A142" s="3"/>
      <c r="B142" s="33"/>
      <c r="C142" t="str">
        <f>Notes!T144</f>
        <v xml:space="preserve">               </v>
      </c>
      <c r="D142" s="5">
        <f>Notes!D144</f>
        <v>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</row>
    <row r="143" spans="1:154" x14ac:dyDescent="0.35">
      <c r="A143" s="3"/>
      <c r="B143" s="33"/>
      <c r="C143" t="str">
        <f>Notes!T145</f>
        <v xml:space="preserve">               </v>
      </c>
      <c r="D143" s="5">
        <f>Notes!D145</f>
        <v>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</row>
    <row r="144" spans="1:154" x14ac:dyDescent="0.35">
      <c r="A144" s="3"/>
      <c r="B144" s="33"/>
      <c r="C144" t="str">
        <f>Notes!T146</f>
        <v xml:space="preserve">               </v>
      </c>
      <c r="D144" s="5">
        <f>Notes!D146</f>
        <v>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</row>
    <row r="145" spans="1:154" x14ac:dyDescent="0.35">
      <c r="A145" s="3"/>
      <c r="B145" s="33"/>
      <c r="C145" t="str">
        <f>Notes!T147</f>
        <v xml:space="preserve">               </v>
      </c>
      <c r="D145" s="5">
        <f>Notes!D147</f>
        <v>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</row>
    <row r="146" spans="1:154" x14ac:dyDescent="0.35">
      <c r="A146" s="3"/>
      <c r="B146" s="33"/>
      <c r="C146" t="str">
        <f>Notes!T148</f>
        <v xml:space="preserve">               </v>
      </c>
      <c r="D146" s="5">
        <f>Notes!D148</f>
        <v>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</row>
    <row r="147" spans="1:154" x14ac:dyDescent="0.35">
      <c r="A147" s="3"/>
      <c r="B147" s="33"/>
      <c r="C147" t="str">
        <f>Notes!T149</f>
        <v xml:space="preserve">               </v>
      </c>
      <c r="D147" s="5">
        <f>Notes!D149</f>
        <v>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</row>
    <row r="148" spans="1:154" x14ac:dyDescent="0.35">
      <c r="A148" s="3"/>
      <c r="B148" s="33"/>
      <c r="C148" t="str">
        <f>Notes!T150</f>
        <v xml:space="preserve">               </v>
      </c>
      <c r="D148" s="5">
        <f>Notes!D150</f>
        <v>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</row>
    <row r="149" spans="1:154" x14ac:dyDescent="0.35">
      <c r="A149" s="3"/>
      <c r="B149" s="33"/>
      <c r="C149" t="str">
        <f>Notes!T151</f>
        <v xml:space="preserve">               </v>
      </c>
      <c r="D149" s="5">
        <f>Notes!D151</f>
        <v>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</row>
    <row r="150" spans="1:154" x14ac:dyDescent="0.35">
      <c r="A150" s="3"/>
      <c r="B150" s="33"/>
      <c r="C150" t="str">
        <f>Notes!T152</f>
        <v xml:space="preserve">               </v>
      </c>
      <c r="D150" s="5">
        <f>Notes!D152</f>
        <v>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</row>
    <row r="151" spans="1:154" x14ac:dyDescent="0.35">
      <c r="A151" s="3"/>
      <c r="B151" s="33"/>
      <c r="C151" t="str">
        <f>Notes!T153</f>
        <v xml:space="preserve">               </v>
      </c>
      <c r="D151" s="5">
        <f>Notes!D153</f>
        <v>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</row>
    <row r="152" spans="1:154" x14ac:dyDescent="0.35">
      <c r="A152" s="3"/>
      <c r="B152" s="33"/>
      <c r="C152" t="str">
        <f>Notes!T154</f>
        <v xml:space="preserve">               </v>
      </c>
      <c r="D152" s="5">
        <f>Notes!D154</f>
        <v>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</row>
    <row r="153" spans="1:154" x14ac:dyDescent="0.35">
      <c r="A153" s="3"/>
      <c r="B153" s="33"/>
      <c r="C153" t="str">
        <f>Notes!T155</f>
        <v xml:space="preserve">               </v>
      </c>
      <c r="D153" s="5">
        <f>Notes!D155</f>
        <v>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</row>
    <row r="154" spans="1:154" x14ac:dyDescent="0.35">
      <c r="A154" s="3"/>
      <c r="B154" s="33"/>
      <c r="C154" t="str">
        <f>Notes!T156</f>
        <v xml:space="preserve">               </v>
      </c>
      <c r="D154" s="5">
        <f>Notes!D156</f>
        <v>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</row>
    <row r="155" spans="1:154" x14ac:dyDescent="0.35">
      <c r="A155" s="3"/>
      <c r="B155" s="33"/>
      <c r="C155" t="str">
        <f>Notes!T157</f>
        <v xml:space="preserve">               </v>
      </c>
      <c r="D155" s="5">
        <f>Notes!D157</f>
        <v>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</row>
    <row r="156" spans="1:154" x14ac:dyDescent="0.35">
      <c r="A156" s="3"/>
      <c r="B156" s="33"/>
      <c r="C156" t="str">
        <f>Notes!T158</f>
        <v xml:space="preserve">               </v>
      </c>
      <c r="D156" s="5">
        <f>Notes!D158</f>
        <v>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</row>
    <row r="157" spans="1:154" x14ac:dyDescent="0.35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</row>
  </sheetData>
  <sheetProtection sheet="1" objects="1" scenarios="1"/>
  <pageMargins left="0.7" right="0.7" top="0.75" bottom="0.75" header="0.3" footer="0.3"/>
  <ignoredErrors>
    <ignoredError sqref="D7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4DB2-BCD0-4FEB-9358-0EA9BE0ACD53}">
  <sheetPr>
    <tabColor theme="9" tint="-0.499984740745262"/>
  </sheetPr>
  <dimension ref="A1:EY157"/>
  <sheetViews>
    <sheetView showZeros="0" zoomScale="85" zoomScaleNormal="85" workbookViewId="0">
      <pane xSplit="4" ySplit="6" topLeftCell="E7" activePane="bottomRight" state="frozen"/>
      <selection activeCell="K75" sqref="K75"/>
      <selection pane="topRight" activeCell="K75" sqref="K75"/>
      <selection pane="bottomLeft" activeCell="K75" sqref="K75"/>
      <selection pane="bottomRight" activeCell="A27" sqref="A27:XFD27"/>
    </sheetView>
  </sheetViews>
  <sheetFormatPr defaultColWidth="0" defaultRowHeight="14.5" zeroHeight="1" x14ac:dyDescent="0.35"/>
  <cols>
    <col min="1" max="2" width="2.453125" customWidth="1"/>
    <col min="3" max="3" width="28.90625" customWidth="1"/>
    <col min="4" max="4" width="15.54296875" customWidth="1"/>
    <col min="5" max="154" width="9.08984375" customWidth="1"/>
    <col min="155" max="155" width="2.453125" customWidth="1"/>
    <col min="156" max="16384" width="9.08984375" hidden="1"/>
  </cols>
  <sheetData>
    <row r="1" spans="1:155" ht="18.5" x14ac:dyDescent="0.45">
      <c r="A1" s="9" t="s">
        <v>38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</row>
    <row r="2" spans="1:155" x14ac:dyDescent="0.35"/>
    <row r="3" spans="1:155" x14ac:dyDescent="0.35"/>
    <row r="4" spans="1:155" x14ac:dyDescent="0.35"/>
    <row r="5" spans="1:155" x14ac:dyDescent="0.35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5" x14ac:dyDescent="0.35">
      <c r="B6" s="33"/>
      <c r="D6" s="5"/>
      <c r="E6" s="5" t="s">
        <v>576</v>
      </c>
      <c r="F6" s="5" t="s">
        <v>577</v>
      </c>
      <c r="G6" s="5" t="s">
        <v>578</v>
      </c>
      <c r="H6" s="5" t="s">
        <v>579</v>
      </c>
      <c r="I6" s="5" t="s">
        <v>580</v>
      </c>
      <c r="J6" s="5" t="s">
        <v>581</v>
      </c>
      <c r="K6" s="5" t="s">
        <v>582</v>
      </c>
      <c r="L6" s="5" t="s">
        <v>583</v>
      </c>
      <c r="M6" s="5" t="s">
        <v>665</v>
      </c>
      <c r="N6" s="5" t="s">
        <v>666</v>
      </c>
      <c r="O6" s="5" t="s">
        <v>667</v>
      </c>
      <c r="P6" s="5" t="s">
        <v>668</v>
      </c>
      <c r="Q6" s="5" t="s">
        <v>6</v>
      </c>
      <c r="R6" s="5" t="s">
        <v>584</v>
      </c>
      <c r="S6" s="5" t="s">
        <v>585</v>
      </c>
      <c r="T6" s="5" t="s">
        <v>586</v>
      </c>
      <c r="U6" s="5" t="s">
        <v>587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</row>
    <row r="7" spans="1:155" x14ac:dyDescent="0.35">
      <c r="A7" s="3"/>
      <c r="B7" s="33"/>
      <c r="C7" t="str">
        <f>Notes!V9</f>
        <v>Labor</v>
      </c>
      <c r="D7" s="5" t="str">
        <f>Notes!J9</f>
        <v>ff_LAB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</row>
    <row r="8" spans="1:155" x14ac:dyDescent="0.35">
      <c r="A8" s="3"/>
      <c r="B8" s="33"/>
      <c r="C8" t="str">
        <f>Notes!V10</f>
        <v xml:space="preserve">      Labor - uneducated</v>
      </c>
      <c r="D8" s="5" t="str">
        <f>Notes!J10</f>
        <v>ff_LAB_N</v>
      </c>
      <c r="E8" s="5">
        <v>1</v>
      </c>
      <c r="F8" s="5"/>
      <c r="G8" s="5"/>
      <c r="H8" s="5"/>
      <c r="I8" s="5">
        <v>1</v>
      </c>
      <c r="J8" s="5"/>
      <c r="K8" s="5"/>
      <c r="L8" s="5"/>
      <c r="M8" s="5">
        <v>1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</row>
    <row r="9" spans="1:155" x14ac:dyDescent="0.35">
      <c r="A9" s="3"/>
      <c r="B9" s="33"/>
      <c r="C9" t="str">
        <f>Notes!V11</f>
        <v xml:space="preserve">      Labor - primary</v>
      </c>
      <c r="D9" s="5" t="str">
        <f>Notes!J11</f>
        <v>ff_LAB_P</v>
      </c>
      <c r="E9" s="5"/>
      <c r="F9" s="5">
        <v>1</v>
      </c>
      <c r="G9" s="5"/>
      <c r="H9" s="5"/>
      <c r="I9" s="5"/>
      <c r="J9" s="5">
        <v>1</v>
      </c>
      <c r="K9" s="5"/>
      <c r="L9" s="5"/>
      <c r="M9" s="5"/>
      <c r="N9" s="5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</row>
    <row r="10" spans="1:155" x14ac:dyDescent="0.35">
      <c r="A10" s="3"/>
      <c r="B10" s="33"/>
      <c r="C10" t="str">
        <f>Notes!V12</f>
        <v xml:space="preserve">      Labor - secondary</v>
      </c>
      <c r="D10" s="5" t="str">
        <f>Notes!J12</f>
        <v>ff_LAB_S</v>
      </c>
      <c r="E10" s="5"/>
      <c r="F10" s="5"/>
      <c r="G10" s="5">
        <v>1</v>
      </c>
      <c r="H10" s="5"/>
      <c r="I10" s="5"/>
      <c r="J10" s="5"/>
      <c r="K10" s="5">
        <v>1</v>
      </c>
      <c r="L10" s="5"/>
      <c r="M10" s="5"/>
      <c r="N10" s="5"/>
      <c r="O10" s="5">
        <v>1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</row>
    <row r="11" spans="1:155" x14ac:dyDescent="0.35">
      <c r="A11" s="3"/>
      <c r="B11" s="33"/>
      <c r="C11" t="str">
        <f>Notes!V13</f>
        <v xml:space="preserve">      Labor - tertiary</v>
      </c>
      <c r="D11" s="5" t="str">
        <f>Notes!J13</f>
        <v>ff_LAB_T</v>
      </c>
      <c r="E11" s="5"/>
      <c r="F11" s="5"/>
      <c r="G11" s="5"/>
      <c r="H11" s="5">
        <v>1</v>
      </c>
      <c r="I11" s="5"/>
      <c r="J11" s="5"/>
      <c r="K11" s="5"/>
      <c r="L11" s="5">
        <v>1</v>
      </c>
      <c r="M11" s="5"/>
      <c r="N11" s="5"/>
      <c r="O11" s="5"/>
      <c r="P11" s="5">
        <v>1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</row>
    <row r="12" spans="1:155" x14ac:dyDescent="0.35">
      <c r="A12" s="3"/>
      <c r="B12" s="33"/>
      <c r="C12" t="str">
        <f>Notes!V14</f>
        <v xml:space="preserve">   Labor - rural</v>
      </c>
      <c r="D12" s="5" t="str">
        <f>Notes!J14</f>
        <v>ff_RUR</v>
      </c>
      <c r="E12" s="5">
        <v>1</v>
      </c>
      <c r="F12" s="5">
        <v>1</v>
      </c>
      <c r="G12" s="5">
        <v>1</v>
      </c>
      <c r="H12" s="5">
        <v>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</row>
    <row r="13" spans="1:155" x14ac:dyDescent="0.35">
      <c r="A13" s="3"/>
      <c r="B13" s="33"/>
      <c r="C13" t="str">
        <f>Notes!V15</f>
        <v xml:space="preserve">      Labor - rural uneducated</v>
      </c>
      <c r="D13" s="5" t="str">
        <f>Notes!J15</f>
        <v>f_lab-rn</v>
      </c>
      <c r="E13" s="5">
        <v>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</row>
    <row r="14" spans="1:155" x14ac:dyDescent="0.35">
      <c r="A14" s="3"/>
      <c r="B14" s="33"/>
      <c r="C14" t="str">
        <f>Notes!V16</f>
        <v xml:space="preserve">      Labor - rural primary</v>
      </c>
      <c r="D14" s="5" t="str">
        <f>Notes!J16</f>
        <v>f_lab-rp</v>
      </c>
      <c r="E14" s="5"/>
      <c r="F14" s="5">
        <v>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</row>
    <row r="15" spans="1:155" x14ac:dyDescent="0.35">
      <c r="A15" s="3"/>
      <c r="B15" s="33"/>
      <c r="C15" t="str">
        <f>Notes!V17</f>
        <v xml:space="preserve">      Labor - rural secondary</v>
      </c>
      <c r="D15" s="5" t="str">
        <f>Notes!J17</f>
        <v>f_lab-rs</v>
      </c>
      <c r="E15" s="5"/>
      <c r="F15" s="5"/>
      <c r="G15" s="5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</row>
    <row r="16" spans="1:155" x14ac:dyDescent="0.35">
      <c r="A16" s="3"/>
      <c r="B16" s="33"/>
      <c r="C16" t="str">
        <f>Notes!V18</f>
        <v xml:space="preserve">      Labor - rural tertiary</v>
      </c>
      <c r="D16" s="5" t="str">
        <f>Notes!J18</f>
        <v>f_lab-rt</v>
      </c>
      <c r="E16" s="5"/>
      <c r="F16" s="5"/>
      <c r="G16" s="5"/>
      <c r="H16" s="5">
        <v>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</row>
    <row r="17" spans="1:154" x14ac:dyDescent="0.35">
      <c r="A17" s="3"/>
      <c r="B17" s="33"/>
      <c r="C17" t="str">
        <f>Notes!V19</f>
        <v xml:space="preserve">   Labor - urban</v>
      </c>
      <c r="D17" s="5" t="str">
        <f>Notes!J19</f>
        <v>ff_URB</v>
      </c>
      <c r="E17" s="5"/>
      <c r="F17" s="5"/>
      <c r="G17" s="5"/>
      <c r="H17" s="5"/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</row>
    <row r="18" spans="1:154" x14ac:dyDescent="0.35">
      <c r="A18" s="3"/>
      <c r="B18" s="33"/>
      <c r="C18" t="str">
        <f>Notes!V20</f>
        <v xml:space="preserve">      Labor - urban uneducated</v>
      </c>
      <c r="D18" s="5" t="str">
        <f>Notes!J20</f>
        <v>f_lab-un</v>
      </c>
      <c r="E18" s="5"/>
      <c r="F18" s="5"/>
      <c r="G18" s="5"/>
      <c r="H18" s="5"/>
      <c r="I18" s="5">
        <v>1</v>
      </c>
      <c r="J18" s="5"/>
      <c r="K18" s="5"/>
      <c r="L18" s="5"/>
      <c r="M18" s="5">
        <v>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</row>
    <row r="19" spans="1:154" x14ac:dyDescent="0.35">
      <c r="A19" s="3"/>
      <c r="B19" s="33"/>
      <c r="C19" t="str">
        <f>Notes!V21</f>
        <v xml:space="preserve">      Labor - urban primary</v>
      </c>
      <c r="D19" s="5" t="str">
        <f>Notes!J21</f>
        <v>f_lab-up</v>
      </c>
      <c r="E19" s="5"/>
      <c r="F19" s="5"/>
      <c r="G19" s="5"/>
      <c r="H19" s="5"/>
      <c r="I19" s="5"/>
      <c r="J19" s="5">
        <v>1</v>
      </c>
      <c r="K19" s="5"/>
      <c r="L19" s="5"/>
      <c r="M19" s="5"/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</row>
    <row r="20" spans="1:154" x14ac:dyDescent="0.35">
      <c r="A20" s="3"/>
      <c r="B20" s="33"/>
      <c r="C20" t="str">
        <f>Notes!V22</f>
        <v xml:space="preserve">      Labor - urban secondary</v>
      </c>
      <c r="D20" s="5" t="str">
        <f>Notes!J22</f>
        <v>f_lab-us</v>
      </c>
      <c r="E20" s="5"/>
      <c r="F20" s="5"/>
      <c r="G20" s="5"/>
      <c r="H20" s="5"/>
      <c r="I20" s="5"/>
      <c r="J20" s="5"/>
      <c r="K20" s="5">
        <v>1</v>
      </c>
      <c r="L20" s="5"/>
      <c r="M20" s="5"/>
      <c r="N20" s="5"/>
      <c r="O20" s="5">
        <v>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</row>
    <row r="21" spans="1:154" x14ac:dyDescent="0.35">
      <c r="A21" s="3"/>
      <c r="B21" s="33"/>
      <c r="C21" t="str">
        <f>Notes!V23</f>
        <v xml:space="preserve">      Labor - urban tertiary</v>
      </c>
      <c r="D21" s="5" t="str">
        <f>Notes!J23</f>
        <v>f_lab-ut</v>
      </c>
      <c r="E21" s="5"/>
      <c r="F21" s="5"/>
      <c r="G21" s="5"/>
      <c r="H21" s="5"/>
      <c r="I21" s="5"/>
      <c r="J21" s="5"/>
      <c r="K21" s="5"/>
      <c r="L21" s="5">
        <v>1</v>
      </c>
      <c r="M21" s="5"/>
      <c r="N21" s="5"/>
      <c r="O21" s="5"/>
      <c r="P21" s="5">
        <v>1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</row>
    <row r="22" spans="1:154" x14ac:dyDescent="0.35">
      <c r="A22" s="3"/>
      <c r="B22" s="33"/>
      <c r="C22" t="str">
        <f>Notes!V24</f>
        <v>Crop land</v>
      </c>
      <c r="D22" s="5" t="str">
        <f>Notes!J24</f>
        <v>f_lnd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</row>
    <row r="23" spans="1:154" x14ac:dyDescent="0.35">
      <c r="A23" s="3"/>
      <c r="B23" s="33"/>
      <c r="C23" t="str">
        <f>Notes!V25</f>
        <v>Capital</v>
      </c>
      <c r="D23" s="5" t="str">
        <f>Notes!J25</f>
        <v>ff_CAP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1</v>
      </c>
      <c r="S23" s="5">
        <v>1</v>
      </c>
      <c r="T23" s="5">
        <v>1</v>
      </c>
      <c r="U23" s="5">
        <v>1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</row>
    <row r="24" spans="1:154" x14ac:dyDescent="0.35">
      <c r="A24" s="3"/>
      <c r="B24" s="33"/>
      <c r="C24" t="str">
        <f>Notes!V26</f>
        <v xml:space="preserve">   Capital - crops</v>
      </c>
      <c r="D24" s="5" t="str">
        <f>Notes!J26</f>
        <v>f_cap-c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1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</row>
    <row r="25" spans="1:154" x14ac:dyDescent="0.35">
      <c r="A25" s="3"/>
      <c r="B25" s="33"/>
      <c r="C25" t="str">
        <f>Notes!V27</f>
        <v xml:space="preserve">   Capital - livestock</v>
      </c>
      <c r="D25" s="5" t="str">
        <f>Notes!J27</f>
        <v>f_cap-l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1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</row>
    <row r="26" spans="1:154" x14ac:dyDescent="0.35">
      <c r="A26" s="3"/>
      <c r="B26" s="33"/>
      <c r="C26" t="str">
        <f>Notes!V28</f>
        <v xml:space="preserve">   Capital - mining</v>
      </c>
      <c r="D26" s="5" t="str">
        <f>Notes!J28</f>
        <v>f_cap-m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</row>
    <row r="27" spans="1:154" x14ac:dyDescent="0.35">
      <c r="B27" s="33"/>
      <c r="C27" t="str">
        <f>Notes!V29</f>
        <v xml:space="preserve">   Capital - non-primary</v>
      </c>
      <c r="D27" s="5" t="str">
        <f>Notes!J29</f>
        <v>f_cap-n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</row>
    <row r="28" spans="1:154" x14ac:dyDescent="0.35">
      <c r="B28" s="33"/>
      <c r="C28" t="str">
        <f>Notes!V30</f>
        <v xml:space="preserve">               </v>
      </c>
      <c r="D28" s="5">
        <f>Notes!J30</f>
        <v>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</row>
    <row r="29" spans="1:154" x14ac:dyDescent="0.35">
      <c r="B29" s="33"/>
      <c r="C29" t="str">
        <f>Notes!V31</f>
        <v xml:space="preserve">               </v>
      </c>
      <c r="D29" s="5">
        <f>Notes!J31</f>
        <v>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</row>
    <row r="30" spans="1:154" x14ac:dyDescent="0.35">
      <c r="B30" s="33"/>
      <c r="C30" t="str">
        <f>Notes!V32</f>
        <v xml:space="preserve">               </v>
      </c>
      <c r="D30" s="5">
        <f>Notes!J32</f>
        <v>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</row>
    <row r="31" spans="1:154" x14ac:dyDescent="0.35">
      <c r="B31" s="33"/>
      <c r="C31" t="str">
        <f>Notes!V33</f>
        <v xml:space="preserve">               </v>
      </c>
      <c r="D31" s="5">
        <f>Notes!J33</f>
        <v>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</row>
    <row r="32" spans="1:154" x14ac:dyDescent="0.35">
      <c r="B32" s="33"/>
      <c r="C32" t="str">
        <f>Notes!V34</f>
        <v xml:space="preserve">               </v>
      </c>
      <c r="D32" s="5">
        <f>Notes!J34</f>
        <v>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</row>
    <row r="33" spans="2:154" x14ac:dyDescent="0.35">
      <c r="B33" s="33"/>
      <c r="C33" t="str">
        <f>Notes!V35</f>
        <v xml:space="preserve">               </v>
      </c>
      <c r="D33" s="5">
        <f>Notes!J35</f>
        <v>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</row>
    <row r="34" spans="2:154" x14ac:dyDescent="0.35">
      <c r="B34" s="33"/>
      <c r="C34" t="str">
        <f>Notes!V36</f>
        <v xml:space="preserve">               </v>
      </c>
      <c r="D34" s="5">
        <f>Notes!J36</f>
        <v>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</row>
    <row r="35" spans="2:154" x14ac:dyDescent="0.35">
      <c r="B35" s="33"/>
      <c r="C35" t="str">
        <f>Notes!V37</f>
        <v xml:space="preserve">               </v>
      </c>
      <c r="D35" s="5">
        <f>Notes!J37</f>
        <v>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</row>
    <row r="36" spans="2:154" x14ac:dyDescent="0.35">
      <c r="B36" s="33"/>
      <c r="C36" t="str">
        <f>Notes!V38</f>
        <v xml:space="preserve">               </v>
      </c>
      <c r="D36" s="5">
        <f>Notes!J38</f>
        <v>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</row>
    <row r="37" spans="2:154" x14ac:dyDescent="0.35">
      <c r="B37" s="33"/>
      <c r="C37" t="str">
        <f>Notes!V39</f>
        <v xml:space="preserve">               </v>
      </c>
      <c r="D37" s="5">
        <f>Notes!J39</f>
        <v>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</row>
    <row r="38" spans="2:154" x14ac:dyDescent="0.35">
      <c r="B38" s="33"/>
      <c r="C38" t="str">
        <f>Notes!V40</f>
        <v xml:space="preserve">               </v>
      </c>
      <c r="D38" s="5">
        <f>Notes!J40</f>
        <v>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</row>
    <row r="39" spans="2:154" x14ac:dyDescent="0.35">
      <c r="B39" s="33"/>
      <c r="C39" t="str">
        <f>Notes!V41</f>
        <v xml:space="preserve">               </v>
      </c>
      <c r="D39" s="5">
        <f>Notes!J41</f>
        <v>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</row>
    <row r="40" spans="2:154" x14ac:dyDescent="0.35">
      <c r="B40" s="33"/>
      <c r="C40" t="str">
        <f>Notes!V42</f>
        <v xml:space="preserve">               </v>
      </c>
      <c r="D40" s="5">
        <f>Notes!J42</f>
        <v>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</row>
    <row r="41" spans="2:154" x14ac:dyDescent="0.35">
      <c r="B41" s="33"/>
      <c r="C41" t="str">
        <f>Notes!V43</f>
        <v xml:space="preserve">               </v>
      </c>
      <c r="D41" s="5">
        <f>Notes!J43</f>
        <v>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</row>
    <row r="42" spans="2:154" x14ac:dyDescent="0.35">
      <c r="B42" s="33"/>
      <c r="C42" t="str">
        <f>Notes!V44</f>
        <v xml:space="preserve">               </v>
      </c>
      <c r="D42" s="5">
        <f>Notes!J44</f>
        <v>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</row>
    <row r="43" spans="2:154" x14ac:dyDescent="0.35">
      <c r="B43" s="33"/>
      <c r="C43" t="str">
        <f>Notes!V45</f>
        <v xml:space="preserve">               </v>
      </c>
      <c r="D43" s="5">
        <f>Notes!J45</f>
        <v>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</row>
    <row r="44" spans="2:154" x14ac:dyDescent="0.35">
      <c r="B44" s="33"/>
      <c r="C44" t="str">
        <f>Notes!V46</f>
        <v xml:space="preserve">               </v>
      </c>
      <c r="D44" s="5">
        <f>Notes!J46</f>
        <v>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</row>
    <row r="45" spans="2:154" x14ac:dyDescent="0.35">
      <c r="B45" s="33"/>
      <c r="C45" t="str">
        <f>Notes!V47</f>
        <v xml:space="preserve">               </v>
      </c>
      <c r="D45" s="5">
        <f>Notes!J47</f>
        <v>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</row>
    <row r="46" spans="2:154" x14ac:dyDescent="0.35">
      <c r="B46" s="33"/>
      <c r="C46" t="str">
        <f>Notes!V48</f>
        <v xml:space="preserve">               </v>
      </c>
      <c r="D46" s="5">
        <f>Notes!J48</f>
        <v>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</row>
    <row r="47" spans="2:154" x14ac:dyDescent="0.35">
      <c r="B47" s="33"/>
      <c r="C47" t="str">
        <f>Notes!V49</f>
        <v xml:space="preserve">               </v>
      </c>
      <c r="D47" s="5">
        <f>Notes!J49</f>
        <v>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</row>
    <row r="48" spans="2:154" x14ac:dyDescent="0.35">
      <c r="B48" s="33"/>
      <c r="C48" t="str">
        <f>Notes!V50</f>
        <v xml:space="preserve">               </v>
      </c>
      <c r="D48" s="5">
        <f>Notes!J50</f>
        <v>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</row>
    <row r="49" spans="2:154" x14ac:dyDescent="0.35">
      <c r="B49" s="33"/>
      <c r="C49" t="str">
        <f>Notes!V51</f>
        <v xml:space="preserve">               </v>
      </c>
      <c r="D49" s="5">
        <f>Notes!J51</f>
        <v>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</row>
    <row r="50" spans="2:154" x14ac:dyDescent="0.35">
      <c r="B50" s="33"/>
      <c r="C50" t="str">
        <f>Notes!V52</f>
        <v xml:space="preserve">               </v>
      </c>
      <c r="D50" s="5">
        <f>Notes!J52</f>
        <v>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</row>
    <row r="51" spans="2:154" x14ac:dyDescent="0.35">
      <c r="B51" s="33"/>
      <c r="C51" t="str">
        <f>Notes!V53</f>
        <v xml:space="preserve">               </v>
      </c>
      <c r="D51" s="5">
        <f>Notes!J53</f>
        <v>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</row>
    <row r="52" spans="2:154" x14ac:dyDescent="0.35">
      <c r="B52" s="33"/>
      <c r="C52" t="str">
        <f>Notes!V54</f>
        <v xml:space="preserve">               </v>
      </c>
      <c r="D52" s="5">
        <f>Notes!J54</f>
        <v>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</row>
    <row r="53" spans="2:154" x14ac:dyDescent="0.35">
      <c r="B53" s="33"/>
      <c r="C53" t="str">
        <f>Notes!V55</f>
        <v xml:space="preserve">               </v>
      </c>
      <c r="D53" s="5">
        <f>Notes!J55</f>
        <v>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</row>
    <row r="54" spans="2:154" x14ac:dyDescent="0.35">
      <c r="B54" s="33"/>
      <c r="C54" t="str">
        <f>Notes!V56</f>
        <v xml:space="preserve">               </v>
      </c>
      <c r="D54" s="5">
        <f>Notes!J56</f>
        <v>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</row>
    <row r="55" spans="2:154" x14ac:dyDescent="0.35">
      <c r="B55" s="33"/>
      <c r="C55" t="str">
        <f>Notes!V57</f>
        <v xml:space="preserve">               </v>
      </c>
      <c r="D55" s="5">
        <f>Notes!J57</f>
        <v>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</row>
    <row r="56" spans="2:154" x14ac:dyDescent="0.35">
      <c r="B56" s="33"/>
      <c r="C56" t="str">
        <f>Notes!V58</f>
        <v xml:space="preserve">               </v>
      </c>
      <c r="D56" s="5">
        <f>Notes!J58</f>
        <v>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</row>
    <row r="57" spans="2:154" x14ac:dyDescent="0.35">
      <c r="B57" s="33"/>
      <c r="C57" t="str">
        <f>Notes!V59</f>
        <v xml:space="preserve">               </v>
      </c>
      <c r="D57" s="5">
        <f>Notes!J59</f>
        <v>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</row>
    <row r="58" spans="2:154" x14ac:dyDescent="0.35">
      <c r="B58" s="33"/>
      <c r="C58" t="str">
        <f>Notes!V60</f>
        <v xml:space="preserve">               </v>
      </c>
      <c r="D58" s="5">
        <f>Notes!J60</f>
        <v>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</row>
    <row r="59" spans="2:154" x14ac:dyDescent="0.35">
      <c r="B59" s="33"/>
      <c r="C59" t="str">
        <f>Notes!V61</f>
        <v xml:space="preserve">               </v>
      </c>
      <c r="D59" s="5">
        <f>Notes!J61</f>
        <v>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</row>
    <row r="60" spans="2:154" x14ac:dyDescent="0.35">
      <c r="B60" s="33"/>
      <c r="C60" t="str">
        <f>Notes!V62</f>
        <v xml:space="preserve">               </v>
      </c>
      <c r="D60" s="5">
        <f>Notes!J62</f>
        <v>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</row>
    <row r="61" spans="2:154" x14ac:dyDescent="0.35">
      <c r="B61" s="33"/>
      <c r="C61" t="str">
        <f>Notes!V63</f>
        <v xml:space="preserve">               </v>
      </c>
      <c r="D61" s="5">
        <f>Notes!J63</f>
        <v>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</row>
    <row r="62" spans="2:154" x14ac:dyDescent="0.35">
      <c r="B62" s="33"/>
      <c r="C62" t="str">
        <f>Notes!V64</f>
        <v xml:space="preserve">               </v>
      </c>
      <c r="D62" s="5">
        <f>Notes!J64</f>
        <v>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</row>
    <row r="63" spans="2:154" x14ac:dyDescent="0.35">
      <c r="B63" s="33"/>
      <c r="C63" t="str">
        <f>Notes!V65</f>
        <v xml:space="preserve">               </v>
      </c>
      <c r="D63" s="5">
        <f>Notes!J65</f>
        <v>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</row>
    <row r="64" spans="2:154" x14ac:dyDescent="0.35">
      <c r="B64" s="33"/>
      <c r="C64" t="str">
        <f>Notes!V66</f>
        <v xml:space="preserve">               </v>
      </c>
      <c r="D64" s="5">
        <f>Notes!J66</f>
        <v>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</row>
    <row r="65" spans="2:154" x14ac:dyDescent="0.35">
      <c r="B65" s="33"/>
      <c r="C65" t="str">
        <f>Notes!V67</f>
        <v xml:space="preserve">               </v>
      </c>
      <c r="D65" s="5">
        <f>Notes!J67</f>
        <v>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</row>
    <row r="66" spans="2:154" x14ac:dyDescent="0.35">
      <c r="B66" s="33"/>
      <c r="C66" t="str">
        <f>Notes!V68</f>
        <v xml:space="preserve">               </v>
      </c>
      <c r="D66" s="5">
        <f>Notes!J68</f>
        <v>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</row>
    <row r="67" spans="2:154" x14ac:dyDescent="0.35">
      <c r="B67" s="33"/>
      <c r="C67" t="str">
        <f>Notes!V69</f>
        <v xml:space="preserve">               </v>
      </c>
      <c r="D67" s="5">
        <f>Notes!J69</f>
        <v>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</row>
    <row r="68" spans="2:154" x14ac:dyDescent="0.35">
      <c r="B68" s="33"/>
      <c r="C68" t="str">
        <f>Notes!V70</f>
        <v xml:space="preserve">               </v>
      </c>
      <c r="D68" s="5">
        <f>Notes!J70</f>
        <v>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</row>
    <row r="69" spans="2:154" x14ac:dyDescent="0.35">
      <c r="B69" s="33"/>
      <c r="C69" t="str">
        <f>Notes!V71</f>
        <v xml:space="preserve">               </v>
      </c>
      <c r="D69" s="5">
        <f>Notes!J71</f>
        <v>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</row>
    <row r="70" spans="2:154" x14ac:dyDescent="0.35">
      <c r="B70" s="33"/>
      <c r="C70" t="str">
        <f>Notes!V72</f>
        <v xml:space="preserve">               </v>
      </c>
      <c r="D70" s="5">
        <f>Notes!J72</f>
        <v>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</row>
    <row r="71" spans="2:154" x14ac:dyDescent="0.35">
      <c r="B71" s="33"/>
      <c r="C71" t="str">
        <f>Notes!V73</f>
        <v xml:space="preserve">               </v>
      </c>
      <c r="D71" s="5">
        <f>Notes!J73</f>
        <v>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</row>
    <row r="72" spans="2:154" x14ac:dyDescent="0.35">
      <c r="B72" s="33"/>
      <c r="C72" t="str">
        <f>Notes!V74</f>
        <v xml:space="preserve">               </v>
      </c>
      <c r="D72" s="5">
        <f>Notes!J74</f>
        <v>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</row>
    <row r="73" spans="2:154" x14ac:dyDescent="0.35">
      <c r="B73" s="33"/>
      <c r="C73" t="str">
        <f>Notes!V75</f>
        <v xml:space="preserve">               </v>
      </c>
      <c r="D73" s="5">
        <f>Notes!J75</f>
        <v>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</row>
    <row r="74" spans="2:154" x14ac:dyDescent="0.35">
      <c r="B74" s="33"/>
      <c r="C74" t="str">
        <f>Notes!V76</f>
        <v xml:space="preserve">               </v>
      </c>
      <c r="D74" s="5">
        <f>Notes!J76</f>
        <v>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</row>
    <row r="75" spans="2:154" x14ac:dyDescent="0.35">
      <c r="B75" s="33"/>
      <c r="C75" t="str">
        <f>Notes!V77</f>
        <v xml:space="preserve">               </v>
      </c>
      <c r="D75" s="5">
        <f>Notes!J77</f>
        <v>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</row>
    <row r="76" spans="2:154" x14ac:dyDescent="0.35">
      <c r="B76" s="33"/>
      <c r="C76" t="str">
        <f>Notes!V78</f>
        <v xml:space="preserve">               </v>
      </c>
      <c r="D76" s="5">
        <f>Notes!J78</f>
        <v>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</row>
    <row r="77" spans="2:154" x14ac:dyDescent="0.35">
      <c r="B77" s="33"/>
      <c r="C77" t="str">
        <f>Notes!V79</f>
        <v xml:space="preserve">               </v>
      </c>
      <c r="D77" s="5">
        <f>Notes!J79</f>
        <v>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</row>
    <row r="78" spans="2:154" x14ac:dyDescent="0.35">
      <c r="B78" s="33"/>
      <c r="C78" t="str">
        <f>Notes!V80</f>
        <v xml:space="preserve">               </v>
      </c>
      <c r="D78" s="5">
        <f>Notes!J80</f>
        <v>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</row>
    <row r="79" spans="2:154" x14ac:dyDescent="0.35">
      <c r="B79" s="33"/>
      <c r="C79" t="str">
        <f>Notes!V81</f>
        <v xml:space="preserve">               </v>
      </c>
      <c r="D79" s="5">
        <f>Notes!J81</f>
        <v>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</row>
    <row r="80" spans="2:154" x14ac:dyDescent="0.35">
      <c r="B80" s="33"/>
      <c r="C80" t="str">
        <f>Notes!V82</f>
        <v xml:space="preserve">               </v>
      </c>
      <c r="D80" s="5">
        <f>Notes!J82</f>
        <v>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</row>
    <row r="81" spans="2:154" x14ac:dyDescent="0.35">
      <c r="B81" s="33"/>
      <c r="C81" t="str">
        <f>Notes!V83</f>
        <v xml:space="preserve">               </v>
      </c>
      <c r="D81" s="5">
        <f>Notes!J83</f>
        <v>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</row>
    <row r="82" spans="2:154" x14ac:dyDescent="0.35">
      <c r="B82" s="33"/>
      <c r="C82" t="str">
        <f>Notes!V84</f>
        <v xml:space="preserve">               </v>
      </c>
      <c r="D82" s="5">
        <f>Notes!J84</f>
        <v>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</row>
    <row r="83" spans="2:154" x14ac:dyDescent="0.35">
      <c r="B83" s="33"/>
      <c r="C83" t="str">
        <f>Notes!V85</f>
        <v xml:space="preserve">               </v>
      </c>
      <c r="D83" s="5">
        <f>Notes!J85</f>
        <v>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</row>
    <row r="84" spans="2:154" x14ac:dyDescent="0.35">
      <c r="B84" s="33"/>
      <c r="C84" t="str">
        <f>Notes!V86</f>
        <v xml:space="preserve">               </v>
      </c>
      <c r="D84" s="5">
        <f>Notes!J86</f>
        <v>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</row>
    <row r="85" spans="2:154" x14ac:dyDescent="0.35">
      <c r="B85" s="33"/>
      <c r="C85" t="str">
        <f>Notes!V87</f>
        <v xml:space="preserve">               </v>
      </c>
      <c r="D85" s="5">
        <f>Notes!J87</f>
        <v>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</row>
    <row r="86" spans="2:154" x14ac:dyDescent="0.35">
      <c r="B86" s="33"/>
      <c r="C86" t="str">
        <f>Notes!V88</f>
        <v xml:space="preserve">               </v>
      </c>
      <c r="D86" s="5">
        <f>Notes!J88</f>
        <v>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</row>
    <row r="87" spans="2:154" x14ac:dyDescent="0.35">
      <c r="B87" s="33"/>
      <c r="C87" t="str">
        <f>Notes!V89</f>
        <v xml:space="preserve">               </v>
      </c>
      <c r="D87" s="5">
        <f>Notes!J89</f>
        <v>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</row>
    <row r="88" spans="2:154" x14ac:dyDescent="0.35">
      <c r="B88" s="33"/>
      <c r="C88" t="str">
        <f>Notes!V90</f>
        <v xml:space="preserve">               </v>
      </c>
      <c r="D88" s="5">
        <f>Notes!J90</f>
        <v>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</row>
    <row r="89" spans="2:154" x14ac:dyDescent="0.35">
      <c r="B89" s="33"/>
      <c r="C89" t="str">
        <f>Notes!V91</f>
        <v xml:space="preserve">               </v>
      </c>
      <c r="D89" s="5">
        <f>Notes!J91</f>
        <v>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</row>
    <row r="90" spans="2:154" x14ac:dyDescent="0.35">
      <c r="B90" s="33"/>
      <c r="C90" t="str">
        <f>Notes!V92</f>
        <v xml:space="preserve">               </v>
      </c>
      <c r="D90" s="5">
        <f>Notes!J92</f>
        <v>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</row>
    <row r="91" spans="2:154" x14ac:dyDescent="0.35">
      <c r="B91" s="33"/>
      <c r="C91" t="str">
        <f>Notes!V93</f>
        <v xml:space="preserve">               </v>
      </c>
      <c r="D91" s="5">
        <f>Notes!J93</f>
        <v>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</row>
    <row r="92" spans="2:154" x14ac:dyDescent="0.35">
      <c r="B92" s="33"/>
      <c r="C92" t="str">
        <f>Notes!V94</f>
        <v xml:space="preserve">               </v>
      </c>
      <c r="D92" s="5">
        <f>Notes!J94</f>
        <v>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</row>
    <row r="93" spans="2:154" x14ac:dyDescent="0.35">
      <c r="B93" s="33"/>
      <c r="C93" t="str">
        <f>Notes!V95</f>
        <v xml:space="preserve">               </v>
      </c>
      <c r="D93" s="5">
        <f>Notes!J95</f>
        <v>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</row>
    <row r="94" spans="2:154" x14ac:dyDescent="0.35">
      <c r="B94" s="33"/>
      <c r="C94" t="str">
        <f>Notes!V96</f>
        <v xml:space="preserve">               </v>
      </c>
      <c r="D94" s="5">
        <f>Notes!J96</f>
        <v>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</row>
    <row r="95" spans="2:154" x14ac:dyDescent="0.35">
      <c r="B95" s="33"/>
      <c r="C95" t="str">
        <f>Notes!V97</f>
        <v xml:space="preserve">               </v>
      </c>
      <c r="D95" s="5">
        <f>Notes!J97</f>
        <v>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</row>
    <row r="96" spans="2:154" x14ac:dyDescent="0.35">
      <c r="B96" s="33"/>
      <c r="C96" t="str">
        <f>Notes!V98</f>
        <v xml:space="preserve">               </v>
      </c>
      <c r="D96" s="5">
        <f>Notes!J98</f>
        <v>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</row>
    <row r="97" spans="2:154" x14ac:dyDescent="0.35">
      <c r="B97" s="33"/>
      <c r="C97" t="str">
        <f>Notes!V99</f>
        <v xml:space="preserve">               </v>
      </c>
      <c r="D97" s="5">
        <f>Notes!J99</f>
        <v>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</row>
    <row r="98" spans="2:154" x14ac:dyDescent="0.35">
      <c r="B98" s="33"/>
      <c r="C98" t="str">
        <f>Notes!V100</f>
        <v xml:space="preserve">               </v>
      </c>
      <c r="D98" s="5">
        <f>Notes!J100</f>
        <v>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</row>
    <row r="99" spans="2:154" x14ac:dyDescent="0.35">
      <c r="B99" s="33"/>
      <c r="C99" t="str">
        <f>Notes!V101</f>
        <v xml:space="preserve">               </v>
      </c>
      <c r="D99" s="5">
        <f>Notes!J101</f>
        <v>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</row>
    <row r="100" spans="2:154" x14ac:dyDescent="0.35">
      <c r="B100" s="33"/>
      <c r="C100" t="str">
        <f>Notes!V102</f>
        <v xml:space="preserve">               </v>
      </c>
      <c r="D100" s="5">
        <f>Notes!J102</f>
        <v>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</row>
    <row r="101" spans="2:154" x14ac:dyDescent="0.35">
      <c r="B101" s="33"/>
      <c r="C101" t="str">
        <f>Notes!V103</f>
        <v xml:space="preserve">               </v>
      </c>
      <c r="D101" s="5">
        <f>Notes!J103</f>
        <v>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</row>
    <row r="102" spans="2:154" x14ac:dyDescent="0.35">
      <c r="B102" s="33"/>
      <c r="C102" t="str">
        <f>Notes!V104</f>
        <v xml:space="preserve">               </v>
      </c>
      <c r="D102" s="5">
        <f>Notes!J104</f>
        <v>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</row>
    <row r="103" spans="2:154" x14ac:dyDescent="0.35">
      <c r="B103" s="33"/>
      <c r="C103" t="str">
        <f>Notes!V105</f>
        <v xml:space="preserve">               </v>
      </c>
      <c r="D103" s="5">
        <f>Notes!J105</f>
        <v>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</row>
    <row r="104" spans="2:154" x14ac:dyDescent="0.35">
      <c r="B104" s="33"/>
      <c r="C104" t="str">
        <f>Notes!V106</f>
        <v xml:space="preserve">               </v>
      </c>
      <c r="D104" s="5">
        <f>Notes!J106</f>
        <v>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</row>
    <row r="105" spans="2:154" x14ac:dyDescent="0.35">
      <c r="B105" s="33"/>
      <c r="C105" t="str">
        <f>Notes!V107</f>
        <v xml:space="preserve">               </v>
      </c>
      <c r="D105" s="5">
        <f>Notes!J107</f>
        <v>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</row>
    <row r="106" spans="2:154" x14ac:dyDescent="0.35">
      <c r="B106" s="33"/>
      <c r="C106" t="str">
        <f>Notes!V108</f>
        <v xml:space="preserve">               </v>
      </c>
      <c r="D106" s="5">
        <f>Notes!J108</f>
        <v>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</row>
    <row r="107" spans="2:154" x14ac:dyDescent="0.35">
      <c r="B107" s="33"/>
      <c r="C107" t="str">
        <f>Notes!V109</f>
        <v xml:space="preserve">               </v>
      </c>
      <c r="D107" s="5">
        <f>Notes!J109</f>
        <v>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</row>
    <row r="108" spans="2:154" x14ac:dyDescent="0.35">
      <c r="B108" s="33"/>
      <c r="C108" t="str">
        <f>Notes!V110</f>
        <v xml:space="preserve">               </v>
      </c>
      <c r="D108" s="5">
        <f>Notes!J110</f>
        <v>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</row>
    <row r="109" spans="2:154" x14ac:dyDescent="0.35">
      <c r="B109" s="33"/>
      <c r="C109" t="str">
        <f>Notes!V111</f>
        <v xml:space="preserve">               </v>
      </c>
      <c r="D109" s="5">
        <f>Notes!J111</f>
        <v>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</row>
    <row r="110" spans="2:154" x14ac:dyDescent="0.35">
      <c r="B110" s="33"/>
      <c r="C110" t="str">
        <f>Notes!V112</f>
        <v xml:space="preserve">               </v>
      </c>
      <c r="D110" s="5">
        <f>Notes!J112</f>
        <v>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</row>
    <row r="111" spans="2:154" x14ac:dyDescent="0.35">
      <c r="B111" s="33"/>
      <c r="C111" t="str">
        <f>Notes!V113</f>
        <v xml:space="preserve">               </v>
      </c>
      <c r="D111" s="5">
        <f>Notes!J113</f>
        <v>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</row>
    <row r="112" spans="2:154" x14ac:dyDescent="0.35">
      <c r="B112" s="33"/>
      <c r="C112" t="str">
        <f>Notes!V114</f>
        <v xml:space="preserve">               </v>
      </c>
      <c r="D112" s="5">
        <f>Notes!J114</f>
        <v>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</row>
    <row r="113" spans="2:154" x14ac:dyDescent="0.35">
      <c r="B113" s="33"/>
      <c r="C113" t="str">
        <f>Notes!V115</f>
        <v xml:space="preserve">               </v>
      </c>
      <c r="D113" s="5">
        <f>Notes!J115</f>
        <v>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</row>
    <row r="114" spans="2:154" x14ac:dyDescent="0.35">
      <c r="B114" s="33"/>
      <c r="C114" t="str">
        <f>Notes!V116</f>
        <v xml:space="preserve">               </v>
      </c>
      <c r="D114" s="5">
        <f>Notes!J116</f>
        <v>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</row>
    <row r="115" spans="2:154" x14ac:dyDescent="0.35">
      <c r="B115" s="33"/>
      <c r="C115" t="str">
        <f>Notes!V117</f>
        <v xml:space="preserve">               </v>
      </c>
      <c r="D115" s="5">
        <f>Notes!J117</f>
        <v>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</row>
    <row r="116" spans="2:154" x14ac:dyDescent="0.35">
      <c r="B116" s="33"/>
      <c r="C116" t="str">
        <f>Notes!V118</f>
        <v xml:space="preserve">               </v>
      </c>
      <c r="D116" s="5">
        <f>Notes!J118</f>
        <v>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</row>
    <row r="117" spans="2:154" x14ac:dyDescent="0.35">
      <c r="B117" s="33"/>
      <c r="C117" t="str">
        <f>Notes!V119</f>
        <v xml:space="preserve">               </v>
      </c>
      <c r="D117" s="5">
        <f>Notes!J119</f>
        <v>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</row>
    <row r="118" spans="2:154" x14ac:dyDescent="0.35">
      <c r="B118" s="33"/>
      <c r="C118" t="str">
        <f>Notes!V120</f>
        <v xml:space="preserve">               </v>
      </c>
      <c r="D118" s="5">
        <f>Notes!J120</f>
        <v>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</row>
    <row r="119" spans="2:154" x14ac:dyDescent="0.35">
      <c r="B119" s="33"/>
      <c r="C119" t="str">
        <f>Notes!V121</f>
        <v xml:space="preserve">               </v>
      </c>
      <c r="D119" s="5">
        <f>Notes!J121</f>
        <v>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</row>
    <row r="120" spans="2:154" x14ac:dyDescent="0.35">
      <c r="B120" s="33"/>
      <c r="C120" t="str">
        <f>Notes!V122</f>
        <v xml:space="preserve">               </v>
      </c>
      <c r="D120" s="5">
        <f>Notes!J122</f>
        <v>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</row>
    <row r="121" spans="2:154" x14ac:dyDescent="0.35">
      <c r="B121" s="33"/>
      <c r="C121" t="str">
        <f>Notes!V123</f>
        <v xml:space="preserve">               </v>
      </c>
      <c r="D121" s="5">
        <f>Notes!J123</f>
        <v>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</row>
    <row r="122" spans="2:154" x14ac:dyDescent="0.35">
      <c r="B122" s="33"/>
      <c r="C122" t="str">
        <f>Notes!V124</f>
        <v xml:space="preserve">               </v>
      </c>
      <c r="D122" s="5">
        <f>Notes!J124</f>
        <v>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</row>
    <row r="123" spans="2:154" x14ac:dyDescent="0.35">
      <c r="B123" s="33"/>
      <c r="C123" t="str">
        <f>Notes!V125</f>
        <v xml:space="preserve">               </v>
      </c>
      <c r="D123" s="5">
        <f>Notes!J125</f>
        <v>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</row>
    <row r="124" spans="2:154" x14ac:dyDescent="0.35">
      <c r="B124" s="33"/>
      <c r="C124" t="str">
        <f>Notes!V126</f>
        <v xml:space="preserve">               </v>
      </c>
      <c r="D124" s="5">
        <f>Notes!J126</f>
        <v>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</row>
    <row r="125" spans="2:154" x14ac:dyDescent="0.35">
      <c r="B125" s="33"/>
      <c r="C125" t="str">
        <f>Notes!V127</f>
        <v xml:space="preserve">               </v>
      </c>
      <c r="D125" s="5">
        <f>Notes!J127</f>
        <v>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</row>
    <row r="126" spans="2:154" x14ac:dyDescent="0.35">
      <c r="B126" s="33"/>
      <c r="C126" t="str">
        <f>Notes!V128</f>
        <v xml:space="preserve">               </v>
      </c>
      <c r="D126" s="5">
        <f>Notes!J128</f>
        <v>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</row>
    <row r="127" spans="2:154" x14ac:dyDescent="0.35">
      <c r="B127" s="33"/>
      <c r="C127" t="str">
        <f>Notes!V129</f>
        <v xml:space="preserve">               </v>
      </c>
      <c r="D127" s="5">
        <f>Notes!J129</f>
        <v>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</row>
    <row r="128" spans="2:154" x14ac:dyDescent="0.35">
      <c r="B128" s="33"/>
      <c r="C128" t="str">
        <f>Notes!V130</f>
        <v xml:space="preserve">               </v>
      </c>
      <c r="D128" s="5">
        <f>Notes!J130</f>
        <v>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</row>
    <row r="129" spans="2:154" x14ac:dyDescent="0.35">
      <c r="B129" s="33"/>
      <c r="C129" t="str">
        <f>Notes!V131</f>
        <v xml:space="preserve">               </v>
      </c>
      <c r="D129" s="5">
        <f>Notes!J131</f>
        <v>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</row>
    <row r="130" spans="2:154" x14ac:dyDescent="0.35">
      <c r="B130" s="33"/>
      <c r="C130" t="str">
        <f>Notes!V132</f>
        <v xml:space="preserve">               </v>
      </c>
      <c r="D130" s="5">
        <f>Notes!J132</f>
        <v>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</row>
    <row r="131" spans="2:154" x14ac:dyDescent="0.35">
      <c r="B131" s="33"/>
      <c r="C131" t="str">
        <f>Notes!V133</f>
        <v xml:space="preserve">               </v>
      </c>
      <c r="D131" s="5">
        <f>Notes!J133</f>
        <v>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</row>
    <row r="132" spans="2:154" x14ac:dyDescent="0.35">
      <c r="B132" s="33"/>
      <c r="C132" t="str">
        <f>Notes!V134</f>
        <v xml:space="preserve">               </v>
      </c>
      <c r="D132" s="5">
        <f>Notes!J134</f>
        <v>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</row>
    <row r="133" spans="2:154" x14ac:dyDescent="0.35">
      <c r="B133" s="33"/>
      <c r="C133" t="str">
        <f>Notes!V135</f>
        <v xml:space="preserve">               </v>
      </c>
      <c r="D133" s="5">
        <f>Notes!J135</f>
        <v>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</row>
    <row r="134" spans="2:154" x14ac:dyDescent="0.35">
      <c r="B134" s="33"/>
      <c r="C134" t="str">
        <f>Notes!V136</f>
        <v xml:space="preserve">               </v>
      </c>
      <c r="D134" s="5">
        <f>Notes!J136</f>
        <v>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</row>
    <row r="135" spans="2:154" x14ac:dyDescent="0.35">
      <c r="B135" s="33"/>
      <c r="C135" t="str">
        <f>Notes!V137</f>
        <v xml:space="preserve">               </v>
      </c>
      <c r="D135" s="5">
        <f>Notes!J137</f>
        <v>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</row>
    <row r="136" spans="2:154" x14ac:dyDescent="0.35">
      <c r="B136" s="33"/>
      <c r="C136" t="str">
        <f>Notes!V138</f>
        <v xml:space="preserve">               </v>
      </c>
      <c r="D136" s="5">
        <f>Notes!J138</f>
        <v>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</row>
    <row r="137" spans="2:154" x14ac:dyDescent="0.35">
      <c r="B137" s="33"/>
      <c r="C137" t="str">
        <f>Notes!V139</f>
        <v xml:space="preserve">               </v>
      </c>
      <c r="D137" s="5">
        <f>Notes!J139</f>
        <v>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</row>
    <row r="138" spans="2:154" x14ac:dyDescent="0.35">
      <c r="B138" s="33"/>
      <c r="C138" t="str">
        <f>Notes!V140</f>
        <v xml:space="preserve">               </v>
      </c>
      <c r="D138" s="5">
        <f>Notes!J140</f>
        <v>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</row>
    <row r="139" spans="2:154" x14ac:dyDescent="0.35">
      <c r="B139" s="33"/>
      <c r="C139" t="str">
        <f>Notes!V141</f>
        <v xml:space="preserve">               </v>
      </c>
      <c r="D139" s="5">
        <f>Notes!J141</f>
        <v>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</row>
    <row r="140" spans="2:154" x14ac:dyDescent="0.35">
      <c r="B140" s="33"/>
      <c r="C140" t="str">
        <f>Notes!V142</f>
        <v xml:space="preserve">               </v>
      </c>
      <c r="D140" s="5">
        <f>Notes!J142</f>
        <v>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</row>
    <row r="141" spans="2:154" x14ac:dyDescent="0.35">
      <c r="B141" s="33"/>
      <c r="C141" t="str">
        <f>Notes!V143</f>
        <v xml:space="preserve">               </v>
      </c>
      <c r="D141" s="5">
        <f>Notes!J143</f>
        <v>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</row>
    <row r="142" spans="2:154" x14ac:dyDescent="0.35">
      <c r="B142" s="33"/>
      <c r="C142" t="str">
        <f>Notes!V144</f>
        <v xml:space="preserve">               </v>
      </c>
      <c r="D142" s="5">
        <f>Notes!J144</f>
        <v>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</row>
    <row r="143" spans="2:154" x14ac:dyDescent="0.35">
      <c r="B143" s="33"/>
      <c r="C143" t="str">
        <f>Notes!V145</f>
        <v xml:space="preserve">               </v>
      </c>
      <c r="D143" s="5">
        <f>Notes!J145</f>
        <v>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</row>
    <row r="144" spans="2:154" x14ac:dyDescent="0.35">
      <c r="B144" s="33"/>
      <c r="C144" t="str">
        <f>Notes!V146</f>
        <v xml:space="preserve">               </v>
      </c>
      <c r="D144" s="5">
        <f>Notes!J146</f>
        <v>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</row>
    <row r="145" spans="2:154" x14ac:dyDescent="0.35">
      <c r="B145" s="33"/>
      <c r="C145" t="str">
        <f>Notes!V147</f>
        <v xml:space="preserve">               </v>
      </c>
      <c r="D145" s="5">
        <f>Notes!J147</f>
        <v>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</row>
    <row r="146" spans="2:154" x14ac:dyDescent="0.35">
      <c r="B146" s="33"/>
      <c r="C146" t="str">
        <f>Notes!V148</f>
        <v xml:space="preserve">               </v>
      </c>
      <c r="D146" s="5">
        <f>Notes!J148</f>
        <v>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</row>
    <row r="147" spans="2:154" x14ac:dyDescent="0.35">
      <c r="B147" s="33"/>
      <c r="C147" t="str">
        <f>Notes!V149</f>
        <v xml:space="preserve">               </v>
      </c>
      <c r="D147" s="5">
        <f>Notes!J149</f>
        <v>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</row>
    <row r="148" spans="2:154" x14ac:dyDescent="0.35">
      <c r="B148" s="33"/>
      <c r="C148" t="str">
        <f>Notes!V150</f>
        <v xml:space="preserve">               </v>
      </c>
      <c r="D148" s="5">
        <f>Notes!J150</f>
        <v>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</row>
    <row r="149" spans="2:154" x14ac:dyDescent="0.35">
      <c r="B149" s="33"/>
      <c r="C149" t="str">
        <f>Notes!V151</f>
        <v xml:space="preserve">               </v>
      </c>
      <c r="D149" s="5">
        <f>Notes!J151</f>
        <v>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</row>
    <row r="150" spans="2:154" x14ac:dyDescent="0.35">
      <c r="B150" s="33"/>
      <c r="C150" t="str">
        <f>Notes!V152</f>
        <v xml:space="preserve">               </v>
      </c>
      <c r="D150" s="5">
        <f>Notes!J152</f>
        <v>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</row>
    <row r="151" spans="2:154" x14ac:dyDescent="0.35">
      <c r="B151" s="33"/>
      <c r="C151" t="str">
        <f>Notes!V153</f>
        <v xml:space="preserve">               </v>
      </c>
      <c r="D151" s="5">
        <f>Notes!J153</f>
        <v>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</row>
    <row r="152" spans="2:154" x14ac:dyDescent="0.35">
      <c r="B152" s="33"/>
      <c r="C152" t="str">
        <f>Notes!V154</f>
        <v xml:space="preserve">               </v>
      </c>
      <c r="D152" s="5">
        <f>Notes!J154</f>
        <v>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</row>
    <row r="153" spans="2:154" x14ac:dyDescent="0.35">
      <c r="B153" s="33"/>
      <c r="C153" t="str">
        <f>Notes!V155</f>
        <v xml:space="preserve">               </v>
      </c>
      <c r="D153" s="5">
        <f>Notes!J155</f>
        <v>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</row>
    <row r="154" spans="2:154" x14ac:dyDescent="0.35">
      <c r="B154" s="33"/>
      <c r="C154" t="str">
        <f>Notes!V156</f>
        <v xml:space="preserve">               </v>
      </c>
      <c r="D154" s="5">
        <f>Notes!J156</f>
        <v>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</row>
    <row r="155" spans="2:154" x14ac:dyDescent="0.35">
      <c r="B155" s="33"/>
      <c r="C155" t="str">
        <f>Notes!V157</f>
        <v xml:space="preserve">               </v>
      </c>
      <c r="D155" s="5">
        <f>Notes!J157</f>
        <v>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</row>
    <row r="156" spans="2:154" x14ac:dyDescent="0.35">
      <c r="B156" s="33"/>
      <c r="C156" t="str">
        <f>Notes!V158</f>
        <v xml:space="preserve">               </v>
      </c>
      <c r="D156" s="5">
        <f>Notes!J158</f>
        <v>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</row>
    <row r="157" spans="2:154" x14ac:dyDescent="0.35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</row>
  </sheetData>
  <sheetProtection sheet="1" objects="1" scenarios="1"/>
  <pageMargins left="0.7" right="0.7" top="0.75" bottom="0.75" header="0.3" footer="0.3"/>
  <ignoredErrors>
    <ignoredError sqref="D7:D156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981C-701B-4F3B-8451-97CC3CF399D7}">
  <sheetPr>
    <tabColor theme="9" tint="-0.499984740745262"/>
  </sheetPr>
  <dimension ref="A1:EY157"/>
  <sheetViews>
    <sheetView showZeros="0" zoomScale="85" zoomScaleNormal="85" workbookViewId="0">
      <pane xSplit="4" ySplit="6" topLeftCell="E7" activePane="bottomRight" state="frozen"/>
      <selection activeCell="K75" sqref="K75"/>
      <selection pane="topRight" activeCell="K75" sqref="K75"/>
      <selection pane="bottomLeft" activeCell="K75" sqref="K75"/>
      <selection pane="bottomRight" activeCell="S7" sqref="S7"/>
    </sheetView>
  </sheetViews>
  <sheetFormatPr defaultColWidth="0" defaultRowHeight="14.5" zeroHeight="1" x14ac:dyDescent="0.35"/>
  <cols>
    <col min="1" max="2" width="2.453125" customWidth="1"/>
    <col min="3" max="3" width="28.90625" customWidth="1"/>
    <col min="4" max="4" width="15.54296875" customWidth="1"/>
    <col min="5" max="154" width="9.08984375" customWidth="1"/>
    <col min="155" max="155" width="2.453125" customWidth="1"/>
    <col min="156" max="16384" width="9.08984375" hidden="1"/>
  </cols>
  <sheetData>
    <row r="1" spans="1:155" ht="18.5" x14ac:dyDescent="0.45">
      <c r="A1" s="9" t="s">
        <v>39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</row>
    <row r="2" spans="1:155" x14ac:dyDescent="0.35"/>
    <row r="3" spans="1:155" x14ac:dyDescent="0.35"/>
    <row r="4" spans="1:155" x14ac:dyDescent="0.35"/>
    <row r="5" spans="1:155" x14ac:dyDescent="0.35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5" x14ac:dyDescent="0.35">
      <c r="B6" s="33"/>
      <c r="D6" s="5"/>
      <c r="E6" s="5" t="s">
        <v>630</v>
      </c>
      <c r="F6" s="5" t="s">
        <v>631</v>
      </c>
      <c r="G6" s="5" t="s">
        <v>632</v>
      </c>
      <c r="H6" s="5" t="s">
        <v>633</v>
      </c>
      <c r="I6" s="5" t="s">
        <v>634</v>
      </c>
      <c r="J6" s="5" t="s">
        <v>635</v>
      </c>
      <c r="K6" s="5" t="s">
        <v>636</v>
      </c>
      <c r="L6" s="5" t="s">
        <v>637</v>
      </c>
      <c r="M6" s="5" t="s">
        <v>638</v>
      </c>
      <c r="N6" s="5" t="s">
        <v>639</v>
      </c>
      <c r="O6" s="5" t="s">
        <v>640</v>
      </c>
      <c r="P6" s="5" t="s">
        <v>641</v>
      </c>
      <c r="Q6" s="5" t="s">
        <v>642</v>
      </c>
      <c r="R6" s="5" t="s">
        <v>643</v>
      </c>
      <c r="S6" s="5" t="s">
        <v>644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</row>
    <row r="7" spans="1:155" x14ac:dyDescent="0.35">
      <c r="A7" s="3"/>
      <c r="B7" s="33"/>
      <c r="C7" t="str">
        <f>Notes!W9</f>
        <v>All households</v>
      </c>
      <c r="D7" s="5" t="str">
        <f>Notes!O9</f>
        <v>hh_ALL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</row>
    <row r="8" spans="1:155" x14ac:dyDescent="0.35">
      <c r="A8" s="3"/>
      <c r="B8" s="33"/>
      <c r="C8" t="str">
        <f>Notes!W10</f>
        <v xml:space="preserve">      Quintile 1 (low)</v>
      </c>
      <c r="D8" s="5" t="str">
        <f>Notes!O10</f>
        <v>hh_Q1</v>
      </c>
      <c r="E8" s="5">
        <v>1</v>
      </c>
      <c r="F8" s="5"/>
      <c r="G8" s="5"/>
      <c r="H8" s="5"/>
      <c r="I8" s="5"/>
      <c r="J8" s="5">
        <v>1</v>
      </c>
      <c r="K8" s="5"/>
      <c r="L8" s="5"/>
      <c r="M8" s="5"/>
      <c r="N8" s="5"/>
      <c r="O8" s="5">
        <v>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</row>
    <row r="9" spans="1:155" x14ac:dyDescent="0.35">
      <c r="A9" s="3"/>
      <c r="B9" s="33"/>
      <c r="C9" t="str">
        <f>Notes!W11</f>
        <v xml:space="preserve">      Quintile 2</v>
      </c>
      <c r="D9" s="5" t="str">
        <f>Notes!O11</f>
        <v>hh_Q2</v>
      </c>
      <c r="E9" s="5"/>
      <c r="F9" s="5">
        <v>1</v>
      </c>
      <c r="G9" s="5"/>
      <c r="H9" s="5"/>
      <c r="I9" s="5"/>
      <c r="J9" s="5"/>
      <c r="K9" s="5">
        <v>1</v>
      </c>
      <c r="L9" s="5"/>
      <c r="M9" s="5"/>
      <c r="N9" s="5"/>
      <c r="O9" s="5"/>
      <c r="P9" s="5">
        <v>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</row>
    <row r="10" spans="1:155" x14ac:dyDescent="0.35">
      <c r="A10" s="3"/>
      <c r="B10" s="33"/>
      <c r="C10" t="str">
        <f>Notes!W12</f>
        <v xml:space="preserve">      Quintile 3</v>
      </c>
      <c r="D10" s="5" t="str">
        <f>Notes!O12</f>
        <v>hh_Q3</v>
      </c>
      <c r="E10" s="5"/>
      <c r="F10" s="5"/>
      <c r="G10" s="5">
        <v>1</v>
      </c>
      <c r="H10" s="5"/>
      <c r="I10" s="5"/>
      <c r="J10" s="5"/>
      <c r="K10" s="5"/>
      <c r="L10" s="5">
        <v>1</v>
      </c>
      <c r="M10" s="5"/>
      <c r="N10" s="5"/>
      <c r="O10" s="5"/>
      <c r="P10" s="5"/>
      <c r="Q10" s="5">
        <v>1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</row>
    <row r="11" spans="1:155" x14ac:dyDescent="0.35">
      <c r="A11" s="3"/>
      <c r="B11" s="33"/>
      <c r="C11" t="str">
        <f>Notes!W13</f>
        <v xml:space="preserve">      Quintile 4</v>
      </c>
      <c r="D11" s="5" t="str">
        <f>Notes!O13</f>
        <v>hh_Q4</v>
      </c>
      <c r="E11" s="5"/>
      <c r="F11" s="5"/>
      <c r="G11" s="5"/>
      <c r="H11" s="5">
        <v>1</v>
      </c>
      <c r="I11" s="5"/>
      <c r="J11" s="5"/>
      <c r="K11" s="5"/>
      <c r="L11" s="5"/>
      <c r="M11" s="5">
        <v>1</v>
      </c>
      <c r="N11" s="5"/>
      <c r="O11" s="5"/>
      <c r="P11" s="5"/>
      <c r="Q11" s="5"/>
      <c r="R11" s="5">
        <v>1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</row>
    <row r="12" spans="1:155" x14ac:dyDescent="0.35">
      <c r="A12" s="3"/>
      <c r="B12" s="33"/>
      <c r="C12" t="str">
        <f>Notes!W14</f>
        <v xml:space="preserve">      Quintile 5 (high)</v>
      </c>
      <c r="D12" s="5" t="str">
        <f>Notes!O14</f>
        <v>hh_Q5</v>
      </c>
      <c r="E12" s="5"/>
      <c r="F12" s="5"/>
      <c r="G12" s="5"/>
      <c r="H12" s="5"/>
      <c r="I12" s="5">
        <v>1</v>
      </c>
      <c r="J12" s="5"/>
      <c r="K12" s="5"/>
      <c r="L12" s="5"/>
      <c r="M12" s="5"/>
      <c r="N12" s="5">
        <v>1</v>
      </c>
      <c r="O12" s="5"/>
      <c r="P12" s="5"/>
      <c r="Q12" s="5"/>
      <c r="R12" s="5"/>
      <c r="S12" s="5">
        <v>1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</row>
    <row r="13" spans="1:155" x14ac:dyDescent="0.35">
      <c r="A13" s="3"/>
      <c r="B13" s="33"/>
      <c r="C13" t="str">
        <f>Notes!W15</f>
        <v xml:space="preserve">   Rural households</v>
      </c>
      <c r="D13" s="5" t="str">
        <f>Notes!O15</f>
        <v>hh_RUR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</row>
    <row r="14" spans="1:155" x14ac:dyDescent="0.35">
      <c r="A14" s="3"/>
      <c r="B14" s="33"/>
      <c r="C14" t="str">
        <f>Notes!W16</f>
        <v xml:space="preserve">      Rural - Quintile 1 (low)</v>
      </c>
      <c r="D14" s="5" t="str">
        <f>Notes!O16</f>
        <v>h_hhd-r1</v>
      </c>
      <c r="E14" s="5">
        <v>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</row>
    <row r="15" spans="1:155" x14ac:dyDescent="0.35">
      <c r="A15" s="3"/>
      <c r="B15" s="33"/>
      <c r="C15" t="str">
        <f>Notes!W17</f>
        <v xml:space="preserve">      Rural - Quintile 2</v>
      </c>
      <c r="D15" s="5" t="str">
        <f>Notes!O17</f>
        <v>h_hhd-r2</v>
      </c>
      <c r="E15" s="5"/>
      <c r="F15" s="5">
        <v>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</row>
    <row r="16" spans="1:155" x14ac:dyDescent="0.35">
      <c r="A16" s="3"/>
      <c r="B16" s="33"/>
      <c r="C16" t="str">
        <f>Notes!W18</f>
        <v xml:space="preserve">      Rural - Quintile 3</v>
      </c>
      <c r="D16" s="5" t="str">
        <f>Notes!O18</f>
        <v>h_hhd-r3</v>
      </c>
      <c r="E16" s="5"/>
      <c r="F16" s="5"/>
      <c r="G16" s="5"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</row>
    <row r="17" spans="1:154" x14ac:dyDescent="0.35">
      <c r="A17" s="3"/>
      <c r="B17" s="33"/>
      <c r="C17" t="str">
        <f>Notes!W19</f>
        <v xml:space="preserve">      Rural - Quintile 4</v>
      </c>
      <c r="D17" s="5" t="str">
        <f>Notes!O19</f>
        <v>h_hhd-r4</v>
      </c>
      <c r="E17" s="5"/>
      <c r="F17" s="5"/>
      <c r="G17" s="5"/>
      <c r="H17" s="5">
        <v>1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</row>
    <row r="18" spans="1:154" x14ac:dyDescent="0.35">
      <c r="A18" s="3"/>
      <c r="B18" s="33"/>
      <c r="C18" t="str">
        <f>Notes!W20</f>
        <v xml:space="preserve">      Rural - Quintile 5 (high)</v>
      </c>
      <c r="D18" s="5" t="str">
        <f>Notes!O20</f>
        <v>h_hhd-r5</v>
      </c>
      <c r="E18" s="5"/>
      <c r="F18" s="5"/>
      <c r="G18" s="5"/>
      <c r="H18" s="5"/>
      <c r="I18" s="5">
        <v>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</row>
    <row r="19" spans="1:154" x14ac:dyDescent="0.35">
      <c r="A19" s="3"/>
      <c r="B19" s="33"/>
      <c r="C19" t="str">
        <f>Notes!W21</f>
        <v xml:space="preserve">   Urban households</v>
      </c>
      <c r="D19" s="5" t="str">
        <f>Notes!O21</f>
        <v>hh_URB</v>
      </c>
      <c r="E19" s="5"/>
      <c r="F19" s="5"/>
      <c r="G19" s="5"/>
      <c r="H19" s="5"/>
      <c r="I19" s="5"/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</row>
    <row r="20" spans="1:154" x14ac:dyDescent="0.35">
      <c r="A20" s="3"/>
      <c r="B20" s="33"/>
      <c r="C20" t="str">
        <f>Notes!W22</f>
        <v xml:space="preserve">      Urban - Quintile 1 (low)</v>
      </c>
      <c r="D20" s="5" t="str">
        <f>Notes!O22</f>
        <v>h_hhd-u1</v>
      </c>
      <c r="E20" s="5"/>
      <c r="F20" s="5"/>
      <c r="G20" s="5"/>
      <c r="H20" s="5"/>
      <c r="I20" s="5"/>
      <c r="J20" s="5">
        <v>1</v>
      </c>
      <c r="K20" s="5"/>
      <c r="L20" s="5"/>
      <c r="M20" s="5"/>
      <c r="N20" s="5"/>
      <c r="O20" s="5">
        <v>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</row>
    <row r="21" spans="1:154" x14ac:dyDescent="0.35">
      <c r="A21" s="3"/>
      <c r="B21" s="33"/>
      <c r="C21" t="str">
        <f>Notes!W23</f>
        <v xml:space="preserve">      Urban - Quintile 2</v>
      </c>
      <c r="D21" s="5" t="str">
        <f>Notes!O23</f>
        <v>h_hhd-u2</v>
      </c>
      <c r="E21" s="5"/>
      <c r="F21" s="5"/>
      <c r="G21" s="5"/>
      <c r="H21" s="5"/>
      <c r="I21" s="5"/>
      <c r="J21" s="5"/>
      <c r="K21" s="5">
        <v>1</v>
      </c>
      <c r="L21" s="5"/>
      <c r="M21" s="5"/>
      <c r="N21" s="5"/>
      <c r="O21" s="5"/>
      <c r="P21" s="5">
        <v>1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</row>
    <row r="22" spans="1:154" x14ac:dyDescent="0.35">
      <c r="A22" s="3"/>
      <c r="B22" s="33"/>
      <c r="C22" t="str">
        <f>Notes!W24</f>
        <v xml:space="preserve">      Urban - Quintile 3</v>
      </c>
      <c r="D22" s="5" t="str">
        <f>Notes!O24</f>
        <v>h_hhd-u3</v>
      </c>
      <c r="E22" s="5"/>
      <c r="F22" s="5"/>
      <c r="G22" s="5"/>
      <c r="H22" s="5"/>
      <c r="I22" s="5"/>
      <c r="J22" s="5"/>
      <c r="K22" s="5"/>
      <c r="L22" s="5">
        <v>1</v>
      </c>
      <c r="M22" s="5"/>
      <c r="N22" s="5"/>
      <c r="O22" s="5"/>
      <c r="P22" s="5"/>
      <c r="Q22" s="5">
        <v>1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</row>
    <row r="23" spans="1:154" x14ac:dyDescent="0.35">
      <c r="A23" s="3"/>
      <c r="B23" s="33"/>
      <c r="C23" t="str">
        <f>Notes!W25</f>
        <v xml:space="preserve">      Urban - Quintile 4</v>
      </c>
      <c r="D23" s="5" t="str">
        <f>Notes!O25</f>
        <v>h_hhd-u4</v>
      </c>
      <c r="E23" s="5"/>
      <c r="F23" s="5"/>
      <c r="G23" s="5"/>
      <c r="H23" s="5"/>
      <c r="I23" s="5"/>
      <c r="J23" s="5"/>
      <c r="K23" s="5"/>
      <c r="L23" s="5"/>
      <c r="M23" s="5">
        <v>1</v>
      </c>
      <c r="N23" s="5"/>
      <c r="O23" s="5"/>
      <c r="P23" s="5"/>
      <c r="Q23" s="5"/>
      <c r="R23" s="5">
        <v>1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</row>
    <row r="24" spans="1:154" x14ac:dyDescent="0.35">
      <c r="A24" s="3"/>
      <c r="B24" s="33"/>
      <c r="C24" t="str">
        <f>Notes!W26</f>
        <v xml:space="preserve">      Urban - Quintile 5 (high)</v>
      </c>
      <c r="D24" s="5" t="str">
        <f>Notes!O26</f>
        <v>h_hhd-u5</v>
      </c>
      <c r="E24" s="5"/>
      <c r="F24" s="5"/>
      <c r="G24" s="5"/>
      <c r="H24" s="5"/>
      <c r="I24" s="5"/>
      <c r="J24" s="5"/>
      <c r="K24" s="5"/>
      <c r="L24" s="5"/>
      <c r="M24" s="5"/>
      <c r="N24" s="5">
        <v>1</v>
      </c>
      <c r="O24" s="5"/>
      <c r="P24" s="5"/>
      <c r="Q24" s="5"/>
      <c r="R24" s="5"/>
      <c r="S24" s="5">
        <v>1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</row>
    <row r="25" spans="1:154" x14ac:dyDescent="0.35">
      <c r="A25" s="3"/>
      <c r="B25" s="33"/>
      <c r="C25" t="str">
        <f>Notes!W27</f>
        <v xml:space="preserve">               </v>
      </c>
      <c r="D25" s="5">
        <f>Notes!O27</f>
        <v>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</row>
    <row r="26" spans="1:154" x14ac:dyDescent="0.35">
      <c r="A26" s="3"/>
      <c r="B26" s="33"/>
      <c r="C26" t="str">
        <f>Notes!W28</f>
        <v xml:space="preserve">               </v>
      </c>
      <c r="D26" s="5">
        <f>Notes!O28</f>
        <v>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</row>
    <row r="27" spans="1:154" x14ac:dyDescent="0.35">
      <c r="A27" s="3"/>
      <c r="B27" s="33"/>
      <c r="C27" t="str">
        <f>Notes!W29</f>
        <v xml:space="preserve">               </v>
      </c>
      <c r="D27" s="5">
        <f>Notes!O29</f>
        <v>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</row>
    <row r="28" spans="1:154" x14ac:dyDescent="0.35">
      <c r="A28" s="3"/>
      <c r="B28" s="33"/>
      <c r="C28" t="str">
        <f>Notes!W30</f>
        <v xml:space="preserve">               </v>
      </c>
      <c r="D28" s="5">
        <f>Notes!O30</f>
        <v>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</row>
    <row r="29" spans="1:154" x14ac:dyDescent="0.35">
      <c r="A29" s="3"/>
      <c r="B29" s="33"/>
      <c r="C29" t="str">
        <f>Notes!W31</f>
        <v xml:space="preserve">               </v>
      </c>
      <c r="D29" s="5">
        <f>Notes!O31</f>
        <v>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</row>
    <row r="30" spans="1:154" x14ac:dyDescent="0.35">
      <c r="A30" s="3"/>
      <c r="B30" s="33"/>
      <c r="C30" t="str">
        <f>Notes!W32</f>
        <v xml:space="preserve">               </v>
      </c>
      <c r="D30" s="5">
        <f>Notes!O32</f>
        <v>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</row>
    <row r="31" spans="1:154" x14ac:dyDescent="0.35">
      <c r="A31" s="3"/>
      <c r="B31" s="33"/>
      <c r="C31" t="str">
        <f>Notes!W33</f>
        <v xml:space="preserve">               </v>
      </c>
      <c r="D31" s="5">
        <f>Notes!O33</f>
        <v>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</row>
    <row r="32" spans="1:154" x14ac:dyDescent="0.35">
      <c r="A32" s="3"/>
      <c r="B32" s="33"/>
      <c r="C32" t="str">
        <f>Notes!W34</f>
        <v xml:space="preserve">               </v>
      </c>
      <c r="D32" s="5">
        <f>Notes!O34</f>
        <v>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</row>
    <row r="33" spans="1:154" x14ac:dyDescent="0.35">
      <c r="A33" s="3"/>
      <c r="B33" s="33"/>
      <c r="C33" t="str">
        <f>Notes!W35</f>
        <v xml:space="preserve">               </v>
      </c>
      <c r="D33" s="5">
        <f>Notes!O35</f>
        <v>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</row>
    <row r="34" spans="1:154" x14ac:dyDescent="0.35">
      <c r="A34" s="3"/>
      <c r="B34" s="33"/>
      <c r="C34" t="str">
        <f>Notes!W36</f>
        <v xml:space="preserve">               </v>
      </c>
      <c r="D34" s="5">
        <f>Notes!O36</f>
        <v>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</row>
    <row r="35" spans="1:154" x14ac:dyDescent="0.35">
      <c r="A35" s="3"/>
      <c r="B35" s="33"/>
      <c r="C35" t="str">
        <f>Notes!W37</f>
        <v xml:space="preserve">               </v>
      </c>
      <c r="D35" s="5">
        <f>Notes!O37</f>
        <v>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</row>
    <row r="36" spans="1:154" x14ac:dyDescent="0.35">
      <c r="A36" s="3"/>
      <c r="B36" s="33"/>
      <c r="C36" t="str">
        <f>Notes!W38</f>
        <v xml:space="preserve">               </v>
      </c>
      <c r="D36" s="5">
        <f>Notes!O38</f>
        <v>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</row>
    <row r="37" spans="1:154" x14ac:dyDescent="0.35">
      <c r="A37" s="3"/>
      <c r="B37" s="33"/>
      <c r="C37" t="str">
        <f>Notes!W39</f>
        <v xml:space="preserve">               </v>
      </c>
      <c r="D37" s="5">
        <f>Notes!O39</f>
        <v>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</row>
    <row r="38" spans="1:154" x14ac:dyDescent="0.35">
      <c r="A38" s="3"/>
      <c r="B38" s="33"/>
      <c r="C38" t="str">
        <f>Notes!W40</f>
        <v xml:space="preserve">               </v>
      </c>
      <c r="D38" s="5">
        <f>Notes!O40</f>
        <v>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</row>
    <row r="39" spans="1:154" x14ac:dyDescent="0.35">
      <c r="A39" s="3"/>
      <c r="B39" s="33"/>
      <c r="C39" t="str">
        <f>Notes!W41</f>
        <v xml:space="preserve">               </v>
      </c>
      <c r="D39" s="5">
        <f>Notes!O41</f>
        <v>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</row>
    <row r="40" spans="1:154" x14ac:dyDescent="0.35">
      <c r="A40" s="3"/>
      <c r="B40" s="33"/>
      <c r="C40" t="str">
        <f>Notes!W42</f>
        <v xml:space="preserve">               </v>
      </c>
      <c r="D40" s="5">
        <f>Notes!O42</f>
        <v>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</row>
    <row r="41" spans="1:154" x14ac:dyDescent="0.35">
      <c r="A41" s="3"/>
      <c r="B41" s="33"/>
      <c r="C41" t="str">
        <f>Notes!W43</f>
        <v xml:space="preserve">               </v>
      </c>
      <c r="D41" s="5">
        <f>Notes!O43</f>
        <v>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</row>
    <row r="42" spans="1:154" x14ac:dyDescent="0.35">
      <c r="A42" s="3"/>
      <c r="B42" s="33"/>
      <c r="C42" t="str">
        <f>Notes!W44</f>
        <v xml:space="preserve">               </v>
      </c>
      <c r="D42" s="5">
        <f>Notes!O44</f>
        <v>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</row>
    <row r="43" spans="1:154" x14ac:dyDescent="0.35">
      <c r="A43" s="3"/>
      <c r="B43" s="33"/>
      <c r="C43" t="str">
        <f>Notes!W45</f>
        <v xml:space="preserve">               </v>
      </c>
      <c r="D43" s="5">
        <f>Notes!O45</f>
        <v>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</row>
    <row r="44" spans="1:154" x14ac:dyDescent="0.35">
      <c r="A44" s="3"/>
      <c r="B44" s="33"/>
      <c r="C44" t="str">
        <f>Notes!W46</f>
        <v xml:space="preserve">               </v>
      </c>
      <c r="D44" s="5">
        <f>Notes!O46</f>
        <v>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</row>
    <row r="45" spans="1:154" x14ac:dyDescent="0.35">
      <c r="A45" s="3"/>
      <c r="B45" s="33"/>
      <c r="C45" t="str">
        <f>Notes!W47</f>
        <v xml:space="preserve">               </v>
      </c>
      <c r="D45" s="5">
        <f>Notes!O47</f>
        <v>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</row>
    <row r="46" spans="1:154" x14ac:dyDescent="0.35">
      <c r="A46" s="3"/>
      <c r="B46" s="33"/>
      <c r="C46" t="str">
        <f>Notes!W48</f>
        <v xml:space="preserve">               </v>
      </c>
      <c r="D46" s="5">
        <f>Notes!O48</f>
        <v>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</row>
    <row r="47" spans="1:154" x14ac:dyDescent="0.35">
      <c r="B47" s="33"/>
      <c r="C47" t="str">
        <f>Notes!W49</f>
        <v xml:space="preserve">               </v>
      </c>
      <c r="D47" s="5">
        <f>Notes!O49</f>
        <v>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</row>
    <row r="48" spans="1:154" x14ac:dyDescent="0.35">
      <c r="B48" s="33"/>
      <c r="C48" t="str">
        <f>Notes!W50</f>
        <v xml:space="preserve">               </v>
      </c>
      <c r="D48" s="5">
        <f>Notes!O50</f>
        <v>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</row>
    <row r="49" spans="2:154" x14ac:dyDescent="0.35">
      <c r="B49" s="33"/>
      <c r="C49" t="str">
        <f>Notes!W51</f>
        <v xml:space="preserve">               </v>
      </c>
      <c r="D49" s="5">
        <f>Notes!O51</f>
        <v>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</row>
    <row r="50" spans="2:154" x14ac:dyDescent="0.35">
      <c r="B50" s="33"/>
      <c r="C50" t="str">
        <f>Notes!W52</f>
        <v xml:space="preserve">               </v>
      </c>
      <c r="D50" s="5">
        <f>Notes!O52</f>
        <v>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</row>
    <row r="51" spans="2:154" x14ac:dyDescent="0.35">
      <c r="B51" s="33"/>
      <c r="C51" t="str">
        <f>Notes!W53</f>
        <v xml:space="preserve">               </v>
      </c>
      <c r="D51" s="5">
        <f>Notes!O53</f>
        <v>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</row>
    <row r="52" spans="2:154" x14ac:dyDescent="0.35">
      <c r="B52" s="33"/>
      <c r="C52" t="str">
        <f>Notes!W54</f>
        <v xml:space="preserve">               </v>
      </c>
      <c r="D52" s="5">
        <f>Notes!O54</f>
        <v>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</row>
    <row r="53" spans="2:154" x14ac:dyDescent="0.35">
      <c r="B53" s="33"/>
      <c r="C53" t="str">
        <f>Notes!W55</f>
        <v xml:space="preserve">               </v>
      </c>
      <c r="D53" s="5">
        <f>Notes!O55</f>
        <v>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</row>
    <row r="54" spans="2:154" x14ac:dyDescent="0.35">
      <c r="B54" s="33"/>
      <c r="C54" t="str">
        <f>Notes!W56</f>
        <v xml:space="preserve">               </v>
      </c>
      <c r="D54" s="5">
        <f>Notes!O56</f>
        <v>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</row>
    <row r="55" spans="2:154" x14ac:dyDescent="0.35">
      <c r="B55" s="33"/>
      <c r="C55" t="str">
        <f>Notes!W57</f>
        <v xml:space="preserve">               </v>
      </c>
      <c r="D55" s="5">
        <f>Notes!O57</f>
        <v>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</row>
    <row r="56" spans="2:154" x14ac:dyDescent="0.35">
      <c r="B56" s="33"/>
      <c r="C56" t="str">
        <f>Notes!W58</f>
        <v xml:space="preserve">               </v>
      </c>
      <c r="D56" s="5">
        <f>Notes!O58</f>
        <v>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</row>
    <row r="57" spans="2:154" x14ac:dyDescent="0.35">
      <c r="B57" s="33"/>
      <c r="C57" t="str">
        <f>Notes!W59</f>
        <v xml:space="preserve">               </v>
      </c>
      <c r="D57" s="5">
        <f>Notes!O59</f>
        <v>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</row>
    <row r="58" spans="2:154" x14ac:dyDescent="0.35">
      <c r="B58" s="33"/>
      <c r="C58" t="str">
        <f>Notes!W60</f>
        <v xml:space="preserve">               </v>
      </c>
      <c r="D58" s="5">
        <f>Notes!O60</f>
        <v>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</row>
    <row r="59" spans="2:154" x14ac:dyDescent="0.35">
      <c r="B59" s="33"/>
      <c r="C59" t="str">
        <f>Notes!W61</f>
        <v xml:space="preserve">               </v>
      </c>
      <c r="D59" s="5">
        <f>Notes!O61</f>
        <v>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</row>
    <row r="60" spans="2:154" x14ac:dyDescent="0.35">
      <c r="B60" s="33"/>
      <c r="C60" t="str">
        <f>Notes!W62</f>
        <v xml:space="preserve">               </v>
      </c>
      <c r="D60" s="5">
        <f>Notes!O62</f>
        <v>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</row>
    <row r="61" spans="2:154" x14ac:dyDescent="0.35">
      <c r="B61" s="33"/>
      <c r="C61" t="str">
        <f>Notes!W63</f>
        <v xml:space="preserve">               </v>
      </c>
      <c r="D61" s="5">
        <f>Notes!O63</f>
        <v>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</row>
    <row r="62" spans="2:154" x14ac:dyDescent="0.35">
      <c r="B62" s="33"/>
      <c r="C62" t="str">
        <f>Notes!W64</f>
        <v xml:space="preserve">               </v>
      </c>
      <c r="D62" s="5">
        <f>Notes!O64</f>
        <v>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</row>
    <row r="63" spans="2:154" x14ac:dyDescent="0.35">
      <c r="B63" s="33"/>
      <c r="C63" t="str">
        <f>Notes!W65</f>
        <v xml:space="preserve">               </v>
      </c>
      <c r="D63" s="5">
        <f>Notes!O65</f>
        <v>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</row>
    <row r="64" spans="2:154" x14ac:dyDescent="0.35">
      <c r="B64" s="33"/>
      <c r="C64" t="str">
        <f>Notes!W66</f>
        <v xml:space="preserve">               </v>
      </c>
      <c r="D64" s="5">
        <f>Notes!O66</f>
        <v>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</row>
    <row r="65" spans="2:154" x14ac:dyDescent="0.35">
      <c r="B65" s="33"/>
      <c r="C65" t="str">
        <f>Notes!W67</f>
        <v xml:space="preserve">               </v>
      </c>
      <c r="D65" s="5">
        <f>Notes!O67</f>
        <v>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</row>
    <row r="66" spans="2:154" x14ac:dyDescent="0.35">
      <c r="B66" s="33"/>
      <c r="C66" t="str">
        <f>Notes!W68</f>
        <v xml:space="preserve">               </v>
      </c>
      <c r="D66" s="5">
        <f>Notes!O68</f>
        <v>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</row>
    <row r="67" spans="2:154" x14ac:dyDescent="0.35">
      <c r="B67" s="33"/>
      <c r="C67" t="str">
        <f>Notes!W69</f>
        <v xml:space="preserve">               </v>
      </c>
      <c r="D67" s="5">
        <f>Notes!O69</f>
        <v>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</row>
    <row r="68" spans="2:154" x14ac:dyDescent="0.35">
      <c r="B68" s="33"/>
      <c r="C68" t="str">
        <f>Notes!W70</f>
        <v xml:space="preserve">               </v>
      </c>
      <c r="D68" s="5">
        <f>Notes!O70</f>
        <v>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</row>
    <row r="69" spans="2:154" x14ac:dyDescent="0.35">
      <c r="B69" s="33"/>
      <c r="C69" t="str">
        <f>Notes!W71</f>
        <v xml:space="preserve">               </v>
      </c>
      <c r="D69" s="5">
        <f>Notes!O71</f>
        <v>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</row>
    <row r="70" spans="2:154" x14ac:dyDescent="0.35">
      <c r="B70" s="33"/>
      <c r="C70" t="str">
        <f>Notes!W72</f>
        <v xml:space="preserve">               </v>
      </c>
      <c r="D70" s="5">
        <f>Notes!O72</f>
        <v>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</row>
    <row r="71" spans="2:154" x14ac:dyDescent="0.35">
      <c r="B71" s="33"/>
      <c r="C71" t="str">
        <f>Notes!W73</f>
        <v xml:space="preserve">               </v>
      </c>
      <c r="D71" s="5">
        <f>Notes!O73</f>
        <v>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</row>
    <row r="72" spans="2:154" x14ac:dyDescent="0.35">
      <c r="B72" s="33"/>
      <c r="C72" t="str">
        <f>Notes!W74</f>
        <v xml:space="preserve">               </v>
      </c>
      <c r="D72" s="5">
        <f>Notes!O74</f>
        <v>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</row>
    <row r="73" spans="2:154" x14ac:dyDescent="0.35">
      <c r="B73" s="33"/>
      <c r="C73" t="str">
        <f>Notes!W75</f>
        <v xml:space="preserve">               </v>
      </c>
      <c r="D73" s="5">
        <f>Notes!O75</f>
        <v>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</row>
    <row r="74" spans="2:154" x14ac:dyDescent="0.35">
      <c r="B74" s="33"/>
      <c r="C74" t="str">
        <f>Notes!W76</f>
        <v xml:space="preserve">               </v>
      </c>
      <c r="D74" s="5">
        <f>Notes!O76</f>
        <v>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</row>
    <row r="75" spans="2:154" x14ac:dyDescent="0.35">
      <c r="B75" s="33"/>
      <c r="C75" t="str">
        <f>Notes!W77</f>
        <v xml:space="preserve">               </v>
      </c>
      <c r="D75" s="5">
        <f>Notes!O77</f>
        <v>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</row>
    <row r="76" spans="2:154" x14ac:dyDescent="0.35">
      <c r="B76" s="33"/>
      <c r="C76" t="str">
        <f>Notes!W78</f>
        <v xml:space="preserve">               </v>
      </c>
      <c r="D76" s="5">
        <f>Notes!O78</f>
        <v>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</row>
    <row r="77" spans="2:154" x14ac:dyDescent="0.35">
      <c r="B77" s="33"/>
      <c r="C77" t="str">
        <f>Notes!W79</f>
        <v xml:space="preserve">               </v>
      </c>
      <c r="D77" s="5">
        <f>Notes!O79</f>
        <v>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</row>
    <row r="78" spans="2:154" x14ac:dyDescent="0.35">
      <c r="B78" s="33"/>
      <c r="C78" t="str">
        <f>Notes!W80</f>
        <v xml:space="preserve">               </v>
      </c>
      <c r="D78" s="5">
        <f>Notes!O80</f>
        <v>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</row>
    <row r="79" spans="2:154" x14ac:dyDescent="0.35">
      <c r="B79" s="33"/>
      <c r="C79" t="str">
        <f>Notes!W81</f>
        <v xml:space="preserve">               </v>
      </c>
      <c r="D79" s="5">
        <f>Notes!O81</f>
        <v>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</row>
    <row r="80" spans="2:154" x14ac:dyDescent="0.35">
      <c r="B80" s="33"/>
      <c r="C80" t="str">
        <f>Notes!W82</f>
        <v xml:space="preserve">               </v>
      </c>
      <c r="D80" s="5">
        <f>Notes!O82</f>
        <v>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</row>
    <row r="81" spans="2:154" x14ac:dyDescent="0.35">
      <c r="B81" s="33"/>
      <c r="C81" t="str">
        <f>Notes!W83</f>
        <v xml:space="preserve">               </v>
      </c>
      <c r="D81" s="5">
        <f>Notes!O83</f>
        <v>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</row>
    <row r="82" spans="2:154" x14ac:dyDescent="0.35">
      <c r="B82" s="33"/>
      <c r="C82" t="str">
        <f>Notes!W84</f>
        <v xml:space="preserve">               </v>
      </c>
      <c r="D82" s="5">
        <f>Notes!O84</f>
        <v>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</row>
    <row r="83" spans="2:154" x14ac:dyDescent="0.35">
      <c r="B83" s="33"/>
      <c r="C83" t="str">
        <f>Notes!W85</f>
        <v xml:space="preserve">               </v>
      </c>
      <c r="D83" s="5">
        <f>Notes!O85</f>
        <v>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</row>
    <row r="84" spans="2:154" x14ac:dyDescent="0.35">
      <c r="B84" s="33"/>
      <c r="C84" t="str">
        <f>Notes!W86</f>
        <v xml:space="preserve">               </v>
      </c>
      <c r="D84" s="5">
        <f>Notes!O86</f>
        <v>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</row>
    <row r="85" spans="2:154" x14ac:dyDescent="0.35">
      <c r="B85" s="33"/>
      <c r="C85" t="str">
        <f>Notes!W87</f>
        <v xml:space="preserve">               </v>
      </c>
      <c r="D85" s="5">
        <f>Notes!O87</f>
        <v>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</row>
    <row r="86" spans="2:154" x14ac:dyDescent="0.35">
      <c r="B86" s="33"/>
      <c r="C86" t="str">
        <f>Notes!W88</f>
        <v xml:space="preserve">               </v>
      </c>
      <c r="D86" s="5">
        <f>Notes!O88</f>
        <v>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</row>
    <row r="87" spans="2:154" x14ac:dyDescent="0.35">
      <c r="B87" s="33"/>
      <c r="C87" t="str">
        <f>Notes!W89</f>
        <v xml:space="preserve">               </v>
      </c>
      <c r="D87" s="5">
        <f>Notes!O89</f>
        <v>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</row>
    <row r="88" spans="2:154" x14ac:dyDescent="0.35">
      <c r="B88" s="33"/>
      <c r="C88" t="str">
        <f>Notes!W90</f>
        <v xml:space="preserve">               </v>
      </c>
      <c r="D88" s="5">
        <f>Notes!O90</f>
        <v>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</row>
    <row r="89" spans="2:154" x14ac:dyDescent="0.35">
      <c r="B89" s="33"/>
      <c r="C89" t="str">
        <f>Notes!W91</f>
        <v xml:space="preserve">               </v>
      </c>
      <c r="D89" s="5">
        <f>Notes!O91</f>
        <v>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</row>
    <row r="90" spans="2:154" x14ac:dyDescent="0.35">
      <c r="B90" s="33"/>
      <c r="C90" t="str">
        <f>Notes!W92</f>
        <v xml:space="preserve">               </v>
      </c>
      <c r="D90" s="5">
        <f>Notes!O92</f>
        <v>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</row>
    <row r="91" spans="2:154" x14ac:dyDescent="0.35">
      <c r="B91" s="33"/>
      <c r="C91" t="str">
        <f>Notes!W93</f>
        <v xml:space="preserve">               </v>
      </c>
      <c r="D91" s="5">
        <f>Notes!O93</f>
        <v>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</row>
    <row r="92" spans="2:154" x14ac:dyDescent="0.35">
      <c r="B92" s="33"/>
      <c r="C92" t="str">
        <f>Notes!W94</f>
        <v xml:space="preserve">               </v>
      </c>
      <c r="D92" s="5">
        <f>Notes!O94</f>
        <v>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</row>
    <row r="93" spans="2:154" x14ac:dyDescent="0.35">
      <c r="B93" s="33"/>
      <c r="C93" t="str">
        <f>Notes!W95</f>
        <v xml:space="preserve">               </v>
      </c>
      <c r="D93" s="5">
        <f>Notes!O95</f>
        <v>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</row>
    <row r="94" spans="2:154" x14ac:dyDescent="0.35">
      <c r="B94" s="33"/>
      <c r="C94" t="str">
        <f>Notes!W96</f>
        <v xml:space="preserve">               </v>
      </c>
      <c r="D94" s="5">
        <f>Notes!O96</f>
        <v>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</row>
    <row r="95" spans="2:154" x14ac:dyDescent="0.35">
      <c r="B95" s="33"/>
      <c r="C95" t="str">
        <f>Notes!W97</f>
        <v xml:space="preserve">               </v>
      </c>
      <c r="D95" s="5">
        <f>Notes!O97</f>
        <v>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</row>
    <row r="96" spans="2:154" x14ac:dyDescent="0.35">
      <c r="B96" s="33"/>
      <c r="C96" t="str">
        <f>Notes!W98</f>
        <v xml:space="preserve">               </v>
      </c>
      <c r="D96" s="5">
        <f>Notes!O98</f>
        <v>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</row>
    <row r="97" spans="2:154" x14ac:dyDescent="0.35">
      <c r="B97" s="33"/>
      <c r="C97" t="str">
        <f>Notes!W99</f>
        <v xml:space="preserve">               </v>
      </c>
      <c r="D97" s="5">
        <f>Notes!O99</f>
        <v>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</row>
    <row r="98" spans="2:154" x14ac:dyDescent="0.35">
      <c r="B98" s="33"/>
      <c r="C98" t="str">
        <f>Notes!W100</f>
        <v xml:space="preserve">               </v>
      </c>
      <c r="D98" s="5">
        <f>Notes!O100</f>
        <v>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</row>
    <row r="99" spans="2:154" x14ac:dyDescent="0.35">
      <c r="B99" s="33"/>
      <c r="C99" t="str">
        <f>Notes!W101</f>
        <v xml:space="preserve">               </v>
      </c>
      <c r="D99" s="5">
        <f>Notes!O101</f>
        <v>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</row>
    <row r="100" spans="2:154" x14ac:dyDescent="0.35">
      <c r="B100" s="33"/>
      <c r="C100" t="str">
        <f>Notes!W102</f>
        <v xml:space="preserve">               </v>
      </c>
      <c r="D100" s="5">
        <f>Notes!O102</f>
        <v>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</row>
    <row r="101" spans="2:154" x14ac:dyDescent="0.35">
      <c r="B101" s="33"/>
      <c r="C101" t="str">
        <f>Notes!W103</f>
        <v xml:space="preserve">               </v>
      </c>
      <c r="D101" s="5">
        <f>Notes!O103</f>
        <v>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</row>
    <row r="102" spans="2:154" x14ac:dyDescent="0.35">
      <c r="B102" s="33"/>
      <c r="C102" t="str">
        <f>Notes!W104</f>
        <v xml:space="preserve">               </v>
      </c>
      <c r="D102" s="5">
        <f>Notes!O104</f>
        <v>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</row>
    <row r="103" spans="2:154" x14ac:dyDescent="0.35">
      <c r="B103" s="33"/>
      <c r="C103" t="str">
        <f>Notes!W105</f>
        <v xml:space="preserve">               </v>
      </c>
      <c r="D103" s="5">
        <f>Notes!O105</f>
        <v>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</row>
    <row r="104" spans="2:154" x14ac:dyDescent="0.35">
      <c r="B104" s="33"/>
      <c r="C104" t="str">
        <f>Notes!W106</f>
        <v xml:space="preserve">               </v>
      </c>
      <c r="D104" s="5">
        <f>Notes!O106</f>
        <v>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</row>
    <row r="105" spans="2:154" x14ac:dyDescent="0.35">
      <c r="B105" s="33"/>
      <c r="C105" t="str">
        <f>Notes!W107</f>
        <v xml:space="preserve">               </v>
      </c>
      <c r="D105" s="5">
        <f>Notes!O107</f>
        <v>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</row>
    <row r="106" spans="2:154" x14ac:dyDescent="0.35">
      <c r="B106" s="33"/>
      <c r="C106" t="str">
        <f>Notes!W108</f>
        <v xml:space="preserve">               </v>
      </c>
      <c r="D106" s="5">
        <f>Notes!O108</f>
        <v>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</row>
    <row r="107" spans="2:154" x14ac:dyDescent="0.35">
      <c r="B107" s="33"/>
      <c r="C107" t="str">
        <f>Notes!W109</f>
        <v xml:space="preserve">               </v>
      </c>
      <c r="D107" s="5">
        <f>Notes!O109</f>
        <v>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</row>
    <row r="108" spans="2:154" x14ac:dyDescent="0.35">
      <c r="B108" s="33"/>
      <c r="C108" t="str">
        <f>Notes!W110</f>
        <v xml:space="preserve">               </v>
      </c>
      <c r="D108" s="5">
        <f>Notes!O110</f>
        <v>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</row>
    <row r="109" spans="2:154" x14ac:dyDescent="0.35">
      <c r="B109" s="33"/>
      <c r="C109" t="str">
        <f>Notes!W111</f>
        <v xml:space="preserve">               </v>
      </c>
      <c r="D109" s="5">
        <f>Notes!O111</f>
        <v>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</row>
    <row r="110" spans="2:154" x14ac:dyDescent="0.35">
      <c r="B110" s="33"/>
      <c r="C110" t="str">
        <f>Notes!W112</f>
        <v xml:space="preserve">               </v>
      </c>
      <c r="D110" s="5">
        <f>Notes!O112</f>
        <v>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</row>
    <row r="111" spans="2:154" x14ac:dyDescent="0.35">
      <c r="B111" s="33"/>
      <c r="C111" t="str">
        <f>Notes!W113</f>
        <v xml:space="preserve">               </v>
      </c>
      <c r="D111" s="5">
        <f>Notes!O113</f>
        <v>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</row>
    <row r="112" spans="2:154" x14ac:dyDescent="0.35">
      <c r="B112" s="33"/>
      <c r="C112" t="str">
        <f>Notes!W114</f>
        <v xml:space="preserve">               </v>
      </c>
      <c r="D112" s="5">
        <f>Notes!O114</f>
        <v>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</row>
    <row r="113" spans="2:154" x14ac:dyDescent="0.35">
      <c r="B113" s="33"/>
      <c r="C113" t="str">
        <f>Notes!W115</f>
        <v xml:space="preserve">               </v>
      </c>
      <c r="D113" s="5">
        <f>Notes!O115</f>
        <v>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</row>
    <row r="114" spans="2:154" x14ac:dyDescent="0.35">
      <c r="B114" s="33"/>
      <c r="C114" t="str">
        <f>Notes!W116</f>
        <v xml:space="preserve">               </v>
      </c>
      <c r="D114" s="5">
        <f>Notes!O116</f>
        <v>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</row>
    <row r="115" spans="2:154" x14ac:dyDescent="0.35">
      <c r="B115" s="33"/>
      <c r="C115" t="str">
        <f>Notes!W117</f>
        <v xml:space="preserve">               </v>
      </c>
      <c r="D115" s="5">
        <f>Notes!O117</f>
        <v>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</row>
    <row r="116" spans="2:154" x14ac:dyDescent="0.35">
      <c r="B116" s="33"/>
      <c r="C116" t="str">
        <f>Notes!W118</f>
        <v xml:space="preserve">               </v>
      </c>
      <c r="D116" s="5">
        <f>Notes!O118</f>
        <v>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</row>
    <row r="117" spans="2:154" x14ac:dyDescent="0.35">
      <c r="B117" s="33"/>
      <c r="C117" t="str">
        <f>Notes!W119</f>
        <v xml:space="preserve">               </v>
      </c>
      <c r="D117" s="5">
        <f>Notes!O119</f>
        <v>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</row>
    <row r="118" spans="2:154" x14ac:dyDescent="0.35">
      <c r="B118" s="33"/>
      <c r="C118" t="str">
        <f>Notes!W120</f>
        <v xml:space="preserve">               </v>
      </c>
      <c r="D118" s="5">
        <f>Notes!O120</f>
        <v>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</row>
    <row r="119" spans="2:154" x14ac:dyDescent="0.35">
      <c r="B119" s="33"/>
      <c r="C119" t="str">
        <f>Notes!W121</f>
        <v xml:space="preserve">               </v>
      </c>
      <c r="D119" s="5">
        <f>Notes!O121</f>
        <v>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</row>
    <row r="120" spans="2:154" x14ac:dyDescent="0.35">
      <c r="B120" s="33"/>
      <c r="C120" t="str">
        <f>Notes!W122</f>
        <v xml:space="preserve">               </v>
      </c>
      <c r="D120" s="5">
        <f>Notes!O122</f>
        <v>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</row>
    <row r="121" spans="2:154" x14ac:dyDescent="0.35">
      <c r="B121" s="33"/>
      <c r="C121" t="str">
        <f>Notes!W123</f>
        <v xml:space="preserve">               </v>
      </c>
      <c r="D121" s="5">
        <f>Notes!O123</f>
        <v>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</row>
    <row r="122" spans="2:154" x14ac:dyDescent="0.35">
      <c r="B122" s="33"/>
      <c r="C122" t="str">
        <f>Notes!W124</f>
        <v xml:space="preserve">               </v>
      </c>
      <c r="D122" s="5">
        <f>Notes!O124</f>
        <v>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</row>
    <row r="123" spans="2:154" x14ac:dyDescent="0.35">
      <c r="B123" s="33"/>
      <c r="C123" t="str">
        <f>Notes!W125</f>
        <v xml:space="preserve">               </v>
      </c>
      <c r="D123" s="5">
        <f>Notes!O125</f>
        <v>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</row>
    <row r="124" spans="2:154" x14ac:dyDescent="0.35">
      <c r="B124" s="33"/>
      <c r="C124" t="str">
        <f>Notes!W126</f>
        <v xml:space="preserve">               </v>
      </c>
      <c r="D124" s="5">
        <f>Notes!O126</f>
        <v>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</row>
    <row r="125" spans="2:154" x14ac:dyDescent="0.35">
      <c r="B125" s="33"/>
      <c r="C125" t="str">
        <f>Notes!W127</f>
        <v xml:space="preserve">               </v>
      </c>
      <c r="D125" s="5">
        <f>Notes!O127</f>
        <v>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</row>
    <row r="126" spans="2:154" x14ac:dyDescent="0.35">
      <c r="B126" s="33"/>
      <c r="C126" t="str">
        <f>Notes!W128</f>
        <v xml:space="preserve">               </v>
      </c>
      <c r="D126" s="5">
        <f>Notes!O128</f>
        <v>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</row>
    <row r="127" spans="2:154" x14ac:dyDescent="0.35">
      <c r="B127" s="33"/>
      <c r="C127" t="str">
        <f>Notes!W129</f>
        <v xml:space="preserve">               </v>
      </c>
      <c r="D127" s="5">
        <f>Notes!O129</f>
        <v>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</row>
    <row r="128" spans="2:154" x14ac:dyDescent="0.35">
      <c r="B128" s="33"/>
      <c r="C128" t="str">
        <f>Notes!W130</f>
        <v xml:space="preserve">               </v>
      </c>
      <c r="D128" s="5">
        <f>Notes!O130</f>
        <v>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</row>
    <row r="129" spans="2:154" x14ac:dyDescent="0.35">
      <c r="B129" s="33"/>
      <c r="C129" t="str">
        <f>Notes!W131</f>
        <v xml:space="preserve">               </v>
      </c>
      <c r="D129" s="5">
        <f>Notes!O131</f>
        <v>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</row>
    <row r="130" spans="2:154" x14ac:dyDescent="0.35">
      <c r="B130" s="33"/>
      <c r="C130" t="str">
        <f>Notes!W132</f>
        <v xml:space="preserve">               </v>
      </c>
      <c r="D130" s="5">
        <f>Notes!O132</f>
        <v>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</row>
    <row r="131" spans="2:154" x14ac:dyDescent="0.35">
      <c r="B131" s="33"/>
      <c r="C131" t="str">
        <f>Notes!W133</f>
        <v xml:space="preserve">               </v>
      </c>
      <c r="D131" s="5">
        <f>Notes!O133</f>
        <v>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</row>
    <row r="132" spans="2:154" x14ac:dyDescent="0.35">
      <c r="B132" s="33"/>
      <c r="C132" t="str">
        <f>Notes!W134</f>
        <v xml:space="preserve">               </v>
      </c>
      <c r="D132" s="5">
        <f>Notes!O134</f>
        <v>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</row>
    <row r="133" spans="2:154" x14ac:dyDescent="0.35">
      <c r="B133" s="33"/>
      <c r="C133" t="str">
        <f>Notes!W135</f>
        <v xml:space="preserve">               </v>
      </c>
      <c r="D133" s="5">
        <f>Notes!O135</f>
        <v>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</row>
    <row r="134" spans="2:154" x14ac:dyDescent="0.35">
      <c r="B134" s="33"/>
      <c r="C134" t="str">
        <f>Notes!W136</f>
        <v xml:space="preserve">               </v>
      </c>
      <c r="D134" s="5">
        <f>Notes!O136</f>
        <v>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</row>
    <row r="135" spans="2:154" x14ac:dyDescent="0.35">
      <c r="B135" s="33"/>
      <c r="C135" t="str">
        <f>Notes!W137</f>
        <v xml:space="preserve">               </v>
      </c>
      <c r="D135" s="5">
        <f>Notes!O137</f>
        <v>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</row>
    <row r="136" spans="2:154" x14ac:dyDescent="0.35">
      <c r="B136" s="33"/>
      <c r="C136" t="str">
        <f>Notes!W138</f>
        <v xml:space="preserve">               </v>
      </c>
      <c r="D136" s="5">
        <f>Notes!O138</f>
        <v>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</row>
    <row r="137" spans="2:154" x14ac:dyDescent="0.35">
      <c r="B137" s="33"/>
      <c r="C137" t="str">
        <f>Notes!W139</f>
        <v xml:space="preserve">               </v>
      </c>
      <c r="D137" s="5">
        <f>Notes!O139</f>
        <v>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</row>
    <row r="138" spans="2:154" x14ac:dyDescent="0.35">
      <c r="B138" s="33"/>
      <c r="C138" t="str">
        <f>Notes!W140</f>
        <v xml:space="preserve">               </v>
      </c>
      <c r="D138" s="5">
        <f>Notes!O140</f>
        <v>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</row>
    <row r="139" spans="2:154" x14ac:dyDescent="0.35">
      <c r="B139" s="33"/>
      <c r="C139" t="str">
        <f>Notes!W141</f>
        <v xml:space="preserve">               </v>
      </c>
      <c r="D139" s="5">
        <f>Notes!O141</f>
        <v>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</row>
    <row r="140" spans="2:154" x14ac:dyDescent="0.35">
      <c r="B140" s="33"/>
      <c r="C140" t="str">
        <f>Notes!W142</f>
        <v xml:space="preserve">               </v>
      </c>
      <c r="D140" s="5">
        <f>Notes!O142</f>
        <v>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</row>
    <row r="141" spans="2:154" x14ac:dyDescent="0.35">
      <c r="B141" s="33"/>
      <c r="C141" t="str">
        <f>Notes!W143</f>
        <v xml:space="preserve">               </v>
      </c>
      <c r="D141" s="5">
        <f>Notes!O143</f>
        <v>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</row>
    <row r="142" spans="2:154" x14ac:dyDescent="0.35">
      <c r="B142" s="33"/>
      <c r="C142" t="str">
        <f>Notes!W144</f>
        <v xml:space="preserve">               </v>
      </c>
      <c r="D142" s="5">
        <f>Notes!O144</f>
        <v>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</row>
    <row r="143" spans="2:154" x14ac:dyDescent="0.35">
      <c r="B143" s="33"/>
      <c r="C143" t="str">
        <f>Notes!W145</f>
        <v xml:space="preserve">               </v>
      </c>
      <c r="D143" s="5">
        <f>Notes!O145</f>
        <v>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</row>
    <row r="144" spans="2:154" x14ac:dyDescent="0.35">
      <c r="B144" s="33"/>
      <c r="C144" t="str">
        <f>Notes!W146</f>
        <v xml:space="preserve">               </v>
      </c>
      <c r="D144" s="5">
        <f>Notes!O146</f>
        <v>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</row>
    <row r="145" spans="2:154" x14ac:dyDescent="0.35">
      <c r="B145" s="33"/>
      <c r="C145" t="str">
        <f>Notes!W147</f>
        <v xml:space="preserve">               </v>
      </c>
      <c r="D145" s="5">
        <f>Notes!O147</f>
        <v>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</row>
    <row r="146" spans="2:154" x14ac:dyDescent="0.35">
      <c r="B146" s="33"/>
      <c r="C146" t="str">
        <f>Notes!W148</f>
        <v xml:space="preserve">               </v>
      </c>
      <c r="D146" s="5">
        <f>Notes!O148</f>
        <v>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</row>
    <row r="147" spans="2:154" x14ac:dyDescent="0.35">
      <c r="B147" s="33"/>
      <c r="C147" t="str">
        <f>Notes!W149</f>
        <v xml:space="preserve">               </v>
      </c>
      <c r="D147" s="5">
        <f>Notes!O149</f>
        <v>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</row>
    <row r="148" spans="2:154" x14ac:dyDescent="0.35">
      <c r="B148" s="33"/>
      <c r="C148" t="str">
        <f>Notes!W150</f>
        <v xml:space="preserve">               </v>
      </c>
      <c r="D148" s="5">
        <f>Notes!O150</f>
        <v>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</row>
    <row r="149" spans="2:154" x14ac:dyDescent="0.35">
      <c r="B149" s="33"/>
      <c r="C149" t="str">
        <f>Notes!W151</f>
        <v xml:space="preserve">               </v>
      </c>
      <c r="D149" s="5">
        <f>Notes!O151</f>
        <v>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</row>
    <row r="150" spans="2:154" x14ac:dyDescent="0.35">
      <c r="B150" s="33"/>
      <c r="C150" t="str">
        <f>Notes!W152</f>
        <v xml:space="preserve">               </v>
      </c>
      <c r="D150" s="5">
        <f>Notes!O152</f>
        <v>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</row>
    <row r="151" spans="2:154" x14ac:dyDescent="0.35">
      <c r="B151" s="33"/>
      <c r="C151" t="str">
        <f>Notes!W153</f>
        <v xml:space="preserve">               </v>
      </c>
      <c r="D151" s="5">
        <f>Notes!O153</f>
        <v>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</row>
    <row r="152" spans="2:154" x14ac:dyDescent="0.35">
      <c r="B152" s="33"/>
      <c r="C152" t="str">
        <f>Notes!W154</f>
        <v xml:space="preserve">               </v>
      </c>
      <c r="D152" s="5">
        <f>Notes!O154</f>
        <v>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</row>
    <row r="153" spans="2:154" x14ac:dyDescent="0.35">
      <c r="B153" s="33"/>
      <c r="C153" t="str">
        <f>Notes!W155</f>
        <v xml:space="preserve">               </v>
      </c>
      <c r="D153" s="5">
        <f>Notes!O155</f>
        <v>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</row>
    <row r="154" spans="2:154" x14ac:dyDescent="0.35">
      <c r="B154" s="33"/>
      <c r="C154" t="str">
        <f>Notes!W156</f>
        <v xml:space="preserve">               </v>
      </c>
      <c r="D154" s="5">
        <f>Notes!O156</f>
        <v>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</row>
    <row r="155" spans="2:154" x14ac:dyDescent="0.35">
      <c r="B155" s="33"/>
      <c r="C155" t="str">
        <f>Notes!W157</f>
        <v xml:space="preserve">               </v>
      </c>
      <c r="D155" s="5">
        <f>Notes!O157</f>
        <v>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</row>
    <row r="156" spans="2:154" x14ac:dyDescent="0.35">
      <c r="B156" s="33"/>
      <c r="C156" t="str">
        <f>Notes!W158</f>
        <v xml:space="preserve">               </v>
      </c>
      <c r="D156" s="5">
        <f>Notes!O158</f>
        <v>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</row>
    <row r="157" spans="2:154" x14ac:dyDescent="0.35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</row>
  </sheetData>
  <sheetProtection sheet="1" objects="1" scenarios="1"/>
  <pageMargins left="0.7" right="0.7" top="0.75" bottom="0.75" header="0.3" footer="0.3"/>
  <ignoredErrors>
    <ignoredError sqref="D7:D156" unlocked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zoomScaleNormal="100" workbookViewId="0">
      <pane ySplit="5" topLeftCell="A6" activePane="bottomLeft" state="frozen"/>
      <selection activeCell="E10" sqref="E10"/>
      <selection pane="bottomLeft" activeCell="B12" sqref="B12"/>
    </sheetView>
  </sheetViews>
  <sheetFormatPr defaultRowHeight="14.5" x14ac:dyDescent="0.35"/>
  <cols>
    <col min="2" max="2" width="11.08984375" bestFit="1" customWidth="1"/>
    <col min="3" max="3" width="18.453125" customWidth="1"/>
  </cols>
  <sheetData>
    <row r="1" spans="1:5" ht="18.5" x14ac:dyDescent="0.45">
      <c r="A1" s="2" t="s">
        <v>31</v>
      </c>
    </row>
    <row r="5" spans="1:5" x14ac:dyDescent="0.35">
      <c r="D5" t="s">
        <v>18</v>
      </c>
      <c r="E5" t="s">
        <v>19</v>
      </c>
    </row>
    <row r="6" spans="1:5" x14ac:dyDescent="0.35">
      <c r="A6" t="s">
        <v>20</v>
      </c>
      <c r="B6" t="s">
        <v>21</v>
      </c>
      <c r="C6" t="s">
        <v>22</v>
      </c>
      <c r="D6">
        <v>1</v>
      </c>
    </row>
    <row r="7" spans="1:5" x14ac:dyDescent="0.35">
      <c r="A7" t="s">
        <v>20</v>
      </c>
      <c r="B7" t="s">
        <v>26</v>
      </c>
      <c r="C7" t="s">
        <v>23</v>
      </c>
      <c r="D7">
        <v>1</v>
      </c>
    </row>
    <row r="8" spans="1:5" x14ac:dyDescent="0.35">
      <c r="A8" t="s">
        <v>20</v>
      </c>
      <c r="B8" t="s">
        <v>27</v>
      </c>
      <c r="C8" t="s">
        <v>24</v>
      </c>
      <c r="D8">
        <v>1</v>
      </c>
    </row>
    <row r="9" spans="1:5" x14ac:dyDescent="0.35">
      <c r="A9" t="s">
        <v>20</v>
      </c>
      <c r="B9" t="s">
        <v>28</v>
      </c>
      <c r="C9" t="s">
        <v>25</v>
      </c>
      <c r="D9">
        <v>1</v>
      </c>
    </row>
    <row r="10" spans="1:5" x14ac:dyDescent="0.35">
      <c r="A10" t="s">
        <v>20</v>
      </c>
      <c r="B10" t="s">
        <v>29</v>
      </c>
      <c r="C10" t="s">
        <v>278</v>
      </c>
      <c r="D10">
        <v>1</v>
      </c>
    </row>
    <row r="11" spans="1:5" x14ac:dyDescent="0.35">
      <c r="A11" t="s">
        <v>20</v>
      </c>
      <c r="B11" t="s">
        <v>30</v>
      </c>
      <c r="C11" t="s">
        <v>279</v>
      </c>
      <c r="D11">
        <v>1</v>
      </c>
    </row>
    <row r="12" spans="1:5" x14ac:dyDescent="0.35">
      <c r="A12" t="s">
        <v>35</v>
      </c>
      <c r="B12" t="s">
        <v>32</v>
      </c>
      <c r="C12" t="s">
        <v>286</v>
      </c>
      <c r="D12">
        <v>1</v>
      </c>
      <c r="E12">
        <v>1</v>
      </c>
    </row>
    <row r="13" spans="1:5" x14ac:dyDescent="0.35">
      <c r="A13" t="s">
        <v>35</v>
      </c>
      <c r="B13" t="s">
        <v>33</v>
      </c>
      <c r="C13" t="s">
        <v>287</v>
      </c>
      <c r="D13">
        <v>1</v>
      </c>
      <c r="E13">
        <v>1</v>
      </c>
    </row>
    <row r="14" spans="1:5" x14ac:dyDescent="0.35">
      <c r="A14" t="s">
        <v>35</v>
      </c>
      <c r="B14" t="s">
        <v>34</v>
      </c>
      <c r="C14" t="s">
        <v>288</v>
      </c>
      <c r="D14">
        <v>1</v>
      </c>
      <c r="E14">
        <v>1</v>
      </c>
    </row>
    <row r="20" spans="1:5" x14ac:dyDescent="0.35">
      <c r="D20" t="s">
        <v>18</v>
      </c>
      <c r="E20" t="s">
        <v>19</v>
      </c>
    </row>
    <row r="21" spans="1:5" x14ac:dyDescent="0.35">
      <c r="A21" t="s">
        <v>35</v>
      </c>
      <c r="B21" t="s">
        <v>289</v>
      </c>
      <c r="C21" t="s">
        <v>73</v>
      </c>
      <c r="D21">
        <v>1</v>
      </c>
      <c r="E21">
        <v>1</v>
      </c>
    </row>
    <row r="22" spans="1:5" x14ac:dyDescent="0.35">
      <c r="A22" t="s">
        <v>35</v>
      </c>
      <c r="B22" t="s">
        <v>290</v>
      </c>
      <c r="C22" t="s">
        <v>74</v>
      </c>
      <c r="D22">
        <v>1</v>
      </c>
      <c r="E22">
        <v>1</v>
      </c>
    </row>
    <row r="23" spans="1:5" x14ac:dyDescent="0.35">
      <c r="A23" t="s">
        <v>35</v>
      </c>
      <c r="B23" t="s">
        <v>291</v>
      </c>
      <c r="C23" t="s">
        <v>75</v>
      </c>
      <c r="D23">
        <v>1</v>
      </c>
      <c r="E23">
        <v>1</v>
      </c>
    </row>
    <row r="24" spans="1:5" x14ac:dyDescent="0.35">
      <c r="A24" t="s">
        <v>35</v>
      </c>
      <c r="B24" t="s">
        <v>292</v>
      </c>
      <c r="C24" t="s">
        <v>76</v>
      </c>
      <c r="D24">
        <v>1</v>
      </c>
      <c r="E24">
        <v>1</v>
      </c>
    </row>
    <row r="25" spans="1:5" x14ac:dyDescent="0.35">
      <c r="A25" t="s">
        <v>35</v>
      </c>
      <c r="B25" t="s">
        <v>293</v>
      </c>
      <c r="C25" t="s">
        <v>77</v>
      </c>
      <c r="D25">
        <v>1</v>
      </c>
      <c r="E25">
        <v>1</v>
      </c>
    </row>
    <row r="26" spans="1:5" x14ac:dyDescent="0.35">
      <c r="A26" t="s">
        <v>35</v>
      </c>
      <c r="B26" t="s">
        <v>294</v>
      </c>
      <c r="C26" t="s">
        <v>78</v>
      </c>
      <c r="D26">
        <v>1</v>
      </c>
      <c r="E26">
        <v>1</v>
      </c>
    </row>
    <row r="27" spans="1:5" x14ac:dyDescent="0.35">
      <c r="A27" t="s">
        <v>35</v>
      </c>
      <c r="B27" t="s">
        <v>295</v>
      </c>
      <c r="C27" t="s">
        <v>79</v>
      </c>
      <c r="D27">
        <v>1</v>
      </c>
      <c r="E27">
        <v>1</v>
      </c>
    </row>
    <row r="28" spans="1:5" x14ac:dyDescent="0.35">
      <c r="A28" t="s">
        <v>35</v>
      </c>
      <c r="B28" t="s">
        <v>296</v>
      </c>
      <c r="C28" t="s">
        <v>80</v>
      </c>
      <c r="D28">
        <v>1</v>
      </c>
      <c r="E28">
        <v>1</v>
      </c>
    </row>
    <row r="29" spans="1:5" x14ac:dyDescent="0.35">
      <c r="A29" t="s">
        <v>35</v>
      </c>
      <c r="B29" t="s">
        <v>297</v>
      </c>
      <c r="C29" t="s">
        <v>88</v>
      </c>
      <c r="D29">
        <v>1</v>
      </c>
      <c r="E29">
        <v>1</v>
      </c>
    </row>
    <row r="30" spans="1:5" x14ac:dyDescent="0.35">
      <c r="A30" t="s">
        <v>35</v>
      </c>
      <c r="B30" t="s">
        <v>298</v>
      </c>
      <c r="C30" t="s">
        <v>89</v>
      </c>
      <c r="D30">
        <v>1</v>
      </c>
      <c r="E30">
        <v>1</v>
      </c>
    </row>
    <row r="31" spans="1:5" x14ac:dyDescent="0.35">
      <c r="A31" t="s">
        <v>35</v>
      </c>
      <c r="B31" t="s">
        <v>299</v>
      </c>
      <c r="C31" t="s">
        <v>90</v>
      </c>
      <c r="D31">
        <v>1</v>
      </c>
      <c r="E31">
        <v>1</v>
      </c>
    </row>
    <row r="32" spans="1:5" x14ac:dyDescent="0.35">
      <c r="A32" t="s">
        <v>35</v>
      </c>
      <c r="B32" t="s">
        <v>300</v>
      </c>
      <c r="C32" t="s">
        <v>91</v>
      </c>
      <c r="D32">
        <v>1</v>
      </c>
      <c r="E32">
        <v>1</v>
      </c>
    </row>
    <row r="33" spans="1:5" x14ac:dyDescent="0.35">
      <c r="A33" t="s">
        <v>35</v>
      </c>
      <c r="B33" t="s">
        <v>301</v>
      </c>
      <c r="C33" t="s">
        <v>92</v>
      </c>
      <c r="D33">
        <v>1</v>
      </c>
      <c r="E33">
        <v>1</v>
      </c>
    </row>
    <row r="34" spans="1:5" x14ac:dyDescent="0.35">
      <c r="A34" t="s">
        <v>35</v>
      </c>
      <c r="B34" t="s">
        <v>302</v>
      </c>
      <c r="C34" t="s">
        <v>93</v>
      </c>
      <c r="D34">
        <v>1</v>
      </c>
      <c r="E34">
        <v>1</v>
      </c>
    </row>
    <row r="35" spans="1:5" x14ac:dyDescent="0.35">
      <c r="A35" t="s">
        <v>35</v>
      </c>
      <c r="B35" t="s">
        <v>303</v>
      </c>
      <c r="C35" t="s">
        <v>100</v>
      </c>
      <c r="D35">
        <v>1</v>
      </c>
      <c r="E35">
        <v>1</v>
      </c>
    </row>
    <row r="36" spans="1:5" x14ac:dyDescent="0.35">
      <c r="A36" t="s">
        <v>35</v>
      </c>
      <c r="B36" t="s">
        <v>304</v>
      </c>
      <c r="C36" t="s">
        <v>101</v>
      </c>
      <c r="D36">
        <v>1</v>
      </c>
      <c r="E36">
        <v>1</v>
      </c>
    </row>
    <row r="37" spans="1:5" x14ac:dyDescent="0.35">
      <c r="A37" t="s">
        <v>35</v>
      </c>
      <c r="B37" t="s">
        <v>308</v>
      </c>
      <c r="C37" t="s">
        <v>111</v>
      </c>
      <c r="D37">
        <v>1</v>
      </c>
      <c r="E37">
        <v>1</v>
      </c>
    </row>
    <row r="38" spans="1:5" x14ac:dyDescent="0.35">
      <c r="A38" t="s">
        <v>35</v>
      </c>
      <c r="B38" t="s">
        <v>307</v>
      </c>
      <c r="C38" t="s">
        <v>112</v>
      </c>
      <c r="D38">
        <v>1</v>
      </c>
      <c r="E38">
        <v>1</v>
      </c>
    </row>
    <row r="39" spans="1:5" x14ac:dyDescent="0.35">
      <c r="A39" t="s">
        <v>35</v>
      </c>
      <c r="B39" t="s">
        <v>306</v>
      </c>
      <c r="C39" t="s">
        <v>128</v>
      </c>
      <c r="D39">
        <v>2</v>
      </c>
      <c r="E39">
        <v>1</v>
      </c>
    </row>
    <row r="40" spans="1:5" x14ac:dyDescent="0.35">
      <c r="A40" t="s">
        <v>35</v>
      </c>
      <c r="B40" t="s">
        <v>305</v>
      </c>
      <c r="C40" t="s">
        <v>129</v>
      </c>
      <c r="D40">
        <v>2</v>
      </c>
      <c r="E40">
        <v>1</v>
      </c>
    </row>
    <row r="41" spans="1:5" x14ac:dyDescent="0.35">
      <c r="A41" t="s">
        <v>35</v>
      </c>
      <c r="B41" t="s">
        <v>196</v>
      </c>
      <c r="C41" t="s">
        <v>197</v>
      </c>
      <c r="D41">
        <v>1</v>
      </c>
      <c r="E41">
        <v>1</v>
      </c>
    </row>
    <row r="42" spans="1:5" x14ac:dyDescent="0.35">
      <c r="A42" t="s">
        <v>35</v>
      </c>
      <c r="B42" t="s">
        <v>40</v>
      </c>
      <c r="C42" t="s">
        <v>264</v>
      </c>
      <c r="D42">
        <v>1</v>
      </c>
      <c r="E42">
        <v>1</v>
      </c>
    </row>
    <row r="43" spans="1:5" x14ac:dyDescent="0.35">
      <c r="A43" t="s">
        <v>35</v>
      </c>
      <c r="B43" t="s">
        <v>41</v>
      </c>
      <c r="C43" t="s">
        <v>454</v>
      </c>
      <c r="D43">
        <v>1</v>
      </c>
      <c r="E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Notes</vt:lpstr>
      <vt:lpstr>Base</vt:lpstr>
      <vt:lpstr>Macro</vt:lpstr>
      <vt:lpstr>GDP</vt:lpstr>
      <vt:lpstr>Sector</vt:lpstr>
      <vt:lpstr>Trade</vt:lpstr>
      <vt:lpstr>Prices</vt:lpstr>
      <vt:lpstr>Factors</vt:lpstr>
      <vt:lpstr>Households</vt:lpstr>
      <vt:lpstr>Sets</vt:lpstr>
      <vt:lpstr>RA</vt:lpstr>
      <vt:lpstr>RF</vt:lpstr>
      <vt:lpstr>RH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Aragie, Emerta (IFPRI)</cp:lastModifiedBy>
  <dcterms:created xsi:type="dcterms:W3CDTF">2015-06-05T18:17:20Z</dcterms:created>
  <dcterms:modified xsi:type="dcterms:W3CDTF">2026-02-08T18:54:02Z</dcterms:modified>
</cp:coreProperties>
</file>