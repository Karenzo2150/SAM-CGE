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ARAGIE\IFPRI Dropbox\Emerta Aragie\Emerta Files\IFPRI Projects\Advanced CGE Course (NPL 2025)\4 CGE model (South Asia)\data\RWA_2017\"/>
    </mc:Choice>
  </mc:AlternateContent>
  <xr:revisionPtr revIDLastSave="0" documentId="13_ncr:1_{DB9F4F31-5CFB-423E-8E44-1FF78D3CF685}" xr6:coauthVersionLast="47" xr6:coauthVersionMax="47" xr10:uidLastSave="{00000000-0000-0000-0000-000000000000}"/>
  <bookViews>
    <workbookView xWindow="28690" yWindow="1770" windowWidth="29020" windowHeight="15700" tabRatio="608" activeTab="1" xr2:uid="{00000000-000D-0000-FFFF-FFFF00000000}"/>
  </bookViews>
  <sheets>
    <sheet name="Notes" sheetId="1" r:id="rId1"/>
    <sheet name="Main" sheetId="14" r:id="rId2"/>
    <sheet name="S1" sheetId="5" r:id="rId3"/>
    <sheet name="S2" sheetId="42" r:id="rId4"/>
    <sheet name="S3" sheetId="43" r:id="rId5"/>
    <sheet name="S4" sheetId="44" r:id="rId6"/>
    <sheet name="S5" sheetId="45" r:id="rId7"/>
    <sheet name="S6" sheetId="46" r:id="rId8"/>
    <sheet name="S7" sheetId="47" r:id="rId9"/>
    <sheet name="S8" sheetId="41" r:id="rId10"/>
    <sheet name="S9" sheetId="48" r:id="rId11"/>
    <sheet name="S10" sheetId="49" r:id="rId12"/>
    <sheet name="S11" sheetId="50" r:id="rId13"/>
    <sheet name="S12" sheetId="51" r:id="rId14"/>
    <sheet name="S13" sheetId="52" r:id="rId15"/>
    <sheet name="S14" sheetId="53" r:id="rId16"/>
    <sheet name="S15" sheetId="54" r:id="rId17"/>
    <sheet name="Index" sheetId="26"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 i="54" l="1"/>
  <c r="AD1" i="53"/>
  <c r="A1" i="53" s="1"/>
  <c r="AD1" i="52"/>
  <c r="AD1" i="51"/>
  <c r="AD1" i="50"/>
  <c r="AD1" i="49"/>
  <c r="AD1" i="48"/>
  <c r="AD1" i="41"/>
  <c r="AD1" i="47"/>
  <c r="AD1" i="46"/>
  <c r="AD1" i="45"/>
  <c r="AD1" i="44"/>
  <c r="AD1" i="43"/>
  <c r="AD1" i="42"/>
  <c r="AC1" i="54"/>
  <c r="AC1" i="53"/>
  <c r="AC1" i="52"/>
  <c r="AC1" i="51"/>
  <c r="A1" i="51" s="1"/>
  <c r="AC1" i="50"/>
  <c r="A1" i="50" s="1"/>
  <c r="AC1" i="49"/>
  <c r="A1" i="49" s="1"/>
  <c r="AC1" i="48"/>
  <c r="AC1" i="41"/>
  <c r="A1" i="41" s="1"/>
  <c r="AC1" i="47"/>
  <c r="A1" i="47" s="1"/>
  <c r="AC1" i="46"/>
  <c r="AC1" i="45"/>
  <c r="AC1" i="44"/>
  <c r="AC1" i="43"/>
  <c r="AC1" i="42"/>
  <c r="A1" i="43" l="1"/>
  <c r="A1" i="42"/>
  <c r="A1" i="48"/>
  <c r="A1" i="44"/>
  <c r="A1" i="45"/>
  <c r="A1" i="52"/>
  <c r="A1" i="54"/>
  <c r="A1" i="46"/>
  <c r="A1" i="1" l="1"/>
  <c r="AD1" i="5" l="1"/>
  <c r="AC1" i="5"/>
  <c r="I12" i="14" a="1"/>
  <c r="I12" i="14" s="1"/>
  <c r="I4" i="14" a="1"/>
  <c r="J4" i="14" s="1"/>
  <c r="A1" i="5" l="1"/>
  <c r="T12" i="14"/>
  <c r="J12" i="14"/>
  <c r="W12" i="14"/>
  <c r="V12" i="14"/>
  <c r="U12" i="14"/>
  <c r="S12" i="14"/>
  <c r="R12" i="14"/>
  <c r="Q12" i="14"/>
  <c r="P12" i="14"/>
  <c r="O12" i="14"/>
  <c r="N12" i="14"/>
  <c r="M12" i="14"/>
  <c r="L12" i="14"/>
  <c r="K12" i="14"/>
  <c r="W4" i="14"/>
  <c r="U4" i="14"/>
  <c r="S4" i="14"/>
  <c r="Q4" i="14"/>
  <c r="O4" i="14"/>
  <c r="M4" i="14"/>
  <c r="L4" i="14"/>
  <c r="K4" i="14"/>
  <c r="I4" i="14"/>
  <c r="V4" i="14"/>
  <c r="T4" i="14"/>
  <c r="R4" i="14"/>
  <c r="P4" i="14"/>
  <c r="N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James Thurlow</author>
  </authors>
  <commentList>
    <comment ref="H4" authorId="0" shapeId="0" xr:uid="{F9C1AB84-BF76-47DB-8CFB-89154383468D}">
      <text>
        <r>
          <rPr>
            <b/>
            <sz val="9"/>
            <color indexed="81"/>
            <rFont val="Tahoma"/>
            <family val="2"/>
          </rPr>
          <t xml:space="preserve">Numeraire:
  </t>
        </r>
        <r>
          <rPr>
            <sz val="9"/>
            <color indexed="81"/>
            <rFont val="Tahoma"/>
            <family val="2"/>
          </rPr>
          <t>1 = CPI is fixed numeraire  (DPI is flexible)
  2 = DPI is fixed numeraire  (CPI is flexible)</t>
        </r>
        <r>
          <rPr>
            <b/>
            <sz val="9"/>
            <color indexed="81"/>
            <rFont val="Tahoma"/>
            <family val="2"/>
          </rPr>
          <t xml:space="preserve">
Savings-investment closures: </t>
        </r>
        <r>
          <rPr>
            <sz val="9"/>
            <color indexed="81"/>
            <rFont val="Tahoma"/>
            <family val="2"/>
          </rPr>
          <t xml:space="preserve">
  1 = Investment-driven savings - uniform MPS adjustment  (identical point change in marginal propensities to save across selected institutions)
  2 = Investment-driven savings - scaled MPS adjustment  (proportional change in marginal propensities to save across selected institutions)
  3 = Investment is savings-driven
  4 = Balanced: Investment is fixed share  of absorption - uniform MPS adjustment  (identical point change in marginal propensity to save)
  5 = Balanced: Investment is fixed share  of absorption - scaled MPS adjustment  (proportional change in marginal propensity to save)
</t>
        </r>
        <r>
          <rPr>
            <b/>
            <sz val="9"/>
            <color indexed="81"/>
            <rFont val="Tahoma"/>
            <family val="2"/>
          </rPr>
          <t xml:space="preserve">Current account closures: </t>
        </r>
        <r>
          <rPr>
            <sz val="9"/>
            <color indexed="81"/>
            <rFont val="Tahoma"/>
            <family val="2"/>
          </rPr>
          <t xml:space="preserve">
  1 = Exchange rate EXR is flexible  (foreign savings are fixed) 
  2 = Foreign savings FSAV are flexible  (exchange rate is fixed)
</t>
        </r>
        <r>
          <rPr>
            <b/>
            <sz val="9"/>
            <color indexed="81"/>
            <rFont val="Tahoma"/>
            <family val="2"/>
          </rPr>
          <t xml:space="preserve">Government account closures: </t>
        </r>
        <r>
          <rPr>
            <sz val="9"/>
            <color indexed="81"/>
            <rFont val="Tahoma"/>
            <family val="2"/>
          </rPr>
          <t xml:space="preserve">
  1 = Government savings GSAV are flexible  (all direct and indirect tax rates is fixed)
  2 = Government savings are fixed - uniform TINS adjustment  (identical point change in direct tax rate for selected institutions)
  3 = Government savings are fixed - scaled TINS adjustment  (proportional change in direct tax rate for selected institutions)
  4 = Government savings are fixed - uniform TQ adjustment  (identical point change in sales tax rate)
  5 = Government savings are fixed - scaled TQ adjustment  (proportional change in sales tax rate)
  6 = Government savings are fixed - uniform TA adjustment  (identical point change in activity tax rate)
  7 = Government savings are fixed - scaled TA adjustment  (proportional change in activity tax rate)
  8 = Government savings are fixed - uniform TM adjustment  (identical point change in import tariff rate)
  9 = Government savings are fixed - scaled TM adjustment  (proportional change in import tariff rate)
10 = Government savings are fixed - uniform TE adjustment  (identical point change in export tax rate)
11 = Government savings are fixed - scaled TE adjustment  (proportional change in export tax rate)
12 = Government savings are fixed - uniform TVA adjustment  (identical point change in activity value-added tax rate)
13 = Government savings are fixed - scaled TVA adjustment  (proportional change in activity value-added tax rate)
14 = Government savings are fixed - uniform TF adjustment  (identical point change in factor tax rate for selected factors)
15 = Government savings are fixed - scaled TF adjustment  (proportional change in factor tax rate for selected factors)
</t>
        </r>
      </text>
    </comment>
    <comment ref="H12" authorId="0" shapeId="0" xr:uid="{BCC6C75F-D96D-4DAE-AD21-6717EC368239}">
      <text>
        <r>
          <rPr>
            <b/>
            <sz val="9"/>
            <color indexed="81"/>
            <rFont val="Tahoma"/>
            <family val="2"/>
          </rPr>
          <t>Factor closures:</t>
        </r>
        <r>
          <rPr>
            <sz val="9"/>
            <color indexed="81"/>
            <rFont val="Tahoma"/>
            <family val="2"/>
          </rPr>
          <t xml:space="preserve">
1 = Fully employed and mobile
2 = Fully employed and activity-specific
3 = Unemployed and mobile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F2A5242B-7207-4C47-99E1-2ACB1620A11B}">
      <text>
        <r>
          <rPr>
            <b/>
            <sz val="9"/>
            <color indexed="81"/>
            <rFont val="Tahoma"/>
            <family val="2"/>
          </rPr>
          <t>alphava</t>
        </r>
        <r>
          <rPr>
            <sz val="9"/>
            <color indexed="81"/>
            <rFont val="Tahoma"/>
            <family val="2"/>
          </rPr>
          <t xml:space="preserve">
Total factor productivity.
</t>
        </r>
      </text>
    </comment>
    <comment ref="AY4" authorId="0" shapeId="0" xr:uid="{0612B024-E369-4209-9D31-A1DBC7345322}">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34AB6516-8DA4-445B-8DB1-C570AB1ED434}">
      <text>
        <r>
          <rPr>
            <b/>
            <sz val="9"/>
            <color indexed="81"/>
            <rFont val="Tahoma"/>
            <family val="2"/>
          </rPr>
          <t>Type of shock</t>
        </r>
        <r>
          <rPr>
            <sz val="9"/>
            <color indexed="81"/>
            <rFont val="Tahoma"/>
            <family val="2"/>
          </rPr>
          <t xml:space="preserve">
  1 = multiplicative
  2 = additive</t>
        </r>
      </text>
    </comment>
    <comment ref="D5" authorId="0" shapeId="0" xr:uid="{77E7D8BC-2479-4B3A-9282-A242FE45FA51}">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F0AB28A0-1E17-4EAE-AB39-A75EFE43238F}">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80D3AEA-DBC2-4C3A-9C7D-65BE0C50D708}">
      <text>
        <r>
          <rPr>
            <b/>
            <sz val="9"/>
            <color indexed="81"/>
            <rFont val="Tahoma"/>
            <family val="2"/>
          </rPr>
          <t>TE</t>
        </r>
        <r>
          <rPr>
            <sz val="9"/>
            <color indexed="81"/>
            <rFont val="Tahoma"/>
            <family val="2"/>
          </rPr>
          <t xml:space="preserve">
Export tax rates</t>
        </r>
      </text>
    </comment>
    <comment ref="G5" authorId="0" shapeId="0" xr:uid="{38AC77A8-52A5-408E-A7D1-F5AF090F4A1D}">
      <text>
        <r>
          <rPr>
            <b/>
            <sz val="9"/>
            <color indexed="81"/>
            <rFont val="Tahoma"/>
            <family val="2"/>
          </rPr>
          <t>TM</t>
        </r>
        <r>
          <rPr>
            <sz val="9"/>
            <color indexed="81"/>
            <rFont val="Tahoma"/>
            <family val="2"/>
          </rPr>
          <t xml:space="preserve">
Import tariff rates</t>
        </r>
      </text>
    </comment>
    <comment ref="H5" authorId="0" shapeId="0" xr:uid="{C5F4EC63-38E5-4D87-8B00-A052550BA31C}">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11C4E338-A805-448B-8785-C584870570AC}">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C4CBB828-8C43-4EA3-A791-6C9FAECE124B}">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3550E7D4-2D68-47F6-BE01-61CC84451367}">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6DCC5116-1C32-4938-B5A6-1BC5317D1A45}">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E9E31A7A-17E4-462D-A65B-C726CD20E321}">
      <text>
        <r>
          <rPr>
            <b/>
            <sz val="9"/>
            <color indexed="81"/>
            <rFont val="Tahoma"/>
            <family val="2"/>
          </rPr>
          <t>TA</t>
        </r>
        <r>
          <rPr>
            <sz val="9"/>
            <color indexed="81"/>
            <rFont val="Tahoma"/>
            <family val="2"/>
          </rPr>
          <t xml:space="preserve">
Indirect taxes on total activity production value.</t>
        </r>
      </text>
    </comment>
    <comment ref="R5" authorId="0" shapeId="0" xr:uid="{4958E933-8DD1-4807-8465-745EF460438A}">
      <text>
        <r>
          <rPr>
            <b/>
            <sz val="9"/>
            <color indexed="81"/>
            <rFont val="Tahoma"/>
            <family val="2"/>
          </rPr>
          <t xml:space="preserve">TVA </t>
        </r>
        <r>
          <rPr>
            <sz val="9"/>
            <color indexed="81"/>
            <rFont val="Tahoma"/>
            <family val="2"/>
          </rPr>
          <t xml:space="preserve">
Indirect taxes on activity value-added.</t>
        </r>
      </text>
    </comment>
    <comment ref="S5" authorId="0" shapeId="0" xr:uid="{2F9D8E63-DC16-4C57-9763-5751E8EFD96A}">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1087C439-9161-4DC0-9B4D-B2C7C9C34C26}">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83AED1E7-9E6A-4FAF-B7D0-F5D6E6BAA5C8}">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989D98DA-3AF1-42B7-9BF8-6AA57938D168}">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E012675B-BCF7-45DA-A253-2F8910370305}">
      <text>
        <r>
          <rPr>
            <b/>
            <sz val="9"/>
            <color indexed="81"/>
            <rFont val="Tahoma"/>
            <family val="2"/>
          </rPr>
          <t>WF</t>
        </r>
        <r>
          <rPr>
            <sz val="9"/>
            <color indexed="81"/>
            <rFont val="Tahoma"/>
            <family val="2"/>
          </rPr>
          <t xml:space="preserve">
Economywide wage rate.</t>
        </r>
      </text>
    </comment>
    <comment ref="AA5" authorId="0" shapeId="0" xr:uid="{AF64D9EC-196C-407B-AE8F-A485C6ED32FF}">
      <text>
        <r>
          <rPr>
            <b/>
            <sz val="9"/>
            <color indexed="81"/>
            <rFont val="Tahoma"/>
            <family val="2"/>
          </rPr>
          <t xml:space="preserve">QFS
</t>
        </r>
        <r>
          <rPr>
            <sz val="9"/>
            <color indexed="81"/>
            <rFont val="Tahoma"/>
            <family val="2"/>
          </rPr>
          <t>Total factor supply quantity.</t>
        </r>
      </text>
    </comment>
    <comment ref="AB5" authorId="0" shapeId="0" xr:uid="{EF46A88A-4F44-475C-8028-F6E60A3886E4}">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B9C4F38B-D8E2-49C7-9425-0ABC1975AA78}">
      <text>
        <r>
          <rPr>
            <b/>
            <sz val="9"/>
            <color indexed="81"/>
            <rFont val="Tahoma"/>
            <family val="2"/>
          </rPr>
          <t>TF</t>
        </r>
        <r>
          <rPr>
            <sz val="9"/>
            <color indexed="81"/>
            <rFont val="Tahoma"/>
            <family val="2"/>
          </rPr>
          <t xml:space="preserve">
Direct tax on total factor earnings.</t>
        </r>
      </text>
    </comment>
    <comment ref="AD5" authorId="0" shapeId="0" xr:uid="{BCEC0849-E97F-4C5A-A967-185CB0CAEFE3}">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857AB7F-76C4-4D26-94DD-50B04FFFEE35}">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495FB313-CF7F-4C31-BF02-561AD71D868E}">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BD3E53E1-BFF6-42F6-A009-5F638F33ED0E}">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8DFFFAF-8DD1-4834-ADCF-50FCE2BD7011}">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2F6C04BD-33AC-424E-A900-3AB9C3FFA2A2}">
      <text>
        <r>
          <rPr>
            <b/>
            <sz val="9"/>
            <color indexed="81"/>
            <rFont val="Tahoma"/>
            <family val="2"/>
          </rPr>
          <t xml:space="preserve">HPOP
</t>
        </r>
        <r>
          <rPr>
            <sz val="9"/>
            <color indexed="81"/>
            <rFont val="Tahoma"/>
            <family val="2"/>
          </rPr>
          <t>Household population.</t>
        </r>
      </text>
    </comment>
    <comment ref="AM5" authorId="0" shapeId="0" xr:uid="{E0478098-6894-47FD-BFC3-E0E43117FEB3}">
      <text>
        <r>
          <rPr>
            <b/>
            <sz val="9"/>
            <color indexed="81"/>
            <rFont val="Tahoma"/>
            <family val="2"/>
          </rPr>
          <t xml:space="preserve">MPS
</t>
        </r>
        <r>
          <rPr>
            <sz val="9"/>
            <color indexed="81"/>
            <rFont val="Tahoma"/>
            <family val="2"/>
          </rPr>
          <t>Marginal propensity to save (households and enterprises).</t>
        </r>
      </text>
    </comment>
    <comment ref="AN5" authorId="0" shapeId="0" xr:uid="{BD919CD9-6C3A-41AC-A8D5-76D5023650A2}">
      <text>
        <r>
          <rPr>
            <b/>
            <sz val="9"/>
            <color indexed="81"/>
            <rFont val="Tahoma"/>
            <family val="2"/>
          </rPr>
          <t xml:space="preserve">TINS
</t>
        </r>
        <r>
          <rPr>
            <sz val="9"/>
            <color indexed="81"/>
            <rFont val="Tahoma"/>
            <family val="2"/>
          </rPr>
          <t>Institution direct tax rate (households and enterprises).</t>
        </r>
      </text>
    </comment>
    <comment ref="AO5" authorId="0" shapeId="0" xr:uid="{BBCD4F06-0CB6-4A9A-8D57-8E6C147B9BCE}">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CA256D3E-2E0D-4144-B678-6F3179F36F34}">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E90FBBA7-E150-4477-BB86-B05DB4D351BD}">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E1200036-F65F-445A-87DA-AE8FAF21A747}">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24387112-6CBF-4F70-A65A-7E61B75F974B}">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2B931101-A56C-42E1-A592-A10EF7480894}">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E91E2165-91F1-4EB2-907E-400C347141B6}">
      <text>
        <r>
          <rPr>
            <b/>
            <sz val="9"/>
            <color indexed="81"/>
            <rFont val="Tahoma"/>
            <family val="2"/>
          </rPr>
          <t xml:space="preserve">EXR
</t>
        </r>
        <r>
          <rPr>
            <sz val="9"/>
            <color indexed="81"/>
            <rFont val="Tahoma"/>
            <family val="2"/>
          </rPr>
          <t>Exchange rate.</t>
        </r>
      </text>
    </comment>
    <comment ref="AW8" authorId="0" shapeId="0" xr:uid="{052B4F8C-B06D-4C91-93C0-A12BB4573AAA}">
      <text>
        <r>
          <rPr>
            <b/>
            <sz val="9"/>
            <color indexed="81"/>
            <rFont val="Tahoma"/>
            <family val="2"/>
          </rPr>
          <t xml:space="preserve">FSAV
</t>
        </r>
        <r>
          <rPr>
            <sz val="9"/>
            <color indexed="81"/>
            <rFont val="Tahoma"/>
            <family val="2"/>
          </rPr>
          <t>Foreign savings.</t>
        </r>
      </text>
    </comment>
    <comment ref="AW9" authorId="0" shapeId="0" xr:uid="{33F517FE-28E8-4207-9507-ED9BD53CE524}">
      <text>
        <r>
          <rPr>
            <b/>
            <sz val="9"/>
            <color indexed="81"/>
            <rFont val="Tahoma"/>
            <family val="2"/>
          </rPr>
          <t xml:space="preserve">IADJ
</t>
        </r>
        <r>
          <rPr>
            <sz val="9"/>
            <color indexed="81"/>
            <rFont val="Tahoma"/>
            <family val="2"/>
          </rPr>
          <t xml:space="preserve">Gross fixed capital formation.
</t>
        </r>
      </text>
    </comment>
    <comment ref="AW10" authorId="0" shapeId="0" xr:uid="{B4C2EF82-7EE1-48B6-B316-FA003D2F391E}">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6320F678-1835-4991-9FEE-EFDD134CFDE0}">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646C6E6-8055-466F-AB48-DE52E14092B2}">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402D237C-FC83-467E-81A5-695D2DD3E834}">
      <text>
        <r>
          <rPr>
            <b/>
            <sz val="9"/>
            <color indexed="81"/>
            <rFont val="Tahoma"/>
            <family val="2"/>
          </rPr>
          <t xml:space="preserve">GADJ
</t>
        </r>
        <r>
          <rPr>
            <sz val="9"/>
            <color indexed="81"/>
            <rFont val="Tahoma"/>
            <family val="2"/>
          </rPr>
          <t>Government consumption spending.</t>
        </r>
      </text>
    </comment>
    <comment ref="AW14" authorId="0" shapeId="0" xr:uid="{C62B0ABE-1F4B-49E7-B566-BB5611D704ED}">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9A8CBAB7-3B8B-4A67-9476-C13E60B66919}">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1D83F6AB-968C-4778-86B6-BF33AF1B7C37}">
      <text>
        <r>
          <rPr>
            <b/>
            <sz val="9"/>
            <color indexed="81"/>
            <rFont val="Tahoma"/>
            <family val="2"/>
          </rPr>
          <t xml:space="preserve">trnsi
</t>
        </r>
        <r>
          <rPr>
            <sz val="9"/>
            <color indexed="81"/>
            <rFont val="Tahoma"/>
            <family val="2"/>
          </rPr>
          <t>Rest of the world transfers to government</t>
        </r>
      </text>
    </comment>
    <comment ref="AW17" authorId="0" shapeId="0" xr:uid="{1516E3ED-07BF-4860-AF34-739746E77D14}">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3B0037B0-3AAF-455D-988A-2F060A5D3AF4}">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963D3666-B020-401A-A058-0340C68C00DE}">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B630FE56-37A0-41A8-891F-F1DAA0BF96F0}">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83E957BC-91CB-4D31-A6B2-F871C602FED8}">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E02A3F79-BC61-4C0A-8227-355EB6391B65}">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D18C0D1B-01AD-4464-8567-F3203DCD06D4}">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59E18C8E-A81E-4088-BAEC-4BF0CBD39300}">
      <text>
        <r>
          <rPr>
            <b/>
            <sz val="9"/>
            <color indexed="81"/>
            <rFont val="Tahoma"/>
            <family val="2"/>
          </rPr>
          <t>alphava</t>
        </r>
        <r>
          <rPr>
            <sz val="9"/>
            <color indexed="81"/>
            <rFont val="Tahoma"/>
            <family val="2"/>
          </rPr>
          <t xml:space="preserve">
Total factor productivity.
</t>
        </r>
      </text>
    </comment>
    <comment ref="AY4" authorId="0" shapeId="0" xr:uid="{08754020-E52A-45B3-B20B-40E6109666D2}">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848EAA46-5A45-4AFC-AF21-F4D5D823B4EA}">
      <text>
        <r>
          <rPr>
            <b/>
            <sz val="9"/>
            <color indexed="81"/>
            <rFont val="Tahoma"/>
            <family val="2"/>
          </rPr>
          <t>Type of shock</t>
        </r>
        <r>
          <rPr>
            <sz val="9"/>
            <color indexed="81"/>
            <rFont val="Tahoma"/>
            <family val="2"/>
          </rPr>
          <t xml:space="preserve">
  1 = multiplicative
  2 = additive</t>
        </r>
      </text>
    </comment>
    <comment ref="D5" authorId="0" shapeId="0" xr:uid="{7674C6B6-E39E-4338-8614-81B9BF04A7B0}">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BA9D3089-9085-45F8-BFC0-7F55BAAA1ECC}">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7A3AB95-6300-41AE-A05B-D30E966CDAFE}">
      <text>
        <r>
          <rPr>
            <b/>
            <sz val="9"/>
            <color indexed="81"/>
            <rFont val="Tahoma"/>
            <family val="2"/>
          </rPr>
          <t>TE</t>
        </r>
        <r>
          <rPr>
            <sz val="9"/>
            <color indexed="81"/>
            <rFont val="Tahoma"/>
            <family val="2"/>
          </rPr>
          <t xml:space="preserve">
Export tax rates</t>
        </r>
      </text>
    </comment>
    <comment ref="G5" authorId="0" shapeId="0" xr:uid="{63262378-7DDF-4426-A6F7-9E0B5A7A380E}">
      <text>
        <r>
          <rPr>
            <b/>
            <sz val="9"/>
            <color indexed="81"/>
            <rFont val="Tahoma"/>
            <family val="2"/>
          </rPr>
          <t>TM</t>
        </r>
        <r>
          <rPr>
            <sz val="9"/>
            <color indexed="81"/>
            <rFont val="Tahoma"/>
            <family val="2"/>
          </rPr>
          <t xml:space="preserve">
Import tariff rates</t>
        </r>
      </text>
    </comment>
    <comment ref="H5" authorId="0" shapeId="0" xr:uid="{9997C676-C6E3-49E8-8571-378DCAD1DBFF}">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D32B99CE-9DBC-4E26-8EDF-F68F9FC60EBD}">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DA694F26-3A40-4A7C-BC15-976747B15C5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F1D76B89-8604-4AA2-81D3-62E0CE3A89A0}">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39708FEF-2E99-46CD-9517-0C4EBD8113A1}">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4242CB9F-14CE-4B9F-A6D5-D2039CB7CD6C}">
      <text>
        <r>
          <rPr>
            <b/>
            <sz val="9"/>
            <color indexed="81"/>
            <rFont val="Tahoma"/>
            <family val="2"/>
          </rPr>
          <t>TA</t>
        </r>
        <r>
          <rPr>
            <sz val="9"/>
            <color indexed="81"/>
            <rFont val="Tahoma"/>
            <family val="2"/>
          </rPr>
          <t xml:space="preserve">
Indirect taxes on total activity production value.</t>
        </r>
      </text>
    </comment>
    <comment ref="R5" authorId="0" shapeId="0" xr:uid="{E85DE758-178A-47F9-A9B7-8A2D213D41E9}">
      <text>
        <r>
          <rPr>
            <b/>
            <sz val="9"/>
            <color indexed="81"/>
            <rFont val="Tahoma"/>
            <family val="2"/>
          </rPr>
          <t xml:space="preserve">TVA </t>
        </r>
        <r>
          <rPr>
            <sz val="9"/>
            <color indexed="81"/>
            <rFont val="Tahoma"/>
            <family val="2"/>
          </rPr>
          <t xml:space="preserve">
Indirect taxes on activity value-added.</t>
        </r>
      </text>
    </comment>
    <comment ref="S5" authorId="0" shapeId="0" xr:uid="{9606936E-FA29-4CEC-B686-E8FCE0844C28}">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24AB6E63-76C2-457E-87C5-3B79965A485E}">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3888890D-DCD5-48D3-BC0E-41F992021FE4}">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1A6EE5C0-124E-4B4C-AD68-C28656112558}">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A9544B5-1F4C-43D8-9847-5B0F5F5D1F36}">
      <text>
        <r>
          <rPr>
            <b/>
            <sz val="9"/>
            <color indexed="81"/>
            <rFont val="Tahoma"/>
            <family val="2"/>
          </rPr>
          <t>WF</t>
        </r>
        <r>
          <rPr>
            <sz val="9"/>
            <color indexed="81"/>
            <rFont val="Tahoma"/>
            <family val="2"/>
          </rPr>
          <t xml:space="preserve">
Economywide wage rate.</t>
        </r>
      </text>
    </comment>
    <comment ref="AA5" authorId="0" shapeId="0" xr:uid="{AB3F7A1E-90D2-457B-98B4-A4E179B0CC87}">
      <text>
        <r>
          <rPr>
            <b/>
            <sz val="9"/>
            <color indexed="81"/>
            <rFont val="Tahoma"/>
            <family val="2"/>
          </rPr>
          <t xml:space="preserve">QFS
</t>
        </r>
        <r>
          <rPr>
            <sz val="9"/>
            <color indexed="81"/>
            <rFont val="Tahoma"/>
            <family val="2"/>
          </rPr>
          <t>Total factor supply quantity.</t>
        </r>
      </text>
    </comment>
    <comment ref="AB5" authorId="0" shapeId="0" xr:uid="{4BB57600-8216-4E3E-AE66-6BC121C12232}">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0CD458C5-6035-421B-96C6-DF45FA52A21A}">
      <text>
        <r>
          <rPr>
            <b/>
            <sz val="9"/>
            <color indexed="81"/>
            <rFont val="Tahoma"/>
            <family val="2"/>
          </rPr>
          <t>TF</t>
        </r>
        <r>
          <rPr>
            <sz val="9"/>
            <color indexed="81"/>
            <rFont val="Tahoma"/>
            <family val="2"/>
          </rPr>
          <t xml:space="preserve">
Direct tax on total factor earnings.</t>
        </r>
      </text>
    </comment>
    <comment ref="AD5" authorId="0" shapeId="0" xr:uid="{49626C99-3BE3-4ADC-968B-B1E550070FE0}">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EEE60783-6EDF-4992-A6E1-B3D633DA6AD5}">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43990D3-AA14-4600-B492-17D8D7A47512}">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C8F58AAE-371A-4933-9818-20A27257B022}">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26E1195-FAFB-485E-BCAA-79918F6BF535}">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24DE116D-A3E7-4F43-8E41-629CD747C0B5}">
      <text>
        <r>
          <rPr>
            <b/>
            <sz val="9"/>
            <color indexed="81"/>
            <rFont val="Tahoma"/>
            <family val="2"/>
          </rPr>
          <t xml:space="preserve">HPOP
</t>
        </r>
        <r>
          <rPr>
            <sz val="9"/>
            <color indexed="81"/>
            <rFont val="Tahoma"/>
            <family val="2"/>
          </rPr>
          <t>Household population.</t>
        </r>
      </text>
    </comment>
    <comment ref="AM5" authorId="0" shapeId="0" xr:uid="{EFB4AC2A-A7B8-4061-94AC-6A392511BDA1}">
      <text>
        <r>
          <rPr>
            <b/>
            <sz val="9"/>
            <color indexed="81"/>
            <rFont val="Tahoma"/>
            <family val="2"/>
          </rPr>
          <t xml:space="preserve">MPS
</t>
        </r>
        <r>
          <rPr>
            <sz val="9"/>
            <color indexed="81"/>
            <rFont val="Tahoma"/>
            <family val="2"/>
          </rPr>
          <t>Marginal propensity to save (households and enterprises).</t>
        </r>
      </text>
    </comment>
    <comment ref="AN5" authorId="0" shapeId="0" xr:uid="{EC29DDF3-5548-4AD4-A6E4-717330943468}">
      <text>
        <r>
          <rPr>
            <b/>
            <sz val="9"/>
            <color indexed="81"/>
            <rFont val="Tahoma"/>
            <family val="2"/>
          </rPr>
          <t xml:space="preserve">TINS
</t>
        </r>
        <r>
          <rPr>
            <sz val="9"/>
            <color indexed="81"/>
            <rFont val="Tahoma"/>
            <family val="2"/>
          </rPr>
          <t>Institution direct tax rate (households and enterprises).</t>
        </r>
      </text>
    </comment>
    <comment ref="AO5" authorId="0" shapeId="0" xr:uid="{C8399134-125D-4955-B45D-3339BC25A713}">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7B89F350-1839-421C-9112-1249E203D28A}">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6294C51B-B9CE-48E1-9DAA-BD359EA0DA3E}">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69D62EC0-8B7C-4E8A-8519-4F9BE76DB6AA}">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9CE95598-2811-4FEB-A6F8-F52D42B5A56C}">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19745B67-D4A5-4158-B14B-F7E54502AE48}">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72745332-9B9A-4DF1-8E05-2DECEFE04E1D}">
      <text>
        <r>
          <rPr>
            <b/>
            <sz val="9"/>
            <color indexed="81"/>
            <rFont val="Tahoma"/>
            <family val="2"/>
          </rPr>
          <t xml:space="preserve">EXR
</t>
        </r>
        <r>
          <rPr>
            <sz val="9"/>
            <color indexed="81"/>
            <rFont val="Tahoma"/>
            <family val="2"/>
          </rPr>
          <t>Exchange rate.</t>
        </r>
      </text>
    </comment>
    <comment ref="AW8" authorId="0" shapeId="0" xr:uid="{B31D7872-21E9-4D95-9308-7391F5D7703C}">
      <text>
        <r>
          <rPr>
            <b/>
            <sz val="9"/>
            <color indexed="81"/>
            <rFont val="Tahoma"/>
            <family val="2"/>
          </rPr>
          <t xml:space="preserve">FSAV
</t>
        </r>
        <r>
          <rPr>
            <sz val="9"/>
            <color indexed="81"/>
            <rFont val="Tahoma"/>
            <family val="2"/>
          </rPr>
          <t>Foreign savings.</t>
        </r>
      </text>
    </comment>
    <comment ref="AW9" authorId="0" shapeId="0" xr:uid="{25B557BD-C116-4DEB-AF35-509758E5C7CF}">
      <text>
        <r>
          <rPr>
            <b/>
            <sz val="9"/>
            <color indexed="81"/>
            <rFont val="Tahoma"/>
            <family val="2"/>
          </rPr>
          <t xml:space="preserve">IADJ
</t>
        </r>
        <r>
          <rPr>
            <sz val="9"/>
            <color indexed="81"/>
            <rFont val="Tahoma"/>
            <family val="2"/>
          </rPr>
          <t xml:space="preserve">Gross fixed capital formation.
</t>
        </r>
      </text>
    </comment>
    <comment ref="AW10" authorId="0" shapeId="0" xr:uid="{9591425D-BC25-4A16-AD6F-6D027018F299}">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EFACE091-B9AF-49EB-A9FF-E882433A5865}">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3A4E48DD-6E22-41E6-AA86-6BF64BB8D90F}">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40178C97-F069-4E19-A3B2-8511BA8F6AA7}">
      <text>
        <r>
          <rPr>
            <b/>
            <sz val="9"/>
            <color indexed="81"/>
            <rFont val="Tahoma"/>
            <family val="2"/>
          </rPr>
          <t xml:space="preserve">GADJ
</t>
        </r>
        <r>
          <rPr>
            <sz val="9"/>
            <color indexed="81"/>
            <rFont val="Tahoma"/>
            <family val="2"/>
          </rPr>
          <t>Government consumption spending.</t>
        </r>
      </text>
    </comment>
    <comment ref="AW14" authorId="0" shapeId="0" xr:uid="{50F9BA7B-E99A-4823-B78F-E2C7DAD924A1}">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77E77FDB-3BB2-49E5-95F4-C7B919E8CFB5}">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BA2973B8-0B54-4A64-B2FA-625A4198F087}">
      <text>
        <r>
          <rPr>
            <b/>
            <sz val="9"/>
            <color indexed="81"/>
            <rFont val="Tahoma"/>
            <family val="2"/>
          </rPr>
          <t xml:space="preserve">trnsi
</t>
        </r>
        <r>
          <rPr>
            <sz val="9"/>
            <color indexed="81"/>
            <rFont val="Tahoma"/>
            <family val="2"/>
          </rPr>
          <t>Rest of the world transfers to government</t>
        </r>
      </text>
    </comment>
    <comment ref="AW17" authorId="0" shapeId="0" xr:uid="{1D84A257-4A43-482E-AE4F-86D89668BC2E}">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1E0A054F-C3EE-45EA-8E5E-CE137A545CBB}">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ACF9D8C8-7689-4DC0-8A8D-74B3FEDFA657}">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2C54AAF3-2C4F-4DDB-A8FC-CC3B85527DC3}">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61C66C6D-08DA-4277-9592-563652ED3890}">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02D4C248-6D62-4BBE-A1B1-EB71EE83722E}">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58BFF30C-3C81-4DCD-8EB1-C7E5E4EEF98D}">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E01DA4C7-6163-4C79-962E-0E89E7AEE171}">
      <text>
        <r>
          <rPr>
            <b/>
            <sz val="9"/>
            <color indexed="81"/>
            <rFont val="Tahoma"/>
            <family val="2"/>
          </rPr>
          <t>alphava</t>
        </r>
        <r>
          <rPr>
            <sz val="9"/>
            <color indexed="81"/>
            <rFont val="Tahoma"/>
            <family val="2"/>
          </rPr>
          <t xml:space="preserve">
Total factor productivity.
</t>
        </r>
      </text>
    </comment>
    <comment ref="AY4" authorId="0" shapeId="0" xr:uid="{8ADA100C-14E7-4E61-B81E-42593096F43B}">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3F7EA647-674C-4E06-8854-F808F9A7CCB8}">
      <text>
        <r>
          <rPr>
            <b/>
            <sz val="9"/>
            <color indexed="81"/>
            <rFont val="Tahoma"/>
            <family val="2"/>
          </rPr>
          <t>Type of shock</t>
        </r>
        <r>
          <rPr>
            <sz val="9"/>
            <color indexed="81"/>
            <rFont val="Tahoma"/>
            <family val="2"/>
          </rPr>
          <t xml:space="preserve">
  1 = multiplicative
  2 = additive</t>
        </r>
      </text>
    </comment>
    <comment ref="D5" authorId="0" shapeId="0" xr:uid="{67B1EE05-A160-4EE2-A22E-1E9733E4E528}">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1BAB161B-F2D3-434A-A81D-E22F6DC41A60}">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5486E5F-0F9B-4247-ACDE-C3697455AEC5}">
      <text>
        <r>
          <rPr>
            <b/>
            <sz val="9"/>
            <color indexed="81"/>
            <rFont val="Tahoma"/>
            <family val="2"/>
          </rPr>
          <t>TE</t>
        </r>
        <r>
          <rPr>
            <sz val="9"/>
            <color indexed="81"/>
            <rFont val="Tahoma"/>
            <family val="2"/>
          </rPr>
          <t xml:space="preserve">
Export tax rates</t>
        </r>
      </text>
    </comment>
    <comment ref="G5" authorId="0" shapeId="0" xr:uid="{37A39EBB-8AD9-458B-B818-458B5B8BCEC6}">
      <text>
        <r>
          <rPr>
            <b/>
            <sz val="9"/>
            <color indexed="81"/>
            <rFont val="Tahoma"/>
            <family val="2"/>
          </rPr>
          <t>TM</t>
        </r>
        <r>
          <rPr>
            <sz val="9"/>
            <color indexed="81"/>
            <rFont val="Tahoma"/>
            <family val="2"/>
          </rPr>
          <t xml:space="preserve">
Import tariff rates</t>
        </r>
      </text>
    </comment>
    <comment ref="H5" authorId="0" shapeId="0" xr:uid="{AF1AE4BE-A85A-4859-9D68-1F649B2B6E06}">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823BAA72-3A13-49A9-B6B9-CA99691A8F19}">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6FD274AC-AB3B-435D-BA9D-49AAF11D032F}">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8AEB850B-287E-4BB2-8449-3FFFCB0BC729}">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04E1796D-D995-426C-BC9E-FB8F60A2200D}">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D924E9B1-95B1-4510-8F63-32ACEEC1E82F}">
      <text>
        <r>
          <rPr>
            <b/>
            <sz val="9"/>
            <color indexed="81"/>
            <rFont val="Tahoma"/>
            <family val="2"/>
          </rPr>
          <t>TA</t>
        </r>
        <r>
          <rPr>
            <sz val="9"/>
            <color indexed="81"/>
            <rFont val="Tahoma"/>
            <family val="2"/>
          </rPr>
          <t xml:space="preserve">
Indirect taxes on total activity production value.</t>
        </r>
      </text>
    </comment>
    <comment ref="R5" authorId="0" shapeId="0" xr:uid="{A5DA4633-9792-49E7-8458-3E55018D7DD3}">
      <text>
        <r>
          <rPr>
            <b/>
            <sz val="9"/>
            <color indexed="81"/>
            <rFont val="Tahoma"/>
            <family val="2"/>
          </rPr>
          <t xml:space="preserve">TVA </t>
        </r>
        <r>
          <rPr>
            <sz val="9"/>
            <color indexed="81"/>
            <rFont val="Tahoma"/>
            <family val="2"/>
          </rPr>
          <t xml:space="preserve">
Indirect taxes on activity value-added.</t>
        </r>
      </text>
    </comment>
    <comment ref="S5" authorId="0" shapeId="0" xr:uid="{6BBB0738-FAB6-494E-8B22-BF5D5A27F8A8}">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3D30C445-2DDA-492D-9856-FDE763BBDBD7}">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4A17980E-8EBD-4234-9654-726B614738B4}">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7E335EF7-7493-46E4-8203-41B1936EB45E}">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CFB81A1D-3B92-48DF-A0B2-93D5691C19AC}">
      <text>
        <r>
          <rPr>
            <b/>
            <sz val="9"/>
            <color indexed="81"/>
            <rFont val="Tahoma"/>
            <family val="2"/>
          </rPr>
          <t>WF</t>
        </r>
        <r>
          <rPr>
            <sz val="9"/>
            <color indexed="81"/>
            <rFont val="Tahoma"/>
            <family val="2"/>
          </rPr>
          <t xml:space="preserve">
Economywide wage rate.</t>
        </r>
      </text>
    </comment>
    <comment ref="AA5" authorId="0" shapeId="0" xr:uid="{60289ECD-7E64-42B6-A1AC-BB7DC814B1BA}">
      <text>
        <r>
          <rPr>
            <b/>
            <sz val="9"/>
            <color indexed="81"/>
            <rFont val="Tahoma"/>
            <family val="2"/>
          </rPr>
          <t xml:space="preserve">QFS
</t>
        </r>
        <r>
          <rPr>
            <sz val="9"/>
            <color indexed="81"/>
            <rFont val="Tahoma"/>
            <family val="2"/>
          </rPr>
          <t>Total factor supply quantity.</t>
        </r>
      </text>
    </comment>
    <comment ref="AB5" authorId="0" shapeId="0" xr:uid="{EA89B372-EF74-4AE1-9ACD-96109802232C}">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3410635-D602-431A-BB08-38A0295E6F76}">
      <text>
        <r>
          <rPr>
            <b/>
            <sz val="9"/>
            <color indexed="81"/>
            <rFont val="Tahoma"/>
            <family val="2"/>
          </rPr>
          <t>TF</t>
        </r>
        <r>
          <rPr>
            <sz val="9"/>
            <color indexed="81"/>
            <rFont val="Tahoma"/>
            <family val="2"/>
          </rPr>
          <t xml:space="preserve">
Direct tax on total factor earnings.</t>
        </r>
      </text>
    </comment>
    <comment ref="AD5" authorId="0" shapeId="0" xr:uid="{6D36CEED-1E66-41AD-84CB-BACBE43A4593}">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52BDBEC0-F2C0-4C17-ACCF-98A0785B6832}">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053AB93-08F0-428E-8ED1-93F2940D778A}">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2B32A0A5-0D6A-4DF2-A5E1-474FD52575AF}">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B498A93B-DE52-4A78-B800-44C1ADEEB610}">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91D85823-9DF6-4318-9882-641399058026}">
      <text>
        <r>
          <rPr>
            <b/>
            <sz val="9"/>
            <color indexed="81"/>
            <rFont val="Tahoma"/>
            <family val="2"/>
          </rPr>
          <t xml:space="preserve">HPOP
</t>
        </r>
        <r>
          <rPr>
            <sz val="9"/>
            <color indexed="81"/>
            <rFont val="Tahoma"/>
            <family val="2"/>
          </rPr>
          <t>Household population.</t>
        </r>
      </text>
    </comment>
    <comment ref="AM5" authorId="0" shapeId="0" xr:uid="{EFDB7566-E1B9-4240-8612-113148019241}">
      <text>
        <r>
          <rPr>
            <b/>
            <sz val="9"/>
            <color indexed="81"/>
            <rFont val="Tahoma"/>
            <family val="2"/>
          </rPr>
          <t xml:space="preserve">MPS
</t>
        </r>
        <r>
          <rPr>
            <sz val="9"/>
            <color indexed="81"/>
            <rFont val="Tahoma"/>
            <family val="2"/>
          </rPr>
          <t>Marginal propensity to save (households and enterprises).</t>
        </r>
      </text>
    </comment>
    <comment ref="AN5" authorId="0" shapeId="0" xr:uid="{C6C17FA5-E331-4728-8D60-EA308FADA6E2}">
      <text>
        <r>
          <rPr>
            <b/>
            <sz val="9"/>
            <color indexed="81"/>
            <rFont val="Tahoma"/>
            <family val="2"/>
          </rPr>
          <t xml:space="preserve">TINS
</t>
        </r>
        <r>
          <rPr>
            <sz val="9"/>
            <color indexed="81"/>
            <rFont val="Tahoma"/>
            <family val="2"/>
          </rPr>
          <t>Institution direct tax rate (households and enterprises).</t>
        </r>
      </text>
    </comment>
    <comment ref="AO5" authorId="0" shapeId="0" xr:uid="{38E8DA55-DBDE-438B-823C-44F82677B95B}">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B7097A9F-36C9-484E-A10F-880A697AE486}">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5993E62B-7ACC-4D74-A5CE-86AFAC71B23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08FD6F0C-E7C0-4C0D-BD9A-58F23578249A}">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E6487947-B5E3-49B8-BF08-8867402449B5}">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5B8F6F16-688B-428E-B47E-012B66EAF349}">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DC1BC9B4-32E8-4FF4-8DD1-A0784AE39621}">
      <text>
        <r>
          <rPr>
            <b/>
            <sz val="9"/>
            <color indexed="81"/>
            <rFont val="Tahoma"/>
            <family val="2"/>
          </rPr>
          <t xml:space="preserve">EXR
</t>
        </r>
        <r>
          <rPr>
            <sz val="9"/>
            <color indexed="81"/>
            <rFont val="Tahoma"/>
            <family val="2"/>
          </rPr>
          <t>Exchange rate.</t>
        </r>
      </text>
    </comment>
    <comment ref="AW8" authorId="0" shapeId="0" xr:uid="{15DBEE9F-7533-4C63-9559-C24DCEA04EBB}">
      <text>
        <r>
          <rPr>
            <b/>
            <sz val="9"/>
            <color indexed="81"/>
            <rFont val="Tahoma"/>
            <family val="2"/>
          </rPr>
          <t xml:space="preserve">FSAV
</t>
        </r>
        <r>
          <rPr>
            <sz val="9"/>
            <color indexed="81"/>
            <rFont val="Tahoma"/>
            <family val="2"/>
          </rPr>
          <t>Foreign savings.</t>
        </r>
      </text>
    </comment>
    <comment ref="AW9" authorId="0" shapeId="0" xr:uid="{F7B71DF6-1CBC-4AB1-8C17-AB801595D1EE}">
      <text>
        <r>
          <rPr>
            <b/>
            <sz val="9"/>
            <color indexed="81"/>
            <rFont val="Tahoma"/>
            <family val="2"/>
          </rPr>
          <t xml:space="preserve">IADJ
</t>
        </r>
        <r>
          <rPr>
            <sz val="9"/>
            <color indexed="81"/>
            <rFont val="Tahoma"/>
            <family val="2"/>
          </rPr>
          <t xml:space="preserve">Gross fixed capital formation.
</t>
        </r>
      </text>
    </comment>
    <comment ref="AW10" authorId="0" shapeId="0" xr:uid="{ABD0CA57-0582-4C32-AC73-705AF9460B30}">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E65187D1-8E00-452F-A54A-1A5A958C2058}">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3DB879EB-44C4-4BC1-BAE4-EE4906FFD9F4}">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67007B55-E1FB-4827-8A5E-97E408124281}">
      <text>
        <r>
          <rPr>
            <b/>
            <sz val="9"/>
            <color indexed="81"/>
            <rFont val="Tahoma"/>
            <family val="2"/>
          </rPr>
          <t xml:space="preserve">GADJ
</t>
        </r>
        <r>
          <rPr>
            <sz val="9"/>
            <color indexed="81"/>
            <rFont val="Tahoma"/>
            <family val="2"/>
          </rPr>
          <t>Government consumption spending.</t>
        </r>
      </text>
    </comment>
    <comment ref="AW14" authorId="0" shapeId="0" xr:uid="{AB7DD4F5-4C95-4AAE-A9AC-627BA120B699}">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32E08CAA-81F6-45E1-B3C3-B02FC500D8AE}">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97BAD5FC-46F2-4A99-89EA-080CAD30D6E9}">
      <text>
        <r>
          <rPr>
            <b/>
            <sz val="9"/>
            <color indexed="81"/>
            <rFont val="Tahoma"/>
            <family val="2"/>
          </rPr>
          <t xml:space="preserve">trnsi
</t>
        </r>
        <r>
          <rPr>
            <sz val="9"/>
            <color indexed="81"/>
            <rFont val="Tahoma"/>
            <family val="2"/>
          </rPr>
          <t>Rest of the world transfers to government</t>
        </r>
      </text>
    </comment>
    <comment ref="AW17" authorId="0" shapeId="0" xr:uid="{5C9E25BF-A84A-449B-8218-4C910BE677FE}">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0BC576C4-C418-47E7-9CBE-F936D5924548}">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F28FFC76-54AB-4B96-AABC-CB7ED8A92AEB}">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A01CCDEC-3E20-43E8-87A2-C681DEF6B20A}">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0BE58513-7043-4328-A5D4-ABDE2B896533}">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923240C9-7BAE-4351-828D-7F2E082B05C0}">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9F905304-9E7A-42AF-9F61-4F3D65F6E0F7}">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5EF9E0C7-30FB-4165-977F-9F457DE07C14}">
      <text>
        <r>
          <rPr>
            <b/>
            <sz val="9"/>
            <color indexed="81"/>
            <rFont val="Tahoma"/>
            <family val="2"/>
          </rPr>
          <t>alphava</t>
        </r>
        <r>
          <rPr>
            <sz val="9"/>
            <color indexed="81"/>
            <rFont val="Tahoma"/>
            <family val="2"/>
          </rPr>
          <t xml:space="preserve">
Total factor productivity.
</t>
        </r>
      </text>
    </comment>
    <comment ref="AY4" authorId="0" shapeId="0" xr:uid="{D0C3ADE7-ED29-4865-9900-5C48E0993EA6}">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07D9026F-4D06-4390-B4F5-4383AB4AF861}">
      <text>
        <r>
          <rPr>
            <b/>
            <sz val="9"/>
            <color indexed="81"/>
            <rFont val="Tahoma"/>
            <family val="2"/>
          </rPr>
          <t>Type of shock</t>
        </r>
        <r>
          <rPr>
            <sz val="9"/>
            <color indexed="81"/>
            <rFont val="Tahoma"/>
            <family val="2"/>
          </rPr>
          <t xml:space="preserve">
  1 = multiplicative
  2 = additive</t>
        </r>
      </text>
    </comment>
    <comment ref="D5" authorId="0" shapeId="0" xr:uid="{594E09EA-96AD-4F5C-AB31-48132733169A}">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76C44C68-72F2-4EFF-BE6F-CA9A271D163E}">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C0E9E8C0-7031-491B-A145-F1CE651448BA}">
      <text>
        <r>
          <rPr>
            <b/>
            <sz val="9"/>
            <color indexed="81"/>
            <rFont val="Tahoma"/>
            <family val="2"/>
          </rPr>
          <t>TE</t>
        </r>
        <r>
          <rPr>
            <sz val="9"/>
            <color indexed="81"/>
            <rFont val="Tahoma"/>
            <family val="2"/>
          </rPr>
          <t xml:space="preserve">
Export tax rates</t>
        </r>
      </text>
    </comment>
    <comment ref="G5" authorId="0" shapeId="0" xr:uid="{13C583AA-B715-4A83-AF30-3B7261E80AAE}">
      <text>
        <r>
          <rPr>
            <b/>
            <sz val="9"/>
            <color indexed="81"/>
            <rFont val="Tahoma"/>
            <family val="2"/>
          </rPr>
          <t>TM</t>
        </r>
        <r>
          <rPr>
            <sz val="9"/>
            <color indexed="81"/>
            <rFont val="Tahoma"/>
            <family val="2"/>
          </rPr>
          <t xml:space="preserve">
Import tariff rates</t>
        </r>
      </text>
    </comment>
    <comment ref="H5" authorId="0" shapeId="0" xr:uid="{30E34904-3878-4AC7-A2D1-21EF40614066}">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4EF6A7C7-4381-4DED-ACAC-3225AC9A071D}">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740A35E0-5576-443E-BA79-38540564E4B0}">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E1CBD83F-F869-40EE-A3FF-FBAE2DB40EA4}">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27BCD6F2-4B33-4582-B023-CEE6C64EDD9A}">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69295900-6323-4593-A4AE-56DFC0B1A992}">
      <text>
        <r>
          <rPr>
            <b/>
            <sz val="9"/>
            <color indexed="81"/>
            <rFont val="Tahoma"/>
            <family val="2"/>
          </rPr>
          <t>TA</t>
        </r>
        <r>
          <rPr>
            <sz val="9"/>
            <color indexed="81"/>
            <rFont val="Tahoma"/>
            <family val="2"/>
          </rPr>
          <t xml:space="preserve">
Indirect taxes on total activity production value.</t>
        </r>
      </text>
    </comment>
    <comment ref="R5" authorId="0" shapeId="0" xr:uid="{71A7176C-1A94-41D3-960E-C8E22FCDE150}">
      <text>
        <r>
          <rPr>
            <b/>
            <sz val="9"/>
            <color indexed="81"/>
            <rFont val="Tahoma"/>
            <family val="2"/>
          </rPr>
          <t xml:space="preserve">TVA </t>
        </r>
        <r>
          <rPr>
            <sz val="9"/>
            <color indexed="81"/>
            <rFont val="Tahoma"/>
            <family val="2"/>
          </rPr>
          <t xml:space="preserve">
Indirect taxes on activity value-added.</t>
        </r>
      </text>
    </comment>
    <comment ref="S5" authorId="0" shapeId="0" xr:uid="{4D88EED5-5387-438E-ACB2-E91EC80EB233}">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25AF9743-E9E3-4604-B88C-F0F36C8230E7}">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E6875AC8-E638-4FEA-84BC-F9DEFC8FB54C}">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0A2AE6C5-3019-4A47-B0EC-8AEEBAC4C6FF}">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D19503F8-FF8D-44B2-B448-70D644E6F7FC}">
      <text>
        <r>
          <rPr>
            <b/>
            <sz val="9"/>
            <color indexed="81"/>
            <rFont val="Tahoma"/>
            <family val="2"/>
          </rPr>
          <t>WF</t>
        </r>
        <r>
          <rPr>
            <sz val="9"/>
            <color indexed="81"/>
            <rFont val="Tahoma"/>
            <family val="2"/>
          </rPr>
          <t xml:space="preserve">
Economywide wage rate.</t>
        </r>
      </text>
    </comment>
    <comment ref="AA5" authorId="0" shapeId="0" xr:uid="{EDD1C994-2AA9-4640-8A96-7CE3CE823A4B}">
      <text>
        <r>
          <rPr>
            <b/>
            <sz val="9"/>
            <color indexed="81"/>
            <rFont val="Tahoma"/>
            <family val="2"/>
          </rPr>
          <t xml:space="preserve">QFS
</t>
        </r>
        <r>
          <rPr>
            <sz val="9"/>
            <color indexed="81"/>
            <rFont val="Tahoma"/>
            <family val="2"/>
          </rPr>
          <t>Total factor supply quantity.</t>
        </r>
      </text>
    </comment>
    <comment ref="AB5" authorId="0" shapeId="0" xr:uid="{BE75B4B7-440F-45B6-9DF0-FB3F9A1740A3}">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98911C8A-665A-43F5-A917-340AD71FC8E4}">
      <text>
        <r>
          <rPr>
            <b/>
            <sz val="9"/>
            <color indexed="81"/>
            <rFont val="Tahoma"/>
            <family val="2"/>
          </rPr>
          <t>TF</t>
        </r>
        <r>
          <rPr>
            <sz val="9"/>
            <color indexed="81"/>
            <rFont val="Tahoma"/>
            <family val="2"/>
          </rPr>
          <t xml:space="preserve">
Direct tax on total factor earnings.</t>
        </r>
      </text>
    </comment>
    <comment ref="AD5" authorId="0" shapeId="0" xr:uid="{43E58EE6-92EA-4116-B1B6-794DAC5839F7}">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5D7BDF84-2B65-47D8-A0A8-9D0194CF6F81}">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F847513A-5C36-4018-929C-BE6CA9B2FF77}">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F7CB835B-9CF8-49B6-9B7B-EC8FDE119FBE}">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00ACD7FD-7DD2-4722-9E03-C4BC77A09A9F}">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49D47116-5DEA-4CDB-80EC-2D8DB59C2221}">
      <text>
        <r>
          <rPr>
            <b/>
            <sz val="9"/>
            <color indexed="81"/>
            <rFont val="Tahoma"/>
            <family val="2"/>
          </rPr>
          <t xml:space="preserve">HPOP
</t>
        </r>
        <r>
          <rPr>
            <sz val="9"/>
            <color indexed="81"/>
            <rFont val="Tahoma"/>
            <family val="2"/>
          </rPr>
          <t>Household population.</t>
        </r>
      </text>
    </comment>
    <comment ref="AM5" authorId="0" shapeId="0" xr:uid="{315E2F89-72C7-4DFC-A102-0C7552653C4B}">
      <text>
        <r>
          <rPr>
            <b/>
            <sz val="9"/>
            <color indexed="81"/>
            <rFont val="Tahoma"/>
            <family val="2"/>
          </rPr>
          <t xml:space="preserve">MPS
</t>
        </r>
        <r>
          <rPr>
            <sz val="9"/>
            <color indexed="81"/>
            <rFont val="Tahoma"/>
            <family val="2"/>
          </rPr>
          <t>Marginal propensity to save (households and enterprises).</t>
        </r>
      </text>
    </comment>
    <comment ref="AN5" authorId="0" shapeId="0" xr:uid="{3D18B299-01DE-410F-87B4-F5973D1B4F33}">
      <text>
        <r>
          <rPr>
            <b/>
            <sz val="9"/>
            <color indexed="81"/>
            <rFont val="Tahoma"/>
            <family val="2"/>
          </rPr>
          <t xml:space="preserve">TINS
</t>
        </r>
        <r>
          <rPr>
            <sz val="9"/>
            <color indexed="81"/>
            <rFont val="Tahoma"/>
            <family val="2"/>
          </rPr>
          <t>Institution direct tax rate (households and enterprises).</t>
        </r>
      </text>
    </comment>
    <comment ref="AO5" authorId="0" shapeId="0" xr:uid="{49447216-F66E-45DC-B78B-F5710CBBE0B2}">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A17DD377-8137-4F6B-B378-629DFB6DBE6C}">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FE0A794E-E9E2-42DF-B34A-70A7ACEF6334}">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FAF8D36F-A97A-41E5-B294-A276BBCC262F}">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86E2A8E3-399D-40BE-943A-5E137CDFA895}">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18BBB200-5B88-42B0-81CA-C99E583ACD57}">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B24C5966-8DF9-4596-8F27-38C2CEFF6D28}">
      <text>
        <r>
          <rPr>
            <b/>
            <sz val="9"/>
            <color indexed="81"/>
            <rFont val="Tahoma"/>
            <family val="2"/>
          </rPr>
          <t xml:space="preserve">EXR
</t>
        </r>
        <r>
          <rPr>
            <sz val="9"/>
            <color indexed="81"/>
            <rFont val="Tahoma"/>
            <family val="2"/>
          </rPr>
          <t>Exchange rate.</t>
        </r>
      </text>
    </comment>
    <comment ref="AW8" authorId="0" shapeId="0" xr:uid="{E1562668-626D-4D82-810A-49C683DE0587}">
      <text>
        <r>
          <rPr>
            <b/>
            <sz val="9"/>
            <color indexed="81"/>
            <rFont val="Tahoma"/>
            <family val="2"/>
          </rPr>
          <t xml:space="preserve">FSAV
</t>
        </r>
        <r>
          <rPr>
            <sz val="9"/>
            <color indexed="81"/>
            <rFont val="Tahoma"/>
            <family val="2"/>
          </rPr>
          <t>Foreign savings.</t>
        </r>
      </text>
    </comment>
    <comment ref="AW9" authorId="0" shapeId="0" xr:uid="{22439CD6-AB46-417F-8525-7E7DAC711856}">
      <text>
        <r>
          <rPr>
            <b/>
            <sz val="9"/>
            <color indexed="81"/>
            <rFont val="Tahoma"/>
            <family val="2"/>
          </rPr>
          <t xml:space="preserve">IADJ
</t>
        </r>
        <r>
          <rPr>
            <sz val="9"/>
            <color indexed="81"/>
            <rFont val="Tahoma"/>
            <family val="2"/>
          </rPr>
          <t xml:space="preserve">Gross fixed capital formation.
</t>
        </r>
      </text>
    </comment>
    <comment ref="AW10" authorId="0" shapeId="0" xr:uid="{2CFACFD6-F716-4258-A5AF-857604DDBC42}">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B3CE8C63-9EB7-480C-9C6B-34E654EDDCEA}">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FD45C00-1439-4594-939C-6F589C073DE9}">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28F2BA9A-6466-460E-B2FB-85BAC97DC292}">
      <text>
        <r>
          <rPr>
            <b/>
            <sz val="9"/>
            <color indexed="81"/>
            <rFont val="Tahoma"/>
            <family val="2"/>
          </rPr>
          <t xml:space="preserve">GADJ
</t>
        </r>
        <r>
          <rPr>
            <sz val="9"/>
            <color indexed="81"/>
            <rFont val="Tahoma"/>
            <family val="2"/>
          </rPr>
          <t>Government consumption spending.</t>
        </r>
      </text>
    </comment>
    <comment ref="AW14" authorId="0" shapeId="0" xr:uid="{FD9329C1-4975-4940-8FB5-CBDAD1A12B96}">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DE046D75-56C2-444F-B91A-0C6B5C2D0EB0}">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81C11D51-FF97-4CB2-BAF5-6ECBC38AD3E4}">
      <text>
        <r>
          <rPr>
            <b/>
            <sz val="9"/>
            <color indexed="81"/>
            <rFont val="Tahoma"/>
            <family val="2"/>
          </rPr>
          <t xml:space="preserve">trnsi
</t>
        </r>
        <r>
          <rPr>
            <sz val="9"/>
            <color indexed="81"/>
            <rFont val="Tahoma"/>
            <family val="2"/>
          </rPr>
          <t>Rest of the world transfers to government</t>
        </r>
      </text>
    </comment>
    <comment ref="AW17" authorId="0" shapeId="0" xr:uid="{E1E6CC19-B632-45BB-A175-A5F8BED507F7}">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5924A087-E3EA-45B8-8FCB-2C7237A8C3FC}">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BA72DB13-EF0D-4FD2-A1DB-F361ADCF4E0F}">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BCF72185-1CCE-49BB-B21D-BE32DB97A566}">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110BCB19-BAB7-414F-86C4-F2AA783C499F}">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96C90FE3-306B-43B9-85CD-D36B403FF24C}">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B4D84F12-A9B3-48D0-8EBB-49E2AB689610}">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D503BDAF-E33B-4C3C-A520-E66B8FCD47F9}">
      <text>
        <r>
          <rPr>
            <b/>
            <sz val="9"/>
            <color indexed="81"/>
            <rFont val="Tahoma"/>
            <family val="2"/>
          </rPr>
          <t>alphava</t>
        </r>
        <r>
          <rPr>
            <sz val="9"/>
            <color indexed="81"/>
            <rFont val="Tahoma"/>
            <family val="2"/>
          </rPr>
          <t xml:space="preserve">
Total factor productivity.
</t>
        </r>
      </text>
    </comment>
    <comment ref="AY4" authorId="0" shapeId="0" xr:uid="{607A3533-1C69-41E9-BD76-3A4AF54EFC17}">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CDDE92D2-8525-4CA0-9D25-743FCBCAAC80}">
      <text>
        <r>
          <rPr>
            <b/>
            <sz val="9"/>
            <color indexed="81"/>
            <rFont val="Tahoma"/>
            <family val="2"/>
          </rPr>
          <t>Type of shock</t>
        </r>
        <r>
          <rPr>
            <sz val="9"/>
            <color indexed="81"/>
            <rFont val="Tahoma"/>
            <family val="2"/>
          </rPr>
          <t xml:space="preserve">
  1 = multiplicative
  2 = additive</t>
        </r>
      </text>
    </comment>
    <comment ref="D5" authorId="0" shapeId="0" xr:uid="{7BD34D36-FEAB-44AD-8B1E-DC5293781C64}">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D4208E11-717D-45C6-9C13-288A29D4FFE8}">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9F5A532-A0DC-401E-8BE4-CF1E92AAEA8D}">
      <text>
        <r>
          <rPr>
            <b/>
            <sz val="9"/>
            <color indexed="81"/>
            <rFont val="Tahoma"/>
            <family val="2"/>
          </rPr>
          <t>TE</t>
        </r>
        <r>
          <rPr>
            <sz val="9"/>
            <color indexed="81"/>
            <rFont val="Tahoma"/>
            <family val="2"/>
          </rPr>
          <t xml:space="preserve">
Export tax rates</t>
        </r>
      </text>
    </comment>
    <comment ref="G5" authorId="0" shapeId="0" xr:uid="{8B286784-1DA2-43BF-8654-557E3C7C610F}">
      <text>
        <r>
          <rPr>
            <b/>
            <sz val="9"/>
            <color indexed="81"/>
            <rFont val="Tahoma"/>
            <family val="2"/>
          </rPr>
          <t>TM</t>
        </r>
        <r>
          <rPr>
            <sz val="9"/>
            <color indexed="81"/>
            <rFont val="Tahoma"/>
            <family val="2"/>
          </rPr>
          <t xml:space="preserve">
Import tariff rates</t>
        </r>
      </text>
    </comment>
    <comment ref="H5" authorId="0" shapeId="0" xr:uid="{9DF472F8-DFB9-4C16-A533-2E7BF12154F3}">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3A33C020-D115-4B3E-9EA3-A226A725F7CE}">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174B2F57-3730-4953-8F64-1FD1626D10FB}">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F68BC374-083D-4C78-A9C7-1132980F70AD}">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FE303AD-CC19-4C85-A5CA-28C204729124}">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4EC31FE6-099C-4603-A51E-8AC835C7732F}">
      <text>
        <r>
          <rPr>
            <b/>
            <sz val="9"/>
            <color indexed="81"/>
            <rFont val="Tahoma"/>
            <family val="2"/>
          </rPr>
          <t>TA</t>
        </r>
        <r>
          <rPr>
            <sz val="9"/>
            <color indexed="81"/>
            <rFont val="Tahoma"/>
            <family val="2"/>
          </rPr>
          <t xml:space="preserve">
Indirect taxes on total activity production value.</t>
        </r>
      </text>
    </comment>
    <comment ref="R5" authorId="0" shapeId="0" xr:uid="{75BDD65C-782B-412C-9C1A-DD82F8EC1401}">
      <text>
        <r>
          <rPr>
            <b/>
            <sz val="9"/>
            <color indexed="81"/>
            <rFont val="Tahoma"/>
            <family val="2"/>
          </rPr>
          <t xml:space="preserve">TVA </t>
        </r>
        <r>
          <rPr>
            <sz val="9"/>
            <color indexed="81"/>
            <rFont val="Tahoma"/>
            <family val="2"/>
          </rPr>
          <t xml:space="preserve">
Indirect taxes on activity value-added.</t>
        </r>
      </text>
    </comment>
    <comment ref="S5" authorId="0" shapeId="0" xr:uid="{DFD91928-4071-4921-BC52-5C7CA6F40D1A}">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44282D51-4CFB-418A-AAFD-2C7089E3E8AF}">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BCBF923D-DAEC-49B1-A06C-262945273E0F}">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15E20AC7-D13E-4521-921E-99AE59DD0FE0}">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A082005-2842-4AAA-B4A3-523CEF17FD25}">
      <text>
        <r>
          <rPr>
            <b/>
            <sz val="9"/>
            <color indexed="81"/>
            <rFont val="Tahoma"/>
            <family val="2"/>
          </rPr>
          <t>WF</t>
        </r>
        <r>
          <rPr>
            <sz val="9"/>
            <color indexed="81"/>
            <rFont val="Tahoma"/>
            <family val="2"/>
          </rPr>
          <t xml:space="preserve">
Economywide wage rate.</t>
        </r>
      </text>
    </comment>
    <comment ref="AA5" authorId="0" shapeId="0" xr:uid="{21E8033C-664D-4024-BF33-83699FAB40C2}">
      <text>
        <r>
          <rPr>
            <b/>
            <sz val="9"/>
            <color indexed="81"/>
            <rFont val="Tahoma"/>
            <family val="2"/>
          </rPr>
          <t xml:space="preserve">QFS
</t>
        </r>
        <r>
          <rPr>
            <sz val="9"/>
            <color indexed="81"/>
            <rFont val="Tahoma"/>
            <family val="2"/>
          </rPr>
          <t>Total factor supply quantity.</t>
        </r>
      </text>
    </comment>
    <comment ref="AB5" authorId="0" shapeId="0" xr:uid="{0C3BE3AF-4AAA-4178-9C9C-A525FA61D875}">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248E9895-E343-4EAF-9865-00AB7B36D3F0}">
      <text>
        <r>
          <rPr>
            <b/>
            <sz val="9"/>
            <color indexed="81"/>
            <rFont val="Tahoma"/>
            <family val="2"/>
          </rPr>
          <t>TF</t>
        </r>
        <r>
          <rPr>
            <sz val="9"/>
            <color indexed="81"/>
            <rFont val="Tahoma"/>
            <family val="2"/>
          </rPr>
          <t xml:space="preserve">
Direct tax on total factor earnings.</t>
        </r>
      </text>
    </comment>
    <comment ref="AD5" authorId="0" shapeId="0" xr:uid="{CB926BC9-2C30-4E98-82E8-5A743D5A4769}">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6C48E4E4-52DB-447D-9975-656CA038F358}">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2D45787-BE7E-4712-A22F-26CCEA2D8730}">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A6D26115-A7EF-4BCA-9E06-69541AD9F9C3}">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6D939008-21AF-4097-B311-B342FEEBD23A}">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1D67ABB7-A0E2-4C74-BADC-30641BE2E9D2}">
      <text>
        <r>
          <rPr>
            <b/>
            <sz val="9"/>
            <color indexed="81"/>
            <rFont val="Tahoma"/>
            <family val="2"/>
          </rPr>
          <t xml:space="preserve">HPOP
</t>
        </r>
        <r>
          <rPr>
            <sz val="9"/>
            <color indexed="81"/>
            <rFont val="Tahoma"/>
            <family val="2"/>
          </rPr>
          <t>Household population.</t>
        </r>
      </text>
    </comment>
    <comment ref="AM5" authorId="0" shapeId="0" xr:uid="{31DA69F4-3995-45C6-93F6-7240B3C02340}">
      <text>
        <r>
          <rPr>
            <b/>
            <sz val="9"/>
            <color indexed="81"/>
            <rFont val="Tahoma"/>
            <family val="2"/>
          </rPr>
          <t xml:space="preserve">MPS
</t>
        </r>
        <r>
          <rPr>
            <sz val="9"/>
            <color indexed="81"/>
            <rFont val="Tahoma"/>
            <family val="2"/>
          </rPr>
          <t>Marginal propensity to save (households and enterprises).</t>
        </r>
      </text>
    </comment>
    <comment ref="AN5" authorId="0" shapeId="0" xr:uid="{96CD144C-5042-4BD5-9133-2FF0D917FDDA}">
      <text>
        <r>
          <rPr>
            <b/>
            <sz val="9"/>
            <color indexed="81"/>
            <rFont val="Tahoma"/>
            <family val="2"/>
          </rPr>
          <t xml:space="preserve">TINS
</t>
        </r>
        <r>
          <rPr>
            <sz val="9"/>
            <color indexed="81"/>
            <rFont val="Tahoma"/>
            <family val="2"/>
          </rPr>
          <t>Institution direct tax rate (households and enterprises).</t>
        </r>
      </text>
    </comment>
    <comment ref="AO5" authorId="0" shapeId="0" xr:uid="{83E5EB93-C0B1-4247-9AE3-11991FE0BDB7}">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649CA7BB-7EC5-41C0-8773-B45323E0C1F9}">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682233B0-59C5-495F-B853-E36D80E329CE}">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58C3FB1F-4F7B-41A0-A4E4-1FEB5C80C25E}">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DB167262-E86A-4AF8-86BB-A49035AF021C}">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D412D9FD-BBAA-4099-B85F-DB0F77362A8F}">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27B19D8-8D8B-480B-B3B7-2D97CC17D37E}">
      <text>
        <r>
          <rPr>
            <b/>
            <sz val="9"/>
            <color indexed="81"/>
            <rFont val="Tahoma"/>
            <family val="2"/>
          </rPr>
          <t xml:space="preserve">EXR
</t>
        </r>
        <r>
          <rPr>
            <sz val="9"/>
            <color indexed="81"/>
            <rFont val="Tahoma"/>
            <family val="2"/>
          </rPr>
          <t>Exchange rate.</t>
        </r>
      </text>
    </comment>
    <comment ref="AW8" authorId="0" shapeId="0" xr:uid="{8B5DB5EC-A58A-48AC-B36D-2FF883F07C7C}">
      <text>
        <r>
          <rPr>
            <b/>
            <sz val="9"/>
            <color indexed="81"/>
            <rFont val="Tahoma"/>
            <family val="2"/>
          </rPr>
          <t xml:space="preserve">FSAV
</t>
        </r>
        <r>
          <rPr>
            <sz val="9"/>
            <color indexed="81"/>
            <rFont val="Tahoma"/>
            <family val="2"/>
          </rPr>
          <t>Foreign savings.</t>
        </r>
      </text>
    </comment>
    <comment ref="AW9" authorId="0" shapeId="0" xr:uid="{D1C9F5BA-DFBA-46B9-B94C-C3B1AC09DB18}">
      <text>
        <r>
          <rPr>
            <b/>
            <sz val="9"/>
            <color indexed="81"/>
            <rFont val="Tahoma"/>
            <family val="2"/>
          </rPr>
          <t xml:space="preserve">IADJ
</t>
        </r>
        <r>
          <rPr>
            <sz val="9"/>
            <color indexed="81"/>
            <rFont val="Tahoma"/>
            <family val="2"/>
          </rPr>
          <t xml:space="preserve">Gross fixed capital formation.
</t>
        </r>
      </text>
    </comment>
    <comment ref="AW10" authorId="0" shapeId="0" xr:uid="{41FCAA7E-BBE7-4590-9DD8-169A72E78F5A}">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FF66B668-FF0E-4FE3-8B06-C76EBC413473}">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93160FAF-448D-43A5-A3C7-87148148BD96}">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382DF2BB-9525-4772-BFA5-E66A33314973}">
      <text>
        <r>
          <rPr>
            <b/>
            <sz val="9"/>
            <color indexed="81"/>
            <rFont val="Tahoma"/>
            <family val="2"/>
          </rPr>
          <t xml:space="preserve">GADJ
</t>
        </r>
        <r>
          <rPr>
            <sz val="9"/>
            <color indexed="81"/>
            <rFont val="Tahoma"/>
            <family val="2"/>
          </rPr>
          <t>Government consumption spending.</t>
        </r>
      </text>
    </comment>
    <comment ref="AW14" authorId="0" shapeId="0" xr:uid="{BD42E615-4CDE-4AE2-B731-FF5F43636D7F}">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1147F485-CC8B-4022-B553-D0FCB907EB7F}">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002A42CA-1FA6-42C9-B44A-A107B9E58BD7}">
      <text>
        <r>
          <rPr>
            <b/>
            <sz val="9"/>
            <color indexed="81"/>
            <rFont val="Tahoma"/>
            <family val="2"/>
          </rPr>
          <t xml:space="preserve">trnsi
</t>
        </r>
        <r>
          <rPr>
            <sz val="9"/>
            <color indexed="81"/>
            <rFont val="Tahoma"/>
            <family val="2"/>
          </rPr>
          <t>Rest of the world transfers to government</t>
        </r>
      </text>
    </comment>
    <comment ref="AW17" authorId="0" shapeId="0" xr:uid="{5AAA1A24-CC1E-4DC0-B6F9-79F3AC01CB94}">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87922D89-5DD7-4EC8-BAC5-3AFA7812A364}">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4BC3D219-6A78-434C-975C-7A32BD211D70}">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66CDCD5A-D76F-471B-BB51-C06A6368FCB2}">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7249621F-958B-4B43-92FB-13A4C7B7C244}">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A3B08422-E033-4954-AEDF-D3553A470086}">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BE16D019-A828-4865-9A67-CB6AECD31503}">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3FCF34BD-A820-44F0-A22E-03DBFE47A9F1}">
      <text>
        <r>
          <rPr>
            <b/>
            <sz val="9"/>
            <color indexed="81"/>
            <rFont val="Tahoma"/>
            <family val="2"/>
          </rPr>
          <t>alphava</t>
        </r>
        <r>
          <rPr>
            <sz val="9"/>
            <color indexed="81"/>
            <rFont val="Tahoma"/>
            <family val="2"/>
          </rPr>
          <t xml:space="preserve">
Total factor productivity.
</t>
        </r>
      </text>
    </comment>
    <comment ref="AY4" authorId="0" shapeId="0" xr:uid="{6D62E345-9AD3-4B6C-A8A7-1605915C7F74}">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66772DFF-369B-4303-91AC-8327C33F2630}">
      <text>
        <r>
          <rPr>
            <b/>
            <sz val="9"/>
            <color indexed="81"/>
            <rFont val="Tahoma"/>
            <family val="2"/>
          </rPr>
          <t>Type of shock</t>
        </r>
        <r>
          <rPr>
            <sz val="9"/>
            <color indexed="81"/>
            <rFont val="Tahoma"/>
            <family val="2"/>
          </rPr>
          <t xml:space="preserve">
  1 = multiplicative
  2 = additive</t>
        </r>
      </text>
    </comment>
    <comment ref="D5" authorId="0" shapeId="0" xr:uid="{49A1C1DB-8ED6-4E87-963B-3561FC07B5E9}">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A1FE4519-B253-4D6A-8360-E7A2DD483421}">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F5A87A84-C755-4BC6-9EEE-006A87653452}">
      <text>
        <r>
          <rPr>
            <b/>
            <sz val="9"/>
            <color indexed="81"/>
            <rFont val="Tahoma"/>
            <family val="2"/>
          </rPr>
          <t>TE</t>
        </r>
        <r>
          <rPr>
            <sz val="9"/>
            <color indexed="81"/>
            <rFont val="Tahoma"/>
            <family val="2"/>
          </rPr>
          <t xml:space="preserve">
Export tax rates</t>
        </r>
      </text>
    </comment>
    <comment ref="G5" authorId="0" shapeId="0" xr:uid="{81F1B966-F4AF-435C-9C5B-0CA5B44A2631}">
      <text>
        <r>
          <rPr>
            <b/>
            <sz val="9"/>
            <color indexed="81"/>
            <rFont val="Tahoma"/>
            <family val="2"/>
          </rPr>
          <t>TM</t>
        </r>
        <r>
          <rPr>
            <sz val="9"/>
            <color indexed="81"/>
            <rFont val="Tahoma"/>
            <family val="2"/>
          </rPr>
          <t xml:space="preserve">
Import tariff rates</t>
        </r>
      </text>
    </comment>
    <comment ref="H5" authorId="0" shapeId="0" xr:uid="{996B186A-4929-4AE2-830C-DC8552C28BCA}">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F360C472-B53B-44F1-8CE2-29323AA7F51A}">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7DEBFE82-761A-4739-9D36-1FCA9BDC0788}">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996FD41E-AC44-4761-8692-2846E6FC5D1B}">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07E38727-6476-4EBC-B52B-D231B71A9F9B}">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1C2A6D69-433F-4DFD-A363-817C117637C8}">
      <text>
        <r>
          <rPr>
            <b/>
            <sz val="9"/>
            <color indexed="81"/>
            <rFont val="Tahoma"/>
            <family val="2"/>
          </rPr>
          <t>TA</t>
        </r>
        <r>
          <rPr>
            <sz val="9"/>
            <color indexed="81"/>
            <rFont val="Tahoma"/>
            <family val="2"/>
          </rPr>
          <t xml:space="preserve">
Indirect taxes on total activity production value.</t>
        </r>
      </text>
    </comment>
    <comment ref="R5" authorId="0" shapeId="0" xr:uid="{5166F3AB-CEFF-4CFE-A099-A34EF39699BD}">
      <text>
        <r>
          <rPr>
            <b/>
            <sz val="9"/>
            <color indexed="81"/>
            <rFont val="Tahoma"/>
            <family val="2"/>
          </rPr>
          <t xml:space="preserve">TVA </t>
        </r>
        <r>
          <rPr>
            <sz val="9"/>
            <color indexed="81"/>
            <rFont val="Tahoma"/>
            <family val="2"/>
          </rPr>
          <t xml:space="preserve">
Indirect taxes on activity value-added.</t>
        </r>
      </text>
    </comment>
    <comment ref="S5" authorId="0" shapeId="0" xr:uid="{C9737644-66FC-450E-B768-F670071FCA0F}">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08EC3488-B883-42F2-9AE2-698229CF8874}">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84C7759C-480D-48CB-9ED7-0E33C2D57591}">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58EEED7F-71F9-44E4-9866-878046E7CB33}">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C629903-2A7C-46CC-8209-0F536D21EF96}">
      <text>
        <r>
          <rPr>
            <b/>
            <sz val="9"/>
            <color indexed="81"/>
            <rFont val="Tahoma"/>
            <family val="2"/>
          </rPr>
          <t>WF</t>
        </r>
        <r>
          <rPr>
            <sz val="9"/>
            <color indexed="81"/>
            <rFont val="Tahoma"/>
            <family val="2"/>
          </rPr>
          <t xml:space="preserve">
Economywide wage rate.</t>
        </r>
      </text>
    </comment>
    <comment ref="AA5" authorId="0" shapeId="0" xr:uid="{0BD51EF1-1EBB-4DD5-A891-29AB835A5CF1}">
      <text>
        <r>
          <rPr>
            <b/>
            <sz val="9"/>
            <color indexed="81"/>
            <rFont val="Tahoma"/>
            <family val="2"/>
          </rPr>
          <t xml:space="preserve">QFS
</t>
        </r>
        <r>
          <rPr>
            <sz val="9"/>
            <color indexed="81"/>
            <rFont val="Tahoma"/>
            <family val="2"/>
          </rPr>
          <t>Total factor supply quantity.</t>
        </r>
      </text>
    </comment>
    <comment ref="AB5" authorId="0" shapeId="0" xr:uid="{A7649657-7E5C-4C83-8696-F3355855130D}">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6E465C83-1B5C-47BD-9B17-D020450B855D}">
      <text>
        <r>
          <rPr>
            <b/>
            <sz val="9"/>
            <color indexed="81"/>
            <rFont val="Tahoma"/>
            <family val="2"/>
          </rPr>
          <t>TF</t>
        </r>
        <r>
          <rPr>
            <sz val="9"/>
            <color indexed="81"/>
            <rFont val="Tahoma"/>
            <family val="2"/>
          </rPr>
          <t xml:space="preserve">
Direct tax on total factor earnings.</t>
        </r>
      </text>
    </comment>
    <comment ref="AD5" authorId="0" shapeId="0" xr:uid="{129C5704-C568-45A6-9EA0-67D05B3D9095}">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76D12FA7-09D2-434D-950B-ABEF7551D0DE}">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A2EA55FC-0734-4DD7-AB93-072DF9D1A5C7}">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7BAA1157-40A5-456F-B707-47D27B848E4E}">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18A20724-AD85-4EE3-8815-2F5C9FE73E33}">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52D1E6CD-A9CB-44B5-933F-072FC1242E7D}">
      <text>
        <r>
          <rPr>
            <b/>
            <sz val="9"/>
            <color indexed="81"/>
            <rFont val="Tahoma"/>
            <family val="2"/>
          </rPr>
          <t xml:space="preserve">HPOP
</t>
        </r>
        <r>
          <rPr>
            <sz val="9"/>
            <color indexed="81"/>
            <rFont val="Tahoma"/>
            <family val="2"/>
          </rPr>
          <t>Household population.</t>
        </r>
      </text>
    </comment>
    <comment ref="AM5" authorId="0" shapeId="0" xr:uid="{02D523C4-0D9D-4917-8A94-E83925FB8F2B}">
      <text>
        <r>
          <rPr>
            <b/>
            <sz val="9"/>
            <color indexed="81"/>
            <rFont val="Tahoma"/>
            <family val="2"/>
          </rPr>
          <t xml:space="preserve">MPS
</t>
        </r>
        <r>
          <rPr>
            <sz val="9"/>
            <color indexed="81"/>
            <rFont val="Tahoma"/>
            <family val="2"/>
          </rPr>
          <t>Marginal propensity to save (households and enterprises).</t>
        </r>
      </text>
    </comment>
    <comment ref="AN5" authorId="0" shapeId="0" xr:uid="{77539848-10DF-4E6F-9B66-F66F6B0FF00D}">
      <text>
        <r>
          <rPr>
            <b/>
            <sz val="9"/>
            <color indexed="81"/>
            <rFont val="Tahoma"/>
            <family val="2"/>
          </rPr>
          <t xml:space="preserve">TINS
</t>
        </r>
        <r>
          <rPr>
            <sz val="9"/>
            <color indexed="81"/>
            <rFont val="Tahoma"/>
            <family val="2"/>
          </rPr>
          <t>Institution direct tax rate (households and enterprises).</t>
        </r>
      </text>
    </comment>
    <comment ref="AO5" authorId="0" shapeId="0" xr:uid="{3576C73A-7666-4A31-B8D2-747292DE7C73}">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29E181D4-EFB6-425B-9E8E-038A9006C404}">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70D1BAAA-1918-497D-B59F-E7E2B0702B8C}">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B0D337F0-08C4-46FE-AB88-9FE291B1888B}">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22CAAE40-3AB5-4B2F-BECD-0B4A7DE390BF}">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26F5C858-82DF-4F05-99F6-D652E9E6146A}">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0B9D244-6E97-44A5-B66F-AA5ADFF1F5B1}">
      <text>
        <r>
          <rPr>
            <b/>
            <sz val="9"/>
            <color indexed="81"/>
            <rFont val="Tahoma"/>
            <family val="2"/>
          </rPr>
          <t xml:space="preserve">EXR
</t>
        </r>
        <r>
          <rPr>
            <sz val="9"/>
            <color indexed="81"/>
            <rFont val="Tahoma"/>
            <family val="2"/>
          </rPr>
          <t>Exchange rate.</t>
        </r>
      </text>
    </comment>
    <comment ref="AW8" authorId="0" shapeId="0" xr:uid="{0C70108F-4760-4419-8880-E348E982C026}">
      <text>
        <r>
          <rPr>
            <b/>
            <sz val="9"/>
            <color indexed="81"/>
            <rFont val="Tahoma"/>
            <family val="2"/>
          </rPr>
          <t xml:space="preserve">FSAV
</t>
        </r>
        <r>
          <rPr>
            <sz val="9"/>
            <color indexed="81"/>
            <rFont val="Tahoma"/>
            <family val="2"/>
          </rPr>
          <t>Foreign savings.</t>
        </r>
      </text>
    </comment>
    <comment ref="AW9" authorId="0" shapeId="0" xr:uid="{CE59D2BB-1B05-4F0E-89E6-2180AC7E009D}">
      <text>
        <r>
          <rPr>
            <b/>
            <sz val="9"/>
            <color indexed="81"/>
            <rFont val="Tahoma"/>
            <family val="2"/>
          </rPr>
          <t xml:space="preserve">IADJ
</t>
        </r>
        <r>
          <rPr>
            <sz val="9"/>
            <color indexed="81"/>
            <rFont val="Tahoma"/>
            <family val="2"/>
          </rPr>
          <t xml:space="preserve">Gross fixed capital formation.
</t>
        </r>
      </text>
    </comment>
    <comment ref="AW10" authorId="0" shapeId="0" xr:uid="{42100641-15E3-4A19-A45A-66EA4AD82F2A}">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EB0502DF-20EA-48EB-A288-E8369F2A188F}">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40EC5D54-8616-47A8-AD8A-38D575FADF54}">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C9834E05-941F-4D21-9CD6-9404ED1D0259}">
      <text>
        <r>
          <rPr>
            <b/>
            <sz val="9"/>
            <color indexed="81"/>
            <rFont val="Tahoma"/>
            <family val="2"/>
          </rPr>
          <t xml:space="preserve">GADJ
</t>
        </r>
        <r>
          <rPr>
            <sz val="9"/>
            <color indexed="81"/>
            <rFont val="Tahoma"/>
            <family val="2"/>
          </rPr>
          <t>Government consumption spending.</t>
        </r>
      </text>
    </comment>
    <comment ref="AW14" authorId="0" shapeId="0" xr:uid="{68581F16-B4D0-4FEF-A765-7A3B5C81F612}">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B3E6BBF0-E344-4446-99FE-BFBDFCDCE910}">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1613E3D0-5CC8-452C-A2C6-4763881C790E}">
      <text>
        <r>
          <rPr>
            <b/>
            <sz val="9"/>
            <color indexed="81"/>
            <rFont val="Tahoma"/>
            <family val="2"/>
          </rPr>
          <t xml:space="preserve">trnsi
</t>
        </r>
        <r>
          <rPr>
            <sz val="9"/>
            <color indexed="81"/>
            <rFont val="Tahoma"/>
            <family val="2"/>
          </rPr>
          <t>Rest of the world transfers to government</t>
        </r>
      </text>
    </comment>
    <comment ref="AW17" authorId="0" shapeId="0" xr:uid="{83705D12-2AA7-42E2-8D71-1C537D271066}">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B88F97BB-6F18-43CD-93E8-434C19F1C318}">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364CC8EF-26A1-4E13-8349-5F59D47A8882}">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9B29EED1-4E82-4055-AFDC-5B15146F94FB}">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AA69C408-EA69-4259-9A43-6C2D369B3E51}">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9EDE77E3-46F6-44DE-81F0-EEAA11B13343}">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36C0A2BE-8FB3-4693-9FB8-426BAA11C2AD}">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9A0B81E4-2082-4FD1-AE4C-6B9D010BC796}">
      <text>
        <r>
          <rPr>
            <b/>
            <sz val="9"/>
            <color indexed="81"/>
            <rFont val="Tahoma"/>
            <family val="2"/>
          </rPr>
          <t>alphava</t>
        </r>
        <r>
          <rPr>
            <sz val="9"/>
            <color indexed="81"/>
            <rFont val="Tahoma"/>
            <family val="2"/>
          </rPr>
          <t xml:space="preserve">
Total factor productivity.
</t>
        </r>
      </text>
    </comment>
    <comment ref="AY4" authorId="0" shapeId="0" xr:uid="{3DCAD040-E66B-4FAA-8AFA-D04211057D4F}">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62B458F7-540C-4C59-8350-B96D32E2791C}">
      <text>
        <r>
          <rPr>
            <b/>
            <sz val="9"/>
            <color indexed="81"/>
            <rFont val="Tahoma"/>
            <family val="2"/>
          </rPr>
          <t>Type of shock</t>
        </r>
        <r>
          <rPr>
            <sz val="9"/>
            <color indexed="81"/>
            <rFont val="Tahoma"/>
            <family val="2"/>
          </rPr>
          <t xml:space="preserve">
  1 = multiplicative
  2 = additive</t>
        </r>
      </text>
    </comment>
    <comment ref="D5" authorId="0" shapeId="0" xr:uid="{E7D75F91-59E1-4980-80CF-4E9368C08FC8}">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D6649611-7430-4464-82BF-0D830A12B599}">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3027B29E-60FB-47B7-A0A0-4FE49BE56546}">
      <text>
        <r>
          <rPr>
            <b/>
            <sz val="9"/>
            <color indexed="81"/>
            <rFont val="Tahoma"/>
            <family val="2"/>
          </rPr>
          <t>TE</t>
        </r>
        <r>
          <rPr>
            <sz val="9"/>
            <color indexed="81"/>
            <rFont val="Tahoma"/>
            <family val="2"/>
          </rPr>
          <t xml:space="preserve">
Export tax rates</t>
        </r>
      </text>
    </comment>
    <comment ref="G5" authorId="0" shapeId="0" xr:uid="{EEBE644A-B8D6-47C4-9DE8-102F5CB7DC4F}">
      <text>
        <r>
          <rPr>
            <b/>
            <sz val="9"/>
            <color indexed="81"/>
            <rFont val="Tahoma"/>
            <family val="2"/>
          </rPr>
          <t>TM</t>
        </r>
        <r>
          <rPr>
            <sz val="9"/>
            <color indexed="81"/>
            <rFont val="Tahoma"/>
            <family val="2"/>
          </rPr>
          <t xml:space="preserve">
Import tariff rates</t>
        </r>
      </text>
    </comment>
    <comment ref="H5" authorId="0" shapeId="0" xr:uid="{C200C373-C897-4CA5-AEAB-4A9B4BD9EE95}">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A93DB767-3CA7-43E3-8AD8-AA94966E878A}">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087B2AE7-AF83-4329-8C9B-8448C29D0325}">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FDEDCC85-D5D4-4EF9-AA7E-7DBC5AEF2E96}">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690ECF0C-4B6D-496C-BE61-92495E983D70}">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A8326221-D5E7-4DA7-93D2-CF88563A84E0}">
      <text>
        <r>
          <rPr>
            <b/>
            <sz val="9"/>
            <color indexed="81"/>
            <rFont val="Tahoma"/>
            <family val="2"/>
          </rPr>
          <t>TA</t>
        </r>
        <r>
          <rPr>
            <sz val="9"/>
            <color indexed="81"/>
            <rFont val="Tahoma"/>
            <family val="2"/>
          </rPr>
          <t xml:space="preserve">
Indirect taxes on total activity production value.</t>
        </r>
      </text>
    </comment>
    <comment ref="R5" authorId="0" shapeId="0" xr:uid="{4547F87B-5CA5-4FD6-BD57-4877F48D860F}">
      <text>
        <r>
          <rPr>
            <b/>
            <sz val="9"/>
            <color indexed="81"/>
            <rFont val="Tahoma"/>
            <family val="2"/>
          </rPr>
          <t xml:space="preserve">TVA </t>
        </r>
        <r>
          <rPr>
            <sz val="9"/>
            <color indexed="81"/>
            <rFont val="Tahoma"/>
            <family val="2"/>
          </rPr>
          <t xml:space="preserve">
Indirect taxes on activity value-added.</t>
        </r>
      </text>
    </comment>
    <comment ref="S5" authorId="0" shapeId="0" xr:uid="{CF06B978-D5B3-4782-A7E1-3832EC76352C}">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C57487F5-1A53-4ACB-878B-EBEAF1D73798}">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706E7C92-E4B2-4C4B-9B7C-BBD2A0BD3944}">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682947C1-FF0E-4379-8FB9-B1DB607BB3C4}">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F388B2B7-1DEF-44EE-9B83-E1AB99F746DA}">
      <text>
        <r>
          <rPr>
            <b/>
            <sz val="9"/>
            <color indexed="81"/>
            <rFont val="Tahoma"/>
            <family val="2"/>
          </rPr>
          <t>WF</t>
        </r>
        <r>
          <rPr>
            <sz val="9"/>
            <color indexed="81"/>
            <rFont val="Tahoma"/>
            <family val="2"/>
          </rPr>
          <t xml:space="preserve">
Economywide wage rate.</t>
        </r>
      </text>
    </comment>
    <comment ref="AA5" authorId="0" shapeId="0" xr:uid="{98DE60BD-4209-47C0-9FDB-907BCC578E04}">
      <text>
        <r>
          <rPr>
            <b/>
            <sz val="9"/>
            <color indexed="81"/>
            <rFont val="Tahoma"/>
            <family val="2"/>
          </rPr>
          <t xml:space="preserve">QFS
</t>
        </r>
        <r>
          <rPr>
            <sz val="9"/>
            <color indexed="81"/>
            <rFont val="Tahoma"/>
            <family val="2"/>
          </rPr>
          <t>Total factor supply quantity.</t>
        </r>
      </text>
    </comment>
    <comment ref="AB5" authorId="0" shapeId="0" xr:uid="{80E64022-B886-4666-9E5B-E864B1D6FEF8}">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40F550A1-B073-4D2C-9484-1AD16C76356B}">
      <text>
        <r>
          <rPr>
            <b/>
            <sz val="9"/>
            <color indexed="81"/>
            <rFont val="Tahoma"/>
            <family val="2"/>
          </rPr>
          <t>TF</t>
        </r>
        <r>
          <rPr>
            <sz val="9"/>
            <color indexed="81"/>
            <rFont val="Tahoma"/>
            <family val="2"/>
          </rPr>
          <t xml:space="preserve">
Direct tax on total factor earnings.</t>
        </r>
      </text>
    </comment>
    <comment ref="AD5" authorId="0" shapeId="0" xr:uid="{6BA1D9F9-D00F-4EC1-805A-E5BF307DBA78}">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EE84C4B8-871A-4FCB-A3C4-86E80D7D4A89}">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C4FE52BF-2571-4B46-83A1-8D0338DA75B0}">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AEEA6BA9-C7A1-4C89-92CC-76CDD1A961D5}">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879F1F43-257C-4212-A4F1-60C3F7FF21D6}">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9FBAE896-F3A8-4A88-9A18-6A32080A5883}">
      <text>
        <r>
          <rPr>
            <b/>
            <sz val="9"/>
            <color indexed="81"/>
            <rFont val="Tahoma"/>
            <family val="2"/>
          </rPr>
          <t xml:space="preserve">HPOP
</t>
        </r>
        <r>
          <rPr>
            <sz val="9"/>
            <color indexed="81"/>
            <rFont val="Tahoma"/>
            <family val="2"/>
          </rPr>
          <t>Household population.</t>
        </r>
      </text>
    </comment>
    <comment ref="AM5" authorId="0" shapeId="0" xr:uid="{C0F53CA9-9C16-439F-A37E-0DCAFF2DCF07}">
      <text>
        <r>
          <rPr>
            <b/>
            <sz val="9"/>
            <color indexed="81"/>
            <rFont val="Tahoma"/>
            <family val="2"/>
          </rPr>
          <t xml:space="preserve">MPS
</t>
        </r>
        <r>
          <rPr>
            <sz val="9"/>
            <color indexed="81"/>
            <rFont val="Tahoma"/>
            <family val="2"/>
          </rPr>
          <t>Marginal propensity to save (households and enterprises).</t>
        </r>
      </text>
    </comment>
    <comment ref="AN5" authorId="0" shapeId="0" xr:uid="{B8402688-DB38-46F2-8701-4D8B87F8B523}">
      <text>
        <r>
          <rPr>
            <b/>
            <sz val="9"/>
            <color indexed="81"/>
            <rFont val="Tahoma"/>
            <family val="2"/>
          </rPr>
          <t xml:space="preserve">TINS
</t>
        </r>
        <r>
          <rPr>
            <sz val="9"/>
            <color indexed="81"/>
            <rFont val="Tahoma"/>
            <family val="2"/>
          </rPr>
          <t>Institution direct tax rate (households and enterprises).</t>
        </r>
      </text>
    </comment>
    <comment ref="AO5" authorId="0" shapeId="0" xr:uid="{661DD527-D375-4199-BC64-BC8B69266059}">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FEDE7ED3-8897-4A76-85FF-8469E75FE3AB}">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0B50DF34-C326-438E-A517-835470F06F78}">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7DB06E8B-9488-404D-A8BE-9C0E13F330DA}">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27074D25-835A-47A1-8E41-28CE21AD5946}">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FD48297B-22A4-42AD-A708-25BCE9753E19}">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AD5C844F-B6FC-4869-B7F9-3F7A4296206E}">
      <text>
        <r>
          <rPr>
            <b/>
            <sz val="9"/>
            <color indexed="81"/>
            <rFont val="Tahoma"/>
            <family val="2"/>
          </rPr>
          <t xml:space="preserve">EXR
</t>
        </r>
        <r>
          <rPr>
            <sz val="9"/>
            <color indexed="81"/>
            <rFont val="Tahoma"/>
            <family val="2"/>
          </rPr>
          <t>Exchange rate.</t>
        </r>
      </text>
    </comment>
    <comment ref="AW8" authorId="0" shapeId="0" xr:uid="{BD3ACC2E-3E70-4626-B606-831C2BAFC96D}">
      <text>
        <r>
          <rPr>
            <b/>
            <sz val="9"/>
            <color indexed="81"/>
            <rFont val="Tahoma"/>
            <family val="2"/>
          </rPr>
          <t xml:space="preserve">FSAV
</t>
        </r>
        <r>
          <rPr>
            <sz val="9"/>
            <color indexed="81"/>
            <rFont val="Tahoma"/>
            <family val="2"/>
          </rPr>
          <t>Foreign savings.</t>
        </r>
      </text>
    </comment>
    <comment ref="AW9" authorId="0" shapeId="0" xr:uid="{3816FEE9-0400-4FA4-BDE0-CF078FBBCE6F}">
      <text>
        <r>
          <rPr>
            <b/>
            <sz val="9"/>
            <color indexed="81"/>
            <rFont val="Tahoma"/>
            <family val="2"/>
          </rPr>
          <t xml:space="preserve">IADJ
</t>
        </r>
        <r>
          <rPr>
            <sz val="9"/>
            <color indexed="81"/>
            <rFont val="Tahoma"/>
            <family val="2"/>
          </rPr>
          <t xml:space="preserve">Gross fixed capital formation.
</t>
        </r>
      </text>
    </comment>
    <comment ref="AW10" authorId="0" shapeId="0" xr:uid="{2748C3CF-1B89-422D-926F-AB64E519B09F}">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06464D42-4824-4F95-9AA5-0501CEB53724}">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48C8F2C7-1E83-442B-A5D9-2A7D2C9ADCF6}">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1BFC92E9-F9E6-4866-9555-DFC752B37345}">
      <text>
        <r>
          <rPr>
            <b/>
            <sz val="9"/>
            <color indexed="81"/>
            <rFont val="Tahoma"/>
            <family val="2"/>
          </rPr>
          <t xml:space="preserve">GADJ
</t>
        </r>
        <r>
          <rPr>
            <sz val="9"/>
            <color indexed="81"/>
            <rFont val="Tahoma"/>
            <family val="2"/>
          </rPr>
          <t>Government consumption spending.</t>
        </r>
      </text>
    </comment>
    <comment ref="AW14" authorId="0" shapeId="0" xr:uid="{E65A498C-637B-4527-9B17-208DB58259F9}">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F191D7FD-4313-49B3-A543-FA30E2C4D336}">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EA156FAD-6FC3-449E-954A-A36E5C76FD23}">
      <text>
        <r>
          <rPr>
            <b/>
            <sz val="9"/>
            <color indexed="81"/>
            <rFont val="Tahoma"/>
            <family val="2"/>
          </rPr>
          <t xml:space="preserve">trnsi
</t>
        </r>
        <r>
          <rPr>
            <sz val="9"/>
            <color indexed="81"/>
            <rFont val="Tahoma"/>
            <family val="2"/>
          </rPr>
          <t>Rest of the world transfers to government</t>
        </r>
      </text>
    </comment>
    <comment ref="AW17" authorId="0" shapeId="0" xr:uid="{E5B4D894-D975-4670-9066-F9494C2134BC}">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1E121060-CF6A-419F-AC2E-5071C537D5EA}">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4083D2BB-6D55-4A7D-A73A-59C836E2F181}">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AC8D7493-D23D-4E3F-97F1-825FDC18DB3A}">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2C632649-3CE9-4AFF-A3B2-33AB65C4A798}">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FBEF42D4-8421-4BAA-8BEC-311225D673D1}">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8679C37F-8200-42E6-9D4B-DC59DEBCE1C3}">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159D8B0C-A548-4249-808D-9E8A7E5B1939}">
      <text>
        <r>
          <rPr>
            <b/>
            <sz val="9"/>
            <color indexed="81"/>
            <rFont val="Tahoma"/>
            <family val="2"/>
          </rPr>
          <t>alphava</t>
        </r>
        <r>
          <rPr>
            <sz val="9"/>
            <color indexed="81"/>
            <rFont val="Tahoma"/>
            <family val="2"/>
          </rPr>
          <t xml:space="preserve">
Total factor productivity.
</t>
        </r>
      </text>
    </comment>
    <comment ref="AY4" authorId="0" shapeId="0" xr:uid="{D652EB80-6E2F-44DA-BE62-6A6137AA70A1}">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E47E2F45-4C98-4043-B261-2ADF275FF8A0}">
      <text>
        <r>
          <rPr>
            <b/>
            <sz val="9"/>
            <color indexed="81"/>
            <rFont val="Tahoma"/>
            <family val="2"/>
          </rPr>
          <t>Type of shock</t>
        </r>
        <r>
          <rPr>
            <sz val="9"/>
            <color indexed="81"/>
            <rFont val="Tahoma"/>
            <family val="2"/>
          </rPr>
          <t xml:space="preserve">
  1 = multiplicative
  2 = additive</t>
        </r>
      </text>
    </comment>
    <comment ref="D5" authorId="0" shapeId="0" xr:uid="{904771D1-0666-4290-8FA0-BF8E86230449}">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EF0A64AE-D0E3-45FF-BB9D-139C55D0FFD9}">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B4415A3A-CFEA-48C7-AD88-E1F1175CE7DC}">
      <text>
        <r>
          <rPr>
            <b/>
            <sz val="9"/>
            <color indexed="81"/>
            <rFont val="Tahoma"/>
            <family val="2"/>
          </rPr>
          <t>TE</t>
        </r>
        <r>
          <rPr>
            <sz val="9"/>
            <color indexed="81"/>
            <rFont val="Tahoma"/>
            <family val="2"/>
          </rPr>
          <t xml:space="preserve">
Export tax rates</t>
        </r>
      </text>
    </comment>
    <comment ref="G5" authorId="0" shapeId="0" xr:uid="{BC77164E-1029-4B5F-B687-918AF9B155E0}">
      <text>
        <r>
          <rPr>
            <b/>
            <sz val="9"/>
            <color indexed="81"/>
            <rFont val="Tahoma"/>
            <family val="2"/>
          </rPr>
          <t>TM</t>
        </r>
        <r>
          <rPr>
            <sz val="9"/>
            <color indexed="81"/>
            <rFont val="Tahoma"/>
            <family val="2"/>
          </rPr>
          <t xml:space="preserve">
Import tariff rates</t>
        </r>
      </text>
    </comment>
    <comment ref="H5" authorId="0" shapeId="0" xr:uid="{6AA78AE0-6EF2-44DF-B395-992413B0B9BD}">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08B1CDEA-45C3-41FA-8198-DE794507DA23}">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8495B309-FDC7-417F-9767-F6F19614717A}">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86AFFBF9-5285-4491-AA39-68025C55D16C}">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28A77140-A5B2-4EC6-B0FB-A912F2059174}">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161FB2E0-FB1D-421C-8189-0FB0FCBA6A93}">
      <text>
        <r>
          <rPr>
            <b/>
            <sz val="9"/>
            <color indexed="81"/>
            <rFont val="Tahoma"/>
            <family val="2"/>
          </rPr>
          <t>TA</t>
        </r>
        <r>
          <rPr>
            <sz val="9"/>
            <color indexed="81"/>
            <rFont val="Tahoma"/>
            <family val="2"/>
          </rPr>
          <t xml:space="preserve">
Indirect taxes on total activity production value.</t>
        </r>
      </text>
    </comment>
    <comment ref="R5" authorId="0" shapeId="0" xr:uid="{C77EE206-1A73-4B3A-8FA5-C6FFA6CF0423}">
      <text>
        <r>
          <rPr>
            <b/>
            <sz val="9"/>
            <color indexed="81"/>
            <rFont val="Tahoma"/>
            <family val="2"/>
          </rPr>
          <t xml:space="preserve">TVA </t>
        </r>
        <r>
          <rPr>
            <sz val="9"/>
            <color indexed="81"/>
            <rFont val="Tahoma"/>
            <family val="2"/>
          </rPr>
          <t xml:space="preserve">
Indirect taxes on activity value-added.</t>
        </r>
      </text>
    </comment>
    <comment ref="S5" authorId="0" shapeId="0" xr:uid="{8D90E36E-1BCF-4D70-9D06-8118A66FCB1C}">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242CDA0D-F16F-4022-B20B-B688D4FA0CB8}">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E4C389E6-CE5E-469A-8039-356451EE4E59}">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A91A54E4-C8C9-4ACE-BE10-DCDCB33F7A1F}">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8121F3F4-1147-48AA-9269-A44407B0F1CF}">
      <text>
        <r>
          <rPr>
            <b/>
            <sz val="9"/>
            <color indexed="81"/>
            <rFont val="Tahoma"/>
            <family val="2"/>
          </rPr>
          <t>WF</t>
        </r>
        <r>
          <rPr>
            <sz val="9"/>
            <color indexed="81"/>
            <rFont val="Tahoma"/>
            <family val="2"/>
          </rPr>
          <t xml:space="preserve">
Economywide wage rate.</t>
        </r>
      </text>
    </comment>
    <comment ref="AA5" authorId="0" shapeId="0" xr:uid="{D4F709F7-D89D-4367-B779-28BC899B9F2D}">
      <text>
        <r>
          <rPr>
            <b/>
            <sz val="9"/>
            <color indexed="81"/>
            <rFont val="Tahoma"/>
            <family val="2"/>
          </rPr>
          <t xml:space="preserve">QFS
</t>
        </r>
        <r>
          <rPr>
            <sz val="9"/>
            <color indexed="81"/>
            <rFont val="Tahoma"/>
            <family val="2"/>
          </rPr>
          <t>Total factor supply quantity.</t>
        </r>
      </text>
    </comment>
    <comment ref="AB5" authorId="0" shapeId="0" xr:uid="{B690B76F-4051-4B79-AAD5-D49EB08489C7}">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0BDF4F4-076B-4063-94C0-2D4447166898}">
      <text>
        <r>
          <rPr>
            <b/>
            <sz val="9"/>
            <color indexed="81"/>
            <rFont val="Tahoma"/>
            <family val="2"/>
          </rPr>
          <t>TF</t>
        </r>
        <r>
          <rPr>
            <sz val="9"/>
            <color indexed="81"/>
            <rFont val="Tahoma"/>
            <family val="2"/>
          </rPr>
          <t xml:space="preserve">
Direct tax on total factor earnings.</t>
        </r>
      </text>
    </comment>
    <comment ref="AD5" authorId="0" shapeId="0" xr:uid="{D59FC5CE-952B-4108-A0C5-838D614CEA07}">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CE3C00EF-7B68-41EE-8184-1546E3476A45}">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FFEB304E-318E-4065-A1B7-A26A613166BA}">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B8829C7A-EB22-479F-BEDC-B22EE6EC6871}">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F162CB2-7DD1-421E-A4F2-7BF72FE3B29B}">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3308B028-12FE-4171-A5C4-040801599511}">
      <text>
        <r>
          <rPr>
            <b/>
            <sz val="9"/>
            <color indexed="81"/>
            <rFont val="Tahoma"/>
            <family val="2"/>
          </rPr>
          <t xml:space="preserve">HPOP
</t>
        </r>
        <r>
          <rPr>
            <sz val="9"/>
            <color indexed="81"/>
            <rFont val="Tahoma"/>
            <family val="2"/>
          </rPr>
          <t>Household population.</t>
        </r>
      </text>
    </comment>
    <comment ref="AM5" authorId="0" shapeId="0" xr:uid="{EA081178-9EAF-47F0-939E-6074C8D13C74}">
      <text>
        <r>
          <rPr>
            <b/>
            <sz val="9"/>
            <color indexed="81"/>
            <rFont val="Tahoma"/>
            <family val="2"/>
          </rPr>
          <t xml:space="preserve">MPS
</t>
        </r>
        <r>
          <rPr>
            <sz val="9"/>
            <color indexed="81"/>
            <rFont val="Tahoma"/>
            <family val="2"/>
          </rPr>
          <t>Marginal propensity to save (households and enterprises).</t>
        </r>
      </text>
    </comment>
    <comment ref="AN5" authorId="0" shapeId="0" xr:uid="{4AA4735E-9572-43FC-B958-5E3EE043FE84}">
      <text>
        <r>
          <rPr>
            <b/>
            <sz val="9"/>
            <color indexed="81"/>
            <rFont val="Tahoma"/>
            <family val="2"/>
          </rPr>
          <t xml:space="preserve">TINS
</t>
        </r>
        <r>
          <rPr>
            <sz val="9"/>
            <color indexed="81"/>
            <rFont val="Tahoma"/>
            <family val="2"/>
          </rPr>
          <t>Institution direct tax rate (households and enterprises).</t>
        </r>
      </text>
    </comment>
    <comment ref="AO5" authorId="0" shapeId="0" xr:uid="{85DA6C83-9D7D-4FE4-A047-B87097E15820}">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7CACEB88-93C2-4033-BC0C-6B1154B13250}">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3B66C398-8D41-4B2A-A762-BE3F48FB0800}">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0FE6A40D-E338-4DF2-85F3-B7D3E9DA929F}">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95AA5312-D482-4B4C-89A9-A961B73ABCEE}">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9D75B0EE-4443-4738-A514-2D41722F30A4}">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31191C7-2425-430F-B9B2-8A112948C54D}">
      <text>
        <r>
          <rPr>
            <b/>
            <sz val="9"/>
            <color indexed="81"/>
            <rFont val="Tahoma"/>
            <family val="2"/>
          </rPr>
          <t xml:space="preserve">EXR
</t>
        </r>
        <r>
          <rPr>
            <sz val="9"/>
            <color indexed="81"/>
            <rFont val="Tahoma"/>
            <family val="2"/>
          </rPr>
          <t>Exchange rate.</t>
        </r>
      </text>
    </comment>
    <comment ref="AW8" authorId="0" shapeId="0" xr:uid="{377A62BD-9634-494F-A538-2F0D4311D263}">
      <text>
        <r>
          <rPr>
            <b/>
            <sz val="9"/>
            <color indexed="81"/>
            <rFont val="Tahoma"/>
            <family val="2"/>
          </rPr>
          <t xml:space="preserve">FSAV
</t>
        </r>
        <r>
          <rPr>
            <sz val="9"/>
            <color indexed="81"/>
            <rFont val="Tahoma"/>
            <family val="2"/>
          </rPr>
          <t>Foreign savings.</t>
        </r>
      </text>
    </comment>
    <comment ref="AW9" authorId="0" shapeId="0" xr:uid="{2C0E1E58-ED10-4DE1-B87C-AA0E7C66AB93}">
      <text>
        <r>
          <rPr>
            <b/>
            <sz val="9"/>
            <color indexed="81"/>
            <rFont val="Tahoma"/>
            <family val="2"/>
          </rPr>
          <t xml:space="preserve">IADJ
</t>
        </r>
        <r>
          <rPr>
            <sz val="9"/>
            <color indexed="81"/>
            <rFont val="Tahoma"/>
            <family val="2"/>
          </rPr>
          <t xml:space="preserve">Gross fixed capital formation.
</t>
        </r>
      </text>
    </comment>
    <comment ref="AW10" authorId="0" shapeId="0" xr:uid="{FC9CB0AA-BB6C-498F-83FF-1B82F84BD20D}">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F64F3309-C985-402D-B23C-02EEA1F3BAEB}">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CEC0D5EC-6682-464B-A1EB-72D90C798790}">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2FD3CC5-034F-40B7-92AE-F5C9C44BCA85}">
      <text>
        <r>
          <rPr>
            <b/>
            <sz val="9"/>
            <color indexed="81"/>
            <rFont val="Tahoma"/>
            <family val="2"/>
          </rPr>
          <t xml:space="preserve">GADJ
</t>
        </r>
        <r>
          <rPr>
            <sz val="9"/>
            <color indexed="81"/>
            <rFont val="Tahoma"/>
            <family val="2"/>
          </rPr>
          <t>Government consumption spending.</t>
        </r>
      </text>
    </comment>
    <comment ref="AW14" authorId="0" shapeId="0" xr:uid="{97CB7C0D-644C-496C-B088-D64D9F943BF5}">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94001D34-3813-4AA7-AA73-A2F6EDBAC9C9}">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8DB9EE98-BF30-42A4-A6E5-D46C9BDFE170}">
      <text>
        <r>
          <rPr>
            <b/>
            <sz val="9"/>
            <color indexed="81"/>
            <rFont val="Tahoma"/>
            <family val="2"/>
          </rPr>
          <t xml:space="preserve">trnsi
</t>
        </r>
        <r>
          <rPr>
            <sz val="9"/>
            <color indexed="81"/>
            <rFont val="Tahoma"/>
            <family val="2"/>
          </rPr>
          <t>Rest of the world transfers to government</t>
        </r>
      </text>
    </comment>
    <comment ref="AW17" authorId="0" shapeId="0" xr:uid="{6328E92E-EC32-4C4E-A9A8-8CEDFF715B71}">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34A70CE4-9F58-40DB-9BCB-442277070D4F}">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68C694FD-F3ED-4E10-9CB3-65CB2EDA88B5}">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37840E65-6D7D-48C5-8E58-81CBEB74274F}">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847DA345-88BB-48AF-A7B6-2E856E795F59}">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153F2CDC-FFED-4905-B7A3-F7B93A05C853}">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9C828BD4-0A6F-453C-B032-1CDD1525C3A1}">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2E6E38C6-CFC7-4FF6-9AF8-284C35A94AC1}">
      <text>
        <r>
          <rPr>
            <b/>
            <sz val="9"/>
            <color indexed="81"/>
            <rFont val="Tahoma"/>
            <family val="2"/>
          </rPr>
          <t>alphava</t>
        </r>
        <r>
          <rPr>
            <sz val="9"/>
            <color indexed="81"/>
            <rFont val="Tahoma"/>
            <family val="2"/>
          </rPr>
          <t xml:space="preserve">
Total factor productivity.
</t>
        </r>
      </text>
    </comment>
    <comment ref="AY4" authorId="0" shapeId="0" xr:uid="{D0458E5B-FBCD-4A2B-8FBA-77A9BDAE5093}">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D126EB67-A86D-4BDA-9DB3-ACC6CAE68150}">
      <text>
        <r>
          <rPr>
            <b/>
            <sz val="9"/>
            <color indexed="81"/>
            <rFont val="Tahoma"/>
            <family val="2"/>
          </rPr>
          <t>Type of shock</t>
        </r>
        <r>
          <rPr>
            <sz val="9"/>
            <color indexed="81"/>
            <rFont val="Tahoma"/>
            <family val="2"/>
          </rPr>
          <t xml:space="preserve">
  1 = multiplicative
  2 = additive</t>
        </r>
      </text>
    </comment>
    <comment ref="D5" authorId="0" shapeId="0" xr:uid="{AD94976E-989F-4EAC-B85D-BD28E793FE8A}">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C71FB9D8-6935-4153-96D0-0DF1015AAAA6}">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923634BD-84C8-4D6D-9B11-279C72628B59}">
      <text>
        <r>
          <rPr>
            <b/>
            <sz val="9"/>
            <color indexed="81"/>
            <rFont val="Tahoma"/>
            <family val="2"/>
          </rPr>
          <t>TE</t>
        </r>
        <r>
          <rPr>
            <sz val="9"/>
            <color indexed="81"/>
            <rFont val="Tahoma"/>
            <family val="2"/>
          </rPr>
          <t xml:space="preserve">
Export tax rates</t>
        </r>
      </text>
    </comment>
    <comment ref="G5" authorId="0" shapeId="0" xr:uid="{0F801F59-F976-44F2-A00B-E68222F232F1}">
      <text>
        <r>
          <rPr>
            <b/>
            <sz val="9"/>
            <color indexed="81"/>
            <rFont val="Tahoma"/>
            <family val="2"/>
          </rPr>
          <t>TM</t>
        </r>
        <r>
          <rPr>
            <sz val="9"/>
            <color indexed="81"/>
            <rFont val="Tahoma"/>
            <family val="2"/>
          </rPr>
          <t xml:space="preserve">
Import tariff rates</t>
        </r>
      </text>
    </comment>
    <comment ref="H5" authorId="0" shapeId="0" xr:uid="{933920F6-9D25-4193-A084-37466ADD0909}">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E147E162-2504-486A-A984-CFC1D54660F9}">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68E406DE-8BB8-4A2F-A3C6-8EB29BD3198F}">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20DCC2EA-CF42-46EE-9538-2709F768CEC2}">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C565138-2214-4AC4-8BC1-15A04CCD15EA}">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2A6C3A0C-60C2-4C1C-884B-6C048C5DA8F0}">
      <text>
        <r>
          <rPr>
            <b/>
            <sz val="9"/>
            <color indexed="81"/>
            <rFont val="Tahoma"/>
            <family val="2"/>
          </rPr>
          <t>TA</t>
        </r>
        <r>
          <rPr>
            <sz val="9"/>
            <color indexed="81"/>
            <rFont val="Tahoma"/>
            <family val="2"/>
          </rPr>
          <t xml:space="preserve">
Indirect taxes on total activity production value.</t>
        </r>
      </text>
    </comment>
    <comment ref="R5" authorId="0" shapeId="0" xr:uid="{5442DEE3-9835-4C59-BD1D-94938AFD261A}">
      <text>
        <r>
          <rPr>
            <b/>
            <sz val="9"/>
            <color indexed="81"/>
            <rFont val="Tahoma"/>
            <family val="2"/>
          </rPr>
          <t xml:space="preserve">TVA </t>
        </r>
        <r>
          <rPr>
            <sz val="9"/>
            <color indexed="81"/>
            <rFont val="Tahoma"/>
            <family val="2"/>
          </rPr>
          <t xml:space="preserve">
Indirect taxes on activity value-added.</t>
        </r>
      </text>
    </comment>
    <comment ref="S5" authorId="0" shapeId="0" xr:uid="{66329E7D-78DA-4C48-B052-6F165C81755E}">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79B3E29E-C6D0-4C77-8429-52431636A7F1}">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B1A20E99-949F-47BF-924F-6BA99780616A}">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BF6CC40D-11F7-4F1C-A67A-0C1A7E12B740}">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A847E500-6B4A-4B58-812B-A56FEA4F9AC9}">
      <text>
        <r>
          <rPr>
            <b/>
            <sz val="9"/>
            <color indexed="81"/>
            <rFont val="Tahoma"/>
            <family val="2"/>
          </rPr>
          <t>WF</t>
        </r>
        <r>
          <rPr>
            <sz val="9"/>
            <color indexed="81"/>
            <rFont val="Tahoma"/>
            <family val="2"/>
          </rPr>
          <t xml:space="preserve">
Economywide wage rate.</t>
        </r>
      </text>
    </comment>
    <comment ref="AA5" authorId="0" shapeId="0" xr:uid="{FC93109E-0C34-49BC-AA3D-BF50015DAFBB}">
      <text>
        <r>
          <rPr>
            <b/>
            <sz val="9"/>
            <color indexed="81"/>
            <rFont val="Tahoma"/>
            <family val="2"/>
          </rPr>
          <t xml:space="preserve">QFS
</t>
        </r>
        <r>
          <rPr>
            <sz val="9"/>
            <color indexed="81"/>
            <rFont val="Tahoma"/>
            <family val="2"/>
          </rPr>
          <t>Total factor supply quantity.</t>
        </r>
      </text>
    </comment>
    <comment ref="AB5" authorId="0" shapeId="0" xr:uid="{4E62B1B5-C49B-4E05-B79C-64385C633F4C}">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4DDD77B9-0FAC-422C-A692-60E05346BD44}">
      <text>
        <r>
          <rPr>
            <b/>
            <sz val="9"/>
            <color indexed="81"/>
            <rFont val="Tahoma"/>
            <family val="2"/>
          </rPr>
          <t>TF</t>
        </r>
        <r>
          <rPr>
            <sz val="9"/>
            <color indexed="81"/>
            <rFont val="Tahoma"/>
            <family val="2"/>
          </rPr>
          <t xml:space="preserve">
Direct tax on total factor earnings.</t>
        </r>
      </text>
    </comment>
    <comment ref="AD5" authorId="0" shapeId="0" xr:uid="{2824A159-C227-47B4-AD44-3CE25B08A965}">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29968352-6EF4-4183-9F60-2E07BED8CCAF}">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6699C29C-5F80-412B-85A6-98716DBC8AF1}">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1904C035-A13F-4BB8-845A-E4F9C1017B2E}">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2EA7335-445E-4A20-B2A8-5AA084AD53DD}">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78FF0302-FB6D-48B9-B7B0-903B831C5615}">
      <text>
        <r>
          <rPr>
            <b/>
            <sz val="9"/>
            <color indexed="81"/>
            <rFont val="Tahoma"/>
            <family val="2"/>
          </rPr>
          <t xml:space="preserve">HPOP
</t>
        </r>
        <r>
          <rPr>
            <sz val="9"/>
            <color indexed="81"/>
            <rFont val="Tahoma"/>
            <family val="2"/>
          </rPr>
          <t>Household population.</t>
        </r>
      </text>
    </comment>
    <comment ref="AM5" authorId="0" shapeId="0" xr:uid="{7E8E0D1E-EA39-4B03-AA2E-456ADBE9A5E9}">
      <text>
        <r>
          <rPr>
            <b/>
            <sz val="9"/>
            <color indexed="81"/>
            <rFont val="Tahoma"/>
            <family val="2"/>
          </rPr>
          <t xml:space="preserve">MPS
</t>
        </r>
        <r>
          <rPr>
            <sz val="9"/>
            <color indexed="81"/>
            <rFont val="Tahoma"/>
            <family val="2"/>
          </rPr>
          <t>Marginal propensity to save (households and enterprises).</t>
        </r>
      </text>
    </comment>
    <comment ref="AN5" authorId="0" shapeId="0" xr:uid="{588309DE-3779-40CC-B3A4-B59D613F8101}">
      <text>
        <r>
          <rPr>
            <b/>
            <sz val="9"/>
            <color indexed="81"/>
            <rFont val="Tahoma"/>
            <family val="2"/>
          </rPr>
          <t xml:space="preserve">TINS
</t>
        </r>
        <r>
          <rPr>
            <sz val="9"/>
            <color indexed="81"/>
            <rFont val="Tahoma"/>
            <family val="2"/>
          </rPr>
          <t>Institution direct tax rate (households and enterprises).</t>
        </r>
      </text>
    </comment>
    <comment ref="AO5" authorId="0" shapeId="0" xr:uid="{3AD78649-2155-4C4A-9280-31E04D3F6ACC}">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890BB447-FF6B-479B-B58B-DEA57511A491}">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A33ACBFD-9CDD-4983-BC6E-9D2A1E3F1318}">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71C9E9B8-94CC-4AC8-AB2B-8E4BDA582CEB}">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2C1E2316-9E90-4F34-BF64-218DFECC7551}">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C0E132D4-7EB9-4C91-BA96-FA885B877001}">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AFC38925-82EA-4A84-AE76-04E81413270B}">
      <text>
        <r>
          <rPr>
            <b/>
            <sz val="9"/>
            <color indexed="81"/>
            <rFont val="Tahoma"/>
            <family val="2"/>
          </rPr>
          <t xml:space="preserve">EXR
</t>
        </r>
        <r>
          <rPr>
            <sz val="9"/>
            <color indexed="81"/>
            <rFont val="Tahoma"/>
            <family val="2"/>
          </rPr>
          <t>Exchange rate.</t>
        </r>
      </text>
    </comment>
    <comment ref="AW8" authorId="0" shapeId="0" xr:uid="{0F2A502E-C221-4822-989C-ECD69574F152}">
      <text>
        <r>
          <rPr>
            <b/>
            <sz val="9"/>
            <color indexed="81"/>
            <rFont val="Tahoma"/>
            <family val="2"/>
          </rPr>
          <t xml:space="preserve">FSAV
</t>
        </r>
        <r>
          <rPr>
            <sz val="9"/>
            <color indexed="81"/>
            <rFont val="Tahoma"/>
            <family val="2"/>
          </rPr>
          <t>Foreign savings.</t>
        </r>
      </text>
    </comment>
    <comment ref="AW9" authorId="0" shapeId="0" xr:uid="{15616B65-09AB-49AE-AA23-EA7F0FCF190F}">
      <text>
        <r>
          <rPr>
            <b/>
            <sz val="9"/>
            <color indexed="81"/>
            <rFont val="Tahoma"/>
            <family val="2"/>
          </rPr>
          <t xml:space="preserve">IADJ
</t>
        </r>
        <r>
          <rPr>
            <sz val="9"/>
            <color indexed="81"/>
            <rFont val="Tahoma"/>
            <family val="2"/>
          </rPr>
          <t xml:space="preserve">Gross fixed capital formation.
</t>
        </r>
      </text>
    </comment>
    <comment ref="AW10" authorId="0" shapeId="0" xr:uid="{F27A3696-A0CF-4449-AACD-683EAF9B66DA}">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4B3B778D-71AB-4EF6-9727-AC839EE2C0E2}">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8A173AEF-DC18-47A0-9460-4D90463DC00F}">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0E7AFED3-2C3D-4DB6-8444-6AAF0BC9BF93}">
      <text>
        <r>
          <rPr>
            <b/>
            <sz val="9"/>
            <color indexed="81"/>
            <rFont val="Tahoma"/>
            <family val="2"/>
          </rPr>
          <t xml:space="preserve">GADJ
</t>
        </r>
        <r>
          <rPr>
            <sz val="9"/>
            <color indexed="81"/>
            <rFont val="Tahoma"/>
            <family val="2"/>
          </rPr>
          <t>Government consumption spending.</t>
        </r>
      </text>
    </comment>
    <comment ref="AW14" authorId="0" shapeId="0" xr:uid="{3DD74340-D241-4F08-9953-5E9790DCDA94}">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401569DE-5598-4BEA-8C16-1C105ED5912A}">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FCBDFC63-B91A-40D8-B3D9-EEB4393504DC}">
      <text>
        <r>
          <rPr>
            <b/>
            <sz val="9"/>
            <color indexed="81"/>
            <rFont val="Tahoma"/>
            <family val="2"/>
          </rPr>
          <t xml:space="preserve">trnsi
</t>
        </r>
        <r>
          <rPr>
            <sz val="9"/>
            <color indexed="81"/>
            <rFont val="Tahoma"/>
            <family val="2"/>
          </rPr>
          <t>Rest of the world transfers to government</t>
        </r>
      </text>
    </comment>
    <comment ref="AW17" authorId="0" shapeId="0" xr:uid="{3938B9E7-3412-4255-9F16-4345F816430F}">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06156D7F-45E8-4B5D-9BB4-12EF322B2297}">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D08F6FDB-8686-46E0-84F6-7DE034CEA185}">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4BDA073F-8E87-4C94-B088-7E64CD861342}">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BFA653EA-92AB-4AE3-9D59-6661E63383D2}">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F6FB83EE-D5C6-4FF3-B902-722B0813C465}">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46CDA1D6-FF21-4131-AC52-A728AC01499E}">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3C02816D-5877-421F-961F-8889E70DDB8B}">
      <text>
        <r>
          <rPr>
            <b/>
            <sz val="9"/>
            <color indexed="81"/>
            <rFont val="Tahoma"/>
            <family val="2"/>
          </rPr>
          <t>alphava</t>
        </r>
        <r>
          <rPr>
            <sz val="9"/>
            <color indexed="81"/>
            <rFont val="Tahoma"/>
            <family val="2"/>
          </rPr>
          <t xml:space="preserve">
Total factor productivity.
</t>
        </r>
      </text>
    </comment>
    <comment ref="AY4" authorId="0" shapeId="0" xr:uid="{11D12A19-EE0F-4980-9111-F21E4F846AFE}">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78536219-0F34-450C-AC53-2EF61EB4A34B}">
      <text>
        <r>
          <rPr>
            <b/>
            <sz val="9"/>
            <color indexed="81"/>
            <rFont val="Tahoma"/>
            <family val="2"/>
          </rPr>
          <t>Type of shock</t>
        </r>
        <r>
          <rPr>
            <sz val="9"/>
            <color indexed="81"/>
            <rFont val="Tahoma"/>
            <family val="2"/>
          </rPr>
          <t xml:space="preserve">
  1 = multiplicative
  2 = additive</t>
        </r>
      </text>
    </comment>
    <comment ref="D5" authorId="0" shapeId="0" xr:uid="{85647070-63C7-41BD-B0DA-E053B12375A1}">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7498E734-6C9C-448F-A4EA-C0647DA0EE91}">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136836C6-90C4-40E9-B45E-62704D350B36}">
      <text>
        <r>
          <rPr>
            <b/>
            <sz val="9"/>
            <color indexed="81"/>
            <rFont val="Tahoma"/>
            <family val="2"/>
          </rPr>
          <t>TE</t>
        </r>
        <r>
          <rPr>
            <sz val="9"/>
            <color indexed="81"/>
            <rFont val="Tahoma"/>
            <family val="2"/>
          </rPr>
          <t xml:space="preserve">
Export tax rates</t>
        </r>
      </text>
    </comment>
    <comment ref="G5" authorId="0" shapeId="0" xr:uid="{6B7EEB7E-7F11-4BBC-A977-EBE76467F6E2}">
      <text>
        <r>
          <rPr>
            <b/>
            <sz val="9"/>
            <color indexed="81"/>
            <rFont val="Tahoma"/>
            <family val="2"/>
          </rPr>
          <t>TM</t>
        </r>
        <r>
          <rPr>
            <sz val="9"/>
            <color indexed="81"/>
            <rFont val="Tahoma"/>
            <family val="2"/>
          </rPr>
          <t xml:space="preserve">
Import tariff rates</t>
        </r>
      </text>
    </comment>
    <comment ref="H5" authorId="0" shapeId="0" xr:uid="{7D90E3B3-67A6-4C20-B8F5-FE8619064833}">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16927175-FD94-41E4-B287-33E61F0CA71F}">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9E735472-A656-4B17-B2F9-A312BC46A264}">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84C91614-82C7-43C6-868F-C0EB77C2E118}">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7A7DE0E6-ACE5-49D0-8842-7128DE2AE827}">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DA15DBEB-36FB-4B1C-9821-180565215E16}">
      <text>
        <r>
          <rPr>
            <b/>
            <sz val="9"/>
            <color indexed="81"/>
            <rFont val="Tahoma"/>
            <family val="2"/>
          </rPr>
          <t>TA</t>
        </r>
        <r>
          <rPr>
            <sz val="9"/>
            <color indexed="81"/>
            <rFont val="Tahoma"/>
            <family val="2"/>
          </rPr>
          <t xml:space="preserve">
Indirect taxes on total activity production value.</t>
        </r>
      </text>
    </comment>
    <comment ref="R5" authorId="0" shapeId="0" xr:uid="{198C9D91-06F6-4D7D-86D6-D2483A5A93F2}">
      <text>
        <r>
          <rPr>
            <b/>
            <sz val="9"/>
            <color indexed="81"/>
            <rFont val="Tahoma"/>
            <family val="2"/>
          </rPr>
          <t xml:space="preserve">TVA </t>
        </r>
        <r>
          <rPr>
            <sz val="9"/>
            <color indexed="81"/>
            <rFont val="Tahoma"/>
            <family val="2"/>
          </rPr>
          <t xml:space="preserve">
Indirect taxes on activity value-added.</t>
        </r>
      </text>
    </comment>
    <comment ref="S5" authorId="0" shapeId="0" xr:uid="{8319CD0D-4FD9-4990-A586-321B9F1E69DE}">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51898E14-BE38-4EA6-AA97-C1B6D6C89314}">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171C2A35-5DA8-41EF-B522-833EFE3802F0}">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036D0D26-2A27-467A-8A10-C6FEFFECCC71}">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D87DE321-CEF5-435A-8A13-02A6E2A6888F}">
      <text>
        <r>
          <rPr>
            <b/>
            <sz val="9"/>
            <color indexed="81"/>
            <rFont val="Tahoma"/>
            <family val="2"/>
          </rPr>
          <t>WF</t>
        </r>
        <r>
          <rPr>
            <sz val="9"/>
            <color indexed="81"/>
            <rFont val="Tahoma"/>
            <family val="2"/>
          </rPr>
          <t xml:space="preserve">
Economywide wage rate.</t>
        </r>
      </text>
    </comment>
    <comment ref="AA5" authorId="0" shapeId="0" xr:uid="{DAF30704-5FF4-4B98-993C-FFC7CF4F9A61}">
      <text>
        <r>
          <rPr>
            <b/>
            <sz val="9"/>
            <color indexed="81"/>
            <rFont val="Tahoma"/>
            <family val="2"/>
          </rPr>
          <t xml:space="preserve">QFS
</t>
        </r>
        <r>
          <rPr>
            <sz val="9"/>
            <color indexed="81"/>
            <rFont val="Tahoma"/>
            <family val="2"/>
          </rPr>
          <t>Total factor supply quantity.</t>
        </r>
      </text>
    </comment>
    <comment ref="AB5" authorId="0" shapeId="0" xr:uid="{1F431C35-AD0B-46D3-A48C-EA62A8078F4F}">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FF780B50-C55E-4C8F-8812-8808DCE5B0AD}">
      <text>
        <r>
          <rPr>
            <b/>
            <sz val="9"/>
            <color indexed="81"/>
            <rFont val="Tahoma"/>
            <family val="2"/>
          </rPr>
          <t>TF</t>
        </r>
        <r>
          <rPr>
            <sz val="9"/>
            <color indexed="81"/>
            <rFont val="Tahoma"/>
            <family val="2"/>
          </rPr>
          <t xml:space="preserve">
Direct tax on total factor earnings.</t>
        </r>
      </text>
    </comment>
    <comment ref="AD5" authorId="0" shapeId="0" xr:uid="{B9950261-DAD0-4BCF-88BF-B413EDDB4C94}">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9B0D2469-7BA3-46F3-8121-577C11BB38BA}">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95E54269-D270-4329-82BE-7F7D0BEB81C4}">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456EB1CD-A128-4FF4-8E4D-8E20DB53AFEF}">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7AB9E173-3526-4DBD-BDC3-AD8AD5262A4E}">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8537F777-E76E-490A-B9DF-E813D3E9ECA8}">
      <text>
        <r>
          <rPr>
            <b/>
            <sz val="9"/>
            <color indexed="81"/>
            <rFont val="Tahoma"/>
            <family val="2"/>
          </rPr>
          <t xml:space="preserve">HPOP
</t>
        </r>
        <r>
          <rPr>
            <sz val="9"/>
            <color indexed="81"/>
            <rFont val="Tahoma"/>
            <family val="2"/>
          </rPr>
          <t>Household population.</t>
        </r>
      </text>
    </comment>
    <comment ref="AM5" authorId="0" shapeId="0" xr:uid="{3D8BB3CB-1CCF-4E89-996B-090142EEEF6C}">
      <text>
        <r>
          <rPr>
            <b/>
            <sz val="9"/>
            <color indexed="81"/>
            <rFont val="Tahoma"/>
            <family val="2"/>
          </rPr>
          <t xml:space="preserve">MPS
</t>
        </r>
        <r>
          <rPr>
            <sz val="9"/>
            <color indexed="81"/>
            <rFont val="Tahoma"/>
            <family val="2"/>
          </rPr>
          <t>Marginal propensity to save (households and enterprises).</t>
        </r>
      </text>
    </comment>
    <comment ref="AN5" authorId="0" shapeId="0" xr:uid="{F3E3D7AF-565D-4A6E-93DF-7A448C151642}">
      <text>
        <r>
          <rPr>
            <b/>
            <sz val="9"/>
            <color indexed="81"/>
            <rFont val="Tahoma"/>
            <family val="2"/>
          </rPr>
          <t xml:space="preserve">TINS
</t>
        </r>
        <r>
          <rPr>
            <sz val="9"/>
            <color indexed="81"/>
            <rFont val="Tahoma"/>
            <family val="2"/>
          </rPr>
          <t>Institution direct tax rate (households and enterprises).</t>
        </r>
      </text>
    </comment>
    <comment ref="AO5" authorId="0" shapeId="0" xr:uid="{E1766C94-DABD-44D9-B2E2-0C7A7D5FF186}">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9382405F-C65F-4412-973A-64B6B72611B3}">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41F2F098-93BD-468B-8059-6E1B74542F81}">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D36AB30F-BC95-456F-BD82-E338C634A5D1}">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ACF87C6F-DE1E-41CC-9618-4E524A5818CA}">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CBB09DE1-4259-4CE5-94AF-E705B4F7F0B6}">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DC5BE1F0-AF5B-4B96-82E6-C4092CF54034}">
      <text>
        <r>
          <rPr>
            <b/>
            <sz val="9"/>
            <color indexed="81"/>
            <rFont val="Tahoma"/>
            <family val="2"/>
          </rPr>
          <t xml:space="preserve">EXR
</t>
        </r>
        <r>
          <rPr>
            <sz val="9"/>
            <color indexed="81"/>
            <rFont val="Tahoma"/>
            <family val="2"/>
          </rPr>
          <t>Exchange rate.</t>
        </r>
      </text>
    </comment>
    <comment ref="AW8" authorId="0" shapeId="0" xr:uid="{00DC6AE2-C1AA-4441-99AB-6D737AF3F8BD}">
      <text>
        <r>
          <rPr>
            <b/>
            <sz val="9"/>
            <color indexed="81"/>
            <rFont val="Tahoma"/>
            <family val="2"/>
          </rPr>
          <t xml:space="preserve">FSAV
</t>
        </r>
        <r>
          <rPr>
            <sz val="9"/>
            <color indexed="81"/>
            <rFont val="Tahoma"/>
            <family val="2"/>
          </rPr>
          <t>Foreign savings.</t>
        </r>
      </text>
    </comment>
    <comment ref="AW9" authorId="0" shapeId="0" xr:uid="{9B970901-638B-47C2-9E93-C9F35C0317FA}">
      <text>
        <r>
          <rPr>
            <b/>
            <sz val="9"/>
            <color indexed="81"/>
            <rFont val="Tahoma"/>
            <family val="2"/>
          </rPr>
          <t xml:space="preserve">IADJ
</t>
        </r>
        <r>
          <rPr>
            <sz val="9"/>
            <color indexed="81"/>
            <rFont val="Tahoma"/>
            <family val="2"/>
          </rPr>
          <t xml:space="preserve">Gross fixed capital formation.
</t>
        </r>
      </text>
    </comment>
    <comment ref="AW10" authorId="0" shapeId="0" xr:uid="{86522DDD-3D35-4163-8E9D-8659C223E4FF}">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26F2605B-4934-48C1-BB54-2859EA862DC5}">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711D7DD7-C4F9-4066-8DB5-80AEC8CF4F67}">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FD2BDCFC-73B4-4DAC-9A71-59C7FB3CCE5A}">
      <text>
        <r>
          <rPr>
            <b/>
            <sz val="9"/>
            <color indexed="81"/>
            <rFont val="Tahoma"/>
            <family val="2"/>
          </rPr>
          <t xml:space="preserve">GADJ
</t>
        </r>
        <r>
          <rPr>
            <sz val="9"/>
            <color indexed="81"/>
            <rFont val="Tahoma"/>
            <family val="2"/>
          </rPr>
          <t>Government consumption spending.</t>
        </r>
      </text>
    </comment>
    <comment ref="AW14" authorId="0" shapeId="0" xr:uid="{B3117054-AC0A-4AF1-8E97-31652FAC4B26}">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E7F66FA6-586E-4F94-80F2-BD6036BE66E3}">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DA4D4835-165D-4360-82A3-6161DF7BD409}">
      <text>
        <r>
          <rPr>
            <b/>
            <sz val="9"/>
            <color indexed="81"/>
            <rFont val="Tahoma"/>
            <family val="2"/>
          </rPr>
          <t xml:space="preserve">trnsi
</t>
        </r>
        <r>
          <rPr>
            <sz val="9"/>
            <color indexed="81"/>
            <rFont val="Tahoma"/>
            <family val="2"/>
          </rPr>
          <t>Rest of the world transfers to government</t>
        </r>
      </text>
    </comment>
    <comment ref="AW17" authorId="0" shapeId="0" xr:uid="{8BF95621-C0DF-47CF-846D-129E75421307}">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0F275FCD-74FB-4CAE-823C-4586B1F1B6A9}">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5ADE785F-7694-4710-A4DA-F3CEE5C9466F}">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02ECE723-3075-4B53-A733-49AE7E455958}">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F0408D29-2EAE-42B2-8307-1D0B57D37795}">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4AA37F3E-AC1E-4766-A9EC-6384B2BAEB7B}">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7FC12967-9A77-46C5-AEE9-0DDD30BC5943}">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56CDEE9D-4D03-45C2-84EC-C5AD524C51B7}">
      <text>
        <r>
          <rPr>
            <b/>
            <sz val="9"/>
            <color indexed="81"/>
            <rFont val="Tahoma"/>
            <family val="2"/>
          </rPr>
          <t>alphava</t>
        </r>
        <r>
          <rPr>
            <sz val="9"/>
            <color indexed="81"/>
            <rFont val="Tahoma"/>
            <family val="2"/>
          </rPr>
          <t xml:space="preserve">
Total factor productivity.
</t>
        </r>
      </text>
    </comment>
    <comment ref="AY4" authorId="0" shapeId="0" xr:uid="{1B57FC55-6864-43E5-BF66-1691879A4DFD}">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D5675713-B87C-47CF-BCB0-284581EA6A24}">
      <text>
        <r>
          <rPr>
            <b/>
            <sz val="9"/>
            <color indexed="81"/>
            <rFont val="Tahoma"/>
            <family val="2"/>
          </rPr>
          <t>Type of shock</t>
        </r>
        <r>
          <rPr>
            <sz val="9"/>
            <color indexed="81"/>
            <rFont val="Tahoma"/>
            <family val="2"/>
          </rPr>
          <t xml:space="preserve">
  1 = multiplicative
  2 = additive</t>
        </r>
      </text>
    </comment>
    <comment ref="D5" authorId="0" shapeId="0" xr:uid="{7E925415-079E-454B-AF7E-3B311BC5285B}">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D75C9637-23B7-4188-A745-199804AD3C73}">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E3D9EE67-30D8-4158-86B0-AFC41B224D4C}">
      <text>
        <r>
          <rPr>
            <b/>
            <sz val="9"/>
            <color indexed="81"/>
            <rFont val="Tahoma"/>
            <family val="2"/>
          </rPr>
          <t>TE</t>
        </r>
        <r>
          <rPr>
            <sz val="9"/>
            <color indexed="81"/>
            <rFont val="Tahoma"/>
            <family val="2"/>
          </rPr>
          <t xml:space="preserve">
Export tax rates</t>
        </r>
      </text>
    </comment>
    <comment ref="G5" authorId="0" shapeId="0" xr:uid="{87503B77-CD12-45D9-9B63-DEAA2E729B8E}">
      <text>
        <r>
          <rPr>
            <b/>
            <sz val="9"/>
            <color indexed="81"/>
            <rFont val="Tahoma"/>
            <family val="2"/>
          </rPr>
          <t>TM</t>
        </r>
        <r>
          <rPr>
            <sz val="9"/>
            <color indexed="81"/>
            <rFont val="Tahoma"/>
            <family val="2"/>
          </rPr>
          <t xml:space="preserve">
Import tariff rates</t>
        </r>
      </text>
    </comment>
    <comment ref="H5" authorId="0" shapeId="0" xr:uid="{DDE5704D-DECE-410D-9B99-725E1CADC275}">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5B655B68-46F0-4C02-8C73-3DE71BD5184F}">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424F06CB-A624-4D62-8E6F-51A026E9E1D2}">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1A037102-8581-4D42-AA89-C9D38046015E}">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CA0EEA63-0B42-4ADC-A841-774C27FA1768}">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54C5C51B-70CB-4BD2-A230-76ABFCF2A188}">
      <text>
        <r>
          <rPr>
            <b/>
            <sz val="9"/>
            <color indexed="81"/>
            <rFont val="Tahoma"/>
            <family val="2"/>
          </rPr>
          <t>TA</t>
        </r>
        <r>
          <rPr>
            <sz val="9"/>
            <color indexed="81"/>
            <rFont val="Tahoma"/>
            <family val="2"/>
          </rPr>
          <t xml:space="preserve">
Indirect taxes on total activity production value.</t>
        </r>
      </text>
    </comment>
    <comment ref="R5" authorId="0" shapeId="0" xr:uid="{A0DF057E-B56E-481B-B5E4-DA3CE178D320}">
      <text>
        <r>
          <rPr>
            <b/>
            <sz val="9"/>
            <color indexed="81"/>
            <rFont val="Tahoma"/>
            <family val="2"/>
          </rPr>
          <t xml:space="preserve">TVA </t>
        </r>
        <r>
          <rPr>
            <sz val="9"/>
            <color indexed="81"/>
            <rFont val="Tahoma"/>
            <family val="2"/>
          </rPr>
          <t xml:space="preserve">
Indirect taxes on activity value-added.</t>
        </r>
      </text>
    </comment>
    <comment ref="S5" authorId="0" shapeId="0" xr:uid="{0AC04795-DFE8-4843-819F-62345DABB025}">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26F9EB33-4C2E-437A-B602-5E3B52D6B0C5}">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CF30CE1A-51F1-4A8A-B62E-96595197D6EF}">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3ADE1F91-133A-40B4-BFF3-439C1D0300AA}">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89A44634-BD73-439F-8EEA-A6DCEA262251}">
      <text>
        <r>
          <rPr>
            <b/>
            <sz val="9"/>
            <color indexed="81"/>
            <rFont val="Tahoma"/>
            <family val="2"/>
          </rPr>
          <t>WF</t>
        </r>
        <r>
          <rPr>
            <sz val="9"/>
            <color indexed="81"/>
            <rFont val="Tahoma"/>
            <family val="2"/>
          </rPr>
          <t xml:space="preserve">
Economywide wage rate.</t>
        </r>
      </text>
    </comment>
    <comment ref="AA5" authorId="0" shapeId="0" xr:uid="{274C43AD-DDAE-404E-9696-84E895B6B393}">
      <text>
        <r>
          <rPr>
            <b/>
            <sz val="9"/>
            <color indexed="81"/>
            <rFont val="Tahoma"/>
            <family val="2"/>
          </rPr>
          <t xml:space="preserve">QFS
</t>
        </r>
        <r>
          <rPr>
            <sz val="9"/>
            <color indexed="81"/>
            <rFont val="Tahoma"/>
            <family val="2"/>
          </rPr>
          <t>Total factor supply quantity.</t>
        </r>
      </text>
    </comment>
    <comment ref="AB5" authorId="0" shapeId="0" xr:uid="{80C61A42-2E62-4C62-B4D6-D6E8F3E389F9}">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63AF1FF3-F840-44CF-B446-C669683A6733}">
      <text>
        <r>
          <rPr>
            <b/>
            <sz val="9"/>
            <color indexed="81"/>
            <rFont val="Tahoma"/>
            <family val="2"/>
          </rPr>
          <t>TF</t>
        </r>
        <r>
          <rPr>
            <sz val="9"/>
            <color indexed="81"/>
            <rFont val="Tahoma"/>
            <family val="2"/>
          </rPr>
          <t xml:space="preserve">
Direct tax on total factor earnings.</t>
        </r>
      </text>
    </comment>
    <comment ref="AD5" authorId="0" shapeId="0" xr:uid="{3999CACC-B79B-426C-AF3F-DF78A4D3C240}">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1C52D219-FB86-4391-B36A-1BCB5B1C6F2D}">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4ADF613-F8C2-4808-AD38-2093D1BC8AE3}">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E36B0836-4EE6-447C-A3B0-0747F7C8FFA8}">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E656901-FBA3-469A-A3A4-59E9ABE697C3}">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9B286320-84B3-4DDA-A4DB-8AB217AC17D6}">
      <text>
        <r>
          <rPr>
            <b/>
            <sz val="9"/>
            <color indexed="81"/>
            <rFont val="Tahoma"/>
            <family val="2"/>
          </rPr>
          <t xml:space="preserve">HPOP
</t>
        </r>
        <r>
          <rPr>
            <sz val="9"/>
            <color indexed="81"/>
            <rFont val="Tahoma"/>
            <family val="2"/>
          </rPr>
          <t>Household population.</t>
        </r>
      </text>
    </comment>
    <comment ref="AM5" authorId="0" shapeId="0" xr:uid="{C0ABF139-E2C4-487C-9F6E-049681097B71}">
      <text>
        <r>
          <rPr>
            <b/>
            <sz val="9"/>
            <color indexed="81"/>
            <rFont val="Tahoma"/>
            <family val="2"/>
          </rPr>
          <t xml:space="preserve">MPS
</t>
        </r>
        <r>
          <rPr>
            <sz val="9"/>
            <color indexed="81"/>
            <rFont val="Tahoma"/>
            <family val="2"/>
          </rPr>
          <t>Marginal propensity to save (households and enterprises).</t>
        </r>
      </text>
    </comment>
    <comment ref="AN5" authorId="0" shapeId="0" xr:uid="{88DCA29F-56C1-4B90-9588-718281AFC31A}">
      <text>
        <r>
          <rPr>
            <b/>
            <sz val="9"/>
            <color indexed="81"/>
            <rFont val="Tahoma"/>
            <family val="2"/>
          </rPr>
          <t xml:space="preserve">TINS
</t>
        </r>
        <r>
          <rPr>
            <sz val="9"/>
            <color indexed="81"/>
            <rFont val="Tahoma"/>
            <family val="2"/>
          </rPr>
          <t>Institution direct tax rate (households and enterprises).</t>
        </r>
      </text>
    </comment>
    <comment ref="AO5" authorId="0" shapeId="0" xr:uid="{509BCF7D-5EE6-4ADB-A7ED-EB432E792AAE}">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2AB44D48-5A83-4523-92D5-D930EAB33839}">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EA870000-2915-40F8-9AD3-11704F02704E}">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9361CCB3-F8ED-4DAA-B63F-A1B526212C2F}">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4C789CB2-4778-416A-9F36-25C042A325A6}">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34DB6177-213E-4A48-BAF3-3FC48E12F97E}">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16ABF626-C617-4A15-B5BC-12CB5104EBB5}">
      <text>
        <r>
          <rPr>
            <b/>
            <sz val="9"/>
            <color indexed="81"/>
            <rFont val="Tahoma"/>
            <family val="2"/>
          </rPr>
          <t xml:space="preserve">EXR
</t>
        </r>
        <r>
          <rPr>
            <sz val="9"/>
            <color indexed="81"/>
            <rFont val="Tahoma"/>
            <family val="2"/>
          </rPr>
          <t>Exchange rate.</t>
        </r>
      </text>
    </comment>
    <comment ref="AW8" authorId="0" shapeId="0" xr:uid="{02D90DF3-33A9-4D83-B79A-0F915B4BEFB1}">
      <text>
        <r>
          <rPr>
            <b/>
            <sz val="9"/>
            <color indexed="81"/>
            <rFont val="Tahoma"/>
            <family val="2"/>
          </rPr>
          <t xml:space="preserve">FSAV
</t>
        </r>
        <r>
          <rPr>
            <sz val="9"/>
            <color indexed="81"/>
            <rFont val="Tahoma"/>
            <family val="2"/>
          </rPr>
          <t>Foreign savings.</t>
        </r>
      </text>
    </comment>
    <comment ref="AW9" authorId="0" shapeId="0" xr:uid="{28414228-8FA5-440D-A8CC-01C6FDC82036}">
      <text>
        <r>
          <rPr>
            <b/>
            <sz val="9"/>
            <color indexed="81"/>
            <rFont val="Tahoma"/>
            <family val="2"/>
          </rPr>
          <t xml:space="preserve">IADJ
</t>
        </r>
        <r>
          <rPr>
            <sz val="9"/>
            <color indexed="81"/>
            <rFont val="Tahoma"/>
            <family val="2"/>
          </rPr>
          <t xml:space="preserve">Gross fixed capital formation.
</t>
        </r>
      </text>
    </comment>
    <comment ref="AW10" authorId="0" shapeId="0" xr:uid="{58D215D6-7669-4D9F-81DA-7ABEC551B26A}">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75CDD541-45D8-43BA-816D-050D8534830C}">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A8B0274E-CE35-4307-B89F-51F041391284}">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CAC6C8CF-24F8-4F45-A8D4-95838FEF0E99}">
      <text>
        <r>
          <rPr>
            <b/>
            <sz val="9"/>
            <color indexed="81"/>
            <rFont val="Tahoma"/>
            <family val="2"/>
          </rPr>
          <t xml:space="preserve">GADJ
</t>
        </r>
        <r>
          <rPr>
            <sz val="9"/>
            <color indexed="81"/>
            <rFont val="Tahoma"/>
            <family val="2"/>
          </rPr>
          <t>Government consumption spending.</t>
        </r>
      </text>
    </comment>
    <comment ref="AW14" authorId="0" shapeId="0" xr:uid="{79073CA9-87B2-4C53-981B-3F82F2284E6A}">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209DCA08-B54F-4CB3-9310-908F5E311CA8}">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0148748E-0768-45B3-9A2B-0FBDB9CD57C3}">
      <text>
        <r>
          <rPr>
            <b/>
            <sz val="9"/>
            <color indexed="81"/>
            <rFont val="Tahoma"/>
            <family val="2"/>
          </rPr>
          <t xml:space="preserve">trnsi
</t>
        </r>
        <r>
          <rPr>
            <sz val="9"/>
            <color indexed="81"/>
            <rFont val="Tahoma"/>
            <family val="2"/>
          </rPr>
          <t>Rest of the world transfers to government</t>
        </r>
      </text>
    </comment>
    <comment ref="AW17" authorId="0" shapeId="0" xr:uid="{4914C3FB-4FC4-4C29-8C68-084EE346FA0B}">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BEC973F2-1C7F-42D5-B1C8-68574F9B27C2}">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E2915117-379B-48EB-BF12-3264C177413E}">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1CE830FD-8F26-46B7-A8BB-662BB9E5519D}">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7B647195-75AE-407A-AC8B-83D6C05C5715}">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197DA9AC-D012-4F60-8869-01DD20928471}">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3EF58629-CA4A-4979-84E5-D720538B84EB}">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4D93B9C9-B693-4DAE-8B03-D0B96870AA7B}">
      <text>
        <r>
          <rPr>
            <b/>
            <sz val="9"/>
            <color indexed="81"/>
            <rFont val="Tahoma"/>
            <family val="2"/>
          </rPr>
          <t>alphava</t>
        </r>
        <r>
          <rPr>
            <sz val="9"/>
            <color indexed="81"/>
            <rFont val="Tahoma"/>
            <family val="2"/>
          </rPr>
          <t xml:space="preserve">
Total factor productivity.
</t>
        </r>
      </text>
    </comment>
    <comment ref="AY4" authorId="0" shapeId="0" xr:uid="{6D829CF6-931A-4263-B8FC-C041DB5297D9}">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E9BB27B5-79EC-4D5E-8D2D-1296EBFC7323}">
      <text>
        <r>
          <rPr>
            <b/>
            <sz val="9"/>
            <color indexed="81"/>
            <rFont val="Tahoma"/>
            <family val="2"/>
          </rPr>
          <t>Type of shock</t>
        </r>
        <r>
          <rPr>
            <sz val="9"/>
            <color indexed="81"/>
            <rFont val="Tahoma"/>
            <family val="2"/>
          </rPr>
          <t xml:space="preserve">
  1 = multiplicative
  2 = additive</t>
        </r>
      </text>
    </comment>
    <comment ref="D5" authorId="0" shapeId="0" xr:uid="{788D8BAA-7944-4612-BC08-CF66F9F955AB}">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15114DAC-1D68-453F-A52F-8DBF541DBA64}">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E1944DBE-E77F-455E-BC93-7DCE16E03D27}">
      <text>
        <r>
          <rPr>
            <b/>
            <sz val="9"/>
            <color indexed="81"/>
            <rFont val="Tahoma"/>
            <family val="2"/>
          </rPr>
          <t>TE</t>
        </r>
        <r>
          <rPr>
            <sz val="9"/>
            <color indexed="81"/>
            <rFont val="Tahoma"/>
            <family val="2"/>
          </rPr>
          <t xml:space="preserve">
Export tax rates</t>
        </r>
      </text>
    </comment>
    <comment ref="G5" authorId="0" shapeId="0" xr:uid="{19CE7ECB-EF9F-48EB-8710-2B4A3CD4C164}">
      <text>
        <r>
          <rPr>
            <b/>
            <sz val="9"/>
            <color indexed="81"/>
            <rFont val="Tahoma"/>
            <family val="2"/>
          </rPr>
          <t>TM</t>
        </r>
        <r>
          <rPr>
            <sz val="9"/>
            <color indexed="81"/>
            <rFont val="Tahoma"/>
            <family val="2"/>
          </rPr>
          <t xml:space="preserve">
Import tariff rates</t>
        </r>
      </text>
    </comment>
    <comment ref="H5" authorId="0" shapeId="0" xr:uid="{1ABDEE02-9FC4-4513-B81F-3803F99CCAF3}">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74BD501B-E630-49D6-9797-DE99B81ECB93}">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971B88F2-BAEC-4B37-943B-B256E04908C9}">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F253DDA5-ACFB-45BB-AFB6-4E4BC3396DA3}">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A6C6A6A7-6650-437B-8D51-D5531E47A4C6}">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3F773090-B003-4BB5-BA11-383C79D9B304}">
      <text>
        <r>
          <rPr>
            <b/>
            <sz val="9"/>
            <color indexed="81"/>
            <rFont val="Tahoma"/>
            <family val="2"/>
          </rPr>
          <t>TA</t>
        </r>
        <r>
          <rPr>
            <sz val="9"/>
            <color indexed="81"/>
            <rFont val="Tahoma"/>
            <family val="2"/>
          </rPr>
          <t xml:space="preserve">
Indirect taxes on total activity production value.</t>
        </r>
      </text>
    </comment>
    <comment ref="R5" authorId="0" shapeId="0" xr:uid="{1F80F082-2BC9-42E4-9CCC-C3EF07BCBAB0}">
      <text>
        <r>
          <rPr>
            <b/>
            <sz val="9"/>
            <color indexed="81"/>
            <rFont val="Tahoma"/>
            <family val="2"/>
          </rPr>
          <t xml:space="preserve">TVA </t>
        </r>
        <r>
          <rPr>
            <sz val="9"/>
            <color indexed="81"/>
            <rFont val="Tahoma"/>
            <family val="2"/>
          </rPr>
          <t xml:space="preserve">
Indirect taxes on activity value-added.</t>
        </r>
      </text>
    </comment>
    <comment ref="S5" authorId="0" shapeId="0" xr:uid="{D5646A35-D012-4082-AC18-F7B189CC1710}">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AAD416FF-C987-4508-842E-99188783C0A5}">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1EEFE5A0-D459-4C14-A1F5-CC4B5D92E4BC}">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547BA307-2B23-4F35-BC4C-9B085E2185B5}">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53C49772-B06D-4952-8D9E-DCF1EC5C7925}">
      <text>
        <r>
          <rPr>
            <b/>
            <sz val="9"/>
            <color indexed="81"/>
            <rFont val="Tahoma"/>
            <family val="2"/>
          </rPr>
          <t>WF</t>
        </r>
        <r>
          <rPr>
            <sz val="9"/>
            <color indexed="81"/>
            <rFont val="Tahoma"/>
            <family val="2"/>
          </rPr>
          <t xml:space="preserve">
Economywide wage rate.</t>
        </r>
      </text>
    </comment>
    <comment ref="AA5" authorId="0" shapeId="0" xr:uid="{63FB6D25-1C5D-4B8A-87BA-45F710E1A18F}">
      <text>
        <r>
          <rPr>
            <b/>
            <sz val="9"/>
            <color indexed="81"/>
            <rFont val="Tahoma"/>
            <family val="2"/>
          </rPr>
          <t xml:space="preserve">QFS
</t>
        </r>
        <r>
          <rPr>
            <sz val="9"/>
            <color indexed="81"/>
            <rFont val="Tahoma"/>
            <family val="2"/>
          </rPr>
          <t>Total factor supply quantity.</t>
        </r>
      </text>
    </comment>
    <comment ref="AB5" authorId="0" shapeId="0" xr:uid="{B9AFABC4-5F84-47AE-9FF3-020091996983}">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BE38F200-B379-4CF5-977B-078BE6515943}">
      <text>
        <r>
          <rPr>
            <b/>
            <sz val="9"/>
            <color indexed="81"/>
            <rFont val="Tahoma"/>
            <family val="2"/>
          </rPr>
          <t>TF</t>
        </r>
        <r>
          <rPr>
            <sz val="9"/>
            <color indexed="81"/>
            <rFont val="Tahoma"/>
            <family val="2"/>
          </rPr>
          <t xml:space="preserve">
Direct tax on total factor earnings.</t>
        </r>
      </text>
    </comment>
    <comment ref="AD5" authorId="0" shapeId="0" xr:uid="{AA9CB0E4-D643-48B5-917E-73C54CF73F7A}">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EDB4CCBA-AF2B-4D83-8E08-E42ECF391849}">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0D06FC7F-B097-4E10-988B-BFC60CB9EBD0}">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6E2E200E-E016-4296-B9CB-2F09BF53B52A}">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404DDF96-D0A5-449D-AD24-611CD39724DA}">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18739432-20FB-4AA2-8E82-6775B2E12018}">
      <text>
        <r>
          <rPr>
            <b/>
            <sz val="9"/>
            <color indexed="81"/>
            <rFont val="Tahoma"/>
            <family val="2"/>
          </rPr>
          <t xml:space="preserve">HPOP
</t>
        </r>
        <r>
          <rPr>
            <sz val="9"/>
            <color indexed="81"/>
            <rFont val="Tahoma"/>
            <family val="2"/>
          </rPr>
          <t>Household population.</t>
        </r>
      </text>
    </comment>
    <comment ref="AM5" authorId="0" shapeId="0" xr:uid="{C9167C12-B250-41DF-8AF4-80A6545B468E}">
      <text>
        <r>
          <rPr>
            <b/>
            <sz val="9"/>
            <color indexed="81"/>
            <rFont val="Tahoma"/>
            <family val="2"/>
          </rPr>
          <t xml:space="preserve">MPS
</t>
        </r>
        <r>
          <rPr>
            <sz val="9"/>
            <color indexed="81"/>
            <rFont val="Tahoma"/>
            <family val="2"/>
          </rPr>
          <t>Marginal propensity to save (households and enterprises).</t>
        </r>
      </text>
    </comment>
    <comment ref="AN5" authorId="0" shapeId="0" xr:uid="{BE9B8017-7EBE-4756-AC7F-C7354C00369D}">
      <text>
        <r>
          <rPr>
            <b/>
            <sz val="9"/>
            <color indexed="81"/>
            <rFont val="Tahoma"/>
            <family val="2"/>
          </rPr>
          <t xml:space="preserve">TINS
</t>
        </r>
        <r>
          <rPr>
            <sz val="9"/>
            <color indexed="81"/>
            <rFont val="Tahoma"/>
            <family val="2"/>
          </rPr>
          <t>Institution direct tax rate (households and enterprises).</t>
        </r>
      </text>
    </comment>
    <comment ref="AO5" authorId="0" shapeId="0" xr:uid="{30203383-6347-4737-B333-405149E30307}">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485BE9C7-966A-4BF6-B146-7C65A0834046}">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A4C96765-9605-459A-B2DD-2141DCD6C5E4}">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A1DA8086-C7A8-49A8-B526-F93A755C43D7}">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A8F838B0-8A08-4EEA-8096-37AE257BFF4F}">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107593DE-F9D9-4571-BE01-C8BD3EDF5E10}">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FCD4138E-DE78-4813-9778-FBB2858A0DFC}">
      <text>
        <r>
          <rPr>
            <b/>
            <sz val="9"/>
            <color indexed="81"/>
            <rFont val="Tahoma"/>
            <family val="2"/>
          </rPr>
          <t xml:space="preserve">EXR
</t>
        </r>
        <r>
          <rPr>
            <sz val="9"/>
            <color indexed="81"/>
            <rFont val="Tahoma"/>
            <family val="2"/>
          </rPr>
          <t>Exchange rate.</t>
        </r>
      </text>
    </comment>
    <comment ref="AW8" authorId="0" shapeId="0" xr:uid="{5993A743-081A-44E8-97D7-601F09D6C843}">
      <text>
        <r>
          <rPr>
            <b/>
            <sz val="9"/>
            <color indexed="81"/>
            <rFont val="Tahoma"/>
            <family val="2"/>
          </rPr>
          <t xml:space="preserve">FSAV
</t>
        </r>
        <r>
          <rPr>
            <sz val="9"/>
            <color indexed="81"/>
            <rFont val="Tahoma"/>
            <family val="2"/>
          </rPr>
          <t>Foreign savings.</t>
        </r>
      </text>
    </comment>
    <comment ref="AW9" authorId="0" shapeId="0" xr:uid="{369E9AF9-A0DD-417E-9151-D4E5FCF16928}">
      <text>
        <r>
          <rPr>
            <b/>
            <sz val="9"/>
            <color indexed="81"/>
            <rFont val="Tahoma"/>
            <family val="2"/>
          </rPr>
          <t xml:space="preserve">IADJ
</t>
        </r>
        <r>
          <rPr>
            <sz val="9"/>
            <color indexed="81"/>
            <rFont val="Tahoma"/>
            <family val="2"/>
          </rPr>
          <t xml:space="preserve">Gross fixed capital formation.
</t>
        </r>
      </text>
    </comment>
    <comment ref="AW10" authorId="0" shapeId="0" xr:uid="{9BC45D51-977A-4365-87EC-F03725DCDE4F}">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C72BEEE0-4E68-4DA6-97B5-B1B78CABB5B7}">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48C63AB4-617B-4ADD-96D0-10BBBDC94BE9}">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CFAE7EE-77D8-455A-AF14-911F59A45EA4}">
      <text>
        <r>
          <rPr>
            <b/>
            <sz val="9"/>
            <color indexed="81"/>
            <rFont val="Tahoma"/>
            <family val="2"/>
          </rPr>
          <t xml:space="preserve">GADJ
</t>
        </r>
        <r>
          <rPr>
            <sz val="9"/>
            <color indexed="81"/>
            <rFont val="Tahoma"/>
            <family val="2"/>
          </rPr>
          <t>Government consumption spending.</t>
        </r>
      </text>
    </comment>
    <comment ref="AW14" authorId="0" shapeId="0" xr:uid="{FEE93542-0F6A-4C54-861E-ECD5210EB80F}">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C6DE90C5-5BD9-4AF2-8F6C-E07D00687A5C}">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DDCD56CE-2866-420A-A07C-62A11C3F3CE4}">
      <text>
        <r>
          <rPr>
            <b/>
            <sz val="9"/>
            <color indexed="81"/>
            <rFont val="Tahoma"/>
            <family val="2"/>
          </rPr>
          <t xml:space="preserve">trnsi
</t>
        </r>
        <r>
          <rPr>
            <sz val="9"/>
            <color indexed="81"/>
            <rFont val="Tahoma"/>
            <family val="2"/>
          </rPr>
          <t>Rest of the world transfers to government</t>
        </r>
      </text>
    </comment>
    <comment ref="AW17" authorId="0" shapeId="0" xr:uid="{33992C86-47A3-4F48-92B4-E26485F52ED8}">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1CEE3D2C-451F-44B3-AAA9-0F5787762E47}">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C887AC9F-C257-4E59-9221-AAFE5A43124B}">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5F02A101-F322-4541-BBBF-EB34240CA2C2}">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6EFA087A-E526-4123-A5A5-076BAAFBAE66}">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8B8D266B-DB7F-4D99-AE20-348D949DC2FD}">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5212C548-FE43-45D7-8842-623A3903CF2B}">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A087B87A-72FD-44B5-B199-8AE3B5205518}">
      <text>
        <r>
          <rPr>
            <b/>
            <sz val="9"/>
            <color indexed="81"/>
            <rFont val="Tahoma"/>
            <family val="2"/>
          </rPr>
          <t>alphava</t>
        </r>
        <r>
          <rPr>
            <sz val="9"/>
            <color indexed="81"/>
            <rFont val="Tahoma"/>
            <family val="2"/>
          </rPr>
          <t xml:space="preserve">
Total factor productivity.
</t>
        </r>
      </text>
    </comment>
    <comment ref="AY4" authorId="0" shapeId="0" xr:uid="{ECA7EBC0-4178-47E5-92C6-978C85AA96F7}">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D06CE009-CBFF-41F7-B4BF-2970607052BA}">
      <text>
        <r>
          <rPr>
            <b/>
            <sz val="9"/>
            <color indexed="81"/>
            <rFont val="Tahoma"/>
            <family val="2"/>
          </rPr>
          <t>Type of shock</t>
        </r>
        <r>
          <rPr>
            <sz val="9"/>
            <color indexed="81"/>
            <rFont val="Tahoma"/>
            <family val="2"/>
          </rPr>
          <t xml:space="preserve">
  1 = multiplicative
  2 = additive</t>
        </r>
      </text>
    </comment>
    <comment ref="D5" authorId="0" shapeId="0" xr:uid="{EB5C9D26-E1A0-4729-8C6C-A4EA10E147FD}">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2726321A-1FE9-4C6E-B836-6C45D282119C}">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F997E0E9-50DC-49D5-A54B-DBF8B67191AB}">
      <text>
        <r>
          <rPr>
            <b/>
            <sz val="9"/>
            <color indexed="81"/>
            <rFont val="Tahoma"/>
            <family val="2"/>
          </rPr>
          <t>TE</t>
        </r>
        <r>
          <rPr>
            <sz val="9"/>
            <color indexed="81"/>
            <rFont val="Tahoma"/>
            <family val="2"/>
          </rPr>
          <t xml:space="preserve">
Export tax rates</t>
        </r>
      </text>
    </comment>
    <comment ref="G5" authorId="0" shapeId="0" xr:uid="{5FDCCAD2-A6BC-448D-999C-AEF200919D1A}">
      <text>
        <r>
          <rPr>
            <b/>
            <sz val="9"/>
            <color indexed="81"/>
            <rFont val="Tahoma"/>
            <family val="2"/>
          </rPr>
          <t>TM</t>
        </r>
        <r>
          <rPr>
            <sz val="9"/>
            <color indexed="81"/>
            <rFont val="Tahoma"/>
            <family val="2"/>
          </rPr>
          <t xml:space="preserve">
Import tariff rates</t>
        </r>
      </text>
    </comment>
    <comment ref="H5" authorId="0" shapeId="0" xr:uid="{68209635-BFD8-46D4-B4D1-1D8A1273D314}">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799D13DE-577A-452D-9F5A-9022350E4F7E}">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3EC7AB73-69EA-4B9B-A6F4-BA9E8B84FBB9}">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1684EA78-646E-48C1-8721-9C68F9B56D76}">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BAE9AA07-6FC7-44A4-A3C3-B12BD55BB3A0}">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E2D8A13B-CFB8-4002-BE24-809CA490C64B}">
      <text>
        <r>
          <rPr>
            <b/>
            <sz val="9"/>
            <color indexed="81"/>
            <rFont val="Tahoma"/>
            <family val="2"/>
          </rPr>
          <t>TA</t>
        </r>
        <r>
          <rPr>
            <sz val="9"/>
            <color indexed="81"/>
            <rFont val="Tahoma"/>
            <family val="2"/>
          </rPr>
          <t xml:space="preserve">
Indirect taxes on total activity production value.</t>
        </r>
      </text>
    </comment>
    <comment ref="R5" authorId="0" shapeId="0" xr:uid="{95F2A185-E7F0-4C5C-B43E-1735D52D42B7}">
      <text>
        <r>
          <rPr>
            <b/>
            <sz val="9"/>
            <color indexed="81"/>
            <rFont val="Tahoma"/>
            <family val="2"/>
          </rPr>
          <t xml:space="preserve">TVA </t>
        </r>
        <r>
          <rPr>
            <sz val="9"/>
            <color indexed="81"/>
            <rFont val="Tahoma"/>
            <family val="2"/>
          </rPr>
          <t xml:space="preserve">
Indirect taxes on activity value-added.</t>
        </r>
      </text>
    </comment>
    <comment ref="S5" authorId="0" shapeId="0" xr:uid="{161A856F-E17B-4F9D-A21F-0EC69448A43B}">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9C67A09B-EE5E-4D78-B8A2-3DC9FDF2A200}">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DC59666E-8B1A-494E-8A41-5F6E1EF89528}">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EA67ABD3-65B1-4B17-8242-15D3B4DDF6E6}">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709BF471-B8C9-4080-AFAD-EEC05BB827DB}">
      <text>
        <r>
          <rPr>
            <b/>
            <sz val="9"/>
            <color indexed="81"/>
            <rFont val="Tahoma"/>
            <family val="2"/>
          </rPr>
          <t>WF</t>
        </r>
        <r>
          <rPr>
            <sz val="9"/>
            <color indexed="81"/>
            <rFont val="Tahoma"/>
            <family val="2"/>
          </rPr>
          <t xml:space="preserve">
Economywide wage rate.</t>
        </r>
      </text>
    </comment>
    <comment ref="AA5" authorId="0" shapeId="0" xr:uid="{DE41CD60-1880-443C-8E13-4616FA1BEBFA}">
      <text>
        <r>
          <rPr>
            <b/>
            <sz val="9"/>
            <color indexed="81"/>
            <rFont val="Tahoma"/>
            <family val="2"/>
          </rPr>
          <t xml:space="preserve">QFS
</t>
        </r>
        <r>
          <rPr>
            <sz val="9"/>
            <color indexed="81"/>
            <rFont val="Tahoma"/>
            <family val="2"/>
          </rPr>
          <t>Total factor supply quantity.</t>
        </r>
      </text>
    </comment>
    <comment ref="AB5" authorId="0" shapeId="0" xr:uid="{BC02E259-7C8A-4F53-8D44-7527330299CF}">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539E76E9-E64F-463F-A52D-3917462228F2}">
      <text>
        <r>
          <rPr>
            <b/>
            <sz val="9"/>
            <color indexed="81"/>
            <rFont val="Tahoma"/>
            <family val="2"/>
          </rPr>
          <t>TF</t>
        </r>
        <r>
          <rPr>
            <sz val="9"/>
            <color indexed="81"/>
            <rFont val="Tahoma"/>
            <family val="2"/>
          </rPr>
          <t xml:space="preserve">
Direct tax on total factor earnings.</t>
        </r>
      </text>
    </comment>
    <comment ref="AD5" authorId="0" shapeId="0" xr:uid="{23CE4E29-F96D-4871-9235-02D7C9FC56A0}">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59C9B414-C22C-4479-A87B-02409C023B23}">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FE6C64C1-F599-4E86-879A-BFEEFEB9106D}">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E1FC8622-CA7C-44A2-8536-A1476202E7E3}">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B505EE4-E9D9-434B-93C3-388EE3C5F35E}">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C528D279-9163-424E-8392-7C57DE66273B}">
      <text>
        <r>
          <rPr>
            <b/>
            <sz val="9"/>
            <color indexed="81"/>
            <rFont val="Tahoma"/>
            <family val="2"/>
          </rPr>
          <t xml:space="preserve">HPOP
</t>
        </r>
        <r>
          <rPr>
            <sz val="9"/>
            <color indexed="81"/>
            <rFont val="Tahoma"/>
            <family val="2"/>
          </rPr>
          <t>Household population.</t>
        </r>
      </text>
    </comment>
    <comment ref="AM5" authorId="0" shapeId="0" xr:uid="{C2EFCC91-2BE7-4903-91E6-94133F198F41}">
      <text>
        <r>
          <rPr>
            <b/>
            <sz val="9"/>
            <color indexed="81"/>
            <rFont val="Tahoma"/>
            <family val="2"/>
          </rPr>
          <t xml:space="preserve">MPS
</t>
        </r>
        <r>
          <rPr>
            <sz val="9"/>
            <color indexed="81"/>
            <rFont val="Tahoma"/>
            <family val="2"/>
          </rPr>
          <t>Marginal propensity to save (households and enterprises).</t>
        </r>
      </text>
    </comment>
    <comment ref="AN5" authorId="0" shapeId="0" xr:uid="{8B816677-092E-4F4E-8EA6-7369F6581277}">
      <text>
        <r>
          <rPr>
            <b/>
            <sz val="9"/>
            <color indexed="81"/>
            <rFont val="Tahoma"/>
            <family val="2"/>
          </rPr>
          <t xml:space="preserve">TINS
</t>
        </r>
        <r>
          <rPr>
            <sz val="9"/>
            <color indexed="81"/>
            <rFont val="Tahoma"/>
            <family val="2"/>
          </rPr>
          <t>Institution direct tax rate (households and enterprises).</t>
        </r>
      </text>
    </comment>
    <comment ref="AO5" authorId="0" shapeId="0" xr:uid="{E496F77F-3DEE-4BED-9B49-5876828A58F0}">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595ADC6B-A5FA-4B4F-8843-177EB8B9C82F}">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1C5447DE-90CE-4AA9-B015-F8CE7410B8A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D01D09DC-A2B2-40D2-A77B-AF27C876F980}">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36176CCE-2CA8-478F-9C7A-3F2F0FA7BC04}">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398A608A-C252-476D-9FFD-C1F89D3B4A1F}">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122F6B34-BDFD-477D-8761-21DFCCD06CBB}">
      <text>
        <r>
          <rPr>
            <b/>
            <sz val="9"/>
            <color indexed="81"/>
            <rFont val="Tahoma"/>
            <family val="2"/>
          </rPr>
          <t xml:space="preserve">EXR
</t>
        </r>
        <r>
          <rPr>
            <sz val="9"/>
            <color indexed="81"/>
            <rFont val="Tahoma"/>
            <family val="2"/>
          </rPr>
          <t>Exchange rate.</t>
        </r>
      </text>
    </comment>
    <comment ref="AW8" authorId="0" shapeId="0" xr:uid="{9D1B707A-1932-40EA-B82B-09F127C630E6}">
      <text>
        <r>
          <rPr>
            <b/>
            <sz val="9"/>
            <color indexed="81"/>
            <rFont val="Tahoma"/>
            <family val="2"/>
          </rPr>
          <t xml:space="preserve">FSAV
</t>
        </r>
        <r>
          <rPr>
            <sz val="9"/>
            <color indexed="81"/>
            <rFont val="Tahoma"/>
            <family val="2"/>
          </rPr>
          <t>Foreign savings.</t>
        </r>
      </text>
    </comment>
    <comment ref="AW9" authorId="0" shapeId="0" xr:uid="{D31038E4-493A-40EA-8AF6-3BA37C8D5D8A}">
      <text>
        <r>
          <rPr>
            <b/>
            <sz val="9"/>
            <color indexed="81"/>
            <rFont val="Tahoma"/>
            <family val="2"/>
          </rPr>
          <t xml:space="preserve">IADJ
</t>
        </r>
        <r>
          <rPr>
            <sz val="9"/>
            <color indexed="81"/>
            <rFont val="Tahoma"/>
            <family val="2"/>
          </rPr>
          <t xml:space="preserve">Gross fixed capital formation.
</t>
        </r>
      </text>
    </comment>
    <comment ref="AW10" authorId="0" shapeId="0" xr:uid="{1AC79FC1-98A3-456A-8BC4-A48E0E22363D}">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848CCC0C-CEC1-43DA-AB6B-6D8EACBFA704}">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921D0396-F174-4FCC-8C0B-1A287C76806A}">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E7D08BCC-A5F0-456E-9655-6AFE5C5F4AD3}">
      <text>
        <r>
          <rPr>
            <b/>
            <sz val="9"/>
            <color indexed="81"/>
            <rFont val="Tahoma"/>
            <family val="2"/>
          </rPr>
          <t xml:space="preserve">GADJ
</t>
        </r>
        <r>
          <rPr>
            <sz val="9"/>
            <color indexed="81"/>
            <rFont val="Tahoma"/>
            <family val="2"/>
          </rPr>
          <t>Government consumption spending.</t>
        </r>
      </text>
    </comment>
    <comment ref="AW14" authorId="0" shapeId="0" xr:uid="{1DEDF39F-C511-4590-83F6-2E9CFB4999E1}">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C764E9CC-A7A2-4890-BAC2-03E5E862B4C1}">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910F68B5-EECF-4B2F-9BA4-5B64677F1D37}">
      <text>
        <r>
          <rPr>
            <b/>
            <sz val="9"/>
            <color indexed="81"/>
            <rFont val="Tahoma"/>
            <family val="2"/>
          </rPr>
          <t xml:space="preserve">trnsi
</t>
        </r>
        <r>
          <rPr>
            <sz val="9"/>
            <color indexed="81"/>
            <rFont val="Tahoma"/>
            <family val="2"/>
          </rPr>
          <t>Rest of the world transfers to government</t>
        </r>
      </text>
    </comment>
    <comment ref="AW17" authorId="0" shapeId="0" xr:uid="{AD8BBF04-4446-4A3B-BA20-E696F260794C}">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0539B0C0-D323-42D2-B7E0-B5159B9DF030}">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75CB4EB1-0222-4CF4-B39D-357E828BFD17}">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586F0553-E9DF-42C9-8711-BCD1B61DCBA1}">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C25B1C3D-F8CC-419C-9A80-1D3529401B4C}">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55C54E63-5F43-4CBE-9890-21122274FE05}">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E1C63A4D-831D-44B7-AA3E-8ED399128426}">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B72ED0D4-8168-4086-B4E0-FEC9696FA4B0}">
      <text>
        <r>
          <rPr>
            <b/>
            <sz val="9"/>
            <color indexed="81"/>
            <rFont val="Tahoma"/>
            <family val="2"/>
          </rPr>
          <t>alphava</t>
        </r>
        <r>
          <rPr>
            <sz val="9"/>
            <color indexed="81"/>
            <rFont val="Tahoma"/>
            <family val="2"/>
          </rPr>
          <t xml:space="preserve">
Total factor productivity.
</t>
        </r>
      </text>
    </comment>
    <comment ref="AY4" authorId="0" shapeId="0" xr:uid="{ED112E3C-1F11-4E15-9C96-DF42618DB2D0}">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5B6480A4-F171-47FD-91EC-6367D57DEF10}">
      <text>
        <r>
          <rPr>
            <b/>
            <sz val="9"/>
            <color indexed="81"/>
            <rFont val="Tahoma"/>
            <family val="2"/>
          </rPr>
          <t>Type of shock</t>
        </r>
        <r>
          <rPr>
            <sz val="9"/>
            <color indexed="81"/>
            <rFont val="Tahoma"/>
            <family val="2"/>
          </rPr>
          <t xml:space="preserve">
  1 = multiplicative
  2 = additive</t>
        </r>
      </text>
    </comment>
    <comment ref="D5" authorId="0" shapeId="0" xr:uid="{106E00ED-A2D6-46B9-B422-84965CAC5DF3}">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872E78F7-CC29-4535-A09C-E071140CFFBA}">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F9630D4F-6411-4CB1-BB93-CB21A5958387}">
      <text>
        <r>
          <rPr>
            <b/>
            <sz val="9"/>
            <color indexed="81"/>
            <rFont val="Tahoma"/>
            <family val="2"/>
          </rPr>
          <t>TE</t>
        </r>
        <r>
          <rPr>
            <sz val="9"/>
            <color indexed="81"/>
            <rFont val="Tahoma"/>
            <family val="2"/>
          </rPr>
          <t xml:space="preserve">
Export tax rates</t>
        </r>
      </text>
    </comment>
    <comment ref="G5" authorId="0" shapeId="0" xr:uid="{CD525414-053E-4D97-9675-32CBFC359F7B}">
      <text>
        <r>
          <rPr>
            <b/>
            <sz val="9"/>
            <color indexed="81"/>
            <rFont val="Tahoma"/>
            <family val="2"/>
          </rPr>
          <t>TM</t>
        </r>
        <r>
          <rPr>
            <sz val="9"/>
            <color indexed="81"/>
            <rFont val="Tahoma"/>
            <family val="2"/>
          </rPr>
          <t xml:space="preserve">
Import tariff rates</t>
        </r>
      </text>
    </comment>
    <comment ref="H5" authorId="0" shapeId="0" xr:uid="{5DE0194D-4BEB-45E8-B9FE-976A47E5F2D6}">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53B27354-BA77-4A2A-B98E-50470205B780}">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0B6374B3-BDEF-4C5E-8699-C323A02B1B06}">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198A7635-11DA-49B7-8C57-1D920537CE13}">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E47BC2C5-002A-4B40-B46A-27633D8E241D}">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9CE35C58-07AA-4954-AA72-393017EF994C}">
      <text>
        <r>
          <rPr>
            <b/>
            <sz val="9"/>
            <color indexed="81"/>
            <rFont val="Tahoma"/>
            <family val="2"/>
          </rPr>
          <t>TA</t>
        </r>
        <r>
          <rPr>
            <sz val="9"/>
            <color indexed="81"/>
            <rFont val="Tahoma"/>
            <family val="2"/>
          </rPr>
          <t xml:space="preserve">
Indirect taxes on total activity production value.</t>
        </r>
      </text>
    </comment>
    <comment ref="R5" authorId="0" shapeId="0" xr:uid="{DB1C7DF1-C6BD-400F-9962-D6D79B6ACA38}">
      <text>
        <r>
          <rPr>
            <b/>
            <sz val="9"/>
            <color indexed="81"/>
            <rFont val="Tahoma"/>
            <family val="2"/>
          </rPr>
          <t xml:space="preserve">TVA </t>
        </r>
        <r>
          <rPr>
            <sz val="9"/>
            <color indexed="81"/>
            <rFont val="Tahoma"/>
            <family val="2"/>
          </rPr>
          <t xml:space="preserve">
Indirect taxes on activity value-added.</t>
        </r>
      </text>
    </comment>
    <comment ref="S5" authorId="0" shapeId="0" xr:uid="{F2F2B973-0ED9-4833-A1D9-32A85FF13C4E}">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51B2328B-4E5B-44EF-A14D-19BDB0987AD8}">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FDF9B1FE-1E7E-455A-80E1-ADEFAA1F103E}">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D84DB7AD-BE3C-4FAF-8C78-28C725144467}">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2CF91890-7853-4179-AEC7-447664E3002F}">
      <text>
        <r>
          <rPr>
            <b/>
            <sz val="9"/>
            <color indexed="81"/>
            <rFont val="Tahoma"/>
            <family val="2"/>
          </rPr>
          <t>WF</t>
        </r>
        <r>
          <rPr>
            <sz val="9"/>
            <color indexed="81"/>
            <rFont val="Tahoma"/>
            <family val="2"/>
          </rPr>
          <t xml:space="preserve">
Economywide wage rate.</t>
        </r>
      </text>
    </comment>
    <comment ref="AA5" authorId="0" shapeId="0" xr:uid="{D63A76D6-8F7E-47EA-8DE6-626BB0DAED79}">
      <text>
        <r>
          <rPr>
            <b/>
            <sz val="9"/>
            <color indexed="81"/>
            <rFont val="Tahoma"/>
            <family val="2"/>
          </rPr>
          <t xml:space="preserve">QFS
</t>
        </r>
        <r>
          <rPr>
            <sz val="9"/>
            <color indexed="81"/>
            <rFont val="Tahoma"/>
            <family val="2"/>
          </rPr>
          <t>Total factor supply quantity.</t>
        </r>
      </text>
    </comment>
    <comment ref="AB5" authorId="0" shapeId="0" xr:uid="{A4B1DEC8-A9A8-4334-8562-FF1A57A6A99F}">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7334D0E-FC1E-4F7E-962D-FA4C033B414B}">
      <text>
        <r>
          <rPr>
            <b/>
            <sz val="9"/>
            <color indexed="81"/>
            <rFont val="Tahoma"/>
            <family val="2"/>
          </rPr>
          <t>TF</t>
        </r>
        <r>
          <rPr>
            <sz val="9"/>
            <color indexed="81"/>
            <rFont val="Tahoma"/>
            <family val="2"/>
          </rPr>
          <t xml:space="preserve">
Direct tax on total factor earnings.</t>
        </r>
      </text>
    </comment>
    <comment ref="AD5" authorId="0" shapeId="0" xr:uid="{A76FCA0C-3983-4088-883D-00CDE74B65E2}">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D823779F-D4D6-4D7D-9E5D-EB64C38D81E4}">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AD9F629A-8D29-405C-91FE-7CA96BEB4CBC}">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660C7D35-492F-4F38-AFA4-E2AF3D0B818D}">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0599396E-EF18-4FF1-A6DF-54A305E4DD5C}">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D076F32C-9C22-4AC5-8259-BED3C65B0C5D}">
      <text>
        <r>
          <rPr>
            <b/>
            <sz val="9"/>
            <color indexed="81"/>
            <rFont val="Tahoma"/>
            <family val="2"/>
          </rPr>
          <t xml:space="preserve">HPOP
</t>
        </r>
        <r>
          <rPr>
            <sz val="9"/>
            <color indexed="81"/>
            <rFont val="Tahoma"/>
            <family val="2"/>
          </rPr>
          <t>Household population.</t>
        </r>
      </text>
    </comment>
    <comment ref="AM5" authorId="0" shapeId="0" xr:uid="{73BC7ECC-3E2B-4013-8A51-A5A8B44D6AC0}">
      <text>
        <r>
          <rPr>
            <b/>
            <sz val="9"/>
            <color indexed="81"/>
            <rFont val="Tahoma"/>
            <family val="2"/>
          </rPr>
          <t xml:space="preserve">MPS
</t>
        </r>
        <r>
          <rPr>
            <sz val="9"/>
            <color indexed="81"/>
            <rFont val="Tahoma"/>
            <family val="2"/>
          </rPr>
          <t>Marginal propensity to save (households and enterprises).</t>
        </r>
      </text>
    </comment>
    <comment ref="AN5" authorId="0" shapeId="0" xr:uid="{CAEEF352-B832-44A4-8BB1-1EE497BFC831}">
      <text>
        <r>
          <rPr>
            <b/>
            <sz val="9"/>
            <color indexed="81"/>
            <rFont val="Tahoma"/>
            <family val="2"/>
          </rPr>
          <t xml:space="preserve">TINS
</t>
        </r>
        <r>
          <rPr>
            <sz val="9"/>
            <color indexed="81"/>
            <rFont val="Tahoma"/>
            <family val="2"/>
          </rPr>
          <t>Institution direct tax rate (households and enterprises).</t>
        </r>
      </text>
    </comment>
    <comment ref="AO5" authorId="0" shapeId="0" xr:uid="{9F389E68-86B9-4D61-A756-C9236F705B4C}">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FFA07BCD-B08F-404A-B874-D83FD7971746}">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AF560714-FFC3-4A00-BCDC-EC26E1555CB3}">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56D2E6CD-D40C-4034-89B9-928CEF75B181}">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5A656BF9-E0BA-468F-AF43-ECA35E24B481}">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6014C02B-1B9F-4A03-BF45-0B82DA021FB2}">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AB9C6B28-36E4-4A0E-A539-564EC2AABF08}">
      <text>
        <r>
          <rPr>
            <b/>
            <sz val="9"/>
            <color indexed="81"/>
            <rFont val="Tahoma"/>
            <family val="2"/>
          </rPr>
          <t xml:space="preserve">EXR
</t>
        </r>
        <r>
          <rPr>
            <sz val="9"/>
            <color indexed="81"/>
            <rFont val="Tahoma"/>
            <family val="2"/>
          </rPr>
          <t>Exchange rate.</t>
        </r>
      </text>
    </comment>
    <comment ref="AW8" authorId="0" shapeId="0" xr:uid="{01704BE2-439D-432E-8463-F7770A567C68}">
      <text>
        <r>
          <rPr>
            <b/>
            <sz val="9"/>
            <color indexed="81"/>
            <rFont val="Tahoma"/>
            <family val="2"/>
          </rPr>
          <t xml:space="preserve">FSAV
</t>
        </r>
        <r>
          <rPr>
            <sz val="9"/>
            <color indexed="81"/>
            <rFont val="Tahoma"/>
            <family val="2"/>
          </rPr>
          <t>Foreign savings.</t>
        </r>
      </text>
    </comment>
    <comment ref="AW9" authorId="0" shapeId="0" xr:uid="{74CC1C5C-BF7E-4091-9F02-06FD3051272D}">
      <text>
        <r>
          <rPr>
            <b/>
            <sz val="9"/>
            <color indexed="81"/>
            <rFont val="Tahoma"/>
            <family val="2"/>
          </rPr>
          <t xml:space="preserve">IADJ
</t>
        </r>
        <r>
          <rPr>
            <sz val="9"/>
            <color indexed="81"/>
            <rFont val="Tahoma"/>
            <family val="2"/>
          </rPr>
          <t xml:space="preserve">Gross fixed capital formation.
</t>
        </r>
      </text>
    </comment>
    <comment ref="AW10" authorId="0" shapeId="0" xr:uid="{AE624BB4-6FB9-4C57-A9CA-E1181F9C2B21}">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AE4F9F95-435E-443F-9161-F3558CCD1206}">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02A3972-CCAA-490A-875C-A38316AFE8E5}">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955048F-EDBC-4556-81E4-8277A37E95ED}">
      <text>
        <r>
          <rPr>
            <b/>
            <sz val="9"/>
            <color indexed="81"/>
            <rFont val="Tahoma"/>
            <family val="2"/>
          </rPr>
          <t xml:space="preserve">GADJ
</t>
        </r>
        <r>
          <rPr>
            <sz val="9"/>
            <color indexed="81"/>
            <rFont val="Tahoma"/>
            <family val="2"/>
          </rPr>
          <t>Government consumption spending.</t>
        </r>
      </text>
    </comment>
    <comment ref="AW14" authorId="0" shapeId="0" xr:uid="{DD066D28-4F47-43F5-BC4B-D3097DD4EF85}">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C5ACE92D-226C-4DBB-8F7B-86D1071015F4}">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55F5071C-4666-4B5E-A24F-3F12374362A4}">
      <text>
        <r>
          <rPr>
            <b/>
            <sz val="9"/>
            <color indexed="81"/>
            <rFont val="Tahoma"/>
            <family val="2"/>
          </rPr>
          <t xml:space="preserve">trnsi
</t>
        </r>
        <r>
          <rPr>
            <sz val="9"/>
            <color indexed="81"/>
            <rFont val="Tahoma"/>
            <family val="2"/>
          </rPr>
          <t>Rest of the world transfers to government</t>
        </r>
      </text>
    </comment>
    <comment ref="AW17" authorId="0" shapeId="0" xr:uid="{07D76AEB-F581-454F-AA38-99ED315B6497}">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A5D122A1-5312-42E8-925E-6140E12781F0}">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481215D3-A577-4C7D-B9B4-A5AB81CD9DB3}">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1F8173D7-8A61-4634-B24E-690B31D8F7C1}">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A46DCAB9-FD17-40CB-88C1-F676374B071D}">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4B538BE8-6ADF-4243-902C-5A419CDC6A42}">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C33F316E-DF46-4615-884F-5AAB19F1AD62}">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BF16A77C-E73A-494C-B9CA-82395D78F701}">
      <text>
        <r>
          <rPr>
            <b/>
            <sz val="9"/>
            <color indexed="81"/>
            <rFont val="Tahoma"/>
            <family val="2"/>
          </rPr>
          <t>alphava</t>
        </r>
        <r>
          <rPr>
            <sz val="9"/>
            <color indexed="81"/>
            <rFont val="Tahoma"/>
            <family val="2"/>
          </rPr>
          <t xml:space="preserve">
Total factor productivity.
</t>
        </r>
      </text>
    </comment>
    <comment ref="AY4" authorId="0" shapeId="0" xr:uid="{997B5810-4CA0-4434-A325-FF9322BEE83E}">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AZ4" authorId="0" shapeId="0" xr:uid="{031EAD9A-C9E9-414A-B773-7D636673A467}">
      <text>
        <r>
          <rPr>
            <b/>
            <sz val="9"/>
            <color indexed="81"/>
            <rFont val="Tahoma"/>
            <family val="2"/>
          </rPr>
          <t>Type of shock</t>
        </r>
        <r>
          <rPr>
            <sz val="9"/>
            <color indexed="81"/>
            <rFont val="Tahoma"/>
            <family val="2"/>
          </rPr>
          <t xml:space="preserve">
  1 = multiplicative
  2 = additive</t>
        </r>
      </text>
    </comment>
    <comment ref="D5" authorId="0" shapeId="0" xr:uid="{4EA3B814-499A-43CC-8EE1-77536C7E9665}">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C455E06C-DB99-46DF-B092-409E1D4EE86E}">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DA2E269D-1999-4C40-9BFF-DB408C9ACB45}">
      <text>
        <r>
          <rPr>
            <b/>
            <sz val="9"/>
            <color indexed="81"/>
            <rFont val="Tahoma"/>
            <family val="2"/>
          </rPr>
          <t>TE</t>
        </r>
        <r>
          <rPr>
            <sz val="9"/>
            <color indexed="81"/>
            <rFont val="Tahoma"/>
            <family val="2"/>
          </rPr>
          <t xml:space="preserve">
Export tax rates</t>
        </r>
      </text>
    </comment>
    <comment ref="G5" authorId="0" shapeId="0" xr:uid="{EC69E9DC-A414-45BD-BA26-5E71C560BBE5}">
      <text>
        <r>
          <rPr>
            <b/>
            <sz val="9"/>
            <color indexed="81"/>
            <rFont val="Tahoma"/>
            <family val="2"/>
          </rPr>
          <t>TM</t>
        </r>
        <r>
          <rPr>
            <sz val="9"/>
            <color indexed="81"/>
            <rFont val="Tahoma"/>
            <family val="2"/>
          </rPr>
          <t xml:space="preserve">
Import tariff rates</t>
        </r>
      </text>
    </comment>
    <comment ref="H5" authorId="0" shapeId="0" xr:uid="{74E70593-716E-444E-8FA3-5693A9745564}">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2A9E6C69-868E-4C19-8DA0-4554F755B016}">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1335BA23-9AC1-4E92-8F29-D86F8DED9BB8}">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BECFA6B7-F6E6-4B89-BBAD-AE95C4EE19F6}">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0A292868-37CB-4EF4-BD5F-33EC73FB2A91}">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0B2360C2-8F9E-4440-B5B3-F75240472EAA}">
      <text>
        <r>
          <rPr>
            <b/>
            <sz val="9"/>
            <color indexed="81"/>
            <rFont val="Tahoma"/>
            <family val="2"/>
          </rPr>
          <t>TA</t>
        </r>
        <r>
          <rPr>
            <sz val="9"/>
            <color indexed="81"/>
            <rFont val="Tahoma"/>
            <family val="2"/>
          </rPr>
          <t xml:space="preserve">
Indirect taxes on total activity production value.</t>
        </r>
      </text>
    </comment>
    <comment ref="R5" authorId="0" shapeId="0" xr:uid="{C39386B0-B525-4ADC-98C4-CB5329A8FEAA}">
      <text>
        <r>
          <rPr>
            <b/>
            <sz val="9"/>
            <color indexed="81"/>
            <rFont val="Tahoma"/>
            <family val="2"/>
          </rPr>
          <t xml:space="preserve">TVA </t>
        </r>
        <r>
          <rPr>
            <sz val="9"/>
            <color indexed="81"/>
            <rFont val="Tahoma"/>
            <family val="2"/>
          </rPr>
          <t xml:space="preserve">
Indirect taxes on activity value-added.</t>
        </r>
      </text>
    </comment>
    <comment ref="S5" authorId="0" shapeId="0" xr:uid="{E6051427-891B-48E9-937B-B8D58FCA8DB2}">
      <text>
        <r>
          <rPr>
            <b/>
            <sz val="9"/>
            <color indexed="81"/>
            <rFont val="Tahoma"/>
            <family val="2"/>
          </rPr>
          <t xml:space="preserve">Capital mobility: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453A457A-465B-4BEE-9361-4FD6EAECAE97}">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64642F32-945B-4E58-996E-2DFE49E6E7F6}">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9067F2D4-8919-4FD8-812B-19643DDA3289}">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DD2369C-7054-47AB-B224-1A9C59BDEDD2}">
      <text>
        <r>
          <rPr>
            <b/>
            <sz val="9"/>
            <color indexed="81"/>
            <rFont val="Tahoma"/>
            <family val="2"/>
          </rPr>
          <t>WF</t>
        </r>
        <r>
          <rPr>
            <sz val="9"/>
            <color indexed="81"/>
            <rFont val="Tahoma"/>
            <family val="2"/>
          </rPr>
          <t xml:space="preserve">
Economywide wage rate.</t>
        </r>
      </text>
    </comment>
    <comment ref="AA5" authorId="0" shapeId="0" xr:uid="{7FE021B7-9253-45E7-B358-0EF1F26CA0D3}">
      <text>
        <r>
          <rPr>
            <b/>
            <sz val="9"/>
            <color indexed="81"/>
            <rFont val="Tahoma"/>
            <family val="2"/>
          </rPr>
          <t xml:space="preserve">QFS
</t>
        </r>
        <r>
          <rPr>
            <sz val="9"/>
            <color indexed="81"/>
            <rFont val="Tahoma"/>
            <family val="2"/>
          </rPr>
          <t>Total factor supply quantity.</t>
        </r>
      </text>
    </comment>
    <comment ref="AB5" authorId="0" shapeId="0" xr:uid="{CAD8FE80-4F53-453B-8E63-21C30100A59F}">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B31E2E6-8DC5-4035-B474-3EA5151D3925}">
      <text>
        <r>
          <rPr>
            <b/>
            <sz val="9"/>
            <color indexed="81"/>
            <rFont val="Tahoma"/>
            <family val="2"/>
          </rPr>
          <t>TF</t>
        </r>
        <r>
          <rPr>
            <sz val="9"/>
            <color indexed="81"/>
            <rFont val="Tahoma"/>
            <family val="2"/>
          </rPr>
          <t xml:space="preserve">
Direct tax on total factor earnings.</t>
        </r>
      </text>
    </comment>
    <comment ref="AD5" authorId="0" shapeId="0" xr:uid="{141FB74D-2BC2-4437-8795-C2E87C3EAD3F}">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C904B545-FBE7-4CE9-B6C2-EE408D9E6449}">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BDB37AD0-84C2-4BD5-B02D-1D50417C5773}">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50AA20B2-C9AD-45BF-82CC-6EE578A2A2CA}">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E50827BA-7C83-42DD-85B2-0C1391DF8E28}">
      <text>
        <r>
          <rPr>
            <b/>
            <sz val="9"/>
            <color indexed="81"/>
            <rFont val="Tahoma"/>
            <family val="2"/>
          </rPr>
          <t xml:space="preserve">Factor tax adjustment:
  </t>
        </r>
        <r>
          <rPr>
            <sz val="9"/>
            <color indexed="81"/>
            <rFont val="Tahoma"/>
            <family val="2"/>
          </rPr>
          <t xml:space="preserve">1 = Allow factor tax to adjust.
  2 = Do not allow factor tax to adjust.
</t>
        </r>
      </text>
    </comment>
    <comment ref="AL5" authorId="0" shapeId="0" xr:uid="{D0D3C077-5567-4FAC-BA20-75996BE03C46}">
      <text>
        <r>
          <rPr>
            <b/>
            <sz val="9"/>
            <color indexed="81"/>
            <rFont val="Tahoma"/>
            <family val="2"/>
          </rPr>
          <t xml:space="preserve">HPOP
</t>
        </r>
        <r>
          <rPr>
            <sz val="9"/>
            <color indexed="81"/>
            <rFont val="Tahoma"/>
            <family val="2"/>
          </rPr>
          <t>Household population.</t>
        </r>
      </text>
    </comment>
    <comment ref="AM5" authorId="0" shapeId="0" xr:uid="{3B64DA8D-98E8-449C-9E60-C091C67B634C}">
      <text>
        <r>
          <rPr>
            <b/>
            <sz val="9"/>
            <color indexed="81"/>
            <rFont val="Tahoma"/>
            <family val="2"/>
          </rPr>
          <t xml:space="preserve">MPS
</t>
        </r>
        <r>
          <rPr>
            <sz val="9"/>
            <color indexed="81"/>
            <rFont val="Tahoma"/>
            <family val="2"/>
          </rPr>
          <t>Marginal propensity to save (households and enterprises).</t>
        </r>
      </text>
    </comment>
    <comment ref="AN5" authorId="0" shapeId="0" xr:uid="{28E03758-975B-4DC0-8FCC-74B581AA358C}">
      <text>
        <r>
          <rPr>
            <b/>
            <sz val="9"/>
            <color indexed="81"/>
            <rFont val="Tahoma"/>
            <family val="2"/>
          </rPr>
          <t xml:space="preserve">TINS
</t>
        </r>
        <r>
          <rPr>
            <sz val="9"/>
            <color indexed="81"/>
            <rFont val="Tahoma"/>
            <family val="2"/>
          </rPr>
          <t>Institution direct tax rate (households and enterprises).</t>
        </r>
      </text>
    </comment>
    <comment ref="AO5" authorId="0" shapeId="0" xr:uid="{EBD4F6B9-6157-4181-A754-E7FC7731EBD4}">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7AF44B52-1A7B-4B13-BB5F-99006985E84D}">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D0108750-A3AA-4CC3-A5DA-FEC4E2D85CF3}">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C42D3302-A40E-4669-B6CE-60E79C8E2B3D}">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04103658-B7C2-4799-B983-131EE57448FB}">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A172C72E-8174-4590-94B0-1D82B8653708}">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0FF5C8C6-7CED-4AE9-A0D7-1F77F56F1927}">
      <text>
        <r>
          <rPr>
            <b/>
            <sz val="9"/>
            <color indexed="81"/>
            <rFont val="Tahoma"/>
            <family val="2"/>
          </rPr>
          <t xml:space="preserve">EXR
</t>
        </r>
        <r>
          <rPr>
            <sz val="9"/>
            <color indexed="81"/>
            <rFont val="Tahoma"/>
            <family val="2"/>
          </rPr>
          <t>Exchange rate.</t>
        </r>
      </text>
    </comment>
    <comment ref="AW8" authorId="0" shapeId="0" xr:uid="{83A96349-ED43-4C85-9A53-FAA9828D3108}">
      <text>
        <r>
          <rPr>
            <b/>
            <sz val="9"/>
            <color indexed="81"/>
            <rFont val="Tahoma"/>
            <family val="2"/>
          </rPr>
          <t xml:space="preserve">FSAV
</t>
        </r>
        <r>
          <rPr>
            <sz val="9"/>
            <color indexed="81"/>
            <rFont val="Tahoma"/>
            <family val="2"/>
          </rPr>
          <t>Foreign savings.</t>
        </r>
      </text>
    </comment>
    <comment ref="AW9" authorId="0" shapeId="0" xr:uid="{851620EA-6052-4903-88A8-F5DDDFD14192}">
      <text>
        <r>
          <rPr>
            <b/>
            <sz val="9"/>
            <color indexed="81"/>
            <rFont val="Tahoma"/>
            <family val="2"/>
          </rPr>
          <t xml:space="preserve">IADJ
</t>
        </r>
        <r>
          <rPr>
            <sz val="9"/>
            <color indexed="81"/>
            <rFont val="Tahoma"/>
            <family val="2"/>
          </rPr>
          <t xml:space="preserve">Gross fixed capital formation.
</t>
        </r>
      </text>
    </comment>
    <comment ref="AW10" authorId="0" shapeId="0" xr:uid="{8948B496-2B97-44A6-8FA3-699AB7804368}">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3C32CEC0-5140-43E5-86C7-213A2223A008}">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F3FB4301-B580-4709-AE2C-233A6593050E}">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94AD51C8-15A1-49AA-B058-956709521A77}">
      <text>
        <r>
          <rPr>
            <b/>
            <sz val="9"/>
            <color indexed="81"/>
            <rFont val="Tahoma"/>
            <family val="2"/>
          </rPr>
          <t xml:space="preserve">GADJ
</t>
        </r>
        <r>
          <rPr>
            <sz val="9"/>
            <color indexed="81"/>
            <rFont val="Tahoma"/>
            <family val="2"/>
          </rPr>
          <t>Government consumption spending.</t>
        </r>
      </text>
    </comment>
    <comment ref="AW14" authorId="0" shapeId="0" xr:uid="{94B00288-62B7-4192-9094-76A514693C7D}">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AE1CE8BB-6D8C-4BBC-9F70-29C94E2583B8}">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5B9B9D07-30CB-416D-A8DA-B54BD11F5F86}">
      <text>
        <r>
          <rPr>
            <b/>
            <sz val="9"/>
            <color indexed="81"/>
            <rFont val="Tahoma"/>
            <family val="2"/>
          </rPr>
          <t xml:space="preserve">trnsi
</t>
        </r>
        <r>
          <rPr>
            <sz val="9"/>
            <color indexed="81"/>
            <rFont val="Tahoma"/>
            <family val="2"/>
          </rPr>
          <t>Rest of the world transfers to government</t>
        </r>
      </text>
    </comment>
    <comment ref="AW17" authorId="0" shapeId="0" xr:uid="{9E75E2DD-5E02-4C09-83C6-34C18DFD3E1D}">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0B7593AF-55D3-4A65-9294-AACD22B68607}">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E5CF718D-441D-4C39-A4E2-EB2BF2AE0205}">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00B65988-5465-4C12-93D8-70A90F5F4164}">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4888C74D-7E71-4C81-8CD8-6B02D239DCEF}">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48B63EA8-97FF-482B-8FF0-1A0037C7D57A}">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13A52534-EF98-4A8F-A8F1-181A1FEF5639}">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List>
</comments>
</file>

<file path=xl/sharedStrings.xml><?xml version="1.0" encoding="utf-8"?>
<sst xmlns="http://schemas.openxmlformats.org/spreadsheetml/2006/main" count="6862" uniqueCount="864">
  <si>
    <t>Country</t>
  </si>
  <si>
    <t>Year</t>
  </si>
  <si>
    <t>Units</t>
  </si>
  <si>
    <t>Activities and commodities</t>
  </si>
  <si>
    <t>Factors</t>
  </si>
  <si>
    <t>Households</t>
  </si>
  <si>
    <t>Other accounts</t>
  </si>
  <si>
    <t>trc</t>
  </si>
  <si>
    <t>Transaction costs</t>
  </si>
  <si>
    <t>ent</t>
  </si>
  <si>
    <t>Enterprises</t>
  </si>
  <si>
    <t>flnd</t>
  </si>
  <si>
    <t>gov</t>
  </si>
  <si>
    <t>Government</t>
  </si>
  <si>
    <t>atax</t>
  </si>
  <si>
    <t>Taxes - activity</t>
  </si>
  <si>
    <t>dtax</t>
  </si>
  <si>
    <t>Taxes - direct</t>
  </si>
  <si>
    <t>etax</t>
  </si>
  <si>
    <t>Taxes - export</t>
  </si>
  <si>
    <t>ftax</t>
  </si>
  <si>
    <t>Taxes - factor</t>
  </si>
  <si>
    <t>mtax</t>
  </si>
  <si>
    <t>Taxes - import</t>
  </si>
  <si>
    <t>stax</t>
  </si>
  <si>
    <t>Taxes - sales</t>
  </si>
  <si>
    <t>vtax</t>
  </si>
  <si>
    <t>Taxes - value-added</t>
  </si>
  <si>
    <t>s-i</t>
  </si>
  <si>
    <t>Savings-investment</t>
  </si>
  <si>
    <t>dstk</t>
  </si>
  <si>
    <t>Change in stocks</t>
  </si>
  <si>
    <t>row</t>
  </si>
  <si>
    <t>Rest of world</t>
  </si>
  <si>
    <t>total</t>
  </si>
  <si>
    <t>Total</t>
  </si>
  <si>
    <t>Activate Simulations and Select Closures</t>
  </si>
  <si>
    <t>Activate simulations</t>
  </si>
  <si>
    <t>base</t>
  </si>
  <si>
    <t>Base scenario</t>
  </si>
  <si>
    <t>Numeraire</t>
  </si>
  <si>
    <t>Factor market closures</t>
  </si>
  <si>
    <t>sim11</t>
  </si>
  <si>
    <t>sim12</t>
  </si>
  <si>
    <t>sim13</t>
  </si>
  <si>
    <t>sim14</t>
  </si>
  <si>
    <t>sim15</t>
  </si>
  <si>
    <t>Investment is savings-driven</t>
  </si>
  <si>
    <t>Fully employed and mobile</t>
  </si>
  <si>
    <t>Fully employed and activity-specific</t>
  </si>
  <si>
    <t>Unemployed and mobile</t>
  </si>
  <si>
    <t>Factor closures:</t>
  </si>
  <si>
    <t>Savings-investment closures:</t>
  </si>
  <si>
    <t>Numeraire:</t>
  </si>
  <si>
    <t>Current account closures:</t>
  </si>
  <si>
    <t>Government account closures:</t>
  </si>
  <si>
    <t>Commodity shocks</t>
  </si>
  <si>
    <t>Activity shocks</t>
  </si>
  <si>
    <t>Factor shocks</t>
  </si>
  <si>
    <t>World prices</t>
  </si>
  <si>
    <t>Commodity taxes</t>
  </si>
  <si>
    <t>TFP</t>
  </si>
  <si>
    <t>Activity taxes</t>
  </si>
  <si>
    <t>Factor</t>
  </si>
  <si>
    <t>Wage</t>
  </si>
  <si>
    <t>Exports</t>
  </si>
  <si>
    <t>Imports</t>
  </si>
  <si>
    <t>Sales</t>
  </si>
  <si>
    <t>Domestic</t>
  </si>
  <si>
    <t>Activity</t>
  </si>
  <si>
    <t>taxes</t>
  </si>
  <si>
    <t>rate</t>
  </si>
  <si>
    <t>supply</t>
  </si>
  <si>
    <t>pwe</t>
  </si>
  <si>
    <t>pwm</t>
  </si>
  <si>
    <t>te</t>
  </si>
  <si>
    <t>tm</t>
  </si>
  <si>
    <t>tq</t>
  </si>
  <si>
    <t>ice</t>
  </si>
  <si>
    <t>icm</t>
  </si>
  <si>
    <t>icd</t>
  </si>
  <si>
    <t>fixcap</t>
  </si>
  <si>
    <t>alphava</t>
  </si>
  <si>
    <t>ta</t>
  </si>
  <si>
    <t>tf</t>
  </si>
  <si>
    <t>wf</t>
  </si>
  <si>
    <t>qfs</t>
  </si>
  <si>
    <t>Gov.</t>
  </si>
  <si>
    <t>World</t>
  </si>
  <si>
    <t>Exchange rate</t>
  </si>
  <si>
    <t>exr</t>
  </si>
  <si>
    <t>Investment</t>
  </si>
  <si>
    <t>iadj</t>
  </si>
  <si>
    <t>Foreign savings</t>
  </si>
  <si>
    <t>fsav</t>
  </si>
  <si>
    <t>Gov. savings</t>
  </si>
  <si>
    <t>gsav</t>
  </si>
  <si>
    <t>Gov. spending</t>
  </si>
  <si>
    <t>gadj</t>
  </si>
  <si>
    <t>Savings rates</t>
  </si>
  <si>
    <t>Savings</t>
  </si>
  <si>
    <t>Taxes</t>
  </si>
  <si>
    <t>mps</t>
  </si>
  <si>
    <t>Macro closures</t>
  </si>
  <si>
    <t>Closures</t>
  </si>
  <si>
    <t>Active? (0 = no |  1 = yes)</t>
  </si>
  <si>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TQ</t>
    </r>
    <r>
      <rPr>
        <sz val="11"/>
        <color theme="1"/>
        <rFont val="Calibri"/>
        <family val="2"/>
        <scheme val="minor"/>
      </rPr>
      <t xml:space="preserve"> adjustment  </t>
    </r>
    <r>
      <rPr>
        <sz val="11"/>
        <color theme="0" tint="-0.34998626667073579"/>
        <rFont val="Calibri"/>
        <family val="2"/>
        <scheme val="minor"/>
      </rPr>
      <t>(identical point change in sales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</si>
  <si>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TQ</t>
    </r>
    <r>
      <rPr>
        <sz val="11"/>
        <color theme="1"/>
        <rFont val="Calibri"/>
        <family val="2"/>
        <scheme val="minor"/>
      </rPr>
      <t xml:space="preserve"> adjustment  </t>
    </r>
    <r>
      <rPr>
        <sz val="11"/>
        <color theme="0" tint="-0.34998626667073579"/>
        <rFont val="Calibri"/>
        <family val="2"/>
        <scheme val="minor"/>
      </rPr>
      <t>(proportional change in sales tax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</si>
  <si>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TA</t>
    </r>
    <r>
      <rPr>
        <sz val="11"/>
        <color theme="1"/>
        <rFont val="Calibri"/>
        <family val="2"/>
        <scheme val="minor"/>
      </rPr>
      <t xml:space="preserve"> adjustment  </t>
    </r>
    <r>
      <rPr>
        <sz val="11"/>
        <color theme="0" tint="-0.34998626667073579"/>
        <rFont val="Calibri"/>
        <family val="2"/>
        <scheme val="minor"/>
      </rPr>
      <t>(identical point change in activity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</si>
  <si>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TA</t>
    </r>
    <r>
      <rPr>
        <sz val="11"/>
        <color theme="1"/>
        <rFont val="Calibri"/>
        <family val="2"/>
        <scheme val="minor"/>
      </rPr>
      <t xml:space="preserve"> adjustment  </t>
    </r>
    <r>
      <rPr>
        <sz val="11"/>
        <color theme="0" tint="-0.34998626667073579"/>
        <rFont val="Calibri"/>
        <family val="2"/>
        <scheme val="minor"/>
      </rPr>
      <t>(proportional change in activity tax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</si>
  <si>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TM</t>
    </r>
    <r>
      <rPr>
        <sz val="11"/>
        <color theme="1"/>
        <rFont val="Calibri"/>
        <family val="2"/>
        <scheme val="minor"/>
      </rPr>
      <t xml:space="preserve"> adjustment  </t>
    </r>
    <r>
      <rPr>
        <sz val="11"/>
        <color theme="0" tint="-0.34998626667073579"/>
        <rFont val="Calibri"/>
        <family val="2"/>
        <scheme val="minor"/>
      </rPr>
      <t>(identical point change in import tariff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</si>
  <si>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TM</t>
    </r>
    <r>
      <rPr>
        <sz val="11"/>
        <color theme="1"/>
        <rFont val="Calibri"/>
        <family val="2"/>
        <scheme val="minor"/>
      </rPr>
      <t xml:space="preserve"> adjustment </t>
    </r>
    <r>
      <rPr>
        <sz val="11"/>
        <color theme="0" tint="-0.34998626667073579"/>
        <rFont val="Calibri"/>
        <family val="2"/>
        <scheme val="minor"/>
      </rPr>
      <t xml:space="preserve"> (proportional change in import tariff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</si>
  <si>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TE</t>
    </r>
    <r>
      <rPr>
        <sz val="11"/>
        <color theme="1"/>
        <rFont val="Calibri"/>
        <family val="2"/>
        <scheme val="minor"/>
      </rPr>
      <t xml:space="preserve"> adjustment  </t>
    </r>
    <r>
      <rPr>
        <sz val="11"/>
        <color theme="0" tint="-0.34998626667073579"/>
        <rFont val="Calibri"/>
        <family val="2"/>
        <scheme val="minor"/>
      </rPr>
      <t>(identical point change in export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</si>
  <si>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TE</t>
    </r>
    <r>
      <rPr>
        <sz val="11"/>
        <color theme="1"/>
        <rFont val="Calibri"/>
        <family val="2"/>
        <scheme val="minor"/>
      </rPr>
      <t xml:space="preserve"> adjustment  </t>
    </r>
    <r>
      <rPr>
        <sz val="11"/>
        <color theme="0" tint="-0.34998626667073579"/>
        <rFont val="Calibri"/>
        <family val="2"/>
        <scheme val="minor"/>
      </rPr>
      <t>(proportional change in export tax rate)</t>
    </r>
  </si>
  <si>
    <r>
      <rPr>
        <b/>
        <sz val="11"/>
        <color theme="1"/>
        <rFont val="Calibri"/>
        <family val="2"/>
        <scheme val="minor"/>
      </rPr>
      <t xml:space="preserve">CPI </t>
    </r>
    <r>
      <rPr>
        <sz val="11"/>
        <color theme="1"/>
        <rFont val="Calibri"/>
        <family val="2"/>
        <scheme val="minor"/>
      </rPr>
      <t xml:space="preserve">is fixed numeraire  </t>
    </r>
    <r>
      <rPr>
        <sz val="11"/>
        <color theme="0" tint="-0.34998626667073579"/>
        <rFont val="Calibri"/>
        <family val="2"/>
        <scheme val="minor"/>
      </rPr>
      <t>(DPI is flexible)</t>
    </r>
  </si>
  <si>
    <r>
      <rPr>
        <b/>
        <sz val="11"/>
        <color theme="1"/>
        <rFont val="Calibri"/>
        <family val="2"/>
        <scheme val="minor"/>
      </rPr>
      <t xml:space="preserve">DPI </t>
    </r>
    <r>
      <rPr>
        <sz val="11"/>
        <color theme="1"/>
        <rFont val="Calibri"/>
        <family val="2"/>
        <scheme val="minor"/>
      </rPr>
      <t xml:space="preserve">is fixed numeraire  </t>
    </r>
    <r>
      <rPr>
        <sz val="11"/>
        <color theme="0" tint="-0.34998626667073579"/>
        <rFont val="Calibri"/>
        <family val="2"/>
        <scheme val="minor"/>
      </rPr>
      <t>(CPI is flexible)</t>
    </r>
  </si>
  <si>
    <r>
      <t xml:space="preserve">Investment-driven savings - </t>
    </r>
    <r>
      <rPr>
        <u/>
        <sz val="11"/>
        <color theme="1"/>
        <rFont val="Calibri"/>
        <family val="2"/>
        <scheme val="minor"/>
      </rPr>
      <t>uniform</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(identical point change in marginal propensities to save across selected institutions)</t>
    </r>
  </si>
  <si>
    <r>
      <t xml:space="preserve">Investment-driven savings - </t>
    </r>
    <r>
      <rPr>
        <u/>
        <sz val="11"/>
        <color theme="1"/>
        <rFont val="Calibri"/>
        <family val="2"/>
        <scheme val="minor"/>
      </rPr>
      <t>scaled</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(proportional change in marginal propensities to save across selected institutions)</t>
    </r>
  </si>
  <si>
    <r>
      <t xml:space="preserve">Balanced: Investment is fixed share  of absorption - </t>
    </r>
    <r>
      <rPr>
        <u/>
        <sz val="11"/>
        <color theme="1"/>
        <rFont val="Calibri"/>
        <family val="2"/>
        <scheme val="minor"/>
      </rPr>
      <t>uniform</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(identical point change in marginal propensity to save)</t>
    </r>
  </si>
  <si>
    <r>
      <t xml:space="preserve">Balanced: Investment is fixed share  of absorption - </t>
    </r>
    <r>
      <rPr>
        <u/>
        <sz val="11"/>
        <color theme="1"/>
        <rFont val="Calibri"/>
        <family val="2"/>
        <scheme val="minor"/>
      </rPr>
      <t>scaled</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(proportional change in marginal propensity to save)</t>
    </r>
  </si>
  <si>
    <r>
      <t xml:space="preserve">Exchange rate </t>
    </r>
    <r>
      <rPr>
        <b/>
        <sz val="11"/>
        <color theme="1"/>
        <rFont val="Calibri"/>
        <family val="2"/>
        <scheme val="minor"/>
      </rPr>
      <t>EXR</t>
    </r>
    <r>
      <rPr>
        <sz val="11"/>
        <color theme="1"/>
        <rFont val="Calibri"/>
        <family val="2"/>
        <scheme val="minor"/>
      </rPr>
      <t xml:space="preserve"> is flexible  </t>
    </r>
    <r>
      <rPr>
        <sz val="11"/>
        <color theme="0" tint="-0.34998626667073579"/>
        <rFont val="Calibri"/>
        <family val="2"/>
        <scheme val="minor"/>
      </rPr>
      <t>(foreign savings are fixed)</t>
    </r>
  </si>
  <si>
    <r>
      <t xml:space="preserve">Foreign savings </t>
    </r>
    <r>
      <rPr>
        <b/>
        <sz val="11"/>
        <color theme="1"/>
        <rFont val="Calibri"/>
        <family val="2"/>
        <scheme val="minor"/>
      </rPr>
      <t>FSAV</t>
    </r>
    <r>
      <rPr>
        <sz val="11"/>
        <color theme="1"/>
        <rFont val="Calibri"/>
        <family val="2"/>
        <scheme val="minor"/>
      </rPr>
      <t xml:space="preserve"> are flexible  </t>
    </r>
    <r>
      <rPr>
        <sz val="11"/>
        <color theme="0" tint="-0.34998626667073579"/>
        <rFont val="Calibri"/>
        <family val="2"/>
        <scheme val="minor"/>
      </rPr>
      <t>(exchange rate is fixed)</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</si>
  <si>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TF</t>
    </r>
    <r>
      <rPr>
        <sz val="11"/>
        <color theme="1"/>
        <rFont val="Calibri"/>
        <family val="2"/>
        <scheme val="minor"/>
      </rPr>
      <t xml:space="preserve"> adjustment  </t>
    </r>
    <r>
      <rPr>
        <sz val="11"/>
        <color theme="0" tint="-0.34998626667073579"/>
        <rFont val="Calibri"/>
        <family val="2"/>
        <scheme val="minor"/>
      </rPr>
      <t>(identical point change in factor tax rate for selected factors)</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</si>
  <si>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TF</t>
    </r>
    <r>
      <rPr>
        <sz val="11"/>
        <color theme="1"/>
        <rFont val="Calibri"/>
        <family val="2"/>
        <scheme val="minor"/>
      </rPr>
      <t xml:space="preserve"> adjustment  </t>
    </r>
    <r>
      <rPr>
        <sz val="11"/>
        <color theme="0" tint="-0.34998626667073579"/>
        <rFont val="Calibri"/>
        <family val="2"/>
        <scheme val="minor"/>
      </rPr>
      <t>(proportional change in factor tax rate for selected factors)</t>
    </r>
  </si>
  <si>
    <t>tax</t>
  </si>
  <si>
    <t>VAD</t>
  </si>
  <si>
    <t>Macro shocks</t>
  </si>
  <si>
    <t>Transfers to…</t>
  </si>
  <si>
    <t>Transfers from…</t>
  </si>
  <si>
    <t>trfg</t>
  </si>
  <si>
    <t>trfw</t>
  </si>
  <si>
    <t>trtg</t>
  </si>
  <si>
    <t>trtw</t>
  </si>
  <si>
    <t xml:space="preserve">Pop. </t>
  </si>
  <si>
    <t>pop</t>
  </si>
  <si>
    <t>change</t>
  </si>
  <si>
    <t>mclose</t>
  </si>
  <si>
    <t>fclose</t>
  </si>
  <si>
    <t>sim</t>
  </si>
  <si>
    <t>active</t>
  </si>
  <si>
    <t>dset</t>
  </si>
  <si>
    <t>par</t>
  </si>
  <si>
    <t>rdim</t>
  </si>
  <si>
    <t>cdim</t>
  </si>
  <si>
    <r>
      <t>Savings</t>
    </r>
    <r>
      <rPr>
        <sz val="11"/>
        <color theme="0"/>
        <rFont val="Calibri"/>
        <family val="2"/>
        <scheme val="minor"/>
      </rPr>
      <t>-</t>
    </r>
    <r>
      <rPr>
        <sz val="11"/>
        <color theme="1"/>
        <rFont val="Calibri"/>
        <family val="2"/>
        <scheme val="minor"/>
      </rPr>
      <t>investment</t>
    </r>
  </si>
  <si>
    <r>
      <t>Current</t>
    </r>
    <r>
      <rPr>
        <sz val="11"/>
        <color theme="0"/>
        <rFont val="Calibri"/>
        <family val="2"/>
        <scheme val="minor"/>
      </rPr>
      <t>-</t>
    </r>
    <r>
      <rPr>
        <sz val="11"/>
        <color theme="1"/>
        <rFont val="Calibri"/>
        <family val="2"/>
        <scheme val="minor"/>
      </rPr>
      <t>account</t>
    </r>
  </si>
  <si>
    <r>
      <t>Government</t>
    </r>
    <r>
      <rPr>
        <sz val="11"/>
        <color theme="0"/>
        <rFont val="Calibri"/>
        <family val="2"/>
        <scheme val="minor"/>
      </rPr>
      <t>-</t>
    </r>
    <r>
      <rPr>
        <sz val="11"/>
        <color theme="1"/>
        <rFont val="Calibri"/>
        <family val="2"/>
        <scheme val="minor"/>
      </rPr>
      <t>account</t>
    </r>
  </si>
  <si>
    <t>sim1c</t>
  </si>
  <si>
    <t>sim2c</t>
  </si>
  <si>
    <t>sim3c</t>
  </si>
  <si>
    <t>sim4c</t>
  </si>
  <si>
    <t>sim5c</t>
  </si>
  <si>
    <t>sim6c</t>
  </si>
  <si>
    <t>sim7c</t>
  </si>
  <si>
    <t>sim8c</t>
  </si>
  <si>
    <t>sim9c</t>
  </si>
  <si>
    <t>sim10c</t>
  </si>
  <si>
    <t>sim11c</t>
  </si>
  <si>
    <t>sim12c</t>
  </si>
  <si>
    <t>sim13c</t>
  </si>
  <si>
    <t>sim14c</t>
  </si>
  <si>
    <t>sim15c</t>
  </si>
  <si>
    <t>sim1a</t>
  </si>
  <si>
    <t>sim2a</t>
  </si>
  <si>
    <t>sim3a</t>
  </si>
  <si>
    <t>sim4a</t>
  </si>
  <si>
    <t>sim5a</t>
  </si>
  <si>
    <t>sim6a</t>
  </si>
  <si>
    <t>sim7a</t>
  </si>
  <si>
    <t>sim8a</t>
  </si>
  <si>
    <t>sim9a</t>
  </si>
  <si>
    <t>sim10a</t>
  </si>
  <si>
    <t>sim11a</t>
  </si>
  <si>
    <t>sim12a</t>
  </si>
  <si>
    <t>sim13a</t>
  </si>
  <si>
    <t>sim14a</t>
  </si>
  <si>
    <t>sim15a</t>
  </si>
  <si>
    <t>sim1f</t>
  </si>
  <si>
    <t>sim2f</t>
  </si>
  <si>
    <t>sim3f</t>
  </si>
  <si>
    <t>sim4f</t>
  </si>
  <si>
    <t>sim5f</t>
  </si>
  <si>
    <t>sim6f</t>
  </si>
  <si>
    <t>sim7f</t>
  </si>
  <si>
    <t>sim8f</t>
  </si>
  <si>
    <t>sim9f</t>
  </si>
  <si>
    <t>sim10f</t>
  </si>
  <si>
    <t>sim11f</t>
  </si>
  <si>
    <t>sim12f</t>
  </si>
  <si>
    <t>sim13f</t>
  </si>
  <si>
    <t>sim14f</t>
  </si>
  <si>
    <t>sim15f</t>
  </si>
  <si>
    <t>sim1h</t>
  </si>
  <si>
    <t>sim2h</t>
  </si>
  <si>
    <t>sim3h</t>
  </si>
  <si>
    <t>sim4h</t>
  </si>
  <si>
    <t>sim5h</t>
  </si>
  <si>
    <t>sim6h</t>
  </si>
  <si>
    <t>sim7h</t>
  </si>
  <si>
    <t>sim8h</t>
  </si>
  <si>
    <t>sim9h</t>
  </si>
  <si>
    <t>sim10h</t>
  </si>
  <si>
    <t>sim11h</t>
  </si>
  <si>
    <t>sim12h</t>
  </si>
  <si>
    <t>sim13h</t>
  </si>
  <si>
    <t>sim14h</t>
  </si>
  <si>
    <t>sim15h</t>
  </si>
  <si>
    <t>shk</t>
  </si>
  <si>
    <t>type</t>
  </si>
  <si>
    <t>typ1c</t>
  </si>
  <si>
    <t>typ2c</t>
  </si>
  <si>
    <t>typ3c</t>
  </si>
  <si>
    <t>typ4c</t>
  </si>
  <si>
    <t>typ5c</t>
  </si>
  <si>
    <t>typ6c</t>
  </si>
  <si>
    <t>typ7c</t>
  </si>
  <si>
    <t>typ8c</t>
  </si>
  <si>
    <t>typ9c</t>
  </si>
  <si>
    <t>typ10c</t>
  </si>
  <si>
    <t>typ11c</t>
  </si>
  <si>
    <t>typ12c</t>
  </si>
  <si>
    <t>typ13c</t>
  </si>
  <si>
    <t>typ14c</t>
  </si>
  <si>
    <t>typ15c</t>
  </si>
  <si>
    <t>typ1a</t>
  </si>
  <si>
    <t>typ2a</t>
  </si>
  <si>
    <t>typ3a</t>
  </si>
  <si>
    <t>typ4a</t>
  </si>
  <si>
    <t>typ5a</t>
  </si>
  <si>
    <t>typ6a</t>
  </si>
  <si>
    <t>typ7a</t>
  </si>
  <si>
    <t>typ8a</t>
  </si>
  <si>
    <t>typ9a</t>
  </si>
  <si>
    <t>typ10a</t>
  </si>
  <si>
    <t>typ11a</t>
  </si>
  <si>
    <t>typ12a</t>
  </si>
  <si>
    <t>typ13a</t>
  </si>
  <si>
    <t>typ14a</t>
  </si>
  <si>
    <t>typ15a</t>
  </si>
  <si>
    <t>typ1f</t>
  </si>
  <si>
    <t>typ2f</t>
  </si>
  <si>
    <t>typ3f</t>
  </si>
  <si>
    <t>typ4f</t>
  </si>
  <si>
    <t>typ5f</t>
  </si>
  <si>
    <t>typ6f</t>
  </si>
  <si>
    <t>typ7f</t>
  </si>
  <si>
    <t>typ8f</t>
  </si>
  <si>
    <t>typ9f</t>
  </si>
  <si>
    <t>typ10f</t>
  </si>
  <si>
    <t>typ11f</t>
  </si>
  <si>
    <t>typ12f</t>
  </si>
  <si>
    <t>typ13f</t>
  </si>
  <si>
    <t>typ14f</t>
  </si>
  <si>
    <t>typ15f</t>
  </si>
  <si>
    <t>typ1h</t>
  </si>
  <si>
    <t>typ2h</t>
  </si>
  <si>
    <t>typ3h</t>
  </si>
  <si>
    <t>typ4h</t>
  </si>
  <si>
    <t>typ5h</t>
  </si>
  <si>
    <t>typ6h</t>
  </si>
  <si>
    <t>typ7h</t>
  </si>
  <si>
    <t>typ8h</t>
  </si>
  <si>
    <t>typ9h</t>
  </si>
  <si>
    <t>typ10h</t>
  </si>
  <si>
    <t>typ11h</t>
  </si>
  <si>
    <t>typ12h</t>
  </si>
  <si>
    <t>typ13h</t>
  </si>
  <si>
    <t>typ14h</t>
  </si>
  <si>
    <t>typ15h</t>
  </si>
  <si>
    <t>sim1s</t>
  </si>
  <si>
    <t>sim2s</t>
  </si>
  <si>
    <t>sim3s</t>
  </si>
  <si>
    <t>sim4s</t>
  </si>
  <si>
    <t>sim5s</t>
  </si>
  <si>
    <t>sim6s</t>
  </si>
  <si>
    <t>sim7s</t>
  </si>
  <si>
    <t>sim8s</t>
  </si>
  <si>
    <t>sim9s</t>
  </si>
  <si>
    <t>sim10s</t>
  </si>
  <si>
    <t>sim11s</t>
  </si>
  <si>
    <t>sim12s</t>
  </si>
  <si>
    <t>sim13s</t>
  </si>
  <si>
    <t>sim14s</t>
  </si>
  <si>
    <t>sim15s</t>
  </si>
  <si>
    <t>Household and enterprise shocks</t>
  </si>
  <si>
    <t>Fix cap.</t>
  </si>
  <si>
    <t>fixlnd</t>
  </si>
  <si>
    <t>Fix land</t>
  </si>
  <si>
    <r>
      <t xml:space="preserve">Government savings </t>
    </r>
    <r>
      <rPr>
        <b/>
        <sz val="11"/>
        <color theme="1"/>
        <rFont val="Calibri"/>
        <family val="2"/>
        <scheme val="minor"/>
      </rPr>
      <t>GSAV</t>
    </r>
    <r>
      <rPr>
        <sz val="11"/>
        <color theme="1"/>
        <rFont val="Calibri"/>
        <family val="2"/>
        <scheme val="minor"/>
      </rPr>
      <t xml:space="preserve"> are flexible  </t>
    </r>
    <r>
      <rPr>
        <sz val="11"/>
        <color theme="0" tint="-0.34998626667073579"/>
        <rFont val="Calibri"/>
        <family val="2"/>
        <scheme val="minor"/>
      </rPr>
      <t>(all direct and indirect tax rates is fixed)</t>
    </r>
  </si>
  <si>
    <t>save</t>
  </si>
  <si>
    <t>Direct</t>
  </si>
  <si>
    <t>Export taxes</t>
  </si>
  <si>
    <t>Import tariffs</t>
  </si>
  <si>
    <t>Sales taxes</t>
  </si>
  <si>
    <t>Value-added taxes</t>
  </si>
  <si>
    <t>Factor taxes</t>
  </si>
  <si>
    <t>Direct taxes</t>
  </si>
  <si>
    <t>govshr</t>
  </si>
  <si>
    <t>Gov. absorp. share</t>
  </si>
  <si>
    <t>Inv. absorp. share</t>
  </si>
  <si>
    <t>invshr</t>
  </si>
  <si>
    <t>Shock</t>
  </si>
  <si>
    <t xml:space="preserve">   Shock</t>
  </si>
  <si>
    <r>
      <t xml:space="preserve">   Multiplicative?</t>
    </r>
    <r>
      <rPr>
        <sz val="11"/>
        <rFont val="Calibri"/>
        <family val="2"/>
        <scheme val="minor"/>
      </rPr>
      <t xml:space="preserve"> (1 = yes  |  2 = additive)</t>
    </r>
  </si>
  <si>
    <t>Scalar parameter</t>
  </si>
  <si>
    <t>Multi-</t>
  </si>
  <si>
    <t>plicative</t>
  </si>
  <si>
    <t>Accounts</t>
  </si>
  <si>
    <t>Description</t>
  </si>
  <si>
    <t>GDX Index</t>
  </si>
  <si>
    <t>main!c5</t>
  </si>
  <si>
    <t>main!h4</t>
  </si>
  <si>
    <t>main!h12</t>
  </si>
  <si>
    <t xml:space="preserve">s1!c12  </t>
  </si>
  <si>
    <t xml:space="preserve">s2!c12  </t>
  </si>
  <si>
    <t xml:space="preserve">s3!c12  </t>
  </si>
  <si>
    <t xml:space="preserve">s4!c12  </t>
  </si>
  <si>
    <t xml:space="preserve">s5!c12  </t>
  </si>
  <si>
    <t xml:space="preserve">s6!c12  </t>
  </si>
  <si>
    <t xml:space="preserve">s7!c12  </t>
  </si>
  <si>
    <t xml:space="preserve">s8!c12  </t>
  </si>
  <si>
    <t xml:space="preserve">s9!c12  </t>
  </si>
  <si>
    <t xml:space="preserve">s10!c12 </t>
  </si>
  <si>
    <t xml:space="preserve">s11!c12 </t>
  </si>
  <si>
    <t xml:space="preserve">s12!c12 </t>
  </si>
  <si>
    <t xml:space="preserve">s13!c12 </t>
  </si>
  <si>
    <t xml:space="preserve">s14!c12 </t>
  </si>
  <si>
    <t xml:space="preserve">s15!c12 </t>
  </si>
  <si>
    <t xml:space="preserve">s1!d8   </t>
  </si>
  <si>
    <t xml:space="preserve">s2!d8   </t>
  </si>
  <si>
    <t xml:space="preserve">s3!d8   </t>
  </si>
  <si>
    <t xml:space="preserve">s4!d8   </t>
  </si>
  <si>
    <t xml:space="preserve">s5!d8   </t>
  </si>
  <si>
    <t xml:space="preserve">s6!d8   </t>
  </si>
  <si>
    <t xml:space="preserve">s7!d8   </t>
  </si>
  <si>
    <t xml:space="preserve">s8!d8   </t>
  </si>
  <si>
    <t xml:space="preserve">s9!d8   </t>
  </si>
  <si>
    <t xml:space="preserve">s10!d8  </t>
  </si>
  <si>
    <t xml:space="preserve">s11!d8  </t>
  </si>
  <si>
    <t xml:space="preserve">s12!d8  </t>
  </si>
  <si>
    <t xml:space="preserve">s13!d8  </t>
  </si>
  <si>
    <t xml:space="preserve">s14!d8  </t>
  </si>
  <si>
    <t xml:space="preserve">s15!d8  </t>
  </si>
  <si>
    <t>alphaf</t>
  </si>
  <si>
    <t>Product-</t>
  </si>
  <si>
    <t>ivity</t>
  </si>
  <si>
    <t>Prod. shk</t>
  </si>
  <si>
    <t>tv</t>
  </si>
  <si>
    <t>ti</t>
  </si>
  <si>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TI</t>
    </r>
    <r>
      <rPr>
        <sz val="11"/>
        <color theme="1"/>
        <rFont val="Calibri"/>
        <family val="2"/>
        <scheme val="minor"/>
      </rPr>
      <t xml:space="preserve"> adjustment  </t>
    </r>
    <r>
      <rPr>
        <sz val="11"/>
        <color theme="0" tint="-0.34998626667073579"/>
        <rFont val="Calibri"/>
        <family val="2"/>
        <scheme val="minor"/>
      </rPr>
      <t>(identical point change in direct tax rate for selected institutions)</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</si>
  <si>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TI</t>
    </r>
    <r>
      <rPr>
        <sz val="11"/>
        <color theme="1"/>
        <rFont val="Calibri"/>
        <family val="2"/>
        <scheme val="minor"/>
      </rPr>
      <t xml:space="preserve"> adjustment  </t>
    </r>
    <r>
      <rPr>
        <sz val="11"/>
        <color theme="0" tint="-0.34998626667073579"/>
        <rFont val="Calibri"/>
        <family val="2"/>
        <scheme val="minor"/>
      </rPr>
      <t>(proportional change in direct tax rate for selected institutions)</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</si>
  <si>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TV</t>
    </r>
    <r>
      <rPr>
        <sz val="11"/>
        <color theme="1"/>
        <rFont val="Calibri"/>
        <family val="2"/>
        <scheme val="minor"/>
      </rPr>
      <t xml:space="preserve"> adjustment  </t>
    </r>
    <r>
      <rPr>
        <sz val="11"/>
        <color theme="0" tint="-0.34998626667073579"/>
        <rFont val="Calibri"/>
        <family val="2"/>
        <scheme val="minor"/>
      </rPr>
      <t>(identical point change in activity value-added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</si>
  <si>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TV</t>
    </r>
    <r>
      <rPr>
        <sz val="11"/>
        <color theme="1"/>
        <rFont val="Calibri"/>
        <family val="2"/>
        <scheme val="minor"/>
      </rPr>
      <t xml:space="preserve"> adjustment  </t>
    </r>
    <r>
      <rPr>
        <sz val="11"/>
        <color theme="0" tint="-0.34998626667073579"/>
        <rFont val="Calibri"/>
        <family val="2"/>
        <scheme val="minor"/>
      </rPr>
      <t>(proportional change in activity value-added tax rate)</t>
    </r>
  </si>
  <si>
    <t>amaiz</t>
  </si>
  <si>
    <t>aocer</t>
  </si>
  <si>
    <t>apuls</t>
  </si>
  <si>
    <t>aoils</t>
  </si>
  <si>
    <t>aroot</t>
  </si>
  <si>
    <t>avege</t>
  </si>
  <si>
    <t>asugr</t>
  </si>
  <si>
    <t>atoba</t>
  </si>
  <si>
    <t>acott</t>
  </si>
  <si>
    <t>afrui</t>
  </si>
  <si>
    <t>acoff</t>
  </si>
  <si>
    <t>aocrp</t>
  </si>
  <si>
    <t>acatt</t>
  </si>
  <si>
    <t>apoul</t>
  </si>
  <si>
    <t>aoliv</t>
  </si>
  <si>
    <t>afore</t>
  </si>
  <si>
    <t>afish</t>
  </si>
  <si>
    <t>afood</t>
  </si>
  <si>
    <t>abeve</t>
  </si>
  <si>
    <t>atext</t>
  </si>
  <si>
    <t>awood</t>
  </si>
  <si>
    <t>achem</t>
  </si>
  <si>
    <t>anmet</t>
  </si>
  <si>
    <t>ametl</t>
  </si>
  <si>
    <t>amach</t>
  </si>
  <si>
    <t>aoman</t>
  </si>
  <si>
    <t>aelec</t>
  </si>
  <si>
    <t>awatr</t>
  </si>
  <si>
    <t>acons</t>
  </si>
  <si>
    <t>atrad</t>
  </si>
  <si>
    <t>atran</t>
  </si>
  <si>
    <t>ahotl</t>
  </si>
  <si>
    <t>acomm</t>
  </si>
  <si>
    <t>afsrv</t>
  </si>
  <si>
    <t>areal</t>
  </si>
  <si>
    <t>absrv</t>
  </si>
  <si>
    <t>apadm</t>
  </si>
  <si>
    <t>aeduc</t>
  </si>
  <si>
    <t>aheal</t>
  </si>
  <si>
    <t>aosrv</t>
  </si>
  <si>
    <t>cmaiz</t>
  </si>
  <si>
    <t>cocer</t>
  </si>
  <si>
    <t>cpuls</t>
  </si>
  <si>
    <t>coils</t>
  </si>
  <si>
    <t>croot</t>
  </si>
  <si>
    <t>cvege</t>
  </si>
  <si>
    <t>csugr</t>
  </si>
  <si>
    <t>ctoba</t>
  </si>
  <si>
    <t>ccott</t>
  </si>
  <si>
    <t>cfrui</t>
  </si>
  <si>
    <t>ccoff</t>
  </si>
  <si>
    <t>cocrp</t>
  </si>
  <si>
    <t>ccatt</t>
  </si>
  <si>
    <t>cpoul</t>
  </si>
  <si>
    <t>coliv</t>
  </si>
  <si>
    <t>cfore</t>
  </si>
  <si>
    <t>cfish</t>
  </si>
  <si>
    <t>cfood</t>
  </si>
  <si>
    <t>cbeve</t>
  </si>
  <si>
    <t>ctext</t>
  </si>
  <si>
    <t>cwood</t>
  </si>
  <si>
    <t>cchem</t>
  </si>
  <si>
    <t>cnmet</t>
  </si>
  <si>
    <t>cmetl</t>
  </si>
  <si>
    <t>cmach</t>
  </si>
  <si>
    <t>coman</t>
  </si>
  <si>
    <t>celec</t>
  </si>
  <si>
    <t>cwatr</t>
  </si>
  <si>
    <t>ccons</t>
  </si>
  <si>
    <t>ctrad</t>
  </si>
  <si>
    <t>ctran</t>
  </si>
  <si>
    <t>chotl</t>
  </si>
  <si>
    <t>ccomm</t>
  </si>
  <si>
    <t>cfsrv</t>
  </si>
  <si>
    <t>creal</t>
  </si>
  <si>
    <t>cbsrv</t>
  </si>
  <si>
    <t>cpadm</t>
  </si>
  <si>
    <t>ceduc</t>
  </si>
  <si>
    <t>cheal</t>
  </si>
  <si>
    <t>cosrv</t>
  </si>
  <si>
    <t>Maize</t>
  </si>
  <si>
    <t>Other cereals</t>
  </si>
  <si>
    <t>Pulses</t>
  </si>
  <si>
    <t>Sugarcane</t>
  </si>
  <si>
    <t>Tobacco</t>
  </si>
  <si>
    <t>Cotton and fibres</t>
  </si>
  <si>
    <t>Other crops</t>
  </si>
  <si>
    <t>Other livestock</t>
  </si>
  <si>
    <t>Forestry</t>
  </si>
  <si>
    <t>Non-metal minerals</t>
  </si>
  <si>
    <t>Other manufacturing</t>
  </si>
  <si>
    <t>Electricity, gas and steam</t>
  </si>
  <si>
    <t>Water supply and sewage</t>
  </si>
  <si>
    <t>Construction</t>
  </si>
  <si>
    <t>Wholesale and retail trade</t>
  </si>
  <si>
    <t>Transportation and storage</t>
  </si>
  <si>
    <t>Information and communication</t>
  </si>
  <si>
    <t>Finance and insurance</t>
  </si>
  <si>
    <t>Real estate activities</t>
  </si>
  <si>
    <t>Business services</t>
  </si>
  <si>
    <t>Public administration</t>
  </si>
  <si>
    <t>Education</t>
  </si>
  <si>
    <t>Health and social work</t>
  </si>
  <si>
    <t>Other services</t>
  </si>
  <si>
    <t xml:space="preserve"> </t>
  </si>
  <si>
    <t>sim5</t>
  </si>
  <si>
    <t>sim6</t>
  </si>
  <si>
    <t>sim7</t>
  </si>
  <si>
    <t>sim8</t>
  </si>
  <si>
    <t>sim9</t>
  </si>
  <si>
    <t>sim10</t>
  </si>
  <si>
    <t xml:space="preserve">s1!o12  </t>
  </si>
  <si>
    <t xml:space="preserve">s2!o12  </t>
  </si>
  <si>
    <t xml:space="preserve">s3!o12  </t>
  </si>
  <si>
    <t xml:space="preserve">s4!o12  </t>
  </si>
  <si>
    <t xml:space="preserve">s5!o12  </t>
  </si>
  <si>
    <t xml:space="preserve">s6!o12  </t>
  </si>
  <si>
    <t xml:space="preserve">s7!o12  </t>
  </si>
  <si>
    <t xml:space="preserve">s8!o12  </t>
  </si>
  <si>
    <t xml:space="preserve">s9!o12  </t>
  </si>
  <si>
    <t xml:space="preserve">s10!o12 </t>
  </si>
  <si>
    <t xml:space="preserve">s11!o12 </t>
  </si>
  <si>
    <t xml:space="preserve">s12!o12 </t>
  </si>
  <si>
    <t xml:space="preserve">s13!o12 </t>
  </si>
  <si>
    <t xml:space="preserve">s14!o12 </t>
  </si>
  <si>
    <t xml:space="preserve">s15!o12 </t>
  </si>
  <si>
    <t xml:space="preserve">s1!y12  </t>
  </si>
  <si>
    <t xml:space="preserve">s2!y12  </t>
  </si>
  <si>
    <t xml:space="preserve">s3!y12  </t>
  </si>
  <si>
    <t xml:space="preserve">s4!y12  </t>
  </si>
  <si>
    <t xml:space="preserve">s5!y12  </t>
  </si>
  <si>
    <t xml:space="preserve">s6!y12  </t>
  </si>
  <si>
    <t xml:space="preserve">s7!y12  </t>
  </si>
  <si>
    <t xml:space="preserve">s8!y12  </t>
  </si>
  <si>
    <t xml:space="preserve">s9!y12  </t>
  </si>
  <si>
    <t xml:space="preserve">s10!y12 </t>
  </si>
  <si>
    <t xml:space="preserve">s11!y12 </t>
  </si>
  <si>
    <t xml:space="preserve">s12!y12 </t>
  </si>
  <si>
    <t xml:space="preserve">s13!y12 </t>
  </si>
  <si>
    <t xml:space="preserve">s14!y12 </t>
  </si>
  <si>
    <t xml:space="preserve">s15!y12 </t>
  </si>
  <si>
    <t xml:space="preserve">s1!ak12 </t>
  </si>
  <si>
    <t xml:space="preserve">s2!ak12 </t>
  </si>
  <si>
    <t xml:space="preserve">s3!ak12 </t>
  </si>
  <si>
    <t xml:space="preserve">s4!ak12 </t>
  </si>
  <si>
    <t xml:space="preserve">s5!ak12 </t>
  </si>
  <si>
    <t xml:space="preserve">s6!ak12 </t>
  </si>
  <si>
    <t xml:space="preserve">s7!ak12 </t>
  </si>
  <si>
    <t xml:space="preserve">s8!ak12 </t>
  </si>
  <si>
    <t xml:space="preserve">s9!ak12 </t>
  </si>
  <si>
    <t>s10!ak12</t>
  </si>
  <si>
    <t>s11!ak12</t>
  </si>
  <si>
    <t>s12!ak12</t>
  </si>
  <si>
    <t>s13!ak12</t>
  </si>
  <si>
    <t>s14!ak12</t>
  </si>
  <si>
    <t>s15!ak12</t>
  </si>
  <si>
    <t xml:space="preserve">s1!ax6  </t>
  </si>
  <si>
    <t xml:space="preserve">s2!ax6  </t>
  </si>
  <si>
    <t xml:space="preserve">s3!ax6  </t>
  </si>
  <si>
    <t xml:space="preserve">s4!ax6  </t>
  </si>
  <si>
    <t xml:space="preserve">s5!ax6  </t>
  </si>
  <si>
    <t xml:space="preserve">s6!ax6  </t>
  </si>
  <si>
    <t xml:space="preserve">s7!ax6  </t>
  </si>
  <si>
    <t xml:space="preserve">s8!ax6  </t>
  </si>
  <si>
    <t xml:space="preserve">s9!ax6  </t>
  </si>
  <si>
    <t xml:space="preserve">s10!ax6 </t>
  </si>
  <si>
    <t xml:space="preserve">s11!ax6 </t>
  </si>
  <si>
    <t xml:space="preserve">s12!ax6 </t>
  </si>
  <si>
    <t xml:space="preserve">s13!ax6 </t>
  </si>
  <si>
    <t xml:space="preserve">s14!ax6 </t>
  </si>
  <si>
    <t xml:space="preserve">s15!ax6 </t>
  </si>
  <si>
    <t xml:space="preserve">s1!p8   </t>
  </si>
  <si>
    <t xml:space="preserve">s2!p8   </t>
  </si>
  <si>
    <t xml:space="preserve">s3!p8   </t>
  </si>
  <si>
    <t xml:space="preserve">s4!p8   </t>
  </si>
  <si>
    <t xml:space="preserve">s5!p8   </t>
  </si>
  <si>
    <t xml:space="preserve">s6!p8   </t>
  </si>
  <si>
    <t xml:space="preserve">s7!p8   </t>
  </si>
  <si>
    <t xml:space="preserve">s8!p8   </t>
  </si>
  <si>
    <t xml:space="preserve">s9!p8   </t>
  </si>
  <si>
    <t xml:space="preserve">s10!p8  </t>
  </si>
  <si>
    <t xml:space="preserve">s11!p8  </t>
  </si>
  <si>
    <t xml:space="preserve">s12!p8  </t>
  </si>
  <si>
    <t xml:space="preserve">s13!p8  </t>
  </si>
  <si>
    <t xml:space="preserve">s14!p8  </t>
  </si>
  <si>
    <t xml:space="preserve">s15!p8  </t>
  </si>
  <si>
    <t xml:space="preserve">s1!z8   </t>
  </si>
  <si>
    <t xml:space="preserve">s2!z8   </t>
  </si>
  <si>
    <t xml:space="preserve">s3!z8   </t>
  </si>
  <si>
    <t xml:space="preserve">s4!z8   </t>
  </si>
  <si>
    <t xml:space="preserve">s5!z8   </t>
  </si>
  <si>
    <t xml:space="preserve">s6!z8   </t>
  </si>
  <si>
    <t xml:space="preserve">s7!z8   </t>
  </si>
  <si>
    <t xml:space="preserve">s8!z8   </t>
  </si>
  <si>
    <t xml:space="preserve">s9!z8   </t>
  </si>
  <si>
    <t xml:space="preserve">s10!z8  </t>
  </si>
  <si>
    <t xml:space="preserve">s11!z8  </t>
  </si>
  <si>
    <t xml:space="preserve">s12!z8  </t>
  </si>
  <si>
    <t xml:space="preserve">s13!z8  </t>
  </si>
  <si>
    <t xml:space="preserve">s14!z8  </t>
  </si>
  <si>
    <t xml:space="preserve">s15!z8  </t>
  </si>
  <si>
    <t xml:space="preserve">s1!al8  </t>
  </si>
  <si>
    <t xml:space="preserve">s2!al8  </t>
  </si>
  <si>
    <t xml:space="preserve">s3!al8  </t>
  </si>
  <si>
    <t xml:space="preserve">s4!al8  </t>
  </si>
  <si>
    <t xml:space="preserve">s5!al8  </t>
  </si>
  <si>
    <t xml:space="preserve">s6!al8  </t>
  </si>
  <si>
    <t xml:space="preserve">s7!al8  </t>
  </si>
  <si>
    <t xml:space="preserve">s8!al8  </t>
  </si>
  <si>
    <t xml:space="preserve">s9!al8  </t>
  </si>
  <si>
    <t xml:space="preserve">s10!al8 </t>
  </si>
  <si>
    <t xml:space="preserve">s11!al8 </t>
  </si>
  <si>
    <t xml:space="preserve">s12!al8 </t>
  </si>
  <si>
    <t xml:space="preserve">s13!al8 </t>
  </si>
  <si>
    <t xml:space="preserve">s14!al8 </t>
  </si>
  <si>
    <t xml:space="preserve">s15!al8 </t>
  </si>
  <si>
    <t>Fixed factors</t>
  </si>
  <si>
    <t>Gov. tran. from world</t>
  </si>
  <si>
    <t>Gov. tran. to world</t>
  </si>
  <si>
    <t>sim4</t>
  </si>
  <si>
    <t>sim1</t>
  </si>
  <si>
    <t>sim2</t>
  </si>
  <si>
    <t>sim3</t>
  </si>
  <si>
    <t>flab-rn</t>
  </si>
  <si>
    <t>flab-rp</t>
  </si>
  <si>
    <t>flab-rs</t>
  </si>
  <si>
    <t>flab-rt</t>
  </si>
  <si>
    <t>flab-un</t>
  </si>
  <si>
    <t>flab-up</t>
  </si>
  <si>
    <t>flab-us</t>
  </si>
  <si>
    <t>flab-ut</t>
  </si>
  <si>
    <t>fcap-c</t>
  </si>
  <si>
    <t>fcap-l</t>
  </si>
  <si>
    <t>fcap-m</t>
  </si>
  <si>
    <t>fcap-n</t>
  </si>
  <si>
    <t>csorg</t>
  </si>
  <si>
    <t>cwhea</t>
  </si>
  <si>
    <t>cgnut</t>
  </si>
  <si>
    <t>ccass</t>
  </si>
  <si>
    <t>cipot</t>
  </si>
  <si>
    <t>cspot</t>
  </si>
  <si>
    <t>cnuts</t>
  </si>
  <si>
    <t>cbana</t>
  </si>
  <si>
    <t>cteal</t>
  </si>
  <si>
    <t>ccoco</t>
  </si>
  <si>
    <t>cflwr</t>
  </si>
  <si>
    <t>crubb</t>
  </si>
  <si>
    <t>cmilk</t>
  </si>
  <si>
    <t>ceggs</t>
  </si>
  <si>
    <t>csmlr</t>
  </si>
  <si>
    <t>caqua</t>
  </si>
  <si>
    <t>ccoal</t>
  </si>
  <si>
    <t>ccoil</t>
  </si>
  <si>
    <t>cngas</t>
  </si>
  <si>
    <t>comin</t>
  </si>
  <si>
    <t>cmeat</t>
  </si>
  <si>
    <t>cfsea</t>
  </si>
  <si>
    <t>cdair</t>
  </si>
  <si>
    <t>cfveg</t>
  </si>
  <si>
    <t>cfoil</t>
  </si>
  <si>
    <t>cmmll</t>
  </si>
  <si>
    <t>csmll</t>
  </si>
  <si>
    <t>crmll</t>
  </si>
  <si>
    <t>cwmll</t>
  </si>
  <si>
    <t>cgmll</t>
  </si>
  <si>
    <t>csref</t>
  </si>
  <si>
    <t>cpcof</t>
  </si>
  <si>
    <t>cptea</t>
  </si>
  <si>
    <t>cfeed</t>
  </si>
  <si>
    <t>cptob</t>
  </si>
  <si>
    <t>cclth</t>
  </si>
  <si>
    <t>cleat</t>
  </si>
  <si>
    <t>cpapr</t>
  </si>
  <si>
    <t>cpetr</t>
  </si>
  <si>
    <t>cfert</t>
  </si>
  <si>
    <t>cequi</t>
  </si>
  <si>
    <t>cvehi</t>
  </si>
  <si>
    <t>crest</t>
  </si>
  <si>
    <t>asorg</t>
  </si>
  <si>
    <t>awhea</t>
  </si>
  <si>
    <t>agnut</t>
  </si>
  <si>
    <t>acass</t>
  </si>
  <si>
    <t>aipot</t>
  </si>
  <si>
    <t>aspot</t>
  </si>
  <si>
    <t>anuts</t>
  </si>
  <si>
    <t>abana</t>
  </si>
  <si>
    <t>ateal</t>
  </si>
  <si>
    <t>acoco</t>
  </si>
  <si>
    <t>aflwr</t>
  </si>
  <si>
    <t>arubb</t>
  </si>
  <si>
    <t>amilk</t>
  </si>
  <si>
    <t>aeggs</t>
  </si>
  <si>
    <t>asmlr</t>
  </si>
  <si>
    <t>aaqua</t>
  </si>
  <si>
    <t>acoal</t>
  </si>
  <si>
    <t>acoil</t>
  </si>
  <si>
    <t>angas</t>
  </si>
  <si>
    <t>aomin</t>
  </si>
  <si>
    <t>ameat</t>
  </si>
  <si>
    <t>afsea</t>
  </si>
  <si>
    <t>adair</t>
  </si>
  <si>
    <t>afveg</t>
  </si>
  <si>
    <t>afoil</t>
  </si>
  <si>
    <t>ammll</t>
  </si>
  <si>
    <t>asmll</t>
  </si>
  <si>
    <t>armll</t>
  </si>
  <si>
    <t>awmll</t>
  </si>
  <si>
    <t>agmll</t>
  </si>
  <si>
    <t>asref</t>
  </si>
  <si>
    <t>apcof</t>
  </si>
  <si>
    <t>aptea</t>
  </si>
  <si>
    <t>afeed</t>
  </si>
  <si>
    <t>aptob</t>
  </si>
  <si>
    <t>aclth</t>
  </si>
  <si>
    <t>aleat</t>
  </si>
  <si>
    <t>apapr</t>
  </si>
  <si>
    <t>apetr</t>
  </si>
  <si>
    <t>afert</t>
  </si>
  <si>
    <t>aequi</t>
  </si>
  <si>
    <t>avehi</t>
  </si>
  <si>
    <t>arest</t>
  </si>
  <si>
    <t>Sorghum and millet</t>
  </si>
  <si>
    <t>Wheat and barley</t>
  </si>
  <si>
    <t>Groundnuts</t>
  </si>
  <si>
    <t>Other oilseeds</t>
  </si>
  <si>
    <t>Cassava</t>
  </si>
  <si>
    <t>Irish potatoes</t>
  </si>
  <si>
    <t>Sweet potatoes</t>
  </si>
  <si>
    <t>Other roots</t>
  </si>
  <si>
    <t>Other fruits</t>
  </si>
  <si>
    <t>Leaf tea</t>
  </si>
  <si>
    <t>Coffee</t>
  </si>
  <si>
    <t>Cocoa</t>
  </si>
  <si>
    <t>Cut flowers</t>
  </si>
  <si>
    <t>Rubber</t>
  </si>
  <si>
    <t>Cattle</t>
  </si>
  <si>
    <t>Raw milk</t>
  </si>
  <si>
    <t>Poultry</t>
  </si>
  <si>
    <t>Eggs</t>
  </si>
  <si>
    <t>Small ruminants</t>
  </si>
  <si>
    <t>Aquaculture</t>
  </si>
  <si>
    <t>Capture fisheries</t>
  </si>
  <si>
    <t>Coal and lignite</t>
  </si>
  <si>
    <t>Crude oil</t>
  </si>
  <si>
    <t>Natural gas</t>
  </si>
  <si>
    <t>Other mining</t>
  </si>
  <si>
    <t>Fish and seafood processing</t>
  </si>
  <si>
    <t>Fruit and vegetable processing</t>
  </si>
  <si>
    <t>Fats and oils</t>
  </si>
  <si>
    <t>Dairy</t>
  </si>
  <si>
    <t>Sugar refining</t>
  </si>
  <si>
    <t>Coffee processing</t>
  </si>
  <si>
    <t>Tea processing</t>
  </si>
  <si>
    <t>Other foods</t>
  </si>
  <si>
    <t>Animal feed</t>
  </si>
  <si>
    <t>Beverages</t>
  </si>
  <si>
    <t>Tobacco processing</t>
  </si>
  <si>
    <t>Textiles</t>
  </si>
  <si>
    <t>Clothing</t>
  </si>
  <si>
    <t>Leather and footwear</t>
  </si>
  <si>
    <t>Wood products</t>
  </si>
  <si>
    <t>Petroleum products</t>
  </si>
  <si>
    <t>Fertilizers and herbicides</t>
  </si>
  <si>
    <t>Other chemicals</t>
  </si>
  <si>
    <t>Electrical equipment</t>
  </si>
  <si>
    <t>Machinery and other equipment</t>
  </si>
  <si>
    <t>Accommodation</t>
  </si>
  <si>
    <t>Restaurants and food services</t>
  </si>
  <si>
    <t>Crop land</t>
  </si>
  <si>
    <t>Capital - crops</t>
  </si>
  <si>
    <t>Capital - livestock</t>
  </si>
  <si>
    <t>Capital - mining</t>
  </si>
  <si>
    <t>Capital - non-primary</t>
  </si>
  <si>
    <t>aaman</t>
  </si>
  <si>
    <t>caman</t>
  </si>
  <si>
    <t>Rice paddy (Aman)</t>
  </si>
  <si>
    <t>aboro</t>
  </si>
  <si>
    <t>cboro</t>
  </si>
  <si>
    <t>Rice paddy (Boro)</t>
  </si>
  <si>
    <t>aleaf</t>
  </si>
  <si>
    <t>cleaf</t>
  </si>
  <si>
    <t>Leafy vegetables</t>
  </si>
  <si>
    <t>Other vegetables</t>
  </si>
  <si>
    <t>ajute</t>
  </si>
  <si>
    <t>cjute</t>
  </si>
  <si>
    <t>Jute</t>
  </si>
  <si>
    <t>Nuts</t>
  </si>
  <si>
    <t>Bananas and plantains</t>
  </si>
  <si>
    <t>Meat processing</t>
  </si>
  <si>
    <t>Maize milling</t>
  </si>
  <si>
    <t>Sorghum and millet milling</t>
  </si>
  <si>
    <t>Rice milling</t>
  </si>
  <si>
    <t>armlc</t>
  </si>
  <si>
    <t>crmlc</t>
  </si>
  <si>
    <t>Rice milling - coarse</t>
  </si>
  <si>
    <t>armlo</t>
  </si>
  <si>
    <t>crmlo</t>
  </si>
  <si>
    <t>Rice milling - other</t>
  </si>
  <si>
    <t>Wheat and barley milling</t>
  </si>
  <si>
    <t>Other grain milling</t>
  </si>
  <si>
    <t>abale</t>
  </si>
  <si>
    <t>cbale</t>
  </si>
  <si>
    <t>Jute baling</t>
  </si>
  <si>
    <t>apjut</t>
  </si>
  <si>
    <t>cpjut</t>
  </si>
  <si>
    <t>Jute fabrication</t>
  </si>
  <si>
    <t>ayarn</t>
  </si>
  <si>
    <t>cyarn</t>
  </si>
  <si>
    <t>Cotton yarn</t>
  </si>
  <si>
    <t>Paper products and publishing</t>
  </si>
  <si>
    <t>Metals and metal products</t>
  </si>
  <si>
    <t>Vehicles and transport equipment</t>
  </si>
  <si>
    <t>hhd-r1</t>
  </si>
  <si>
    <t>hhd-r2</t>
  </si>
  <si>
    <t>hhd-r3</t>
  </si>
  <si>
    <t>hhd-r4</t>
  </si>
  <si>
    <t>hhd-r5</t>
  </si>
  <si>
    <t>hhd-u1</t>
  </si>
  <si>
    <t>hhd-u2</t>
  </si>
  <si>
    <t>hhd-u3</t>
  </si>
  <si>
    <t>hhd-u4</t>
  </si>
  <si>
    <t>hhd-u5</t>
  </si>
  <si>
    <t>crice</t>
  </si>
  <si>
    <t>cbean</t>
  </si>
  <si>
    <t>cpeas</t>
  </si>
  <si>
    <t>cbanb</t>
  </si>
  <si>
    <t>cbanc</t>
  </si>
  <si>
    <t>cbans</t>
  </si>
  <si>
    <t>csoya</t>
  </si>
  <si>
    <t>cpyre</t>
  </si>
  <si>
    <t>cbake</t>
  </si>
  <si>
    <t>cprnt</t>
  </si>
  <si>
    <t>cphar</t>
  </si>
  <si>
    <t>cprub</t>
  </si>
  <si>
    <t>cceme</t>
  </si>
  <si>
    <t>cfurn</t>
  </si>
  <si>
    <t>cpost</t>
  </si>
  <si>
    <t>cpubl</t>
  </si>
  <si>
    <t>cinfo</t>
  </si>
  <si>
    <t>cbank</t>
  </si>
  <si>
    <t>cinsu</t>
  </si>
  <si>
    <t>cofsv</t>
  </si>
  <si>
    <t>crent</t>
  </si>
  <si>
    <t>cobsv</t>
  </si>
  <si>
    <t>csocw</t>
  </si>
  <si>
    <t>ccult</t>
  </si>
  <si>
    <t>carts</t>
  </si>
  <si>
    <t>cdsrv</t>
  </si>
  <si>
    <t>arice</t>
  </si>
  <si>
    <t>abean</t>
  </si>
  <si>
    <t>apeas</t>
  </si>
  <si>
    <t>abanb</t>
  </si>
  <si>
    <t>abanc</t>
  </si>
  <si>
    <t>abans</t>
  </si>
  <si>
    <t>asoya</t>
  </si>
  <si>
    <t>apyre</t>
  </si>
  <si>
    <t>abake</t>
  </si>
  <si>
    <t>aprnt</t>
  </si>
  <si>
    <t>aphar</t>
  </si>
  <si>
    <t>aprub</t>
  </si>
  <si>
    <t>aceme</t>
  </si>
  <si>
    <t>afurn</t>
  </si>
  <si>
    <t>apost</t>
  </si>
  <si>
    <t>apubl</t>
  </si>
  <si>
    <t>ainfo</t>
  </si>
  <si>
    <t>abank</t>
  </si>
  <si>
    <t>ainsu</t>
  </si>
  <si>
    <t>aofsv</t>
  </si>
  <si>
    <t>arent</t>
  </si>
  <si>
    <t>aobsv</t>
  </si>
  <si>
    <t>asocw</t>
  </si>
  <si>
    <t>acult</t>
  </si>
  <si>
    <t>aarts</t>
  </si>
  <si>
    <t>adsrv</t>
  </si>
  <si>
    <t>flab-kn</t>
  </si>
  <si>
    <t>flab-kp</t>
  </si>
  <si>
    <t>flab-ks</t>
  </si>
  <si>
    <t>flab-kt</t>
  </si>
  <si>
    <t>hhd-k1</t>
  </si>
  <si>
    <t>hhd-k2</t>
  </si>
  <si>
    <t>hhd-k3</t>
  </si>
  <si>
    <t>hhd-k4</t>
  </si>
  <si>
    <t>hhd-k5</t>
  </si>
  <si>
    <t>Rural - Quintile 1 (low)</t>
  </si>
  <si>
    <t>Rural - Quintile 2</t>
  </si>
  <si>
    <t>Rural - Quintile 3</t>
  </si>
  <si>
    <t>Rural - Quintile 4</t>
  </si>
  <si>
    <t>Rural - Quintile 5 (high)</t>
  </si>
  <si>
    <t>Urban - Quintile 1 (low)</t>
  </si>
  <si>
    <t>Urban - Quintile 2</t>
  </si>
  <si>
    <t>Urban - Quintile 3</t>
  </si>
  <si>
    <t>Urban - Quintile 4</t>
  </si>
  <si>
    <t>Urban - Quintile 5 (high)</t>
  </si>
  <si>
    <t>Kigali - Quintile 1 (low)</t>
  </si>
  <si>
    <t>Kigali - Quintile 2</t>
  </si>
  <si>
    <t>Kigali - Quintile 3</t>
  </si>
  <si>
    <t>Kigali - Quintile 4</t>
  </si>
  <si>
    <t>Kigali - Quintile 5 (high)</t>
  </si>
  <si>
    <t>Rur Labor - rural uneducated</t>
  </si>
  <si>
    <t>Rur Labor - rural primary</t>
  </si>
  <si>
    <t>Rur Labor - rural secondary</t>
  </si>
  <si>
    <t>Rur Labor - rural tertiary</t>
  </si>
  <si>
    <t>Urb Labor - urban uneducated</t>
  </si>
  <si>
    <t>Urb Labor - urban primary</t>
  </si>
  <si>
    <t>Urb Labor - urban secondary</t>
  </si>
  <si>
    <t>Urb Labor - urban tertiary</t>
  </si>
  <si>
    <t>Kigali Labor - urban primary</t>
  </si>
  <si>
    <t>Kigali Labor - urban uneducated</t>
  </si>
  <si>
    <t>Kigali Labor - urban secondary</t>
  </si>
  <si>
    <t>Kigali Labor - urban tertiary</t>
  </si>
  <si>
    <t xml:space="preserve">Rwanda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</si>
</sst>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8"/>
      <name val="Calibri"/>
      <family val="2"/>
      <scheme val="minor"/>
    </font>
    <font>
      <sz val="11"/>
      <color theme="0" tint="-0.34998626667073579"/>
      <name val="Calibri"/>
      <family val="2"/>
      <scheme val="minor"/>
    </font>
    <font>
      <u/>
      <sz val="11"/>
      <color theme="1"/>
      <name val="Calibri"/>
      <family val="2"/>
      <scheme val="minor"/>
    </font>
    <font>
      <sz val="9"/>
      <color indexed="81"/>
      <name val="Tahoma"/>
      <family val="2"/>
    </font>
    <font>
      <b/>
      <sz val="9"/>
      <color indexed="81"/>
      <name val="Tahoma"/>
      <family val="2"/>
    </font>
    <font>
      <b/>
      <sz val="11"/>
      <color theme="0"/>
      <name val="Calibri"/>
      <family val="2"/>
      <scheme val="minor"/>
    </font>
    <font>
      <sz val="11"/>
      <color theme="0"/>
      <name val="Calibri"/>
      <family val="2"/>
      <scheme val="minor"/>
    </font>
    <font>
      <i/>
      <sz val="11"/>
      <color rgb="FFFF0000"/>
      <name val="Calibri"/>
      <family val="2"/>
      <scheme val="minor"/>
    </font>
    <font>
      <i/>
      <sz val="11"/>
      <color theme="1"/>
      <name val="Calibri"/>
      <family val="2"/>
      <scheme val="minor"/>
    </font>
    <font>
      <b/>
      <sz val="14"/>
      <color theme="0"/>
      <name val="Calibri"/>
      <family val="2"/>
      <scheme val="minor"/>
    </font>
    <font>
      <sz val="11"/>
      <name val="Calibri"/>
      <family val="2"/>
      <scheme val="minor"/>
    </font>
    <font>
      <b/>
      <sz val="11"/>
      <name val="Calibri"/>
      <family val="2"/>
      <scheme val="minor"/>
    </font>
    <font>
      <b/>
      <sz val="12"/>
      <color theme="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s>
  <borders count="15">
    <border>
      <left/>
      <right/>
      <top/>
      <bottom/>
      <diagonal/>
    </border>
    <border>
      <left style="thin">
        <color theme="0" tint="-0.249977111117893"/>
      </left>
      <right/>
      <top/>
      <bottom/>
      <diagonal/>
    </border>
    <border>
      <left/>
      <right/>
      <top/>
      <bottom style="thin">
        <color indexed="64"/>
      </bottom>
      <diagonal/>
    </border>
    <border>
      <left style="thick">
        <color theme="1" tint="0.499984740745262"/>
      </left>
      <right/>
      <top/>
      <bottom/>
      <diagonal/>
    </border>
    <border>
      <left/>
      <right/>
      <top/>
      <bottom style="thin">
        <color theme="1" tint="0.499984740745262"/>
      </bottom>
      <diagonal/>
    </border>
    <border>
      <left/>
      <right/>
      <top style="dashed">
        <color theme="1" tint="0.499984740745262"/>
      </top>
      <bottom/>
      <diagonal/>
    </border>
    <border>
      <left style="dashed">
        <color theme="1" tint="0.499984740745262"/>
      </left>
      <right/>
      <top/>
      <bottom/>
      <diagonal/>
    </border>
    <border>
      <left style="dashed">
        <color theme="1" tint="0.499984740745262"/>
      </left>
      <right/>
      <top/>
      <bottom style="dashed">
        <color theme="1" tint="0.499984740745262"/>
      </bottom>
      <diagonal/>
    </border>
    <border>
      <left/>
      <right/>
      <top/>
      <bottom style="dashed">
        <color theme="1" tint="0.499984740745262"/>
      </bottom>
      <diagonal/>
    </border>
    <border>
      <left/>
      <right style="dashed">
        <color theme="1" tint="0.499984740745262"/>
      </right>
      <top/>
      <bottom/>
      <diagonal/>
    </border>
    <border>
      <left/>
      <right style="dashed">
        <color theme="1" tint="0.499984740745262"/>
      </right>
      <top/>
      <bottom style="dashed">
        <color theme="1" tint="0.499984740745262"/>
      </bottom>
      <diagonal/>
    </border>
    <border>
      <left style="thin">
        <color theme="0" tint="-0.249977111117893"/>
      </left>
      <right style="dashed">
        <color theme="1" tint="0.499984740745262"/>
      </right>
      <top/>
      <bottom/>
      <diagonal/>
    </border>
    <border>
      <left/>
      <right/>
      <top style="dashed">
        <color theme="0" tint="-0.34998626667073579"/>
      </top>
      <bottom/>
      <diagonal/>
    </border>
    <border>
      <left style="thick">
        <color theme="1" tint="0.499984740745262"/>
      </left>
      <right/>
      <top/>
      <bottom style="dashed">
        <color theme="1" tint="0.499984740745262"/>
      </bottom>
      <diagonal/>
    </border>
    <border>
      <left style="dashed">
        <color theme="0" tint="-0.499984740745262"/>
      </left>
      <right/>
      <top/>
      <bottom/>
      <diagonal/>
    </border>
  </borders>
  <cellStyleXfs count="1">
    <xf numFmtId="0" fontId="0" fillId="0" borderId="0"/>
  </cellStyleXfs>
  <cellXfs count="69">
    <xf numFmtId="0" fontId="0" fillId="0" borderId="0" xfId="0"/>
    <xf numFmtId="0" fontId="1" fillId="0" borderId="0" xfId="0" applyFont="1"/>
    <xf numFmtId="0" fontId="0" fillId="0" borderId="0" xfId="0" applyProtection="1">
      <protection locked="0"/>
    </xf>
    <xf numFmtId="0" fontId="0" fillId="0" borderId="0" xfId="0" applyAlignment="1" applyProtection="1">
      <alignment horizontal="right"/>
      <protection locked="0"/>
    </xf>
    <xf numFmtId="0" fontId="0" fillId="2" borderId="0" xfId="0" applyFill="1"/>
    <xf numFmtId="0" fontId="0" fillId="0" borderId="2" xfId="0" applyBorder="1"/>
    <xf numFmtId="0" fontId="0" fillId="0" borderId="4" xfId="0" applyBorder="1"/>
    <xf numFmtId="0" fontId="11" fillId="2" borderId="0" xfId="0" applyFont="1" applyFill="1"/>
    <xf numFmtId="0" fontId="0" fillId="5" borderId="3" xfId="0" applyFill="1" applyBorder="1"/>
    <xf numFmtId="0" fontId="7" fillId="5" borderId="0" xfId="0" applyFont="1" applyFill="1"/>
    <xf numFmtId="0" fontId="0" fillId="0" borderId="3" xfId="0" applyBorder="1"/>
    <xf numFmtId="0" fontId="1" fillId="3" borderId="0" xfId="0" applyFont="1" applyFill="1" applyAlignment="1">
      <alignment horizontal="center"/>
    </xf>
    <xf numFmtId="0" fontId="13" fillId="0" borderId="0" xfId="0" applyFont="1" applyAlignment="1">
      <alignment horizontal="center"/>
    </xf>
    <xf numFmtId="0" fontId="0" fillId="3" borderId="0" xfId="0" applyFill="1" applyAlignment="1">
      <alignment horizontal="center"/>
    </xf>
    <xf numFmtId="0" fontId="0" fillId="0" borderId="0" xfId="0" applyAlignment="1">
      <alignment horizontal="center"/>
    </xf>
    <xf numFmtId="0" fontId="1" fillId="0" borderId="0" xfId="0" applyFont="1" applyAlignment="1">
      <alignment horizontal="center"/>
    </xf>
    <xf numFmtId="0" fontId="1" fillId="4" borderId="4" xfId="0" applyFont="1" applyFill="1" applyBorder="1"/>
    <xf numFmtId="0" fontId="3" fillId="0" borderId="4" xfId="0" applyFont="1" applyBorder="1" applyAlignment="1">
      <alignment horizontal="right"/>
    </xf>
    <xf numFmtId="0" fontId="13" fillId="0" borderId="0" xfId="0" applyFont="1" applyAlignment="1">
      <alignment horizontal="left"/>
    </xf>
    <xf numFmtId="0" fontId="12" fillId="0" borderId="0" xfId="0" applyFont="1"/>
    <xf numFmtId="0" fontId="3" fillId="0" borderId="0" xfId="0" applyFont="1"/>
    <xf numFmtId="0" fontId="3" fillId="0" borderId="1" xfId="0" applyFont="1" applyBorder="1"/>
    <xf numFmtId="0" fontId="0" fillId="3" borderId="0" xfId="0" applyFill="1"/>
    <xf numFmtId="0" fontId="3" fillId="0" borderId="0" xfId="0" applyFont="1" applyAlignment="1">
      <alignment horizontal="right"/>
    </xf>
    <xf numFmtId="0" fontId="10" fillId="0" borderId="0" xfId="0" applyFont="1"/>
    <xf numFmtId="0" fontId="3" fillId="0" borderId="1" xfId="0" applyFont="1" applyBorder="1" applyAlignment="1">
      <alignment horizontal="right"/>
    </xf>
    <xf numFmtId="0" fontId="8" fillId="2" borderId="0" xfId="0" applyFont="1" applyFill="1"/>
    <xf numFmtId="0" fontId="8" fillId="5" borderId="0" xfId="0" applyFont="1" applyFill="1"/>
    <xf numFmtId="0" fontId="9" fillId="5" borderId="0" xfId="0" applyFont="1" applyFill="1"/>
    <xf numFmtId="0" fontId="12" fillId="5" borderId="0" xfId="0" applyFont="1" applyFill="1"/>
    <xf numFmtId="0" fontId="0" fillId="3" borderId="3" xfId="0" applyFill="1" applyBorder="1"/>
    <xf numFmtId="0" fontId="0" fillId="3" borderId="0" xfId="0" applyFill="1" applyAlignment="1">
      <alignment horizontal="right"/>
    </xf>
    <xf numFmtId="0" fontId="3" fillId="3" borderId="0" xfId="0" applyFont="1" applyFill="1"/>
    <xf numFmtId="0" fontId="14" fillId="5" borderId="0" xfId="0" applyFont="1" applyFill="1"/>
    <xf numFmtId="0" fontId="0" fillId="0" borderId="0" xfId="0" applyAlignment="1" applyProtection="1">
      <alignment horizontal="left"/>
      <protection locked="0"/>
    </xf>
    <xf numFmtId="0" fontId="1" fillId="3" borderId="0" xfId="0" applyFont="1" applyFill="1"/>
    <xf numFmtId="0" fontId="1" fillId="3" borderId="0" xfId="0" applyFont="1" applyFill="1" applyProtection="1">
      <protection locked="0"/>
    </xf>
    <xf numFmtId="0" fontId="0" fillId="5" borderId="0" xfId="0" applyFill="1"/>
    <xf numFmtId="0" fontId="0" fillId="0" borderId="5" xfId="0" applyBorder="1"/>
    <xf numFmtId="0" fontId="1" fillId="4" borderId="6" xfId="0" applyFont="1" applyFill="1" applyBorder="1" applyAlignment="1">
      <alignment horizontal="center"/>
    </xf>
    <xf numFmtId="0" fontId="0" fillId="3" borderId="6" xfId="0" applyFill="1" applyBorder="1" applyAlignment="1">
      <alignment horizontal="center"/>
    </xf>
    <xf numFmtId="0" fontId="0" fillId="0" borderId="6" xfId="0" applyBorder="1"/>
    <xf numFmtId="0" fontId="3" fillId="0" borderId="6" xfId="0" applyFont="1" applyBorder="1"/>
    <xf numFmtId="0" fontId="3" fillId="0" borderId="6" xfId="0" applyFont="1" applyBorder="1" applyAlignment="1">
      <alignment horizontal="right"/>
    </xf>
    <xf numFmtId="0" fontId="12" fillId="0" borderId="6" xfId="0" applyFont="1" applyBorder="1"/>
    <xf numFmtId="0" fontId="0" fillId="3" borderId="9" xfId="0" applyFill="1" applyBorder="1" applyAlignment="1">
      <alignment horizontal="center"/>
    </xf>
    <xf numFmtId="0" fontId="0" fillId="0" borderId="9" xfId="0" applyBorder="1"/>
    <xf numFmtId="0" fontId="3" fillId="0" borderId="9" xfId="0" applyFont="1" applyBorder="1"/>
    <xf numFmtId="0" fontId="3" fillId="0" borderId="9" xfId="0" applyFont="1" applyBorder="1" applyAlignment="1">
      <alignment horizontal="right"/>
    </xf>
    <xf numFmtId="0" fontId="3" fillId="0" borderId="11" xfId="0" applyFont="1" applyBorder="1" applyAlignment="1">
      <alignment horizontal="right"/>
    </xf>
    <xf numFmtId="0" fontId="0" fillId="0" borderId="12" xfId="0" applyBorder="1"/>
    <xf numFmtId="0" fontId="0" fillId="0" borderId="13" xfId="0" applyBorder="1"/>
    <xf numFmtId="0" fontId="3" fillId="0" borderId="3" xfId="0" applyFont="1" applyBorder="1"/>
    <xf numFmtId="164" fontId="3" fillId="0" borderId="0" xfId="0" applyNumberFormat="1" applyFont="1" applyProtection="1">
      <protection locked="0"/>
    </xf>
    <xf numFmtId="164" fontId="3" fillId="0" borderId="6" xfId="0" applyNumberFormat="1" applyFont="1" applyBorder="1" applyProtection="1">
      <protection locked="0"/>
    </xf>
    <xf numFmtId="164" fontId="3" fillId="0" borderId="7" xfId="0" applyNumberFormat="1" applyFont="1" applyBorder="1" applyProtection="1">
      <protection locked="0"/>
    </xf>
    <xf numFmtId="164" fontId="3" fillId="0" borderId="8" xfId="0" applyNumberFormat="1" applyFont="1" applyBorder="1" applyProtection="1">
      <protection locked="0"/>
    </xf>
    <xf numFmtId="1" fontId="3" fillId="0" borderId="0" xfId="0" applyNumberFormat="1" applyFont="1" applyProtection="1">
      <protection locked="0"/>
    </xf>
    <xf numFmtId="1" fontId="3" fillId="0" borderId="6" xfId="0" applyNumberFormat="1" applyFont="1" applyBorder="1" applyProtection="1">
      <protection locked="0"/>
    </xf>
    <xf numFmtId="1" fontId="3" fillId="0" borderId="14" xfId="0" applyNumberFormat="1" applyFont="1" applyBorder="1" applyProtection="1">
      <protection locked="0"/>
    </xf>
    <xf numFmtId="1" fontId="3" fillId="0" borderId="9" xfId="0" applyNumberFormat="1" applyFont="1" applyBorder="1" applyProtection="1">
      <protection locked="0"/>
    </xf>
    <xf numFmtId="0" fontId="0" fillId="3" borderId="14" xfId="0" applyFill="1" applyBorder="1" applyAlignment="1">
      <alignment horizontal="center"/>
    </xf>
    <xf numFmtId="164" fontId="3" fillId="0" borderId="9" xfId="0" applyNumberFormat="1" applyFont="1" applyBorder="1" applyProtection="1">
      <protection locked="0"/>
    </xf>
    <xf numFmtId="164" fontId="3" fillId="0" borderId="10" xfId="0" applyNumberFormat="1" applyFont="1" applyBorder="1" applyProtection="1">
      <protection locked="0"/>
    </xf>
    <xf numFmtId="1" fontId="3" fillId="0" borderId="7" xfId="0" applyNumberFormat="1" applyFont="1" applyBorder="1" applyProtection="1">
      <protection locked="0"/>
    </xf>
    <xf numFmtId="1" fontId="3" fillId="0" borderId="8" xfId="0" applyNumberFormat="1" applyFont="1" applyBorder="1" applyProtection="1">
      <protection locked="0"/>
    </xf>
    <xf numFmtId="0" fontId="1" fillId="4" borderId="0" xfId="0" applyFont="1" applyFill="1" applyAlignment="1">
      <alignment horizontal="center"/>
    </xf>
    <xf numFmtId="0" fontId="1" fillId="4" borderId="6" xfId="0" applyFont="1" applyFill="1" applyBorder="1" applyAlignment="1">
      <alignment horizontal="center"/>
    </xf>
    <xf numFmtId="0" fontId="1" fillId="4" borderId="9" xfId="0" applyFont="1" applyFill="1" applyBorder="1" applyAlignment="1">
      <alignment horizontal="center"/>
    </xf>
  </cellXfs>
  <cellStyles count="1">
    <cellStyle name="Normal" xfId="0" builtinId="0"/>
  </cellStyles>
  <dxfs count="436">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s>
  <tableStyles count="0" defaultTableStyle="TableStyleMedium2" defaultPivotStyle="PivotStyleLight16"/>
  <colors>
    <mruColors>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R159"/>
  <sheetViews>
    <sheetView zoomScale="85" zoomScaleNormal="85" workbookViewId="0">
      <pane ySplit="8" topLeftCell="A9" activePane="bottomLeft" state="frozen"/>
      <selection activeCell="A5" sqref="A5"/>
      <selection pane="bottomLeft" activeCell="E87" sqref="E87"/>
    </sheetView>
  </sheetViews>
  <sheetFormatPr defaultColWidth="0" defaultRowHeight="14.5" zeroHeight="1" x14ac:dyDescent="0.35"/>
  <cols>
    <col min="1" max="2" width="2.453125" customWidth="1"/>
    <col min="3" max="4" width="9.08984375" customWidth="1"/>
    <col min="5" max="5" width="24.453125" customWidth="1"/>
    <col min="6" max="7" width="2.453125" customWidth="1"/>
    <col min="8" max="8" width="9.08984375" customWidth="1"/>
    <col min="9" max="9" width="24.453125" customWidth="1"/>
    <col min="10" max="11" width="2.453125" customWidth="1"/>
    <col min="12" max="12" width="9.08984375" customWidth="1"/>
    <col min="13" max="13" width="24.453125" customWidth="1"/>
    <col min="14" max="15" width="2.453125" customWidth="1"/>
    <col min="16" max="16" width="9.08984375" customWidth="1"/>
    <col min="17" max="17" width="24.453125" customWidth="1"/>
    <col min="18" max="18" width="2.453125" customWidth="1"/>
    <col min="19" max="16384" width="9.08984375" hidden="1"/>
  </cols>
  <sheetData>
    <row r="1" spans="1:18" ht="18.5" x14ac:dyDescent="0.45">
      <c r="A1" s="7" t="str">
        <f>"Static Simulations  |  "&amp;D3&amp;" ("&amp;D4&amp;")"</f>
        <v>Static Simulations  |  Rwanda  (2017)</v>
      </c>
      <c r="B1" s="4"/>
      <c r="C1" s="4"/>
      <c r="D1" s="4"/>
      <c r="E1" s="4"/>
      <c r="F1" s="4"/>
      <c r="G1" s="4"/>
      <c r="H1" s="4"/>
      <c r="I1" s="4"/>
      <c r="J1" s="4"/>
      <c r="K1" s="4"/>
      <c r="L1" s="4"/>
      <c r="M1" s="4"/>
      <c r="N1" s="4"/>
      <c r="O1" s="4"/>
      <c r="P1" s="4"/>
      <c r="Q1" s="4"/>
      <c r="R1" s="4"/>
    </row>
    <row r="2" spans="1:18" x14ac:dyDescent="0.35"/>
    <row r="3" spans="1:18" x14ac:dyDescent="0.35">
      <c r="C3" s="1" t="s">
        <v>0</v>
      </c>
      <c r="D3" s="34" t="s">
        <v>863</v>
      </c>
    </row>
    <row r="4" spans="1:18" x14ac:dyDescent="0.35">
      <c r="C4" s="1" t="s">
        <v>1</v>
      </c>
      <c r="D4" s="34">
        <v>2017</v>
      </c>
    </row>
    <row r="5" spans="1:18" x14ac:dyDescent="0.35">
      <c r="C5" s="1" t="s">
        <v>2</v>
      </c>
      <c r="D5" s="34"/>
    </row>
    <row r="6" spans="1:18" x14ac:dyDescent="0.35"/>
    <row r="7" spans="1:18" ht="15.5" x14ac:dyDescent="0.35">
      <c r="B7" s="8"/>
      <c r="C7" s="33" t="s">
        <v>3</v>
      </c>
      <c r="D7" s="33"/>
      <c r="E7" s="33"/>
      <c r="G7" s="8"/>
      <c r="H7" s="33" t="s">
        <v>4</v>
      </c>
      <c r="I7" s="33"/>
      <c r="K7" s="8"/>
      <c r="L7" s="33" t="s">
        <v>5</v>
      </c>
      <c r="M7" s="33"/>
      <c r="O7" s="8"/>
      <c r="P7" s="33" t="s">
        <v>6</v>
      </c>
      <c r="Q7" s="33"/>
    </row>
    <row r="8" spans="1:18" x14ac:dyDescent="0.35">
      <c r="B8" s="30"/>
      <c r="C8" s="35" t="s">
        <v>307</v>
      </c>
      <c r="D8" s="22"/>
      <c r="E8" s="35" t="s">
        <v>308</v>
      </c>
      <c r="G8" s="30"/>
      <c r="H8" s="35" t="s">
        <v>307</v>
      </c>
      <c r="I8" s="35" t="s">
        <v>308</v>
      </c>
      <c r="K8" s="30"/>
      <c r="L8" s="35" t="s">
        <v>307</v>
      </c>
      <c r="M8" s="35" t="s">
        <v>308</v>
      </c>
      <c r="O8" s="30"/>
      <c r="P8" s="36" t="s">
        <v>307</v>
      </c>
      <c r="Q8" s="36" t="s">
        <v>308</v>
      </c>
    </row>
    <row r="9" spans="1:18" x14ac:dyDescent="0.35">
      <c r="B9" s="10"/>
      <c r="C9" s="2" t="s">
        <v>353</v>
      </c>
      <c r="D9" s="2" t="s">
        <v>393</v>
      </c>
      <c r="E9" s="2" t="s">
        <v>433</v>
      </c>
      <c r="F9" s="2" t="s">
        <v>457</v>
      </c>
      <c r="G9" s="10"/>
      <c r="H9" s="2" t="s">
        <v>576</v>
      </c>
      <c r="I9" s="2" t="s">
        <v>851</v>
      </c>
      <c r="J9" s="2" t="s">
        <v>457</v>
      </c>
      <c r="K9" s="10"/>
      <c r="L9" s="2" t="s">
        <v>765</v>
      </c>
      <c r="M9" s="2" t="s">
        <v>836</v>
      </c>
      <c r="N9" s="2" t="s">
        <v>457</v>
      </c>
      <c r="O9" s="10"/>
      <c r="P9" s="2" t="s">
        <v>7</v>
      </c>
      <c r="Q9" s="2" t="s">
        <v>8</v>
      </c>
    </row>
    <row r="10" spans="1:18" x14ac:dyDescent="0.35">
      <c r="B10" s="10"/>
      <c r="C10" s="2" t="s">
        <v>631</v>
      </c>
      <c r="D10" s="2" t="s">
        <v>588</v>
      </c>
      <c r="E10" s="2" t="s">
        <v>674</v>
      </c>
      <c r="F10" s="2" t="s">
        <v>457</v>
      </c>
      <c r="G10" s="10"/>
      <c r="H10" s="2" t="s">
        <v>577</v>
      </c>
      <c r="I10" s="2" t="s">
        <v>852</v>
      </c>
      <c r="J10" s="2" t="s">
        <v>457</v>
      </c>
      <c r="K10" s="10"/>
      <c r="L10" s="2" t="s">
        <v>766</v>
      </c>
      <c r="M10" s="2" t="s">
        <v>837</v>
      </c>
      <c r="N10" s="2" t="s">
        <v>457</v>
      </c>
      <c r="O10" s="10"/>
      <c r="P10" s="2" t="s">
        <v>9</v>
      </c>
      <c r="Q10" s="2" t="s">
        <v>10</v>
      </c>
    </row>
    <row r="11" spans="1:18" x14ac:dyDescent="0.35">
      <c r="B11" s="10"/>
      <c r="C11" s="2" t="s">
        <v>726</v>
      </c>
      <c r="D11" s="2" t="s">
        <v>727</v>
      </c>
      <c r="E11" s="2" t="s">
        <v>728</v>
      </c>
      <c r="F11" s="2" t="s">
        <v>457</v>
      </c>
      <c r="G11" s="10"/>
      <c r="H11" s="2" t="s">
        <v>578</v>
      </c>
      <c r="I11" s="2" t="s">
        <v>853</v>
      </c>
      <c r="J11" s="2" t="s">
        <v>457</v>
      </c>
      <c r="K11" s="10"/>
      <c r="L11" s="2" t="s">
        <v>767</v>
      </c>
      <c r="M11" s="2" t="s">
        <v>838</v>
      </c>
      <c r="N11" s="2" t="s">
        <v>457</v>
      </c>
      <c r="O11" s="10"/>
      <c r="P11" s="2" t="s">
        <v>12</v>
      </c>
      <c r="Q11" s="2" t="s">
        <v>13</v>
      </c>
    </row>
    <row r="12" spans="1:18" x14ac:dyDescent="0.35">
      <c r="B12" s="10"/>
      <c r="C12" s="2" t="s">
        <v>729</v>
      </c>
      <c r="D12" s="2" t="s">
        <v>730</v>
      </c>
      <c r="E12" s="2" t="s">
        <v>731</v>
      </c>
      <c r="F12" s="2" t="s">
        <v>457</v>
      </c>
      <c r="G12" s="10"/>
      <c r="H12" s="2" t="s">
        <v>579</v>
      </c>
      <c r="I12" s="2" t="s">
        <v>854</v>
      </c>
      <c r="J12" s="2" t="s">
        <v>457</v>
      </c>
      <c r="K12" s="10"/>
      <c r="L12" s="2" t="s">
        <v>768</v>
      </c>
      <c r="M12" s="2" t="s">
        <v>839</v>
      </c>
      <c r="N12" s="2" t="s">
        <v>457</v>
      </c>
      <c r="O12" s="10"/>
      <c r="P12" s="2" t="s">
        <v>14</v>
      </c>
      <c r="Q12" s="2" t="s">
        <v>15</v>
      </c>
    </row>
    <row r="13" spans="1:18" x14ac:dyDescent="0.35">
      <c r="B13" s="10"/>
      <c r="C13" s="2" t="s">
        <v>632</v>
      </c>
      <c r="D13" s="2" t="s">
        <v>589</v>
      </c>
      <c r="E13" s="2" t="s">
        <v>675</v>
      </c>
      <c r="F13" s="2" t="s">
        <v>457</v>
      </c>
      <c r="G13" s="10"/>
      <c r="H13" s="2" t="s">
        <v>580</v>
      </c>
      <c r="I13" s="2" t="s">
        <v>855</v>
      </c>
      <c r="J13" s="2" t="s">
        <v>457</v>
      </c>
      <c r="K13" s="10"/>
      <c r="L13" s="2" t="s">
        <v>769</v>
      </c>
      <c r="M13" s="2" t="s">
        <v>840</v>
      </c>
      <c r="N13" s="2" t="s">
        <v>457</v>
      </c>
      <c r="O13" s="10"/>
      <c r="P13" s="2" t="s">
        <v>16</v>
      </c>
      <c r="Q13" s="2" t="s">
        <v>17</v>
      </c>
    </row>
    <row r="14" spans="1:18" x14ac:dyDescent="0.35">
      <c r="B14" s="10"/>
      <c r="C14" s="2" t="s">
        <v>354</v>
      </c>
      <c r="D14" s="2" t="s">
        <v>394</v>
      </c>
      <c r="E14" s="2" t="s">
        <v>434</v>
      </c>
      <c r="F14" s="2" t="s">
        <v>457</v>
      </c>
      <c r="G14" s="10"/>
      <c r="H14" s="2" t="s">
        <v>581</v>
      </c>
      <c r="I14" s="2" t="s">
        <v>856</v>
      </c>
      <c r="J14" s="2" t="s">
        <v>457</v>
      </c>
      <c r="K14" s="10"/>
      <c r="L14" s="2" t="s">
        <v>770</v>
      </c>
      <c r="M14" s="2" t="s">
        <v>841</v>
      </c>
      <c r="N14" s="2" t="s">
        <v>457</v>
      </c>
      <c r="O14" s="10"/>
      <c r="P14" s="2" t="s">
        <v>18</v>
      </c>
      <c r="Q14" s="2" t="s">
        <v>19</v>
      </c>
    </row>
    <row r="15" spans="1:18" x14ac:dyDescent="0.35">
      <c r="B15" s="10"/>
      <c r="C15" s="2" t="s">
        <v>355</v>
      </c>
      <c r="D15" s="2" t="s">
        <v>395</v>
      </c>
      <c r="E15" s="2" t="s">
        <v>435</v>
      </c>
      <c r="F15" s="2" t="s">
        <v>457</v>
      </c>
      <c r="G15" s="10"/>
      <c r="H15" s="2" t="s">
        <v>582</v>
      </c>
      <c r="I15" s="2" t="s">
        <v>857</v>
      </c>
      <c r="J15" s="2" t="s">
        <v>457</v>
      </c>
      <c r="K15" s="10"/>
      <c r="L15" s="2" t="s">
        <v>771</v>
      </c>
      <c r="M15" s="2" t="s">
        <v>842</v>
      </c>
      <c r="N15" s="2" t="s">
        <v>457</v>
      </c>
      <c r="O15" s="10"/>
      <c r="P15" s="2" t="s">
        <v>20</v>
      </c>
      <c r="Q15" s="2" t="s">
        <v>21</v>
      </c>
    </row>
    <row r="16" spans="1:18" x14ac:dyDescent="0.35">
      <c r="B16" s="10"/>
      <c r="C16" s="2" t="s">
        <v>633</v>
      </c>
      <c r="D16" s="2" t="s">
        <v>590</v>
      </c>
      <c r="E16" s="2" t="s">
        <v>676</v>
      </c>
      <c r="F16" s="2" t="s">
        <v>457</v>
      </c>
      <c r="G16" s="10"/>
      <c r="H16" s="2" t="s">
        <v>583</v>
      </c>
      <c r="I16" s="2" t="s">
        <v>858</v>
      </c>
      <c r="J16" s="2" t="s">
        <v>457</v>
      </c>
      <c r="K16" s="10"/>
      <c r="L16" s="2" t="s">
        <v>772</v>
      </c>
      <c r="M16" s="2" t="s">
        <v>843</v>
      </c>
      <c r="N16" s="2" t="s">
        <v>457</v>
      </c>
      <c r="O16" s="10"/>
      <c r="P16" s="2" t="s">
        <v>22</v>
      </c>
      <c r="Q16" s="2" t="s">
        <v>23</v>
      </c>
    </row>
    <row r="17" spans="2:17" x14ac:dyDescent="0.35">
      <c r="B17" s="10"/>
      <c r="C17" s="2" t="s">
        <v>356</v>
      </c>
      <c r="D17" s="2" t="s">
        <v>396</v>
      </c>
      <c r="E17" s="2" t="s">
        <v>677</v>
      </c>
      <c r="F17" s="2" t="s">
        <v>457</v>
      </c>
      <c r="G17" s="10"/>
      <c r="H17" s="2" t="s">
        <v>827</v>
      </c>
      <c r="I17" s="2" t="s">
        <v>860</v>
      </c>
      <c r="J17" s="2" t="s">
        <v>457</v>
      </c>
      <c r="K17" s="10"/>
      <c r="L17" s="2" t="s">
        <v>773</v>
      </c>
      <c r="M17" s="2" t="s">
        <v>844</v>
      </c>
      <c r="N17" s="2" t="s">
        <v>457</v>
      </c>
      <c r="O17" s="10"/>
      <c r="P17" s="2" t="s">
        <v>24</v>
      </c>
      <c r="Q17" s="2" t="s">
        <v>25</v>
      </c>
    </row>
    <row r="18" spans="2:17" x14ac:dyDescent="0.35">
      <c r="B18" s="10"/>
      <c r="C18" s="2" t="s">
        <v>634</v>
      </c>
      <c r="D18" s="2" t="s">
        <v>591</v>
      </c>
      <c r="E18" s="2" t="s">
        <v>678</v>
      </c>
      <c r="F18" s="2" t="s">
        <v>457</v>
      </c>
      <c r="G18" s="10"/>
      <c r="H18" s="2" t="s">
        <v>828</v>
      </c>
      <c r="I18" s="2" t="s">
        <v>859</v>
      </c>
      <c r="J18" s="2" t="s">
        <v>457</v>
      </c>
      <c r="K18" s="10"/>
      <c r="L18" s="2" t="s">
        <v>774</v>
      </c>
      <c r="M18" s="2" t="s">
        <v>845</v>
      </c>
      <c r="N18" s="2" t="s">
        <v>457</v>
      </c>
      <c r="O18" s="10"/>
      <c r="P18" s="2" t="s">
        <v>26</v>
      </c>
      <c r="Q18" s="2" t="s">
        <v>27</v>
      </c>
    </row>
    <row r="19" spans="2:17" x14ac:dyDescent="0.35">
      <c r="B19" s="10"/>
      <c r="C19" s="2" t="s">
        <v>635</v>
      </c>
      <c r="D19" s="2" t="s">
        <v>592</v>
      </c>
      <c r="E19" s="2" t="s">
        <v>679</v>
      </c>
      <c r="F19" s="2" t="s">
        <v>457</v>
      </c>
      <c r="G19" s="10"/>
      <c r="H19" s="2" t="s">
        <v>829</v>
      </c>
      <c r="I19" s="2" t="s">
        <v>861</v>
      </c>
      <c r="J19" s="2" t="s">
        <v>457</v>
      </c>
      <c r="K19" s="10"/>
      <c r="L19" s="2" t="s">
        <v>831</v>
      </c>
      <c r="M19" s="2" t="s">
        <v>846</v>
      </c>
      <c r="N19" s="2" t="s">
        <v>457</v>
      </c>
      <c r="O19" s="10"/>
      <c r="P19" s="2" t="s">
        <v>28</v>
      </c>
      <c r="Q19" s="2" t="s">
        <v>29</v>
      </c>
    </row>
    <row r="20" spans="2:17" x14ac:dyDescent="0.35">
      <c r="B20" s="10"/>
      <c r="C20" s="2" t="s">
        <v>636</v>
      </c>
      <c r="D20" s="2" t="s">
        <v>593</v>
      </c>
      <c r="E20" s="2" t="s">
        <v>680</v>
      </c>
      <c r="F20" s="2" t="s">
        <v>457</v>
      </c>
      <c r="G20" s="10"/>
      <c r="H20" s="2" t="s">
        <v>830</v>
      </c>
      <c r="I20" s="2" t="s">
        <v>862</v>
      </c>
      <c r="J20" s="2" t="s">
        <v>457</v>
      </c>
      <c r="K20" s="10"/>
      <c r="L20" s="2" t="s">
        <v>832</v>
      </c>
      <c r="M20" s="2" t="s">
        <v>847</v>
      </c>
      <c r="N20" s="2" t="s">
        <v>457</v>
      </c>
      <c r="O20" s="10"/>
      <c r="P20" s="2" t="s">
        <v>30</v>
      </c>
      <c r="Q20" s="2" t="s">
        <v>31</v>
      </c>
    </row>
    <row r="21" spans="2:17" x14ac:dyDescent="0.35">
      <c r="B21" s="10"/>
      <c r="C21" s="2" t="s">
        <v>357</v>
      </c>
      <c r="D21" s="2" t="s">
        <v>397</v>
      </c>
      <c r="E21" s="2" t="s">
        <v>681</v>
      </c>
      <c r="F21" s="2" t="s">
        <v>457</v>
      </c>
      <c r="G21" s="10"/>
      <c r="H21" s="2" t="s">
        <v>11</v>
      </c>
      <c r="I21" s="2" t="s">
        <v>721</v>
      </c>
      <c r="J21" s="2" t="s">
        <v>457</v>
      </c>
      <c r="K21" s="10"/>
      <c r="L21" s="2" t="s">
        <v>833</v>
      </c>
      <c r="M21" s="2" t="s">
        <v>848</v>
      </c>
      <c r="N21" s="2" t="s">
        <v>457</v>
      </c>
      <c r="O21" s="10"/>
      <c r="P21" s="2" t="s">
        <v>32</v>
      </c>
      <c r="Q21" s="2" t="s">
        <v>33</v>
      </c>
    </row>
    <row r="22" spans="2:17" x14ac:dyDescent="0.35">
      <c r="B22" s="10"/>
      <c r="C22" s="2" t="s">
        <v>732</v>
      </c>
      <c r="D22" s="2" t="s">
        <v>733</v>
      </c>
      <c r="E22" s="2" t="s">
        <v>734</v>
      </c>
      <c r="F22" s="2" t="s">
        <v>457</v>
      </c>
      <c r="G22" s="10"/>
      <c r="H22" s="2" t="s">
        <v>584</v>
      </c>
      <c r="I22" s="2" t="s">
        <v>722</v>
      </c>
      <c r="J22" s="2" t="s">
        <v>457</v>
      </c>
      <c r="K22" s="10"/>
      <c r="L22" s="2" t="s">
        <v>834</v>
      </c>
      <c r="M22" s="2" t="s">
        <v>849</v>
      </c>
      <c r="N22" s="2" t="s">
        <v>457</v>
      </c>
      <c r="O22" s="10"/>
      <c r="P22" s="2" t="s">
        <v>34</v>
      </c>
      <c r="Q22" s="2" t="s">
        <v>35</v>
      </c>
    </row>
    <row r="23" spans="2:17" x14ac:dyDescent="0.35">
      <c r="B23" s="10"/>
      <c r="C23" s="2" t="s">
        <v>358</v>
      </c>
      <c r="D23" s="2" t="s">
        <v>398</v>
      </c>
      <c r="E23" s="2" t="s">
        <v>735</v>
      </c>
      <c r="F23" s="2" t="s">
        <v>457</v>
      </c>
      <c r="G23" s="10"/>
      <c r="H23" s="2" t="s">
        <v>585</v>
      </c>
      <c r="I23" s="2" t="s">
        <v>723</v>
      </c>
      <c r="J23" s="2" t="s">
        <v>457</v>
      </c>
      <c r="K23" s="10"/>
      <c r="L23" s="2" t="s">
        <v>835</v>
      </c>
      <c r="M23" s="2" t="s">
        <v>850</v>
      </c>
      <c r="N23" s="2" t="s">
        <v>457</v>
      </c>
      <c r="O23" s="10"/>
      <c r="P23" s="2"/>
      <c r="Q23" s="2"/>
    </row>
    <row r="24" spans="2:17" x14ac:dyDescent="0.35">
      <c r="B24" s="10"/>
      <c r="C24" s="2" t="s">
        <v>359</v>
      </c>
      <c r="D24" s="2" t="s">
        <v>399</v>
      </c>
      <c r="E24" s="2" t="s">
        <v>436</v>
      </c>
      <c r="F24" s="2" t="s">
        <v>457</v>
      </c>
      <c r="G24" s="10"/>
      <c r="H24" s="2" t="s">
        <v>586</v>
      </c>
      <c r="I24" s="2" t="s">
        <v>724</v>
      </c>
      <c r="J24" s="2" t="s">
        <v>457</v>
      </c>
      <c r="K24" s="10"/>
      <c r="L24" s="2"/>
      <c r="M24" s="2"/>
      <c r="N24" s="2" t="s">
        <v>457</v>
      </c>
      <c r="O24" s="10"/>
      <c r="P24" s="2"/>
      <c r="Q24" s="2"/>
    </row>
    <row r="25" spans="2:17" x14ac:dyDescent="0.35">
      <c r="B25" s="10"/>
      <c r="C25" s="2" t="s">
        <v>360</v>
      </c>
      <c r="D25" s="2" t="s">
        <v>400</v>
      </c>
      <c r="E25" s="2" t="s">
        <v>437</v>
      </c>
      <c r="F25" s="2" t="s">
        <v>457</v>
      </c>
      <c r="G25" s="10"/>
      <c r="H25" s="2" t="s">
        <v>587</v>
      </c>
      <c r="I25" s="2" t="s">
        <v>725</v>
      </c>
      <c r="J25" s="2" t="s">
        <v>457</v>
      </c>
      <c r="K25" s="10"/>
      <c r="L25" s="2"/>
      <c r="M25" s="2"/>
      <c r="N25" s="2" t="s">
        <v>457</v>
      </c>
      <c r="O25" s="10"/>
      <c r="P25" s="2"/>
      <c r="Q25" s="2"/>
    </row>
    <row r="26" spans="2:17" x14ac:dyDescent="0.35">
      <c r="B26" s="10"/>
      <c r="C26" s="2" t="s">
        <v>361</v>
      </c>
      <c r="D26" s="2" t="s">
        <v>401</v>
      </c>
      <c r="E26" s="2" t="s">
        <v>438</v>
      </c>
      <c r="F26" s="2" t="s">
        <v>457</v>
      </c>
      <c r="G26" s="10"/>
      <c r="H26" s="2"/>
      <c r="I26" s="2"/>
      <c r="J26" s="2" t="s">
        <v>457</v>
      </c>
      <c r="K26" s="10"/>
      <c r="L26" s="2"/>
      <c r="M26" s="2"/>
      <c r="N26" s="2" t="s">
        <v>457</v>
      </c>
      <c r="O26" s="10"/>
      <c r="P26" s="2"/>
      <c r="Q26" s="2"/>
    </row>
    <row r="27" spans="2:17" x14ac:dyDescent="0.35">
      <c r="B27" s="10"/>
      <c r="C27" s="2" t="s">
        <v>736</v>
      </c>
      <c r="D27" s="2" t="s">
        <v>737</v>
      </c>
      <c r="E27" s="2" t="s">
        <v>738</v>
      </c>
      <c r="F27" s="2" t="s">
        <v>457</v>
      </c>
      <c r="G27" s="10"/>
      <c r="H27" s="2"/>
      <c r="I27" s="2"/>
      <c r="J27" s="2" t="s">
        <v>457</v>
      </c>
      <c r="K27" s="10"/>
      <c r="L27" s="2"/>
      <c r="M27" s="2"/>
      <c r="N27" s="2" t="s">
        <v>457</v>
      </c>
      <c r="O27" s="10"/>
      <c r="P27" s="2"/>
      <c r="Q27" s="2"/>
    </row>
    <row r="28" spans="2:17" x14ac:dyDescent="0.35">
      <c r="B28" s="10"/>
      <c r="C28" s="2" t="s">
        <v>637</v>
      </c>
      <c r="D28" s="2" t="s">
        <v>594</v>
      </c>
      <c r="E28" s="2" t="s">
        <v>739</v>
      </c>
      <c r="F28" s="2" t="s">
        <v>457</v>
      </c>
      <c r="G28" s="10"/>
      <c r="H28" s="2"/>
      <c r="I28" s="2"/>
      <c r="J28" s="2" t="s">
        <v>457</v>
      </c>
      <c r="K28" s="10"/>
      <c r="L28" s="2"/>
      <c r="M28" s="2"/>
      <c r="N28" s="2" t="s">
        <v>457</v>
      </c>
      <c r="O28" s="10"/>
      <c r="P28" s="2"/>
      <c r="Q28" s="2"/>
    </row>
    <row r="29" spans="2:17" x14ac:dyDescent="0.35">
      <c r="B29" s="10"/>
      <c r="C29" s="2" t="s">
        <v>638</v>
      </c>
      <c r="D29" s="2" t="s">
        <v>595</v>
      </c>
      <c r="E29" s="2" t="s">
        <v>740</v>
      </c>
      <c r="F29" s="2" t="s">
        <v>457</v>
      </c>
      <c r="G29" s="10"/>
      <c r="H29" s="2"/>
      <c r="I29" s="2"/>
      <c r="J29" s="2" t="s">
        <v>457</v>
      </c>
      <c r="K29" s="10"/>
      <c r="L29" s="2"/>
      <c r="M29" s="2"/>
      <c r="N29" s="2" t="s">
        <v>457</v>
      </c>
      <c r="O29" s="10"/>
      <c r="P29" s="2"/>
      <c r="Q29" s="2"/>
    </row>
    <row r="30" spans="2:17" x14ac:dyDescent="0.35">
      <c r="B30" s="10"/>
      <c r="C30" s="2" t="s">
        <v>362</v>
      </c>
      <c r="D30" s="2" t="s">
        <v>402</v>
      </c>
      <c r="E30" s="2" t="s">
        <v>682</v>
      </c>
      <c r="F30" s="2" t="s">
        <v>457</v>
      </c>
      <c r="G30" s="10"/>
      <c r="H30" s="2"/>
      <c r="I30" s="2"/>
      <c r="J30" s="2" t="s">
        <v>457</v>
      </c>
      <c r="K30" s="10"/>
      <c r="L30" s="2"/>
      <c r="M30" s="2"/>
      <c r="N30" s="2" t="s">
        <v>457</v>
      </c>
      <c r="O30" s="10"/>
      <c r="P30" s="2"/>
      <c r="Q30" s="2"/>
    </row>
    <row r="31" spans="2:17" x14ac:dyDescent="0.35">
      <c r="B31" s="10"/>
      <c r="C31" s="2" t="s">
        <v>639</v>
      </c>
      <c r="D31" s="2" t="s">
        <v>596</v>
      </c>
      <c r="E31" s="2" t="s">
        <v>683</v>
      </c>
      <c r="F31" s="2" t="s">
        <v>457</v>
      </c>
      <c r="G31" s="10"/>
      <c r="H31" s="2"/>
      <c r="I31" s="2"/>
      <c r="J31" s="2" t="s">
        <v>457</v>
      </c>
      <c r="K31" s="10"/>
      <c r="L31" s="2"/>
      <c r="M31" s="2"/>
      <c r="N31" s="2" t="s">
        <v>457</v>
      </c>
      <c r="O31" s="10"/>
      <c r="P31" s="2"/>
      <c r="Q31" s="2"/>
    </row>
    <row r="32" spans="2:17" x14ac:dyDescent="0.35">
      <c r="B32" s="10"/>
      <c r="C32" s="2" t="s">
        <v>363</v>
      </c>
      <c r="D32" s="2" t="s">
        <v>403</v>
      </c>
      <c r="E32" s="2" t="s">
        <v>684</v>
      </c>
      <c r="F32" s="2" t="s">
        <v>457</v>
      </c>
      <c r="G32" s="10"/>
      <c r="H32" s="2"/>
      <c r="I32" s="2"/>
      <c r="J32" s="2" t="s">
        <v>457</v>
      </c>
      <c r="K32" s="10"/>
      <c r="L32" s="2"/>
      <c r="M32" s="2"/>
      <c r="N32" s="2" t="s">
        <v>457</v>
      </c>
      <c r="O32" s="38"/>
      <c r="P32" s="38"/>
      <c r="Q32" s="38"/>
    </row>
    <row r="33" spans="2:14" x14ac:dyDescent="0.35">
      <c r="B33" s="10"/>
      <c r="C33" s="2" t="s">
        <v>640</v>
      </c>
      <c r="D33" s="2" t="s">
        <v>597</v>
      </c>
      <c r="E33" s="2" t="s">
        <v>685</v>
      </c>
      <c r="F33" s="2" t="s">
        <v>457</v>
      </c>
      <c r="G33" s="10"/>
      <c r="H33" s="2"/>
      <c r="I33" s="2"/>
      <c r="J33" s="2" t="s">
        <v>457</v>
      </c>
      <c r="K33" s="10"/>
      <c r="L33" s="2"/>
      <c r="M33" s="2"/>
      <c r="N33" s="2" t="s">
        <v>457</v>
      </c>
    </row>
    <row r="34" spans="2:14" x14ac:dyDescent="0.35">
      <c r="B34" s="10"/>
      <c r="C34" s="2" t="s">
        <v>641</v>
      </c>
      <c r="D34" s="2" t="s">
        <v>598</v>
      </c>
      <c r="E34" s="2" t="s">
        <v>686</v>
      </c>
      <c r="F34" s="2" t="s">
        <v>457</v>
      </c>
      <c r="G34" s="10"/>
      <c r="H34" s="2"/>
      <c r="I34" s="2"/>
      <c r="J34" s="2" t="s">
        <v>457</v>
      </c>
      <c r="K34" s="10"/>
      <c r="L34" s="2"/>
      <c r="M34" s="2"/>
      <c r="N34" s="2" t="s">
        <v>457</v>
      </c>
    </row>
    <row r="35" spans="2:14" x14ac:dyDescent="0.35">
      <c r="B35" s="10"/>
      <c r="C35" s="2" t="s">
        <v>642</v>
      </c>
      <c r="D35" s="2" t="s">
        <v>599</v>
      </c>
      <c r="E35" s="2" t="s">
        <v>687</v>
      </c>
      <c r="F35" s="2" t="s">
        <v>457</v>
      </c>
      <c r="G35" s="10"/>
      <c r="H35" s="2"/>
      <c r="I35" s="2"/>
      <c r="J35" s="2" t="s">
        <v>457</v>
      </c>
      <c r="K35" s="10"/>
      <c r="L35" s="2"/>
      <c r="M35" s="2"/>
      <c r="N35" s="2" t="s">
        <v>457</v>
      </c>
    </row>
    <row r="36" spans="2:14" x14ac:dyDescent="0.35">
      <c r="B36" s="10"/>
      <c r="C36" s="2" t="s">
        <v>364</v>
      </c>
      <c r="D36" s="2" t="s">
        <v>404</v>
      </c>
      <c r="E36" s="2" t="s">
        <v>439</v>
      </c>
      <c r="F36" s="2" t="s">
        <v>457</v>
      </c>
      <c r="G36" s="10"/>
      <c r="H36" s="2"/>
      <c r="I36" s="2"/>
      <c r="J36" s="2" t="s">
        <v>457</v>
      </c>
      <c r="K36" s="10"/>
      <c r="L36" s="2"/>
      <c r="M36" s="2"/>
      <c r="N36" s="2" t="s">
        <v>457</v>
      </c>
    </row>
    <row r="37" spans="2:14" x14ac:dyDescent="0.35">
      <c r="B37" s="10"/>
      <c r="C37" s="2" t="s">
        <v>365</v>
      </c>
      <c r="D37" s="2" t="s">
        <v>405</v>
      </c>
      <c r="E37" s="2" t="s">
        <v>688</v>
      </c>
      <c r="F37" s="2" t="s">
        <v>457</v>
      </c>
      <c r="G37" s="10"/>
      <c r="H37" s="2"/>
      <c r="I37" s="2"/>
      <c r="J37" s="2" t="s">
        <v>457</v>
      </c>
      <c r="K37" s="10"/>
      <c r="L37" s="2"/>
      <c r="M37" s="2"/>
      <c r="N37" s="2" t="s">
        <v>457</v>
      </c>
    </row>
    <row r="38" spans="2:14" x14ac:dyDescent="0.35">
      <c r="B38" s="10"/>
      <c r="C38" s="2" t="s">
        <v>643</v>
      </c>
      <c r="D38" s="2" t="s">
        <v>600</v>
      </c>
      <c r="E38" s="2" t="s">
        <v>689</v>
      </c>
      <c r="F38" s="2" t="s">
        <v>457</v>
      </c>
      <c r="G38" s="10"/>
      <c r="H38" s="2"/>
      <c r="I38" s="2"/>
      <c r="J38" s="2" t="s">
        <v>457</v>
      </c>
      <c r="K38" s="10"/>
      <c r="L38" s="2"/>
      <c r="M38" s="2"/>
      <c r="N38" s="2" t="s">
        <v>457</v>
      </c>
    </row>
    <row r="39" spans="2:14" x14ac:dyDescent="0.35">
      <c r="B39" s="10"/>
      <c r="C39" s="2" t="s">
        <v>366</v>
      </c>
      <c r="D39" s="2" t="s">
        <v>406</v>
      </c>
      <c r="E39" s="2" t="s">
        <v>690</v>
      </c>
      <c r="F39" s="2" t="s">
        <v>457</v>
      </c>
      <c r="G39" s="10"/>
      <c r="H39" s="2"/>
      <c r="I39" s="2"/>
      <c r="J39" s="2" t="s">
        <v>457</v>
      </c>
      <c r="K39" s="10"/>
      <c r="L39" s="2"/>
      <c r="M39" s="2"/>
      <c r="N39" s="2" t="s">
        <v>457</v>
      </c>
    </row>
    <row r="40" spans="2:14" x14ac:dyDescent="0.35">
      <c r="B40" s="10"/>
      <c r="C40" s="2" t="s">
        <v>644</v>
      </c>
      <c r="D40" s="2" t="s">
        <v>601</v>
      </c>
      <c r="E40" s="2" t="s">
        <v>691</v>
      </c>
      <c r="F40" s="2" t="s">
        <v>457</v>
      </c>
      <c r="G40" s="10"/>
      <c r="H40" s="2"/>
      <c r="I40" s="2"/>
      <c r="J40" s="2" t="s">
        <v>457</v>
      </c>
      <c r="K40" s="10"/>
      <c r="L40" s="2"/>
      <c r="M40" s="2"/>
      <c r="N40" s="2" t="s">
        <v>457</v>
      </c>
    </row>
    <row r="41" spans="2:14" x14ac:dyDescent="0.35">
      <c r="B41" s="10"/>
      <c r="C41" s="2" t="s">
        <v>645</v>
      </c>
      <c r="D41" s="2" t="s">
        <v>602</v>
      </c>
      <c r="E41" s="2" t="s">
        <v>692</v>
      </c>
      <c r="F41" s="2" t="s">
        <v>457</v>
      </c>
      <c r="G41" s="10"/>
      <c r="H41" s="2"/>
      <c r="I41" s="2"/>
      <c r="J41" s="2" t="s">
        <v>457</v>
      </c>
      <c r="K41" s="10"/>
      <c r="L41" s="2"/>
      <c r="M41" s="2"/>
      <c r="N41" s="2" t="s">
        <v>457</v>
      </c>
    </row>
    <row r="42" spans="2:14" x14ac:dyDescent="0.35">
      <c r="B42" s="10"/>
      <c r="C42" s="2" t="s">
        <v>367</v>
      </c>
      <c r="D42" s="2" t="s">
        <v>407</v>
      </c>
      <c r="E42" s="2" t="s">
        <v>440</v>
      </c>
      <c r="F42" s="2" t="s">
        <v>457</v>
      </c>
      <c r="G42" s="10"/>
      <c r="H42" s="2"/>
      <c r="I42" s="2"/>
      <c r="J42" s="2" t="s">
        <v>457</v>
      </c>
      <c r="K42" s="10"/>
      <c r="L42" s="2"/>
      <c r="M42" s="2"/>
      <c r="N42" s="2" t="s">
        <v>457</v>
      </c>
    </row>
    <row r="43" spans="2:14" x14ac:dyDescent="0.35">
      <c r="B43" s="10"/>
      <c r="C43" s="2" t="s">
        <v>368</v>
      </c>
      <c r="D43" s="2" t="s">
        <v>408</v>
      </c>
      <c r="E43" s="2" t="s">
        <v>441</v>
      </c>
      <c r="F43" s="2" t="s">
        <v>457</v>
      </c>
      <c r="G43" s="10"/>
      <c r="H43" s="2"/>
      <c r="I43" s="2"/>
      <c r="J43" s="2" t="s">
        <v>457</v>
      </c>
      <c r="K43" s="10"/>
      <c r="L43" s="2"/>
      <c r="M43" s="2"/>
      <c r="N43" s="2" t="s">
        <v>457</v>
      </c>
    </row>
    <row r="44" spans="2:14" x14ac:dyDescent="0.35">
      <c r="B44" s="10"/>
      <c r="C44" s="2" t="s">
        <v>646</v>
      </c>
      <c r="D44" s="2" t="s">
        <v>603</v>
      </c>
      <c r="E44" s="2" t="s">
        <v>693</v>
      </c>
      <c r="F44" s="2" t="s">
        <v>457</v>
      </c>
      <c r="G44" s="10"/>
      <c r="H44" s="2"/>
      <c r="I44" s="2"/>
      <c r="J44" s="2" t="s">
        <v>457</v>
      </c>
      <c r="K44" s="10"/>
      <c r="L44" s="2"/>
      <c r="M44" s="2"/>
      <c r="N44" s="2" t="s">
        <v>457</v>
      </c>
    </row>
    <row r="45" spans="2:14" x14ac:dyDescent="0.35">
      <c r="B45" s="10"/>
      <c r="C45" s="2" t="s">
        <v>369</v>
      </c>
      <c r="D45" s="2" t="s">
        <v>409</v>
      </c>
      <c r="E45" s="2" t="s">
        <v>694</v>
      </c>
      <c r="F45" s="2" t="s">
        <v>457</v>
      </c>
      <c r="G45" s="10"/>
      <c r="H45" s="2"/>
      <c r="I45" s="2"/>
      <c r="J45" s="2" t="s">
        <v>457</v>
      </c>
      <c r="K45" s="10"/>
      <c r="L45" s="2"/>
      <c r="M45" s="2"/>
      <c r="N45" s="2" t="s">
        <v>457</v>
      </c>
    </row>
    <row r="46" spans="2:14" x14ac:dyDescent="0.35">
      <c r="B46" s="10"/>
      <c r="C46" s="2" t="s">
        <v>647</v>
      </c>
      <c r="D46" s="2" t="s">
        <v>604</v>
      </c>
      <c r="E46" s="2" t="s">
        <v>695</v>
      </c>
      <c r="F46" s="2" t="s">
        <v>457</v>
      </c>
      <c r="G46" s="10"/>
      <c r="H46" s="2"/>
      <c r="I46" s="2"/>
      <c r="J46" s="2" t="s">
        <v>457</v>
      </c>
      <c r="K46" s="10"/>
      <c r="L46" s="2"/>
      <c r="M46" s="2"/>
      <c r="N46" s="2" t="s">
        <v>457</v>
      </c>
    </row>
    <row r="47" spans="2:14" x14ac:dyDescent="0.35">
      <c r="B47" s="10"/>
      <c r="C47" s="2" t="s">
        <v>648</v>
      </c>
      <c r="D47" s="2" t="s">
        <v>605</v>
      </c>
      <c r="E47" s="2" t="s">
        <v>696</v>
      </c>
      <c r="F47" s="2" t="s">
        <v>457</v>
      </c>
      <c r="G47" s="10"/>
      <c r="H47" s="2"/>
      <c r="I47" s="2"/>
      <c r="J47" s="2" t="s">
        <v>457</v>
      </c>
      <c r="K47" s="10"/>
      <c r="L47" s="2"/>
      <c r="M47" s="2"/>
      <c r="N47" s="2" t="s">
        <v>457</v>
      </c>
    </row>
    <row r="48" spans="2:14" x14ac:dyDescent="0.35">
      <c r="B48" s="10"/>
      <c r="C48" s="2" t="s">
        <v>649</v>
      </c>
      <c r="D48" s="2" t="s">
        <v>606</v>
      </c>
      <c r="E48" s="2" t="s">
        <v>697</v>
      </c>
      <c r="F48" s="2" t="s">
        <v>457</v>
      </c>
      <c r="G48" s="10"/>
      <c r="H48" s="2"/>
      <c r="I48" s="2"/>
      <c r="J48" s="2" t="s">
        <v>457</v>
      </c>
      <c r="K48" s="10"/>
      <c r="L48" s="2"/>
      <c r="M48" s="2"/>
      <c r="N48" s="2" t="s">
        <v>457</v>
      </c>
    </row>
    <row r="49" spans="2:14" x14ac:dyDescent="0.35">
      <c r="B49" s="10"/>
      <c r="C49" s="2" t="s">
        <v>650</v>
      </c>
      <c r="D49" s="2" t="s">
        <v>607</v>
      </c>
      <c r="E49" s="2" t="s">
        <v>698</v>
      </c>
      <c r="F49" s="2" t="s">
        <v>457</v>
      </c>
      <c r="G49" s="10"/>
      <c r="H49" s="2"/>
      <c r="I49" s="2"/>
      <c r="J49" s="2" t="s">
        <v>457</v>
      </c>
      <c r="K49" s="10"/>
      <c r="L49" s="2"/>
      <c r="M49" s="2"/>
      <c r="N49" s="2" t="s">
        <v>457</v>
      </c>
    </row>
    <row r="50" spans="2:14" x14ac:dyDescent="0.35">
      <c r="B50" s="10"/>
      <c r="C50" s="2" t="s">
        <v>651</v>
      </c>
      <c r="D50" s="2" t="s">
        <v>608</v>
      </c>
      <c r="E50" s="2" t="s">
        <v>741</v>
      </c>
      <c r="F50" s="2" t="s">
        <v>457</v>
      </c>
      <c r="G50" s="10"/>
      <c r="H50" s="2"/>
      <c r="I50" s="2"/>
      <c r="J50" s="2" t="s">
        <v>457</v>
      </c>
      <c r="K50" s="10"/>
      <c r="L50" s="2"/>
      <c r="M50" s="2"/>
      <c r="N50" s="2" t="s">
        <v>457</v>
      </c>
    </row>
    <row r="51" spans="2:14" x14ac:dyDescent="0.35">
      <c r="B51" s="10"/>
      <c r="C51" s="2" t="s">
        <v>652</v>
      </c>
      <c r="D51" s="2" t="s">
        <v>609</v>
      </c>
      <c r="E51" s="2" t="s">
        <v>699</v>
      </c>
      <c r="F51" s="2" t="s">
        <v>457</v>
      </c>
      <c r="G51" s="10"/>
      <c r="H51" s="2"/>
      <c r="I51" s="2"/>
      <c r="J51" s="2" t="s">
        <v>457</v>
      </c>
      <c r="K51" s="10"/>
      <c r="L51" s="2"/>
      <c r="M51" s="2"/>
      <c r="N51" s="2" t="s">
        <v>457</v>
      </c>
    </row>
    <row r="52" spans="2:14" x14ac:dyDescent="0.35">
      <c r="B52" s="10"/>
      <c r="C52" s="2" t="s">
        <v>653</v>
      </c>
      <c r="D52" s="2" t="s">
        <v>610</v>
      </c>
      <c r="E52" s="2" t="s">
        <v>702</v>
      </c>
      <c r="F52" s="2" t="s">
        <v>457</v>
      </c>
      <c r="G52" s="10"/>
      <c r="H52" s="2"/>
      <c r="I52" s="2"/>
      <c r="J52" s="2" t="s">
        <v>457</v>
      </c>
      <c r="K52" s="10"/>
      <c r="L52" s="2"/>
      <c r="M52" s="2"/>
      <c r="N52" s="2" t="s">
        <v>457</v>
      </c>
    </row>
    <row r="53" spans="2:14" x14ac:dyDescent="0.35">
      <c r="B53" s="10"/>
      <c r="C53" s="2" t="s">
        <v>654</v>
      </c>
      <c r="D53" s="2" t="s">
        <v>611</v>
      </c>
      <c r="E53" s="2" t="s">
        <v>700</v>
      </c>
      <c r="F53" s="2" t="s">
        <v>457</v>
      </c>
      <c r="G53" s="10"/>
      <c r="H53" s="2"/>
      <c r="I53" s="2"/>
      <c r="J53" s="2" t="s">
        <v>457</v>
      </c>
      <c r="K53" s="10"/>
      <c r="L53" s="2"/>
      <c r="M53" s="2"/>
      <c r="N53" s="2" t="s">
        <v>457</v>
      </c>
    </row>
    <row r="54" spans="2:14" x14ac:dyDescent="0.35">
      <c r="B54" s="10"/>
      <c r="C54" s="2" t="s">
        <v>655</v>
      </c>
      <c r="D54" s="2" t="s">
        <v>612</v>
      </c>
      <c r="E54" s="2" t="s">
        <v>701</v>
      </c>
      <c r="F54" s="2" t="s">
        <v>457</v>
      </c>
      <c r="G54" s="10"/>
      <c r="H54" s="2"/>
      <c r="I54" s="2"/>
      <c r="J54" s="2" t="s">
        <v>457</v>
      </c>
      <c r="K54" s="10"/>
      <c r="L54" s="2"/>
      <c r="M54" s="2"/>
      <c r="N54" s="2" t="s">
        <v>457</v>
      </c>
    </row>
    <row r="55" spans="2:14" x14ac:dyDescent="0.35">
      <c r="B55" s="10"/>
      <c r="C55" s="2" t="s">
        <v>656</v>
      </c>
      <c r="D55" s="2" t="s">
        <v>613</v>
      </c>
      <c r="E55" s="2" t="s">
        <v>742</v>
      </c>
      <c r="F55" s="2" t="s">
        <v>457</v>
      </c>
      <c r="G55" s="10"/>
      <c r="H55" s="2"/>
      <c r="I55" s="2"/>
      <c r="J55" s="2" t="s">
        <v>457</v>
      </c>
      <c r="K55" s="10"/>
      <c r="L55" s="2"/>
      <c r="M55" s="2"/>
      <c r="N55" s="2" t="s">
        <v>457</v>
      </c>
    </row>
    <row r="56" spans="2:14" x14ac:dyDescent="0.35">
      <c r="B56" s="10"/>
      <c r="C56" s="2" t="s">
        <v>657</v>
      </c>
      <c r="D56" s="2" t="s">
        <v>614</v>
      </c>
      <c r="E56" s="2" t="s">
        <v>743</v>
      </c>
      <c r="F56" s="2" t="s">
        <v>457</v>
      </c>
      <c r="G56" s="10"/>
      <c r="H56" s="2"/>
      <c r="I56" s="2"/>
      <c r="J56" s="2" t="s">
        <v>457</v>
      </c>
      <c r="K56" s="10"/>
      <c r="L56" s="2"/>
      <c r="M56" s="2"/>
      <c r="N56" s="2" t="s">
        <v>457</v>
      </c>
    </row>
    <row r="57" spans="2:14" x14ac:dyDescent="0.35">
      <c r="B57" s="10"/>
      <c r="C57" s="2" t="s">
        <v>658</v>
      </c>
      <c r="D57" s="2" t="s">
        <v>615</v>
      </c>
      <c r="E57" s="2" t="s">
        <v>744</v>
      </c>
      <c r="F57" s="2" t="s">
        <v>457</v>
      </c>
      <c r="G57" s="10"/>
      <c r="H57" s="2"/>
      <c r="I57" s="2"/>
      <c r="J57" s="2" t="s">
        <v>457</v>
      </c>
      <c r="K57" s="10"/>
      <c r="L57" s="2"/>
      <c r="M57" s="2"/>
      <c r="N57" s="2" t="s">
        <v>457</v>
      </c>
    </row>
    <row r="58" spans="2:14" x14ac:dyDescent="0.35">
      <c r="B58" s="10"/>
      <c r="C58" s="2" t="s">
        <v>745</v>
      </c>
      <c r="D58" s="2" t="s">
        <v>746</v>
      </c>
      <c r="E58" s="2" t="s">
        <v>747</v>
      </c>
      <c r="F58" s="2" t="s">
        <v>457</v>
      </c>
      <c r="G58" s="10"/>
      <c r="H58" s="2"/>
      <c r="I58" s="2"/>
      <c r="J58" s="2" t="s">
        <v>457</v>
      </c>
      <c r="K58" s="10"/>
      <c r="L58" s="2"/>
      <c r="M58" s="2"/>
      <c r="N58" s="2" t="s">
        <v>457</v>
      </c>
    </row>
    <row r="59" spans="2:14" x14ac:dyDescent="0.35">
      <c r="B59" s="10"/>
      <c r="C59" s="2" t="s">
        <v>748</v>
      </c>
      <c r="D59" s="2" t="s">
        <v>749</v>
      </c>
      <c r="E59" s="2" t="s">
        <v>750</v>
      </c>
      <c r="F59" s="2" t="s">
        <v>457</v>
      </c>
      <c r="G59" s="10"/>
      <c r="H59" s="2"/>
      <c r="I59" s="2"/>
      <c r="J59" s="2" t="s">
        <v>457</v>
      </c>
      <c r="K59" s="10"/>
      <c r="L59" s="2"/>
      <c r="M59" s="2"/>
      <c r="N59" s="2" t="s">
        <v>457</v>
      </c>
    </row>
    <row r="60" spans="2:14" x14ac:dyDescent="0.35">
      <c r="B60" s="10"/>
      <c r="C60" s="2" t="s">
        <v>659</v>
      </c>
      <c r="D60" s="2" t="s">
        <v>616</v>
      </c>
      <c r="E60" s="2" t="s">
        <v>751</v>
      </c>
      <c r="F60" s="2" t="s">
        <v>457</v>
      </c>
      <c r="G60" s="10"/>
      <c r="H60" s="2"/>
      <c r="I60" s="2"/>
      <c r="J60" s="2" t="s">
        <v>457</v>
      </c>
      <c r="K60" s="10"/>
      <c r="L60" s="2"/>
      <c r="M60" s="2"/>
      <c r="N60" s="2" t="s">
        <v>457</v>
      </c>
    </row>
    <row r="61" spans="2:14" x14ac:dyDescent="0.35">
      <c r="B61" s="10"/>
      <c r="C61" s="2" t="s">
        <v>660</v>
      </c>
      <c r="D61" s="2" t="s">
        <v>617</v>
      </c>
      <c r="E61" s="2" t="s">
        <v>752</v>
      </c>
      <c r="F61" s="2" t="s">
        <v>457</v>
      </c>
      <c r="G61" s="10"/>
      <c r="H61" s="2"/>
      <c r="I61" s="2"/>
      <c r="J61" s="2" t="s">
        <v>457</v>
      </c>
      <c r="K61" s="10"/>
      <c r="L61" s="2"/>
      <c r="M61" s="2"/>
      <c r="N61" s="2" t="s">
        <v>457</v>
      </c>
    </row>
    <row r="62" spans="2:14" x14ac:dyDescent="0.35">
      <c r="B62" s="10"/>
      <c r="C62" s="2" t="s">
        <v>661</v>
      </c>
      <c r="D62" s="2" t="s">
        <v>618</v>
      </c>
      <c r="E62" s="2" t="s">
        <v>703</v>
      </c>
      <c r="F62" s="2" t="s">
        <v>457</v>
      </c>
      <c r="G62" s="10"/>
      <c r="H62" s="2"/>
      <c r="I62" s="2"/>
      <c r="J62" s="2" t="s">
        <v>457</v>
      </c>
      <c r="K62" s="10"/>
      <c r="L62" s="2"/>
      <c r="M62" s="2"/>
      <c r="N62" s="2" t="s">
        <v>457</v>
      </c>
    </row>
    <row r="63" spans="2:14" x14ac:dyDescent="0.35">
      <c r="B63" s="10"/>
      <c r="C63" s="2" t="s">
        <v>662</v>
      </c>
      <c r="D63" s="2" t="s">
        <v>619</v>
      </c>
      <c r="E63" s="2" t="s">
        <v>704</v>
      </c>
      <c r="F63" s="2" t="s">
        <v>457</v>
      </c>
      <c r="G63" s="10"/>
      <c r="H63" s="2"/>
      <c r="I63" s="2"/>
      <c r="J63" s="2" t="s">
        <v>457</v>
      </c>
      <c r="K63" s="10"/>
      <c r="L63" s="2"/>
      <c r="M63" s="2"/>
      <c r="N63" s="2" t="s">
        <v>457</v>
      </c>
    </row>
    <row r="64" spans="2:14" x14ac:dyDescent="0.35">
      <c r="B64" s="10"/>
      <c r="C64" s="2" t="s">
        <v>663</v>
      </c>
      <c r="D64" s="2" t="s">
        <v>620</v>
      </c>
      <c r="E64" s="2" t="s">
        <v>705</v>
      </c>
      <c r="F64" s="2" t="s">
        <v>457</v>
      </c>
      <c r="G64" s="10"/>
      <c r="H64" s="2"/>
      <c r="I64" s="2"/>
      <c r="J64" s="2" t="s">
        <v>457</v>
      </c>
      <c r="K64" s="10"/>
      <c r="L64" s="2"/>
      <c r="M64" s="2"/>
      <c r="N64" s="2" t="s">
        <v>457</v>
      </c>
    </row>
    <row r="65" spans="2:14" x14ac:dyDescent="0.35">
      <c r="B65" s="10"/>
      <c r="C65" s="2" t="s">
        <v>370</v>
      </c>
      <c r="D65" s="2" t="s">
        <v>410</v>
      </c>
      <c r="E65" s="2" t="s">
        <v>706</v>
      </c>
      <c r="F65" s="2" t="s">
        <v>457</v>
      </c>
      <c r="G65" s="10"/>
      <c r="H65" s="2"/>
      <c r="I65" s="2"/>
      <c r="J65" s="2" t="s">
        <v>457</v>
      </c>
      <c r="K65" s="10"/>
      <c r="L65" s="2"/>
      <c r="M65" s="2"/>
      <c r="N65" s="2" t="s">
        <v>457</v>
      </c>
    </row>
    <row r="66" spans="2:14" x14ac:dyDescent="0.35">
      <c r="B66" s="10"/>
      <c r="C66" s="2" t="s">
        <v>664</v>
      </c>
      <c r="D66" s="2" t="s">
        <v>621</v>
      </c>
      <c r="E66" s="2" t="s">
        <v>707</v>
      </c>
      <c r="F66" s="2" t="s">
        <v>457</v>
      </c>
      <c r="G66" s="10"/>
      <c r="H66" s="2"/>
      <c r="I66" s="2"/>
      <c r="J66" s="2" t="s">
        <v>457</v>
      </c>
      <c r="K66" s="10"/>
      <c r="L66" s="2"/>
      <c r="M66" s="2"/>
      <c r="N66" s="2" t="s">
        <v>457</v>
      </c>
    </row>
    <row r="67" spans="2:14" x14ac:dyDescent="0.35">
      <c r="B67" s="10"/>
      <c r="C67" s="2" t="s">
        <v>371</v>
      </c>
      <c r="D67" s="2" t="s">
        <v>411</v>
      </c>
      <c r="E67" s="2" t="s">
        <v>708</v>
      </c>
      <c r="F67" s="2" t="s">
        <v>457</v>
      </c>
      <c r="G67" s="10"/>
      <c r="H67" s="2"/>
      <c r="I67" s="2"/>
      <c r="J67" s="2" t="s">
        <v>457</v>
      </c>
      <c r="K67" s="10"/>
      <c r="L67" s="2"/>
      <c r="M67" s="2"/>
      <c r="N67" s="2" t="s">
        <v>457</v>
      </c>
    </row>
    <row r="68" spans="2:14" x14ac:dyDescent="0.35">
      <c r="B68" s="10"/>
      <c r="C68" s="2" t="s">
        <v>665</v>
      </c>
      <c r="D68" s="2" t="s">
        <v>622</v>
      </c>
      <c r="E68" s="2" t="s">
        <v>709</v>
      </c>
      <c r="F68" s="2" t="s">
        <v>457</v>
      </c>
      <c r="G68" s="10"/>
      <c r="H68" s="2"/>
      <c r="I68" s="2"/>
      <c r="J68" s="2" t="s">
        <v>457</v>
      </c>
      <c r="K68" s="10"/>
      <c r="L68" s="2"/>
      <c r="M68" s="2"/>
      <c r="N68" s="2" t="s">
        <v>457</v>
      </c>
    </row>
    <row r="69" spans="2:14" x14ac:dyDescent="0.35">
      <c r="B69" s="10"/>
      <c r="C69" s="2" t="s">
        <v>753</v>
      </c>
      <c r="D69" s="2" t="s">
        <v>754</v>
      </c>
      <c r="E69" s="2" t="s">
        <v>755</v>
      </c>
      <c r="F69" s="2" t="s">
        <v>457</v>
      </c>
      <c r="G69" s="10"/>
      <c r="H69" s="2"/>
      <c r="I69" s="2"/>
      <c r="J69" s="2" t="s">
        <v>457</v>
      </c>
      <c r="K69" s="10"/>
      <c r="L69" s="2"/>
      <c r="M69" s="2"/>
      <c r="N69" s="2" t="s">
        <v>457</v>
      </c>
    </row>
    <row r="70" spans="2:14" x14ac:dyDescent="0.35">
      <c r="B70" s="10"/>
      <c r="C70" s="2" t="s">
        <v>756</v>
      </c>
      <c r="D70" s="2" t="s">
        <v>757</v>
      </c>
      <c r="E70" s="2" t="s">
        <v>758</v>
      </c>
      <c r="F70" s="2" t="s">
        <v>457</v>
      </c>
      <c r="G70" s="10"/>
      <c r="H70" s="2"/>
      <c r="I70" s="2"/>
      <c r="J70" s="2" t="s">
        <v>457</v>
      </c>
      <c r="K70" s="10"/>
      <c r="L70" s="2"/>
      <c r="M70" s="2"/>
      <c r="N70" s="2" t="s">
        <v>457</v>
      </c>
    </row>
    <row r="71" spans="2:14" x14ac:dyDescent="0.35">
      <c r="B71" s="10"/>
      <c r="C71" s="2" t="s">
        <v>759</v>
      </c>
      <c r="D71" s="2" t="s">
        <v>760</v>
      </c>
      <c r="E71" s="2" t="s">
        <v>761</v>
      </c>
      <c r="F71" s="2" t="s">
        <v>457</v>
      </c>
      <c r="G71" s="10"/>
      <c r="H71" s="2"/>
      <c r="I71" s="2"/>
      <c r="J71" s="2" t="s">
        <v>457</v>
      </c>
      <c r="K71" s="10"/>
      <c r="L71" s="2"/>
      <c r="M71" s="2"/>
      <c r="N71" s="2" t="s">
        <v>457</v>
      </c>
    </row>
    <row r="72" spans="2:14" x14ac:dyDescent="0.35">
      <c r="B72" s="10"/>
      <c r="C72" s="2" t="s">
        <v>372</v>
      </c>
      <c r="D72" s="2" t="s">
        <v>412</v>
      </c>
      <c r="E72" s="2" t="s">
        <v>710</v>
      </c>
      <c r="F72" s="2" t="s">
        <v>457</v>
      </c>
      <c r="G72" s="10"/>
      <c r="H72" s="2"/>
      <c r="I72" s="2"/>
      <c r="J72" s="2" t="s">
        <v>457</v>
      </c>
      <c r="K72" s="10"/>
      <c r="L72" s="2"/>
      <c r="M72" s="2"/>
      <c r="N72" s="2" t="s">
        <v>457</v>
      </c>
    </row>
    <row r="73" spans="2:14" x14ac:dyDescent="0.35">
      <c r="B73" s="10"/>
      <c r="C73" s="2" t="s">
        <v>666</v>
      </c>
      <c r="D73" s="2" t="s">
        <v>623</v>
      </c>
      <c r="E73" s="2" t="s">
        <v>711</v>
      </c>
      <c r="F73" s="2" t="s">
        <v>457</v>
      </c>
      <c r="G73" s="10"/>
      <c r="H73" s="2"/>
      <c r="I73" s="2"/>
      <c r="J73" s="2" t="s">
        <v>457</v>
      </c>
      <c r="K73" s="10"/>
      <c r="L73" s="2"/>
      <c r="M73" s="2"/>
      <c r="N73" s="2" t="s">
        <v>457</v>
      </c>
    </row>
    <row r="74" spans="2:14" x14ac:dyDescent="0.35">
      <c r="B74" s="10"/>
      <c r="C74" s="2" t="s">
        <v>667</v>
      </c>
      <c r="D74" s="2" t="s">
        <v>624</v>
      </c>
      <c r="E74" s="2" t="s">
        <v>712</v>
      </c>
      <c r="F74" s="2" t="s">
        <v>457</v>
      </c>
      <c r="G74" s="10"/>
      <c r="H74" s="2"/>
      <c r="I74" s="2"/>
      <c r="J74" s="2" t="s">
        <v>457</v>
      </c>
      <c r="K74" s="10"/>
      <c r="L74" s="2"/>
      <c r="M74" s="2"/>
      <c r="N74" s="2" t="s">
        <v>457</v>
      </c>
    </row>
    <row r="75" spans="2:14" x14ac:dyDescent="0.35">
      <c r="B75" s="10"/>
      <c r="C75" s="2" t="s">
        <v>373</v>
      </c>
      <c r="D75" s="2" t="s">
        <v>413</v>
      </c>
      <c r="E75" s="2" t="s">
        <v>713</v>
      </c>
      <c r="F75" s="2" t="s">
        <v>457</v>
      </c>
      <c r="G75" s="10"/>
      <c r="H75" s="2"/>
      <c r="I75" s="2"/>
      <c r="J75" s="2" t="s">
        <v>457</v>
      </c>
      <c r="K75" s="10"/>
      <c r="L75" s="2"/>
      <c r="M75" s="2"/>
      <c r="N75" s="2" t="s">
        <v>457</v>
      </c>
    </row>
    <row r="76" spans="2:14" x14ac:dyDescent="0.35">
      <c r="B76" s="10"/>
      <c r="C76" s="2" t="s">
        <v>668</v>
      </c>
      <c r="D76" s="2" t="s">
        <v>625</v>
      </c>
      <c r="E76" s="2" t="s">
        <v>762</v>
      </c>
      <c r="F76" s="2" t="s">
        <v>457</v>
      </c>
      <c r="G76" s="10"/>
      <c r="H76" s="2"/>
      <c r="I76" s="2"/>
      <c r="J76" s="2" t="s">
        <v>457</v>
      </c>
      <c r="K76" s="10"/>
      <c r="L76" s="2"/>
      <c r="M76" s="2"/>
      <c r="N76" s="2" t="s">
        <v>457</v>
      </c>
    </row>
    <row r="77" spans="2:14" x14ac:dyDescent="0.35">
      <c r="B77" s="10"/>
      <c r="C77" s="2" t="s">
        <v>669</v>
      </c>
      <c r="D77" s="2" t="s">
        <v>626</v>
      </c>
      <c r="E77" s="2" t="s">
        <v>714</v>
      </c>
      <c r="F77" s="2" t="s">
        <v>457</v>
      </c>
      <c r="G77" s="10"/>
      <c r="H77" s="2"/>
      <c r="I77" s="2"/>
      <c r="J77" s="2" t="s">
        <v>457</v>
      </c>
      <c r="K77" s="10"/>
      <c r="L77" s="2"/>
      <c r="M77" s="2"/>
      <c r="N77" s="2" t="s">
        <v>457</v>
      </c>
    </row>
    <row r="78" spans="2:14" x14ac:dyDescent="0.35">
      <c r="B78" s="10"/>
      <c r="C78" s="2" t="s">
        <v>670</v>
      </c>
      <c r="D78" s="2" t="s">
        <v>627</v>
      </c>
      <c r="E78" s="2" t="s">
        <v>715</v>
      </c>
      <c r="F78" s="2" t="s">
        <v>457</v>
      </c>
      <c r="G78" s="10"/>
      <c r="H78" s="2"/>
      <c r="I78" s="2"/>
      <c r="J78" s="2" t="s">
        <v>457</v>
      </c>
      <c r="K78" s="10"/>
      <c r="L78" s="2"/>
      <c r="M78" s="2"/>
      <c r="N78" s="2" t="s">
        <v>457</v>
      </c>
    </row>
    <row r="79" spans="2:14" x14ac:dyDescent="0.35">
      <c r="B79" s="10"/>
      <c r="C79" s="2" t="s">
        <v>374</v>
      </c>
      <c r="D79" s="2" t="s">
        <v>414</v>
      </c>
      <c r="E79" s="2" t="s">
        <v>716</v>
      </c>
      <c r="F79" s="2" t="s">
        <v>457</v>
      </c>
      <c r="G79" s="10"/>
      <c r="H79" s="2"/>
      <c r="I79" s="2"/>
      <c r="J79" s="2" t="s">
        <v>457</v>
      </c>
      <c r="K79" s="10"/>
      <c r="L79" s="2"/>
      <c r="M79" s="2"/>
      <c r="N79" s="2" t="s">
        <v>457</v>
      </c>
    </row>
    <row r="80" spans="2:14" x14ac:dyDescent="0.35">
      <c r="B80" s="10"/>
      <c r="C80" s="2" t="s">
        <v>375</v>
      </c>
      <c r="D80" s="2" t="s">
        <v>415</v>
      </c>
      <c r="E80" s="2" t="s">
        <v>442</v>
      </c>
      <c r="F80" s="2" t="s">
        <v>457</v>
      </c>
      <c r="G80" s="10"/>
      <c r="H80" s="2"/>
      <c r="I80" s="2"/>
      <c r="J80" s="2" t="s">
        <v>457</v>
      </c>
      <c r="K80" s="10"/>
      <c r="L80" s="2"/>
      <c r="M80" s="2"/>
      <c r="N80" s="2" t="s">
        <v>457</v>
      </c>
    </row>
    <row r="81" spans="2:14" x14ac:dyDescent="0.35">
      <c r="B81" s="10"/>
      <c r="C81" s="2" t="s">
        <v>376</v>
      </c>
      <c r="D81" s="2" t="s">
        <v>416</v>
      </c>
      <c r="E81" s="2" t="s">
        <v>763</v>
      </c>
      <c r="F81" s="2" t="s">
        <v>457</v>
      </c>
      <c r="G81" s="10"/>
      <c r="H81" s="2"/>
      <c r="I81" s="2"/>
      <c r="J81" s="2" t="s">
        <v>457</v>
      </c>
      <c r="K81" s="10"/>
      <c r="L81" s="2"/>
      <c r="M81" s="2"/>
      <c r="N81" s="2" t="s">
        <v>457</v>
      </c>
    </row>
    <row r="82" spans="2:14" x14ac:dyDescent="0.35">
      <c r="B82" s="10"/>
      <c r="C82" s="2" t="s">
        <v>377</v>
      </c>
      <c r="D82" s="2" t="s">
        <v>417</v>
      </c>
      <c r="E82" s="2" t="s">
        <v>718</v>
      </c>
      <c r="F82" s="2" t="s">
        <v>457</v>
      </c>
      <c r="G82" s="10"/>
      <c r="H82" s="2"/>
      <c r="I82" s="2"/>
      <c r="J82" s="2" t="s">
        <v>457</v>
      </c>
      <c r="K82" s="10"/>
      <c r="L82" s="2"/>
      <c r="M82" s="2"/>
      <c r="N82" s="2" t="s">
        <v>457</v>
      </c>
    </row>
    <row r="83" spans="2:14" x14ac:dyDescent="0.35">
      <c r="B83" s="10"/>
      <c r="C83" s="2" t="s">
        <v>671</v>
      </c>
      <c r="D83" s="2" t="s">
        <v>628</v>
      </c>
      <c r="E83" s="2" t="s">
        <v>717</v>
      </c>
      <c r="F83" s="2" t="s">
        <v>457</v>
      </c>
      <c r="G83" s="10"/>
      <c r="H83" s="2"/>
      <c r="I83" s="2"/>
      <c r="J83" s="2" t="s">
        <v>457</v>
      </c>
      <c r="K83" s="10"/>
      <c r="L83" s="2"/>
      <c r="M83" s="2"/>
      <c r="N83" s="2" t="s">
        <v>457</v>
      </c>
    </row>
    <row r="84" spans="2:14" x14ac:dyDescent="0.35">
      <c r="B84" s="10"/>
      <c r="C84" s="2" t="s">
        <v>672</v>
      </c>
      <c r="D84" s="2" t="s">
        <v>629</v>
      </c>
      <c r="E84" s="2" t="s">
        <v>764</v>
      </c>
      <c r="F84" s="2" t="s">
        <v>457</v>
      </c>
      <c r="G84" s="10"/>
      <c r="H84" s="2"/>
      <c r="I84" s="2"/>
      <c r="J84" s="2" t="s">
        <v>457</v>
      </c>
      <c r="K84" s="10"/>
      <c r="L84" s="2"/>
      <c r="M84" s="2"/>
      <c r="N84" s="2" t="s">
        <v>457</v>
      </c>
    </row>
    <row r="85" spans="2:14" x14ac:dyDescent="0.35">
      <c r="B85" s="10"/>
      <c r="C85" s="2" t="s">
        <v>378</v>
      </c>
      <c r="D85" s="2" t="s">
        <v>418</v>
      </c>
      <c r="E85" s="2" t="s">
        <v>443</v>
      </c>
      <c r="F85" s="2" t="s">
        <v>457</v>
      </c>
      <c r="G85" s="10"/>
      <c r="H85" s="2"/>
      <c r="I85" s="2"/>
      <c r="J85" s="2" t="s">
        <v>457</v>
      </c>
      <c r="K85" s="10"/>
      <c r="L85" s="2"/>
      <c r="M85" s="2"/>
      <c r="N85" s="2" t="s">
        <v>457</v>
      </c>
    </row>
    <row r="86" spans="2:14" x14ac:dyDescent="0.35">
      <c r="B86" s="10"/>
      <c r="C86" s="2" t="s">
        <v>379</v>
      </c>
      <c r="D86" s="2" t="s">
        <v>419</v>
      </c>
      <c r="E86" s="2" t="s">
        <v>444</v>
      </c>
      <c r="F86" s="2" t="s">
        <v>457</v>
      </c>
      <c r="G86" s="10"/>
      <c r="H86" s="2"/>
      <c r="I86" s="2"/>
      <c r="J86" s="2" t="s">
        <v>457</v>
      </c>
      <c r="K86" s="10"/>
      <c r="L86" s="2"/>
      <c r="M86" s="2"/>
      <c r="N86" s="2" t="s">
        <v>457</v>
      </c>
    </row>
    <row r="87" spans="2:14" x14ac:dyDescent="0.35">
      <c r="B87" s="10"/>
      <c r="C87" s="2" t="s">
        <v>380</v>
      </c>
      <c r="D87" s="2" t="s">
        <v>420</v>
      </c>
      <c r="E87" s="2" t="s">
        <v>445</v>
      </c>
      <c r="F87" s="2" t="s">
        <v>457</v>
      </c>
      <c r="G87" s="10"/>
      <c r="H87" s="2"/>
      <c r="I87" s="2"/>
      <c r="J87" s="2" t="s">
        <v>457</v>
      </c>
      <c r="K87" s="10"/>
      <c r="L87" s="2"/>
      <c r="M87" s="2"/>
      <c r="N87" s="2" t="s">
        <v>457</v>
      </c>
    </row>
    <row r="88" spans="2:14" x14ac:dyDescent="0.35">
      <c r="B88" s="10"/>
      <c r="C88" s="2" t="s">
        <v>381</v>
      </c>
      <c r="D88" s="2" t="s">
        <v>421</v>
      </c>
      <c r="E88" s="2" t="s">
        <v>446</v>
      </c>
      <c r="F88" s="2" t="s">
        <v>457</v>
      </c>
      <c r="G88" s="10"/>
      <c r="H88" s="2"/>
      <c r="I88" s="2"/>
      <c r="J88" s="2" t="s">
        <v>457</v>
      </c>
      <c r="K88" s="10"/>
      <c r="L88" s="2"/>
      <c r="M88" s="2"/>
      <c r="N88" s="2" t="s">
        <v>457</v>
      </c>
    </row>
    <row r="89" spans="2:14" x14ac:dyDescent="0.35">
      <c r="B89" s="10"/>
      <c r="C89" s="2" t="s">
        <v>382</v>
      </c>
      <c r="D89" s="2" t="s">
        <v>422</v>
      </c>
      <c r="E89" s="2" t="s">
        <v>447</v>
      </c>
      <c r="F89" s="2" t="s">
        <v>457</v>
      </c>
      <c r="G89" s="10"/>
      <c r="H89" s="2"/>
      <c r="I89" s="2"/>
      <c r="J89" s="2" t="s">
        <v>457</v>
      </c>
      <c r="K89" s="10"/>
      <c r="L89" s="2"/>
      <c r="M89" s="2"/>
      <c r="N89" s="2" t="s">
        <v>457</v>
      </c>
    </row>
    <row r="90" spans="2:14" x14ac:dyDescent="0.35">
      <c r="B90" s="10"/>
      <c r="C90" s="2" t="s">
        <v>383</v>
      </c>
      <c r="D90" s="2" t="s">
        <v>423</v>
      </c>
      <c r="E90" s="2" t="s">
        <v>448</v>
      </c>
      <c r="F90" s="2" t="s">
        <v>457</v>
      </c>
      <c r="G90" s="10"/>
      <c r="H90" s="2"/>
      <c r="I90" s="2"/>
      <c r="J90" s="2" t="s">
        <v>457</v>
      </c>
      <c r="K90" s="10"/>
      <c r="L90" s="2"/>
      <c r="M90" s="2"/>
      <c r="N90" s="2" t="s">
        <v>457</v>
      </c>
    </row>
    <row r="91" spans="2:14" x14ac:dyDescent="0.35">
      <c r="B91" s="10"/>
      <c r="C91" s="2" t="s">
        <v>384</v>
      </c>
      <c r="D91" s="2" t="s">
        <v>424</v>
      </c>
      <c r="E91" s="2" t="s">
        <v>719</v>
      </c>
      <c r="F91" s="2" t="s">
        <v>457</v>
      </c>
      <c r="G91" s="10"/>
      <c r="H91" s="2"/>
      <c r="I91" s="2"/>
      <c r="J91" s="2" t="s">
        <v>457</v>
      </c>
      <c r="K91" s="10"/>
      <c r="L91" s="2"/>
      <c r="M91" s="2"/>
      <c r="N91" s="2" t="s">
        <v>457</v>
      </c>
    </row>
    <row r="92" spans="2:14" x14ac:dyDescent="0.35">
      <c r="B92" s="10"/>
      <c r="C92" s="2" t="s">
        <v>673</v>
      </c>
      <c r="D92" s="2" t="s">
        <v>630</v>
      </c>
      <c r="E92" s="2" t="s">
        <v>720</v>
      </c>
      <c r="F92" s="2" t="s">
        <v>457</v>
      </c>
      <c r="G92" s="10"/>
      <c r="H92" s="2"/>
      <c r="I92" s="2"/>
      <c r="J92" s="2" t="s">
        <v>457</v>
      </c>
      <c r="K92" s="10"/>
      <c r="L92" s="2"/>
      <c r="M92" s="2"/>
      <c r="N92" s="2" t="s">
        <v>457</v>
      </c>
    </row>
    <row r="93" spans="2:14" x14ac:dyDescent="0.35">
      <c r="B93" s="10"/>
      <c r="C93" s="2" t="s">
        <v>385</v>
      </c>
      <c r="D93" s="2" t="s">
        <v>425</v>
      </c>
      <c r="E93" s="2" t="s">
        <v>449</v>
      </c>
      <c r="F93" s="2" t="s">
        <v>457</v>
      </c>
      <c r="G93" s="10"/>
      <c r="H93" s="2"/>
      <c r="I93" s="2"/>
      <c r="J93" s="2" t="s">
        <v>457</v>
      </c>
      <c r="K93" s="10"/>
      <c r="L93" s="2"/>
      <c r="M93" s="2"/>
      <c r="N93" s="2" t="s">
        <v>457</v>
      </c>
    </row>
    <row r="94" spans="2:14" x14ac:dyDescent="0.35">
      <c r="B94" s="10"/>
      <c r="C94" s="2" t="s">
        <v>386</v>
      </c>
      <c r="D94" s="2" t="s">
        <v>426</v>
      </c>
      <c r="E94" s="2" t="s">
        <v>450</v>
      </c>
      <c r="F94" s="2" t="s">
        <v>457</v>
      </c>
      <c r="G94" s="10"/>
      <c r="H94" s="2"/>
      <c r="I94" s="2"/>
      <c r="J94" s="2" t="s">
        <v>457</v>
      </c>
      <c r="K94" s="10"/>
      <c r="L94" s="2"/>
      <c r="M94" s="2"/>
      <c r="N94" s="2" t="s">
        <v>457</v>
      </c>
    </row>
    <row r="95" spans="2:14" x14ac:dyDescent="0.35">
      <c r="B95" s="10"/>
      <c r="C95" s="2" t="s">
        <v>387</v>
      </c>
      <c r="D95" s="2" t="s">
        <v>427</v>
      </c>
      <c r="E95" s="2" t="s">
        <v>451</v>
      </c>
      <c r="F95" s="2" t="s">
        <v>457</v>
      </c>
      <c r="G95" s="10"/>
      <c r="H95" s="2"/>
      <c r="I95" s="2"/>
      <c r="J95" s="2" t="s">
        <v>457</v>
      </c>
      <c r="K95" s="10"/>
      <c r="L95" s="2"/>
      <c r="M95" s="2"/>
      <c r="N95" s="2" t="s">
        <v>457</v>
      </c>
    </row>
    <row r="96" spans="2:14" x14ac:dyDescent="0.35">
      <c r="B96" s="10"/>
      <c r="C96" s="2" t="s">
        <v>388</v>
      </c>
      <c r="D96" s="2" t="s">
        <v>428</v>
      </c>
      <c r="E96" s="2" t="s">
        <v>452</v>
      </c>
      <c r="F96" s="2" t="s">
        <v>457</v>
      </c>
      <c r="G96" s="10"/>
      <c r="H96" s="2"/>
      <c r="I96" s="2"/>
      <c r="J96" s="2" t="s">
        <v>457</v>
      </c>
      <c r="K96" s="10"/>
      <c r="L96" s="2"/>
      <c r="M96" s="2"/>
      <c r="N96" s="2" t="s">
        <v>457</v>
      </c>
    </row>
    <row r="97" spans="2:14" x14ac:dyDescent="0.35">
      <c r="B97" s="10"/>
      <c r="C97" s="2" t="s">
        <v>389</v>
      </c>
      <c r="D97" s="2" t="s">
        <v>429</v>
      </c>
      <c r="E97" s="2" t="s">
        <v>453</v>
      </c>
      <c r="F97" s="2" t="s">
        <v>457</v>
      </c>
      <c r="G97" s="10"/>
      <c r="H97" s="2"/>
      <c r="I97" s="2"/>
      <c r="J97" s="2" t="s">
        <v>457</v>
      </c>
      <c r="K97" s="10"/>
      <c r="L97" s="2"/>
      <c r="M97" s="2"/>
      <c r="N97" s="2" t="s">
        <v>457</v>
      </c>
    </row>
    <row r="98" spans="2:14" x14ac:dyDescent="0.35">
      <c r="B98" s="10"/>
      <c r="C98" s="2" t="s">
        <v>390</v>
      </c>
      <c r="D98" s="2" t="s">
        <v>430</v>
      </c>
      <c r="E98" s="2" t="s">
        <v>454</v>
      </c>
      <c r="F98" s="2" t="s">
        <v>457</v>
      </c>
      <c r="G98" s="10"/>
      <c r="H98" s="2"/>
      <c r="I98" s="2"/>
      <c r="J98" s="2" t="s">
        <v>457</v>
      </c>
      <c r="K98" s="10"/>
      <c r="L98" s="2"/>
      <c r="M98" s="2"/>
      <c r="N98" s="2" t="s">
        <v>457</v>
      </c>
    </row>
    <row r="99" spans="2:14" x14ac:dyDescent="0.35">
      <c r="B99" s="10"/>
      <c r="C99" s="2" t="s">
        <v>391</v>
      </c>
      <c r="D99" s="2" t="s">
        <v>431</v>
      </c>
      <c r="E99" s="2" t="s">
        <v>455</v>
      </c>
      <c r="F99" s="2" t="s">
        <v>457</v>
      </c>
      <c r="G99" s="10"/>
      <c r="H99" s="2"/>
      <c r="I99" s="2"/>
      <c r="J99" s="2" t="s">
        <v>457</v>
      </c>
      <c r="K99" s="10"/>
      <c r="L99" s="2"/>
      <c r="M99" s="2"/>
      <c r="N99" s="2" t="s">
        <v>457</v>
      </c>
    </row>
    <row r="100" spans="2:14" x14ac:dyDescent="0.35">
      <c r="B100" s="10"/>
      <c r="C100" s="2" t="s">
        <v>392</v>
      </c>
      <c r="D100" s="2" t="s">
        <v>432</v>
      </c>
      <c r="E100" s="2" t="s">
        <v>456</v>
      </c>
      <c r="F100" s="2" t="s">
        <v>457</v>
      </c>
      <c r="G100" s="10"/>
      <c r="H100" s="2"/>
      <c r="I100" s="2"/>
      <c r="J100" s="2" t="s">
        <v>457</v>
      </c>
      <c r="K100" s="10"/>
      <c r="L100" s="2"/>
      <c r="M100" s="2"/>
      <c r="N100" s="2" t="s">
        <v>457</v>
      </c>
    </row>
    <row r="101" spans="2:14" x14ac:dyDescent="0.35">
      <c r="B101" s="10"/>
      <c r="C101" s="2"/>
      <c r="D101" s="2"/>
      <c r="E101" s="2"/>
      <c r="F101" s="2" t="s">
        <v>457</v>
      </c>
      <c r="G101" s="10"/>
      <c r="H101" s="2"/>
      <c r="I101" s="2"/>
      <c r="J101" s="2" t="s">
        <v>457</v>
      </c>
      <c r="K101" s="10"/>
      <c r="L101" s="2"/>
      <c r="M101" s="2"/>
      <c r="N101" s="2" t="s">
        <v>457</v>
      </c>
    </row>
    <row r="102" spans="2:14" x14ac:dyDescent="0.35">
      <c r="B102" s="10"/>
      <c r="C102" s="2"/>
      <c r="D102" s="2"/>
      <c r="E102" s="2"/>
      <c r="F102" s="2" t="s">
        <v>457</v>
      </c>
      <c r="G102" s="10"/>
      <c r="H102" s="2"/>
      <c r="I102" s="2"/>
      <c r="J102" s="2" t="s">
        <v>457</v>
      </c>
      <c r="K102" s="10"/>
      <c r="L102" s="2"/>
      <c r="M102" s="2"/>
      <c r="N102" s="2" t="s">
        <v>457</v>
      </c>
    </row>
    <row r="103" spans="2:14" x14ac:dyDescent="0.35">
      <c r="B103" s="10"/>
      <c r="C103" s="2"/>
      <c r="D103" s="2"/>
      <c r="E103" s="2"/>
      <c r="F103" s="2" t="s">
        <v>457</v>
      </c>
      <c r="G103" s="10"/>
      <c r="H103" s="2"/>
      <c r="I103" s="2"/>
      <c r="J103" s="2" t="s">
        <v>457</v>
      </c>
      <c r="K103" s="10"/>
      <c r="L103" s="2"/>
      <c r="M103" s="2"/>
      <c r="N103" s="2" t="s">
        <v>457</v>
      </c>
    </row>
    <row r="104" spans="2:14" x14ac:dyDescent="0.35">
      <c r="B104" s="10"/>
      <c r="C104" s="2"/>
      <c r="D104" s="2"/>
      <c r="E104" s="2"/>
      <c r="F104" s="2" t="s">
        <v>457</v>
      </c>
      <c r="G104" s="10"/>
      <c r="H104" s="2"/>
      <c r="I104" s="2"/>
      <c r="J104" s="2" t="s">
        <v>457</v>
      </c>
      <c r="K104" s="10"/>
      <c r="L104" s="2"/>
      <c r="M104" s="2"/>
      <c r="N104" s="2" t="s">
        <v>457</v>
      </c>
    </row>
    <row r="105" spans="2:14" x14ac:dyDescent="0.35">
      <c r="B105" s="10"/>
      <c r="C105" s="2"/>
      <c r="D105" s="2"/>
      <c r="E105" s="2"/>
      <c r="F105" s="2" t="s">
        <v>457</v>
      </c>
      <c r="G105" s="10"/>
      <c r="H105" s="2"/>
      <c r="I105" s="2"/>
      <c r="J105" s="2" t="s">
        <v>457</v>
      </c>
      <c r="K105" s="10"/>
      <c r="L105" s="2"/>
      <c r="M105" s="2"/>
      <c r="N105" s="2" t="s">
        <v>457</v>
      </c>
    </row>
    <row r="106" spans="2:14" x14ac:dyDescent="0.35">
      <c r="B106" s="10"/>
      <c r="C106" s="2"/>
      <c r="D106" s="2"/>
      <c r="E106" s="2"/>
      <c r="F106" s="2" t="s">
        <v>457</v>
      </c>
      <c r="G106" s="10"/>
      <c r="H106" s="2"/>
      <c r="I106" s="2"/>
      <c r="J106" s="2" t="s">
        <v>457</v>
      </c>
      <c r="K106" s="10"/>
      <c r="L106" s="2"/>
      <c r="M106" s="2"/>
      <c r="N106" s="2" t="s">
        <v>457</v>
      </c>
    </row>
    <row r="107" spans="2:14" x14ac:dyDescent="0.35">
      <c r="B107" s="10"/>
      <c r="C107" s="2"/>
      <c r="D107" s="2"/>
      <c r="E107" s="2"/>
      <c r="F107" s="2" t="s">
        <v>457</v>
      </c>
      <c r="G107" s="10"/>
      <c r="H107" s="2"/>
      <c r="I107" s="2"/>
      <c r="J107" s="2" t="s">
        <v>457</v>
      </c>
      <c r="K107" s="10"/>
      <c r="L107" s="2"/>
      <c r="M107" s="2"/>
      <c r="N107" s="2" t="s">
        <v>457</v>
      </c>
    </row>
    <row r="108" spans="2:14" x14ac:dyDescent="0.35">
      <c r="B108" s="10"/>
      <c r="C108" s="2"/>
      <c r="D108" s="2"/>
      <c r="E108" s="2"/>
      <c r="F108" s="2" t="s">
        <v>457</v>
      </c>
      <c r="G108" s="10"/>
      <c r="H108" s="2"/>
      <c r="I108" s="2"/>
      <c r="J108" s="2" t="s">
        <v>457</v>
      </c>
      <c r="K108" s="10"/>
      <c r="L108" s="2"/>
      <c r="M108" s="2"/>
      <c r="N108" s="2" t="s">
        <v>457</v>
      </c>
    </row>
    <row r="109" spans="2:14" x14ac:dyDescent="0.35">
      <c r="B109" s="10"/>
      <c r="C109" s="2"/>
      <c r="D109" s="2"/>
      <c r="E109" s="2"/>
      <c r="F109" s="2" t="s">
        <v>457</v>
      </c>
      <c r="G109" s="10"/>
      <c r="H109" s="2"/>
      <c r="I109" s="2"/>
      <c r="J109" s="2" t="s">
        <v>457</v>
      </c>
      <c r="K109" s="10"/>
      <c r="L109" s="2"/>
      <c r="M109" s="2"/>
      <c r="N109" s="2" t="s">
        <v>457</v>
      </c>
    </row>
    <row r="110" spans="2:14" x14ac:dyDescent="0.35">
      <c r="B110" s="10"/>
      <c r="C110" s="2"/>
      <c r="D110" s="2"/>
      <c r="E110" s="2"/>
      <c r="F110" s="2" t="s">
        <v>457</v>
      </c>
      <c r="G110" s="10"/>
      <c r="H110" s="2"/>
      <c r="I110" s="2"/>
      <c r="J110" s="2" t="s">
        <v>457</v>
      </c>
      <c r="K110" s="10"/>
      <c r="L110" s="2"/>
      <c r="M110" s="2"/>
      <c r="N110" s="2" t="s">
        <v>457</v>
      </c>
    </row>
    <row r="111" spans="2:14" x14ac:dyDescent="0.35">
      <c r="B111" s="10"/>
      <c r="C111" s="2"/>
      <c r="D111" s="2"/>
      <c r="E111" s="2"/>
      <c r="F111" s="2" t="s">
        <v>457</v>
      </c>
      <c r="G111" s="10"/>
      <c r="H111" s="2"/>
      <c r="I111" s="2"/>
      <c r="J111" s="2" t="s">
        <v>457</v>
      </c>
      <c r="K111" s="10"/>
      <c r="L111" s="2"/>
      <c r="M111" s="2"/>
      <c r="N111" s="2" t="s">
        <v>457</v>
      </c>
    </row>
    <row r="112" spans="2:14" x14ac:dyDescent="0.35">
      <c r="B112" s="10"/>
      <c r="C112" s="2"/>
      <c r="D112" s="2"/>
      <c r="E112" s="2"/>
      <c r="F112" s="2" t="s">
        <v>457</v>
      </c>
      <c r="G112" s="10"/>
      <c r="H112" s="2"/>
      <c r="I112" s="2"/>
      <c r="J112" s="2" t="s">
        <v>457</v>
      </c>
      <c r="K112" s="10"/>
      <c r="L112" s="2"/>
      <c r="M112" s="2"/>
      <c r="N112" s="2" t="s">
        <v>457</v>
      </c>
    </row>
    <row r="113" spans="2:14" x14ac:dyDescent="0.35">
      <c r="B113" s="10"/>
      <c r="C113" s="2"/>
      <c r="D113" s="2"/>
      <c r="E113" s="2"/>
      <c r="F113" s="2" t="s">
        <v>457</v>
      </c>
      <c r="G113" s="10"/>
      <c r="H113" s="2"/>
      <c r="I113" s="2"/>
      <c r="J113" s="2" t="s">
        <v>457</v>
      </c>
      <c r="K113" s="10"/>
      <c r="L113" s="2"/>
      <c r="M113" s="2"/>
      <c r="N113" s="2" t="s">
        <v>457</v>
      </c>
    </row>
    <row r="114" spans="2:14" x14ac:dyDescent="0.35">
      <c r="B114" s="10"/>
      <c r="C114" s="2"/>
      <c r="D114" s="2"/>
      <c r="E114" s="2"/>
      <c r="F114" s="2" t="s">
        <v>457</v>
      </c>
      <c r="G114" s="10"/>
      <c r="H114" s="2"/>
      <c r="I114" s="2"/>
      <c r="J114" s="2" t="s">
        <v>457</v>
      </c>
      <c r="K114" s="10"/>
      <c r="L114" s="2"/>
      <c r="M114" s="2"/>
      <c r="N114" s="2" t="s">
        <v>457</v>
      </c>
    </row>
    <row r="115" spans="2:14" x14ac:dyDescent="0.35">
      <c r="B115" s="10"/>
      <c r="C115" s="2"/>
      <c r="D115" s="2"/>
      <c r="E115" s="2"/>
      <c r="F115" s="2" t="s">
        <v>457</v>
      </c>
      <c r="G115" s="10"/>
      <c r="H115" s="2"/>
      <c r="I115" s="2"/>
      <c r="J115" s="2" t="s">
        <v>457</v>
      </c>
      <c r="K115" s="10"/>
      <c r="L115" s="2"/>
      <c r="M115" s="2"/>
      <c r="N115" s="2" t="s">
        <v>457</v>
      </c>
    </row>
    <row r="116" spans="2:14" x14ac:dyDescent="0.35">
      <c r="B116" s="10"/>
      <c r="C116" s="2"/>
      <c r="D116" s="2"/>
      <c r="E116" s="2"/>
      <c r="F116" s="2" t="s">
        <v>457</v>
      </c>
      <c r="G116" s="10"/>
      <c r="H116" s="2"/>
      <c r="I116" s="2"/>
      <c r="J116" s="2" t="s">
        <v>457</v>
      </c>
      <c r="K116" s="10"/>
      <c r="L116" s="2"/>
      <c r="M116" s="2"/>
      <c r="N116" s="2" t="s">
        <v>457</v>
      </c>
    </row>
    <row r="117" spans="2:14" x14ac:dyDescent="0.35">
      <c r="B117" s="10"/>
      <c r="C117" s="2"/>
      <c r="D117" s="2"/>
      <c r="E117" s="2"/>
      <c r="F117" s="2" t="s">
        <v>457</v>
      </c>
      <c r="G117" s="10"/>
      <c r="H117" s="2"/>
      <c r="I117" s="2"/>
      <c r="J117" s="2" t="s">
        <v>457</v>
      </c>
      <c r="K117" s="10"/>
      <c r="L117" s="2"/>
      <c r="M117" s="2"/>
      <c r="N117" s="2" t="s">
        <v>457</v>
      </c>
    </row>
    <row r="118" spans="2:14" x14ac:dyDescent="0.35">
      <c r="B118" s="10"/>
      <c r="C118" s="2"/>
      <c r="D118" s="2"/>
      <c r="E118" s="2"/>
      <c r="F118" s="2" t="s">
        <v>457</v>
      </c>
      <c r="G118" s="10"/>
      <c r="H118" s="2"/>
      <c r="I118" s="2"/>
      <c r="J118" s="2" t="s">
        <v>457</v>
      </c>
      <c r="K118" s="10"/>
      <c r="L118" s="2"/>
      <c r="M118" s="2"/>
      <c r="N118" s="2" t="s">
        <v>457</v>
      </c>
    </row>
    <row r="119" spans="2:14" x14ac:dyDescent="0.35">
      <c r="B119" s="10"/>
      <c r="C119" s="2"/>
      <c r="D119" s="2"/>
      <c r="E119" s="2"/>
      <c r="F119" s="2" t="s">
        <v>457</v>
      </c>
      <c r="G119" s="10"/>
      <c r="H119" s="2"/>
      <c r="I119" s="2"/>
      <c r="J119" s="2" t="s">
        <v>457</v>
      </c>
      <c r="K119" s="10"/>
      <c r="L119" s="2"/>
      <c r="M119" s="2"/>
      <c r="N119" s="2" t="s">
        <v>457</v>
      </c>
    </row>
    <row r="120" spans="2:14" x14ac:dyDescent="0.35">
      <c r="B120" s="10"/>
      <c r="C120" s="2"/>
      <c r="D120" s="2"/>
      <c r="E120" s="2"/>
      <c r="F120" s="2" t="s">
        <v>457</v>
      </c>
      <c r="G120" s="10"/>
      <c r="H120" s="2"/>
      <c r="I120" s="2"/>
      <c r="J120" s="2" t="s">
        <v>457</v>
      </c>
      <c r="K120" s="10"/>
      <c r="L120" s="2"/>
      <c r="M120" s="2"/>
      <c r="N120" s="2" t="s">
        <v>457</v>
      </c>
    </row>
    <row r="121" spans="2:14" x14ac:dyDescent="0.35">
      <c r="B121" s="10"/>
      <c r="C121" s="2"/>
      <c r="D121" s="2"/>
      <c r="E121" s="2"/>
      <c r="F121" s="2" t="s">
        <v>457</v>
      </c>
      <c r="G121" s="10"/>
      <c r="H121" s="2"/>
      <c r="I121" s="2"/>
      <c r="J121" s="2" t="s">
        <v>457</v>
      </c>
      <c r="K121" s="10"/>
      <c r="L121" s="2"/>
      <c r="M121" s="2"/>
      <c r="N121" s="2" t="s">
        <v>457</v>
      </c>
    </row>
    <row r="122" spans="2:14" x14ac:dyDescent="0.35">
      <c r="B122" s="10"/>
      <c r="C122" s="2"/>
      <c r="D122" s="2"/>
      <c r="E122" s="2"/>
      <c r="F122" s="2" t="s">
        <v>457</v>
      </c>
      <c r="G122" s="10"/>
      <c r="H122" s="2"/>
      <c r="I122" s="2"/>
      <c r="J122" s="2" t="s">
        <v>457</v>
      </c>
      <c r="K122" s="10"/>
      <c r="L122" s="2"/>
      <c r="M122" s="2"/>
      <c r="N122" s="2" t="s">
        <v>457</v>
      </c>
    </row>
    <row r="123" spans="2:14" x14ac:dyDescent="0.35">
      <c r="B123" s="10"/>
      <c r="C123" s="2"/>
      <c r="D123" s="2"/>
      <c r="E123" s="2"/>
      <c r="F123" s="2" t="s">
        <v>457</v>
      </c>
      <c r="G123" s="10"/>
      <c r="H123" s="2"/>
      <c r="I123" s="2"/>
      <c r="J123" s="2" t="s">
        <v>457</v>
      </c>
      <c r="K123" s="10"/>
      <c r="L123" s="2"/>
      <c r="M123" s="2"/>
      <c r="N123" s="2" t="s">
        <v>457</v>
      </c>
    </row>
    <row r="124" spans="2:14" x14ac:dyDescent="0.35">
      <c r="B124" s="10"/>
      <c r="C124" s="2"/>
      <c r="D124" s="2"/>
      <c r="E124" s="2"/>
      <c r="F124" s="2" t="s">
        <v>457</v>
      </c>
      <c r="G124" s="10"/>
      <c r="H124" s="2"/>
      <c r="I124" s="2"/>
      <c r="J124" s="2" t="s">
        <v>457</v>
      </c>
      <c r="K124" s="10"/>
      <c r="L124" s="2"/>
      <c r="M124" s="2"/>
      <c r="N124" s="2" t="s">
        <v>457</v>
      </c>
    </row>
    <row r="125" spans="2:14" x14ac:dyDescent="0.35">
      <c r="B125" s="10"/>
      <c r="C125" s="2"/>
      <c r="D125" s="2"/>
      <c r="E125" s="2"/>
      <c r="F125" s="2" t="s">
        <v>457</v>
      </c>
      <c r="G125" s="10"/>
      <c r="H125" s="2"/>
      <c r="I125" s="2"/>
      <c r="J125" s="2" t="s">
        <v>457</v>
      </c>
      <c r="K125" s="10"/>
      <c r="L125" s="2"/>
      <c r="M125" s="2"/>
      <c r="N125" s="2" t="s">
        <v>457</v>
      </c>
    </row>
    <row r="126" spans="2:14" x14ac:dyDescent="0.35">
      <c r="B126" s="10"/>
      <c r="C126" s="2"/>
      <c r="D126" s="2"/>
      <c r="E126" s="2"/>
      <c r="F126" s="2" t="s">
        <v>457</v>
      </c>
      <c r="G126" s="10"/>
      <c r="H126" s="2"/>
      <c r="I126" s="2"/>
      <c r="J126" s="2" t="s">
        <v>457</v>
      </c>
      <c r="K126" s="10"/>
      <c r="L126" s="2"/>
      <c r="M126" s="2"/>
      <c r="N126" s="2" t="s">
        <v>457</v>
      </c>
    </row>
    <row r="127" spans="2:14" x14ac:dyDescent="0.35">
      <c r="B127" s="10"/>
      <c r="C127" s="2"/>
      <c r="D127" s="2"/>
      <c r="E127" s="2"/>
      <c r="F127" s="2" t="s">
        <v>457</v>
      </c>
      <c r="G127" s="10"/>
      <c r="H127" s="2"/>
      <c r="I127" s="2"/>
      <c r="J127" s="2" t="s">
        <v>457</v>
      </c>
      <c r="K127" s="10"/>
      <c r="L127" s="2"/>
      <c r="M127" s="2"/>
      <c r="N127" s="2" t="s">
        <v>457</v>
      </c>
    </row>
    <row r="128" spans="2:14" x14ac:dyDescent="0.35">
      <c r="B128" s="10"/>
      <c r="C128" s="2"/>
      <c r="D128" s="2"/>
      <c r="E128" s="2"/>
      <c r="F128" s="2" t="s">
        <v>457</v>
      </c>
      <c r="G128" s="10"/>
      <c r="H128" s="2"/>
      <c r="I128" s="2"/>
      <c r="J128" s="2" t="s">
        <v>457</v>
      </c>
      <c r="K128" s="10"/>
      <c r="L128" s="2"/>
      <c r="M128" s="2"/>
      <c r="N128" s="2" t="s">
        <v>457</v>
      </c>
    </row>
    <row r="129" spans="2:14" x14ac:dyDescent="0.35">
      <c r="B129" s="10"/>
      <c r="C129" s="2"/>
      <c r="D129" s="2"/>
      <c r="E129" s="2"/>
      <c r="F129" s="2" t="s">
        <v>457</v>
      </c>
      <c r="G129" s="10"/>
      <c r="H129" s="2"/>
      <c r="I129" s="2"/>
      <c r="J129" s="2" t="s">
        <v>457</v>
      </c>
      <c r="K129" s="10"/>
      <c r="L129" s="2"/>
      <c r="M129" s="2"/>
      <c r="N129" s="2" t="s">
        <v>457</v>
      </c>
    </row>
    <row r="130" spans="2:14" x14ac:dyDescent="0.35">
      <c r="B130" s="10"/>
      <c r="C130" s="2"/>
      <c r="D130" s="2"/>
      <c r="E130" s="2"/>
      <c r="F130" s="2" t="s">
        <v>457</v>
      </c>
      <c r="G130" s="10"/>
      <c r="H130" s="2"/>
      <c r="I130" s="2"/>
      <c r="J130" s="2" t="s">
        <v>457</v>
      </c>
      <c r="K130" s="10"/>
      <c r="L130" s="2"/>
      <c r="M130" s="2"/>
      <c r="N130" s="2" t="s">
        <v>457</v>
      </c>
    </row>
    <row r="131" spans="2:14" x14ac:dyDescent="0.35">
      <c r="B131" s="10"/>
      <c r="C131" s="2"/>
      <c r="D131" s="2"/>
      <c r="E131" s="2"/>
      <c r="F131" s="2" t="s">
        <v>457</v>
      </c>
      <c r="G131" s="10"/>
      <c r="H131" s="2"/>
      <c r="I131" s="2"/>
      <c r="J131" s="2" t="s">
        <v>457</v>
      </c>
      <c r="K131" s="10"/>
      <c r="L131" s="2"/>
      <c r="M131" s="2"/>
      <c r="N131" s="2" t="s">
        <v>457</v>
      </c>
    </row>
    <row r="132" spans="2:14" x14ac:dyDescent="0.35">
      <c r="B132" s="10"/>
      <c r="C132" s="2"/>
      <c r="D132" s="2"/>
      <c r="E132" s="2"/>
      <c r="F132" s="2" t="s">
        <v>457</v>
      </c>
      <c r="G132" s="10"/>
      <c r="H132" s="2"/>
      <c r="I132" s="2"/>
      <c r="J132" s="2" t="s">
        <v>457</v>
      </c>
      <c r="K132" s="10"/>
      <c r="L132" s="2"/>
      <c r="M132" s="2"/>
      <c r="N132" s="2" t="s">
        <v>457</v>
      </c>
    </row>
    <row r="133" spans="2:14" x14ac:dyDescent="0.35">
      <c r="B133" s="10"/>
      <c r="C133" s="2"/>
      <c r="D133" s="2"/>
      <c r="E133" s="2"/>
      <c r="F133" s="2" t="s">
        <v>457</v>
      </c>
      <c r="G133" s="10"/>
      <c r="H133" s="2"/>
      <c r="I133" s="2"/>
      <c r="J133" s="2" t="s">
        <v>457</v>
      </c>
      <c r="K133" s="10"/>
      <c r="L133" s="2"/>
      <c r="M133" s="2"/>
      <c r="N133" s="2" t="s">
        <v>457</v>
      </c>
    </row>
    <row r="134" spans="2:14" x14ac:dyDescent="0.35">
      <c r="B134" s="10"/>
      <c r="C134" s="2"/>
      <c r="D134" s="2"/>
      <c r="E134" s="2"/>
      <c r="F134" s="2" t="s">
        <v>457</v>
      </c>
      <c r="G134" s="10"/>
      <c r="H134" s="2"/>
      <c r="I134" s="2"/>
      <c r="J134" s="2" t="s">
        <v>457</v>
      </c>
      <c r="K134" s="10"/>
      <c r="L134" s="2"/>
      <c r="M134" s="2"/>
      <c r="N134" s="2" t="s">
        <v>457</v>
      </c>
    </row>
    <row r="135" spans="2:14" x14ac:dyDescent="0.35">
      <c r="B135" s="10"/>
      <c r="C135" s="2"/>
      <c r="D135" s="2"/>
      <c r="E135" s="2"/>
      <c r="F135" s="2" t="s">
        <v>457</v>
      </c>
      <c r="G135" s="10"/>
      <c r="H135" s="2"/>
      <c r="I135" s="2"/>
      <c r="J135" s="2" t="s">
        <v>457</v>
      </c>
      <c r="K135" s="10"/>
      <c r="L135" s="2"/>
      <c r="M135" s="2"/>
      <c r="N135" s="2" t="s">
        <v>457</v>
      </c>
    </row>
    <row r="136" spans="2:14" x14ac:dyDescent="0.35">
      <c r="B136" s="10"/>
      <c r="C136" s="2"/>
      <c r="D136" s="2"/>
      <c r="E136" s="2"/>
      <c r="F136" s="2" t="s">
        <v>457</v>
      </c>
      <c r="G136" s="10"/>
      <c r="H136" s="2"/>
      <c r="I136" s="2"/>
      <c r="J136" s="2" t="s">
        <v>457</v>
      </c>
      <c r="K136" s="10"/>
      <c r="L136" s="2"/>
      <c r="M136" s="2"/>
      <c r="N136" s="2" t="s">
        <v>457</v>
      </c>
    </row>
    <row r="137" spans="2:14" x14ac:dyDescent="0.35">
      <c r="B137" s="10"/>
      <c r="C137" s="2"/>
      <c r="D137" s="2"/>
      <c r="E137" s="2"/>
      <c r="F137" s="2" t="s">
        <v>457</v>
      </c>
      <c r="G137" s="10"/>
      <c r="H137" s="2"/>
      <c r="I137" s="2"/>
      <c r="J137" s="2" t="s">
        <v>457</v>
      </c>
      <c r="K137" s="10"/>
      <c r="L137" s="2"/>
      <c r="M137" s="2"/>
      <c r="N137" s="2" t="s">
        <v>457</v>
      </c>
    </row>
    <row r="138" spans="2:14" x14ac:dyDescent="0.35">
      <c r="B138" s="10"/>
      <c r="C138" s="2"/>
      <c r="D138" s="2"/>
      <c r="E138" s="2"/>
      <c r="F138" s="2" t="s">
        <v>457</v>
      </c>
      <c r="G138" s="10"/>
      <c r="H138" s="2"/>
      <c r="I138" s="2"/>
      <c r="J138" s="2" t="s">
        <v>457</v>
      </c>
      <c r="K138" s="10"/>
      <c r="L138" s="2"/>
      <c r="M138" s="2"/>
      <c r="N138" s="2" t="s">
        <v>457</v>
      </c>
    </row>
    <row r="139" spans="2:14" x14ac:dyDescent="0.35">
      <c r="B139" s="10"/>
      <c r="C139" s="2"/>
      <c r="D139" s="2"/>
      <c r="E139" s="2"/>
      <c r="F139" s="2" t="s">
        <v>457</v>
      </c>
      <c r="G139" s="10"/>
      <c r="H139" s="2"/>
      <c r="I139" s="2"/>
      <c r="J139" s="2" t="s">
        <v>457</v>
      </c>
      <c r="K139" s="10"/>
      <c r="L139" s="2"/>
      <c r="M139" s="2"/>
      <c r="N139" s="2" t="s">
        <v>457</v>
      </c>
    </row>
    <row r="140" spans="2:14" x14ac:dyDescent="0.35">
      <c r="B140" s="10"/>
      <c r="C140" s="2"/>
      <c r="D140" s="2"/>
      <c r="E140" s="2"/>
      <c r="F140" s="2" t="s">
        <v>457</v>
      </c>
      <c r="G140" s="10"/>
      <c r="H140" s="2"/>
      <c r="I140" s="2"/>
      <c r="J140" s="2" t="s">
        <v>457</v>
      </c>
      <c r="K140" s="10"/>
      <c r="L140" s="2"/>
      <c r="M140" s="2"/>
      <c r="N140" s="2" t="s">
        <v>457</v>
      </c>
    </row>
    <row r="141" spans="2:14" x14ac:dyDescent="0.35">
      <c r="B141" s="10"/>
      <c r="C141" s="2"/>
      <c r="D141" s="2"/>
      <c r="E141" s="2"/>
      <c r="F141" s="2" t="s">
        <v>457</v>
      </c>
      <c r="G141" s="10"/>
      <c r="H141" s="2"/>
      <c r="I141" s="2"/>
      <c r="J141" s="2" t="s">
        <v>457</v>
      </c>
      <c r="K141" s="10"/>
      <c r="L141" s="2"/>
      <c r="M141" s="2"/>
      <c r="N141" s="2" t="s">
        <v>457</v>
      </c>
    </row>
    <row r="142" spans="2:14" x14ac:dyDescent="0.35">
      <c r="B142" s="10"/>
      <c r="C142" s="2"/>
      <c r="D142" s="2"/>
      <c r="E142" s="2"/>
      <c r="F142" s="2" t="s">
        <v>457</v>
      </c>
      <c r="G142" s="10"/>
      <c r="H142" s="2"/>
      <c r="I142" s="2"/>
      <c r="J142" s="2" t="s">
        <v>457</v>
      </c>
      <c r="K142" s="10"/>
      <c r="L142" s="2"/>
      <c r="M142" s="2"/>
      <c r="N142" s="2" t="s">
        <v>457</v>
      </c>
    </row>
    <row r="143" spans="2:14" x14ac:dyDescent="0.35">
      <c r="B143" s="10"/>
      <c r="C143" s="2"/>
      <c r="D143" s="2"/>
      <c r="E143" s="2"/>
      <c r="F143" s="2" t="s">
        <v>457</v>
      </c>
      <c r="G143" s="10"/>
      <c r="H143" s="2"/>
      <c r="I143" s="2"/>
      <c r="J143" s="2" t="s">
        <v>457</v>
      </c>
      <c r="K143" s="10"/>
      <c r="L143" s="2"/>
      <c r="M143" s="2"/>
      <c r="N143" s="2" t="s">
        <v>457</v>
      </c>
    </row>
    <row r="144" spans="2:14" x14ac:dyDescent="0.35">
      <c r="B144" s="10"/>
      <c r="C144" s="2"/>
      <c r="D144" s="2"/>
      <c r="E144" s="2"/>
      <c r="F144" s="2" t="s">
        <v>457</v>
      </c>
      <c r="G144" s="10"/>
      <c r="H144" s="2"/>
      <c r="I144" s="2"/>
      <c r="J144" s="2" t="s">
        <v>457</v>
      </c>
      <c r="K144" s="10"/>
      <c r="L144" s="2"/>
      <c r="M144" s="2"/>
      <c r="N144" s="2" t="s">
        <v>457</v>
      </c>
    </row>
    <row r="145" spans="2:14" x14ac:dyDescent="0.35">
      <c r="B145" s="10"/>
      <c r="C145" s="2"/>
      <c r="D145" s="2"/>
      <c r="E145" s="2"/>
      <c r="F145" s="2" t="s">
        <v>457</v>
      </c>
      <c r="G145" s="10"/>
      <c r="H145" s="2"/>
      <c r="I145" s="2"/>
      <c r="J145" s="2" t="s">
        <v>457</v>
      </c>
      <c r="K145" s="10"/>
      <c r="L145" s="2"/>
      <c r="M145" s="2"/>
      <c r="N145" s="2" t="s">
        <v>457</v>
      </c>
    </row>
    <row r="146" spans="2:14" x14ac:dyDescent="0.35">
      <c r="B146" s="10"/>
      <c r="C146" s="2"/>
      <c r="D146" s="2"/>
      <c r="E146" s="2"/>
      <c r="F146" s="2" t="s">
        <v>457</v>
      </c>
      <c r="G146" s="10"/>
      <c r="H146" s="2"/>
      <c r="I146" s="2"/>
      <c r="J146" s="2" t="s">
        <v>457</v>
      </c>
      <c r="K146" s="10"/>
      <c r="L146" s="2"/>
      <c r="M146" s="2"/>
      <c r="N146" s="2" t="s">
        <v>457</v>
      </c>
    </row>
    <row r="147" spans="2:14" x14ac:dyDescent="0.35">
      <c r="B147" s="10"/>
      <c r="C147" s="2"/>
      <c r="D147" s="2"/>
      <c r="E147" s="2"/>
      <c r="F147" s="2" t="s">
        <v>457</v>
      </c>
      <c r="G147" s="10"/>
      <c r="H147" s="2"/>
      <c r="I147" s="2"/>
      <c r="J147" s="2" t="s">
        <v>457</v>
      </c>
      <c r="K147" s="10"/>
      <c r="L147" s="2"/>
      <c r="M147" s="2"/>
      <c r="N147" s="2" t="s">
        <v>457</v>
      </c>
    </row>
    <row r="148" spans="2:14" x14ac:dyDescent="0.35">
      <c r="B148" s="10"/>
      <c r="C148" s="2"/>
      <c r="D148" s="2"/>
      <c r="E148" s="2"/>
      <c r="F148" s="2" t="s">
        <v>457</v>
      </c>
      <c r="G148" s="10"/>
      <c r="H148" s="2"/>
      <c r="I148" s="2"/>
      <c r="J148" s="2" t="s">
        <v>457</v>
      </c>
      <c r="K148" s="10"/>
      <c r="L148" s="2"/>
      <c r="M148" s="2"/>
      <c r="N148" s="2" t="s">
        <v>457</v>
      </c>
    </row>
    <row r="149" spans="2:14" x14ac:dyDescent="0.35">
      <c r="B149" s="10"/>
      <c r="C149" s="2"/>
      <c r="D149" s="2"/>
      <c r="E149" s="2"/>
      <c r="F149" s="2" t="s">
        <v>457</v>
      </c>
      <c r="G149" s="10"/>
      <c r="H149" s="2"/>
      <c r="I149" s="2"/>
      <c r="J149" s="2" t="s">
        <v>457</v>
      </c>
      <c r="K149" s="10"/>
      <c r="L149" s="2"/>
      <c r="M149" s="2"/>
      <c r="N149" s="2" t="s">
        <v>457</v>
      </c>
    </row>
    <row r="150" spans="2:14" x14ac:dyDescent="0.35">
      <c r="B150" s="10"/>
      <c r="C150" s="2"/>
      <c r="D150" s="2"/>
      <c r="E150" s="2"/>
      <c r="F150" s="2" t="s">
        <v>457</v>
      </c>
      <c r="G150" s="10"/>
      <c r="H150" s="2"/>
      <c r="I150" s="2"/>
      <c r="J150" s="2" t="s">
        <v>457</v>
      </c>
      <c r="K150" s="10"/>
      <c r="L150" s="2"/>
      <c r="M150" s="2"/>
      <c r="N150" s="2" t="s">
        <v>457</v>
      </c>
    </row>
    <row r="151" spans="2:14" x14ac:dyDescent="0.35">
      <c r="B151" s="10"/>
      <c r="C151" s="2"/>
      <c r="D151" s="2"/>
      <c r="E151" s="2"/>
      <c r="F151" s="2" t="s">
        <v>457</v>
      </c>
      <c r="G151" s="10"/>
      <c r="H151" s="2"/>
      <c r="I151" s="2"/>
      <c r="J151" s="2" t="s">
        <v>457</v>
      </c>
      <c r="K151" s="10"/>
      <c r="L151" s="2"/>
      <c r="M151" s="2"/>
      <c r="N151" s="2" t="s">
        <v>457</v>
      </c>
    </row>
    <row r="152" spans="2:14" x14ac:dyDescent="0.35">
      <c r="B152" s="10"/>
      <c r="C152" s="2"/>
      <c r="D152" s="2"/>
      <c r="E152" s="2"/>
      <c r="F152" s="2" t="s">
        <v>457</v>
      </c>
      <c r="G152" s="10"/>
      <c r="H152" s="2"/>
      <c r="I152" s="2"/>
      <c r="J152" s="2" t="s">
        <v>457</v>
      </c>
      <c r="K152" s="10"/>
      <c r="L152" s="2"/>
      <c r="M152" s="2"/>
      <c r="N152" s="2" t="s">
        <v>457</v>
      </c>
    </row>
    <row r="153" spans="2:14" x14ac:dyDescent="0.35">
      <c r="B153" s="10"/>
      <c r="C153" s="2"/>
      <c r="D153" s="2"/>
      <c r="E153" s="2"/>
      <c r="F153" s="2" t="s">
        <v>457</v>
      </c>
      <c r="G153" s="10"/>
      <c r="H153" s="2"/>
      <c r="I153" s="2"/>
      <c r="J153" s="2" t="s">
        <v>457</v>
      </c>
      <c r="K153" s="10"/>
      <c r="L153" s="2"/>
      <c r="M153" s="2"/>
      <c r="N153" s="2" t="s">
        <v>457</v>
      </c>
    </row>
    <row r="154" spans="2:14" x14ac:dyDescent="0.35">
      <c r="B154" s="10"/>
      <c r="C154" s="2"/>
      <c r="D154" s="2"/>
      <c r="E154" s="2"/>
      <c r="F154" s="2" t="s">
        <v>457</v>
      </c>
      <c r="G154" s="10"/>
      <c r="H154" s="2"/>
      <c r="I154" s="2"/>
      <c r="J154" s="2" t="s">
        <v>457</v>
      </c>
      <c r="K154" s="10"/>
      <c r="L154" s="2"/>
      <c r="M154" s="2"/>
      <c r="N154" s="2" t="s">
        <v>457</v>
      </c>
    </row>
    <row r="155" spans="2:14" x14ac:dyDescent="0.35">
      <c r="B155" s="10"/>
      <c r="C155" s="2"/>
      <c r="D155" s="2"/>
      <c r="E155" s="2"/>
      <c r="F155" s="2" t="s">
        <v>457</v>
      </c>
      <c r="G155" s="10"/>
      <c r="H155" s="2"/>
      <c r="I155" s="2"/>
      <c r="J155" s="2" t="s">
        <v>457</v>
      </c>
      <c r="K155" s="10"/>
      <c r="L155" s="2"/>
      <c r="M155" s="2"/>
      <c r="N155" s="2" t="s">
        <v>457</v>
      </c>
    </row>
    <row r="156" spans="2:14" x14ac:dyDescent="0.35">
      <c r="B156" s="10"/>
      <c r="C156" s="2"/>
      <c r="D156" s="2"/>
      <c r="E156" s="2"/>
      <c r="F156" s="2" t="s">
        <v>457</v>
      </c>
      <c r="G156" s="10"/>
      <c r="H156" s="2"/>
      <c r="I156" s="2"/>
      <c r="J156" s="2" t="s">
        <v>457</v>
      </c>
      <c r="K156" s="10"/>
      <c r="L156" s="2"/>
      <c r="M156" s="2"/>
      <c r="N156" s="2" t="s">
        <v>457</v>
      </c>
    </row>
    <row r="157" spans="2:14" x14ac:dyDescent="0.35">
      <c r="B157" s="10"/>
      <c r="C157" s="2"/>
      <c r="D157" s="2"/>
      <c r="E157" s="2"/>
      <c r="F157" s="2" t="s">
        <v>457</v>
      </c>
      <c r="G157" s="10"/>
      <c r="H157" s="2"/>
      <c r="I157" s="2"/>
      <c r="J157" s="2" t="s">
        <v>457</v>
      </c>
      <c r="K157" s="10"/>
      <c r="L157" s="2"/>
      <c r="M157" s="2"/>
      <c r="N157" s="2" t="s">
        <v>457</v>
      </c>
    </row>
    <row r="158" spans="2:14" x14ac:dyDescent="0.35">
      <c r="B158" s="10"/>
      <c r="C158" s="2"/>
      <c r="D158" s="2"/>
      <c r="E158" s="2"/>
      <c r="F158" s="2" t="s">
        <v>457</v>
      </c>
      <c r="G158" s="10"/>
      <c r="H158" s="2"/>
      <c r="I158" s="2"/>
      <c r="J158" s="2" t="s">
        <v>457</v>
      </c>
      <c r="K158" s="10"/>
      <c r="L158" s="2"/>
      <c r="M158" s="2"/>
      <c r="N158" s="2" t="s">
        <v>457</v>
      </c>
    </row>
    <row r="159" spans="2:14" x14ac:dyDescent="0.35">
      <c r="B159" s="38"/>
      <c r="C159" s="38"/>
      <c r="D159" s="38"/>
      <c r="E159" s="38"/>
      <c r="G159" s="38"/>
      <c r="H159" s="38"/>
      <c r="I159" s="38"/>
      <c r="K159" s="50"/>
      <c r="L159" s="50"/>
      <c r="M159" s="50"/>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5215-9C1E-4608-B160-6D8C61919C00}">
  <sheetPr>
    <tabColor rgb="FFC00000"/>
  </sheetPr>
  <dimension ref="A1:AB163"/>
  <sheetViews>
    <sheetView tabSelected="1" zoomScaleNormal="100" workbookViewId="0">
      <pane ySplit="4" topLeftCell="A5" activePane="bottomLeft" state="frozen"/>
      <selection activeCell="C10" sqref="C10"/>
      <selection pane="bottomLeft" activeCell="E10" sqref="E10"/>
    </sheetView>
  </sheetViews>
  <sheetFormatPr defaultColWidth="0" defaultRowHeight="14.5" zeroHeight="1" x14ac:dyDescent="0.35"/>
  <cols>
    <col min="1" max="1" width="2.453125" customWidth="1"/>
    <col min="2" max="2" width="3.90625" customWidth="1"/>
    <col min="3" max="3" width="13.36328125" customWidth="1"/>
    <col min="4" max="4" width="9.08984375" customWidth="1"/>
    <col min="5" max="5" width="21.54296875" customWidth="1"/>
    <col min="6" max="7" width="2.453125" customWidth="1"/>
    <col min="8" max="8" width="21.54296875" customWidth="1"/>
    <col min="9" max="23" width="9.08984375" customWidth="1"/>
    <col min="24" max="25" width="2.453125" customWidth="1"/>
    <col min="26" max="26" width="4.08984375" customWidth="1"/>
    <col min="27" max="27" width="121.54296875" customWidth="1"/>
    <col min="28" max="28" width="2.453125" customWidth="1"/>
    <col min="29" max="16384" width="9.08984375" hidden="1"/>
  </cols>
  <sheetData>
    <row r="1" spans="1:28" ht="18.5" x14ac:dyDescent="0.45">
      <c r="A1" s="7" t="s">
        <v>36</v>
      </c>
      <c r="B1" s="7"/>
      <c r="C1" s="26"/>
      <c r="D1" s="26"/>
      <c r="E1" s="26"/>
      <c r="F1" s="26"/>
      <c r="G1" s="26"/>
      <c r="H1" s="26"/>
      <c r="I1" s="26"/>
      <c r="J1" s="26"/>
      <c r="K1" s="26"/>
      <c r="L1" s="26"/>
      <c r="M1" s="26"/>
      <c r="N1" s="26"/>
      <c r="O1" s="26"/>
      <c r="P1" s="26"/>
      <c r="Q1" s="26"/>
      <c r="R1" s="26"/>
      <c r="S1" s="26"/>
      <c r="T1" s="26"/>
      <c r="U1" s="26"/>
      <c r="V1" s="26"/>
      <c r="W1" s="26"/>
      <c r="X1" s="26"/>
      <c r="Y1" s="26"/>
      <c r="Z1" s="26"/>
      <c r="AA1" s="26"/>
      <c r="AB1" s="26"/>
    </row>
    <row r="2" spans="1:28" x14ac:dyDescent="0.35"/>
    <row r="3" spans="1:28" ht="15.5" x14ac:dyDescent="0.35">
      <c r="B3" s="8"/>
      <c r="C3" s="33" t="s">
        <v>37</v>
      </c>
      <c r="D3" s="27"/>
      <c r="E3" s="27"/>
      <c r="G3" s="8"/>
      <c r="H3" s="33" t="s">
        <v>103</v>
      </c>
      <c r="I3" s="28"/>
      <c r="J3" s="29"/>
      <c r="K3" s="29"/>
      <c r="L3" s="29"/>
      <c r="M3" s="29"/>
      <c r="N3" s="29"/>
      <c r="O3" s="29"/>
      <c r="P3" s="29"/>
      <c r="Q3" s="29"/>
      <c r="R3" s="29"/>
      <c r="S3" s="29"/>
      <c r="T3" s="29"/>
      <c r="U3" s="29"/>
      <c r="V3" s="29"/>
      <c r="W3" s="29"/>
      <c r="Y3" s="8"/>
      <c r="Z3" s="37"/>
      <c r="AA3" s="37"/>
    </row>
    <row r="4" spans="1:28" x14ac:dyDescent="0.35">
      <c r="B4" s="30"/>
      <c r="C4" s="32" t="s">
        <v>105</v>
      </c>
      <c r="D4" s="22"/>
      <c r="E4" s="22"/>
      <c r="G4" s="30"/>
      <c r="H4" s="22"/>
      <c r="I4" s="31" t="str">
        <f t="array" ref="I4:W4">TRANSPOSE(C6:C20)</f>
        <v>sim1</v>
      </c>
      <c r="J4" s="31" t="str">
        <v>sim2</v>
      </c>
      <c r="K4" s="31" t="str">
        <v>sim3</v>
      </c>
      <c r="L4" s="31" t="str">
        <v>sim4</v>
      </c>
      <c r="M4" s="31" t="str">
        <v>sim5</v>
      </c>
      <c r="N4" s="31" t="str">
        <v>sim6</v>
      </c>
      <c r="O4" s="31" t="str">
        <v>sim7</v>
      </c>
      <c r="P4" s="31" t="str">
        <v>sim8</v>
      </c>
      <c r="Q4" s="31" t="str">
        <v>sim9</v>
      </c>
      <c r="R4" s="31" t="str">
        <v>sim10</v>
      </c>
      <c r="S4" s="31" t="str">
        <v>sim11</v>
      </c>
      <c r="T4" s="31" t="str">
        <v>sim12</v>
      </c>
      <c r="U4" s="31" t="str">
        <v>sim13</v>
      </c>
      <c r="V4" s="31" t="str">
        <v>sim14</v>
      </c>
      <c r="W4" s="31" t="str">
        <v>sim15</v>
      </c>
      <c r="Y4" s="30"/>
      <c r="Z4" s="35" t="s">
        <v>53</v>
      </c>
      <c r="AA4" s="22"/>
    </row>
    <row r="5" spans="1:28" x14ac:dyDescent="0.35">
      <c r="B5" s="10"/>
      <c r="C5" s="2" t="s">
        <v>38</v>
      </c>
      <c r="D5" s="2">
        <v>1</v>
      </c>
      <c r="E5" s="2" t="s">
        <v>39</v>
      </c>
      <c r="F5" t="s">
        <v>457</v>
      </c>
      <c r="G5" s="10"/>
      <c r="H5" t="s">
        <v>40</v>
      </c>
      <c r="I5" s="3">
        <v>2</v>
      </c>
      <c r="J5" s="3">
        <v>2</v>
      </c>
      <c r="K5" s="3">
        <v>2</v>
      </c>
      <c r="L5" s="3">
        <v>2</v>
      </c>
      <c r="M5" s="3">
        <v>2</v>
      </c>
      <c r="N5" s="3">
        <v>2</v>
      </c>
      <c r="O5" s="3">
        <v>2</v>
      </c>
      <c r="P5" s="3">
        <v>2</v>
      </c>
      <c r="Q5" s="3">
        <v>2</v>
      </c>
      <c r="R5" s="3">
        <v>2</v>
      </c>
      <c r="S5" s="3">
        <v>2</v>
      </c>
      <c r="T5" s="3">
        <v>2</v>
      </c>
      <c r="U5" s="3">
        <v>2</v>
      </c>
      <c r="V5" s="3">
        <v>2</v>
      </c>
      <c r="W5" s="3">
        <v>2</v>
      </c>
      <c r="Y5" s="10"/>
      <c r="Z5">
        <v>1</v>
      </c>
      <c r="AA5" t="s">
        <v>114</v>
      </c>
    </row>
    <row r="6" spans="1:28" x14ac:dyDescent="0.35">
      <c r="B6" s="52">
        <v>1</v>
      </c>
      <c r="C6" s="2" t="s">
        <v>573</v>
      </c>
      <c r="D6" s="2"/>
      <c r="E6" s="2"/>
      <c r="F6" t="s">
        <v>457</v>
      </c>
      <c r="G6" s="10"/>
      <c r="H6" t="s">
        <v>144</v>
      </c>
      <c r="I6" s="3">
        <v>3</v>
      </c>
      <c r="J6" s="3">
        <v>3</v>
      </c>
      <c r="K6" s="3">
        <v>3</v>
      </c>
      <c r="L6" s="3">
        <v>3</v>
      </c>
      <c r="M6" s="3">
        <v>3</v>
      </c>
      <c r="N6" s="3">
        <v>3</v>
      </c>
      <c r="O6" s="3">
        <v>3</v>
      </c>
      <c r="P6" s="3">
        <v>3</v>
      </c>
      <c r="Q6" s="3">
        <v>3</v>
      </c>
      <c r="R6" s="3">
        <v>3</v>
      </c>
      <c r="S6" s="3">
        <v>3</v>
      </c>
      <c r="T6" s="3">
        <v>3</v>
      </c>
      <c r="U6" s="3">
        <v>3</v>
      </c>
      <c r="V6" s="3">
        <v>3</v>
      </c>
      <c r="W6" s="3">
        <v>3</v>
      </c>
      <c r="Y6" s="10"/>
      <c r="Z6">
        <v>2</v>
      </c>
      <c r="AA6" t="s">
        <v>115</v>
      </c>
    </row>
    <row r="7" spans="1:28" x14ac:dyDescent="0.35">
      <c r="B7" s="52">
        <v>2</v>
      </c>
      <c r="C7" s="2" t="s">
        <v>574</v>
      </c>
      <c r="D7" s="2"/>
      <c r="E7" s="2"/>
      <c r="F7" t="s">
        <v>457</v>
      </c>
      <c r="G7" s="10"/>
      <c r="H7" t="s">
        <v>145</v>
      </c>
      <c r="I7" s="3">
        <v>1</v>
      </c>
      <c r="J7" s="3">
        <v>1</v>
      </c>
      <c r="K7" s="3">
        <v>1</v>
      </c>
      <c r="L7" s="3">
        <v>1</v>
      </c>
      <c r="M7" s="3">
        <v>1</v>
      </c>
      <c r="N7" s="3">
        <v>1</v>
      </c>
      <c r="O7" s="3">
        <v>1</v>
      </c>
      <c r="P7" s="3">
        <v>1</v>
      </c>
      <c r="Q7" s="3">
        <v>1</v>
      </c>
      <c r="R7" s="3">
        <v>1</v>
      </c>
      <c r="S7" s="3">
        <v>1</v>
      </c>
      <c r="T7" s="3">
        <v>1</v>
      </c>
      <c r="U7" s="3">
        <v>1</v>
      </c>
      <c r="V7" s="3">
        <v>1</v>
      </c>
      <c r="W7" s="3">
        <v>1</v>
      </c>
      <c r="Y7" s="10"/>
    </row>
    <row r="8" spans="1:28" x14ac:dyDescent="0.35">
      <c r="B8" s="52">
        <v>3</v>
      </c>
      <c r="C8" s="2" t="s">
        <v>575</v>
      </c>
      <c r="D8" s="2"/>
      <c r="E8" s="2"/>
      <c r="F8" t="s">
        <v>457</v>
      </c>
      <c r="G8" s="10"/>
      <c r="H8" t="s">
        <v>146</v>
      </c>
      <c r="I8" s="3">
        <v>1</v>
      </c>
      <c r="J8" s="3">
        <v>1</v>
      </c>
      <c r="K8" s="3">
        <v>1</v>
      </c>
      <c r="L8" s="3">
        <v>1</v>
      </c>
      <c r="M8" s="3">
        <v>1</v>
      </c>
      <c r="N8" s="3">
        <v>1</v>
      </c>
      <c r="O8" s="3">
        <v>1</v>
      </c>
      <c r="P8" s="3">
        <v>1</v>
      </c>
      <c r="Q8" s="3">
        <v>1</v>
      </c>
      <c r="R8" s="3">
        <v>1</v>
      </c>
      <c r="S8" s="3">
        <v>1</v>
      </c>
      <c r="T8" s="3">
        <v>1</v>
      </c>
      <c r="U8" s="3">
        <v>1</v>
      </c>
      <c r="V8" s="3">
        <v>1</v>
      </c>
      <c r="W8" s="3">
        <v>1</v>
      </c>
      <c r="Y8" s="10"/>
      <c r="Z8" s="1" t="s">
        <v>51</v>
      </c>
    </row>
    <row r="9" spans="1:28" x14ac:dyDescent="0.35">
      <c r="B9" s="52">
        <v>4</v>
      </c>
      <c r="C9" s="2" t="s">
        <v>572</v>
      </c>
      <c r="D9" s="2"/>
      <c r="E9" s="2"/>
      <c r="F9" t="s">
        <v>457</v>
      </c>
      <c r="G9" s="10"/>
      <c r="Y9" s="10"/>
      <c r="Z9">
        <v>1</v>
      </c>
      <c r="AA9" t="s">
        <v>48</v>
      </c>
    </row>
    <row r="10" spans="1:28" x14ac:dyDescent="0.35">
      <c r="B10" s="52">
        <v>5</v>
      </c>
      <c r="C10" s="2" t="s">
        <v>458</v>
      </c>
      <c r="D10" s="2"/>
      <c r="E10" s="2"/>
      <c r="F10" t="s">
        <v>457</v>
      </c>
      <c r="Y10" s="10"/>
      <c r="Z10">
        <v>2</v>
      </c>
      <c r="AA10" t="s">
        <v>49</v>
      </c>
    </row>
    <row r="11" spans="1:28" ht="15.5" x14ac:dyDescent="0.35">
      <c r="B11" s="52">
        <v>6</v>
      </c>
      <c r="C11" s="2" t="s">
        <v>459</v>
      </c>
      <c r="D11" s="2"/>
      <c r="E11" s="2"/>
      <c r="F11" t="s">
        <v>457</v>
      </c>
      <c r="G11" s="8"/>
      <c r="H11" s="33" t="s">
        <v>41</v>
      </c>
      <c r="I11" s="28"/>
      <c r="J11" s="29"/>
      <c r="K11" s="29"/>
      <c r="L11" s="29"/>
      <c r="M11" s="29"/>
      <c r="N11" s="29"/>
      <c r="O11" s="29"/>
      <c r="P11" s="29"/>
      <c r="Q11" s="29"/>
      <c r="R11" s="29"/>
      <c r="S11" s="29"/>
      <c r="T11" s="29"/>
      <c r="U11" s="29"/>
      <c r="V11" s="29"/>
      <c r="W11" s="29"/>
      <c r="Y11" s="10"/>
      <c r="Z11">
        <v>3</v>
      </c>
      <c r="AA11" t="s">
        <v>50</v>
      </c>
    </row>
    <row r="12" spans="1:28" x14ac:dyDescent="0.35">
      <c r="B12" s="52">
        <v>7</v>
      </c>
      <c r="C12" s="2" t="s">
        <v>460</v>
      </c>
      <c r="D12" s="2"/>
      <c r="E12" s="2"/>
      <c r="F12" t="s">
        <v>457</v>
      </c>
      <c r="G12" s="30"/>
      <c r="H12" s="22"/>
      <c r="I12" s="31" t="str">
        <f t="array" ref="I12:W12">TRANSPOSE(C6:C20)</f>
        <v>sim1</v>
      </c>
      <c r="J12" s="31" t="str">
        <v>sim2</v>
      </c>
      <c r="K12" s="31" t="str">
        <v>sim3</v>
      </c>
      <c r="L12" s="31" t="str">
        <v>sim4</v>
      </c>
      <c r="M12" s="31" t="str">
        <v>sim5</v>
      </c>
      <c r="N12" s="31" t="str">
        <v>sim6</v>
      </c>
      <c r="O12" s="31" t="str">
        <v>sim7</v>
      </c>
      <c r="P12" s="31" t="str">
        <v>sim8</v>
      </c>
      <c r="Q12" s="31" t="str">
        <v>sim9</v>
      </c>
      <c r="R12" s="31" t="str">
        <v>sim10</v>
      </c>
      <c r="S12" s="31" t="str">
        <v>sim11</v>
      </c>
      <c r="T12" s="31" t="str">
        <v>sim12</v>
      </c>
      <c r="U12" s="31" t="str">
        <v>sim13</v>
      </c>
      <c r="V12" s="31" t="str">
        <v>sim14</v>
      </c>
      <c r="W12" s="31" t="str">
        <v>sim15</v>
      </c>
      <c r="Y12" s="10"/>
    </row>
    <row r="13" spans="1:28" x14ac:dyDescent="0.35">
      <c r="B13" s="52">
        <v>8</v>
      </c>
      <c r="C13" s="2" t="s">
        <v>461</v>
      </c>
      <c r="D13" s="2"/>
      <c r="E13" s="2"/>
      <c r="F13" t="s">
        <v>457</v>
      </c>
      <c r="G13" s="10"/>
      <c r="H13" s="2" t="s">
        <v>576</v>
      </c>
      <c r="I13" s="3">
        <v>1</v>
      </c>
      <c r="J13" s="3">
        <v>1</v>
      </c>
      <c r="K13" s="3">
        <v>1</v>
      </c>
      <c r="L13" s="3">
        <v>1</v>
      </c>
      <c r="M13" s="3">
        <v>1</v>
      </c>
      <c r="N13" s="3">
        <v>1</v>
      </c>
      <c r="O13" s="3">
        <v>1</v>
      </c>
      <c r="P13" s="3">
        <v>1</v>
      </c>
      <c r="Q13" s="3">
        <v>1</v>
      </c>
      <c r="R13" s="3">
        <v>1</v>
      </c>
      <c r="S13" s="3">
        <v>1</v>
      </c>
      <c r="T13" s="3">
        <v>1</v>
      </c>
      <c r="U13" s="3">
        <v>1</v>
      </c>
      <c r="V13" s="3">
        <v>1</v>
      </c>
      <c r="W13" s="3">
        <v>1</v>
      </c>
      <c r="Y13" s="10"/>
      <c r="Z13" s="1" t="s">
        <v>52</v>
      </c>
    </row>
    <row r="14" spans="1:28" x14ac:dyDescent="0.35">
      <c r="B14" s="52">
        <v>9</v>
      </c>
      <c r="C14" s="2" t="s">
        <v>462</v>
      </c>
      <c r="D14" s="2"/>
      <c r="E14" s="2"/>
      <c r="F14" t="s">
        <v>457</v>
      </c>
      <c r="G14" s="10"/>
      <c r="H14" s="2" t="s">
        <v>577</v>
      </c>
      <c r="I14" s="3">
        <v>1</v>
      </c>
      <c r="J14" s="3">
        <v>1</v>
      </c>
      <c r="K14" s="3">
        <v>1</v>
      </c>
      <c r="L14" s="3">
        <v>1</v>
      </c>
      <c r="M14" s="3">
        <v>1</v>
      </c>
      <c r="N14" s="3">
        <v>1</v>
      </c>
      <c r="O14" s="3">
        <v>1</v>
      </c>
      <c r="P14" s="3">
        <v>1</v>
      </c>
      <c r="Q14" s="3">
        <v>1</v>
      </c>
      <c r="R14" s="3">
        <v>1</v>
      </c>
      <c r="S14" s="3">
        <v>1</v>
      </c>
      <c r="T14" s="3">
        <v>1</v>
      </c>
      <c r="U14" s="3">
        <v>1</v>
      </c>
      <c r="V14" s="3">
        <v>1</v>
      </c>
      <c r="W14" s="3">
        <v>1</v>
      </c>
      <c r="Y14" s="10"/>
      <c r="Z14">
        <v>1</v>
      </c>
      <c r="AA14" t="s">
        <v>116</v>
      </c>
    </row>
    <row r="15" spans="1:28" x14ac:dyDescent="0.35">
      <c r="B15" s="52">
        <v>10</v>
      </c>
      <c r="C15" s="2" t="s">
        <v>463</v>
      </c>
      <c r="D15" s="2"/>
      <c r="E15" s="2"/>
      <c r="F15" t="s">
        <v>457</v>
      </c>
      <c r="G15" s="10"/>
      <c r="H15" s="2" t="s">
        <v>578</v>
      </c>
      <c r="I15" s="3">
        <v>1</v>
      </c>
      <c r="J15" s="3">
        <v>1</v>
      </c>
      <c r="K15" s="3">
        <v>1</v>
      </c>
      <c r="L15" s="3">
        <v>1</v>
      </c>
      <c r="M15" s="3">
        <v>1</v>
      </c>
      <c r="N15" s="3">
        <v>1</v>
      </c>
      <c r="O15" s="3">
        <v>1</v>
      </c>
      <c r="P15" s="3">
        <v>1</v>
      </c>
      <c r="Q15" s="3">
        <v>1</v>
      </c>
      <c r="R15" s="3">
        <v>1</v>
      </c>
      <c r="S15" s="3">
        <v>1</v>
      </c>
      <c r="T15" s="3">
        <v>1</v>
      </c>
      <c r="U15" s="3">
        <v>1</v>
      </c>
      <c r="V15" s="3">
        <v>1</v>
      </c>
      <c r="W15" s="3">
        <v>1</v>
      </c>
      <c r="Y15" s="10"/>
      <c r="Z15">
        <v>2</v>
      </c>
      <c r="AA15" t="s">
        <v>117</v>
      </c>
    </row>
    <row r="16" spans="1:28" x14ac:dyDescent="0.35">
      <c r="B16" s="52">
        <v>11</v>
      </c>
      <c r="C16" s="2" t="s">
        <v>42</v>
      </c>
      <c r="D16" s="2"/>
      <c r="E16" s="2"/>
      <c r="F16" t="s">
        <v>457</v>
      </c>
      <c r="G16" s="10"/>
      <c r="H16" s="2" t="s">
        <v>579</v>
      </c>
      <c r="I16" s="3">
        <v>1</v>
      </c>
      <c r="J16" s="3">
        <v>1</v>
      </c>
      <c r="K16" s="3">
        <v>2</v>
      </c>
      <c r="L16" s="3">
        <v>1</v>
      </c>
      <c r="M16" s="3">
        <v>1</v>
      </c>
      <c r="N16" s="3">
        <v>1</v>
      </c>
      <c r="O16" s="3">
        <v>1</v>
      </c>
      <c r="P16" s="3">
        <v>1</v>
      </c>
      <c r="Q16" s="3">
        <v>1</v>
      </c>
      <c r="R16" s="3">
        <v>1</v>
      </c>
      <c r="S16" s="3">
        <v>1</v>
      </c>
      <c r="T16" s="3">
        <v>1</v>
      </c>
      <c r="U16" s="3">
        <v>1</v>
      </c>
      <c r="V16" s="3">
        <v>1</v>
      </c>
      <c r="W16" s="3">
        <v>1</v>
      </c>
      <c r="Y16" s="10"/>
      <c r="Z16">
        <v>3</v>
      </c>
      <c r="AA16" t="s">
        <v>47</v>
      </c>
    </row>
    <row r="17" spans="2:27" x14ac:dyDescent="0.35">
      <c r="B17" s="52">
        <v>12</v>
      </c>
      <c r="C17" s="2" t="s">
        <v>43</v>
      </c>
      <c r="D17" s="2"/>
      <c r="E17" s="2"/>
      <c r="F17" t="s">
        <v>457</v>
      </c>
      <c r="G17" s="10"/>
      <c r="H17" s="2" t="s">
        <v>580</v>
      </c>
      <c r="I17" s="3">
        <v>1</v>
      </c>
      <c r="J17" s="3">
        <v>1</v>
      </c>
      <c r="K17" s="3">
        <v>1</v>
      </c>
      <c r="L17" s="3">
        <v>1</v>
      </c>
      <c r="M17" s="3">
        <v>1</v>
      </c>
      <c r="N17" s="3">
        <v>1</v>
      </c>
      <c r="O17" s="3">
        <v>1</v>
      </c>
      <c r="P17" s="3">
        <v>1</v>
      </c>
      <c r="Q17" s="3">
        <v>1</v>
      </c>
      <c r="R17" s="3">
        <v>1</v>
      </c>
      <c r="S17" s="3">
        <v>1</v>
      </c>
      <c r="T17" s="3">
        <v>1</v>
      </c>
      <c r="U17" s="3">
        <v>1</v>
      </c>
      <c r="V17" s="3">
        <v>1</v>
      </c>
      <c r="W17" s="3">
        <v>1</v>
      </c>
      <c r="Y17" s="10"/>
      <c r="Z17">
        <v>4</v>
      </c>
      <c r="AA17" t="s">
        <v>118</v>
      </c>
    </row>
    <row r="18" spans="2:27" x14ac:dyDescent="0.35">
      <c r="B18" s="52">
        <v>13</v>
      </c>
      <c r="C18" s="2" t="s">
        <v>44</v>
      </c>
      <c r="D18" s="2"/>
      <c r="E18" s="2"/>
      <c r="F18" t="s">
        <v>457</v>
      </c>
      <c r="G18" s="10"/>
      <c r="H18" s="2" t="s">
        <v>581</v>
      </c>
      <c r="I18" s="3">
        <v>1</v>
      </c>
      <c r="J18" s="3">
        <v>1</v>
      </c>
      <c r="K18" s="3">
        <v>1</v>
      </c>
      <c r="L18" s="3">
        <v>1</v>
      </c>
      <c r="M18" s="3">
        <v>1</v>
      </c>
      <c r="N18" s="3">
        <v>1</v>
      </c>
      <c r="O18" s="3">
        <v>1</v>
      </c>
      <c r="P18" s="3">
        <v>1</v>
      </c>
      <c r="Q18" s="3">
        <v>1</v>
      </c>
      <c r="R18" s="3">
        <v>1</v>
      </c>
      <c r="S18" s="3">
        <v>1</v>
      </c>
      <c r="T18" s="3">
        <v>1</v>
      </c>
      <c r="U18" s="3">
        <v>1</v>
      </c>
      <c r="V18" s="3">
        <v>1</v>
      </c>
      <c r="W18" s="3">
        <v>1</v>
      </c>
      <c r="Y18" s="10"/>
      <c r="Z18">
        <v>5</v>
      </c>
      <c r="AA18" t="s">
        <v>119</v>
      </c>
    </row>
    <row r="19" spans="2:27" x14ac:dyDescent="0.35">
      <c r="B19" s="52">
        <v>14</v>
      </c>
      <c r="C19" s="2" t="s">
        <v>45</v>
      </c>
      <c r="D19" s="2"/>
      <c r="E19" s="2"/>
      <c r="F19" t="s">
        <v>457</v>
      </c>
      <c r="G19" s="10"/>
      <c r="H19" s="2" t="s">
        <v>582</v>
      </c>
      <c r="I19" s="3">
        <v>1</v>
      </c>
      <c r="J19" s="3">
        <v>1</v>
      </c>
      <c r="K19" s="3">
        <v>1</v>
      </c>
      <c r="L19" s="3">
        <v>1</v>
      </c>
      <c r="M19" s="3">
        <v>1</v>
      </c>
      <c r="N19" s="3">
        <v>1</v>
      </c>
      <c r="O19" s="3">
        <v>1</v>
      </c>
      <c r="P19" s="3">
        <v>1</v>
      </c>
      <c r="Q19" s="3">
        <v>1</v>
      </c>
      <c r="R19" s="3">
        <v>1</v>
      </c>
      <c r="S19" s="3">
        <v>1</v>
      </c>
      <c r="T19" s="3">
        <v>1</v>
      </c>
      <c r="U19" s="3">
        <v>1</v>
      </c>
      <c r="V19" s="3">
        <v>1</v>
      </c>
      <c r="W19" s="3">
        <v>1</v>
      </c>
      <c r="Y19" s="10"/>
    </row>
    <row r="20" spans="2:27" x14ac:dyDescent="0.35">
      <c r="B20" s="52">
        <v>15</v>
      </c>
      <c r="C20" s="2" t="s">
        <v>46</v>
      </c>
      <c r="D20" s="2"/>
      <c r="E20" s="2"/>
      <c r="F20" t="s">
        <v>457</v>
      </c>
      <c r="G20" s="10"/>
      <c r="H20" s="2" t="s">
        <v>583</v>
      </c>
      <c r="I20" s="3">
        <v>1</v>
      </c>
      <c r="J20" s="3">
        <v>1</v>
      </c>
      <c r="K20" s="3">
        <v>1</v>
      </c>
      <c r="L20" s="3">
        <v>1</v>
      </c>
      <c r="M20" s="3">
        <v>1</v>
      </c>
      <c r="N20" s="3">
        <v>1</v>
      </c>
      <c r="O20" s="3">
        <v>1</v>
      </c>
      <c r="P20" s="3">
        <v>1</v>
      </c>
      <c r="Q20" s="3">
        <v>1</v>
      </c>
      <c r="R20" s="3">
        <v>1</v>
      </c>
      <c r="S20" s="3">
        <v>1</v>
      </c>
      <c r="T20" s="3">
        <v>1</v>
      </c>
      <c r="U20" s="3">
        <v>1</v>
      </c>
      <c r="V20" s="3">
        <v>1</v>
      </c>
      <c r="W20" s="3">
        <v>1</v>
      </c>
      <c r="Y20" s="10"/>
      <c r="Z20" s="1" t="s">
        <v>54</v>
      </c>
    </row>
    <row r="21" spans="2:27" x14ac:dyDescent="0.35">
      <c r="B21" s="10"/>
      <c r="F21" t="s">
        <v>457</v>
      </c>
      <c r="G21" s="10"/>
      <c r="H21" s="2" t="s">
        <v>11</v>
      </c>
      <c r="I21" s="3">
        <v>1</v>
      </c>
      <c r="J21" s="3">
        <v>1</v>
      </c>
      <c r="K21" s="3">
        <v>1</v>
      </c>
      <c r="L21" s="3">
        <v>1</v>
      </c>
      <c r="M21" s="3">
        <v>1</v>
      </c>
      <c r="N21" s="3">
        <v>1</v>
      </c>
      <c r="O21" s="3">
        <v>1</v>
      </c>
      <c r="P21" s="3">
        <v>1</v>
      </c>
      <c r="Q21" s="3">
        <v>1</v>
      </c>
      <c r="R21" s="3">
        <v>1</v>
      </c>
      <c r="S21" s="3">
        <v>1</v>
      </c>
      <c r="T21" s="3">
        <v>1</v>
      </c>
      <c r="U21" s="3">
        <v>1</v>
      </c>
      <c r="V21" s="3">
        <v>1</v>
      </c>
      <c r="W21" s="3">
        <v>1</v>
      </c>
      <c r="Y21" s="10"/>
      <c r="Z21">
        <v>1</v>
      </c>
      <c r="AA21" t="s">
        <v>120</v>
      </c>
    </row>
    <row r="22" spans="2:27" x14ac:dyDescent="0.35">
      <c r="B22" s="38"/>
      <c r="C22" s="38"/>
      <c r="D22" s="38"/>
      <c r="E22" s="38"/>
      <c r="G22" s="10"/>
      <c r="H22" s="2" t="s">
        <v>584</v>
      </c>
      <c r="I22" s="3">
        <v>2</v>
      </c>
      <c r="J22" s="3">
        <v>2</v>
      </c>
      <c r="K22" s="3">
        <v>2</v>
      </c>
      <c r="L22" s="3">
        <v>2</v>
      </c>
      <c r="M22" s="3">
        <v>2</v>
      </c>
      <c r="N22" s="3">
        <v>2</v>
      </c>
      <c r="O22" s="3">
        <v>2</v>
      </c>
      <c r="P22" s="3">
        <v>2</v>
      </c>
      <c r="Q22" s="3">
        <v>2</v>
      </c>
      <c r="R22" s="3">
        <v>2</v>
      </c>
      <c r="S22" s="3">
        <v>2</v>
      </c>
      <c r="T22" s="3">
        <v>2</v>
      </c>
      <c r="U22" s="3">
        <v>2</v>
      </c>
      <c r="V22" s="3">
        <v>2</v>
      </c>
      <c r="W22" s="3">
        <v>2</v>
      </c>
      <c r="Y22" s="10"/>
      <c r="Z22">
        <v>2</v>
      </c>
      <c r="AA22" t="s">
        <v>121</v>
      </c>
    </row>
    <row r="23" spans="2:27" x14ac:dyDescent="0.35">
      <c r="G23" s="10"/>
      <c r="H23" s="2" t="s">
        <v>585</v>
      </c>
      <c r="I23" s="3">
        <v>2</v>
      </c>
      <c r="J23" s="3">
        <v>2</v>
      </c>
      <c r="K23" s="3">
        <v>2</v>
      </c>
      <c r="L23" s="3">
        <v>2</v>
      </c>
      <c r="M23" s="3">
        <v>2</v>
      </c>
      <c r="N23" s="3">
        <v>2</v>
      </c>
      <c r="O23" s="3">
        <v>2</v>
      </c>
      <c r="P23" s="3">
        <v>2</v>
      </c>
      <c r="Q23" s="3">
        <v>2</v>
      </c>
      <c r="R23" s="3">
        <v>2</v>
      </c>
      <c r="S23" s="3">
        <v>2</v>
      </c>
      <c r="T23" s="3">
        <v>2</v>
      </c>
      <c r="U23" s="3">
        <v>2</v>
      </c>
      <c r="V23" s="3">
        <v>2</v>
      </c>
      <c r="W23" s="3">
        <v>2</v>
      </c>
      <c r="Y23" s="10"/>
    </row>
    <row r="24" spans="2:27" x14ac:dyDescent="0.35">
      <c r="G24" s="10"/>
      <c r="H24" s="2" t="s">
        <v>586</v>
      </c>
      <c r="I24" s="3">
        <v>2</v>
      </c>
      <c r="J24" s="3">
        <v>2</v>
      </c>
      <c r="K24" s="3">
        <v>2</v>
      </c>
      <c r="L24" s="3">
        <v>2</v>
      </c>
      <c r="M24" s="3">
        <v>2</v>
      </c>
      <c r="N24" s="3">
        <v>2</v>
      </c>
      <c r="O24" s="3">
        <v>2</v>
      </c>
      <c r="P24" s="3">
        <v>2</v>
      </c>
      <c r="Q24" s="3">
        <v>2</v>
      </c>
      <c r="R24" s="3">
        <v>2</v>
      </c>
      <c r="S24" s="3">
        <v>2</v>
      </c>
      <c r="T24" s="3">
        <v>2</v>
      </c>
      <c r="U24" s="3">
        <v>2</v>
      </c>
      <c r="V24" s="3">
        <v>2</v>
      </c>
      <c r="W24" s="3">
        <v>2</v>
      </c>
      <c r="Y24" s="10"/>
      <c r="Z24" s="1" t="s">
        <v>55</v>
      </c>
    </row>
    <row r="25" spans="2:27" x14ac:dyDescent="0.35">
      <c r="G25" s="10"/>
      <c r="H25" s="2" t="s">
        <v>587</v>
      </c>
      <c r="I25" s="3">
        <v>2</v>
      </c>
      <c r="J25" s="3">
        <v>2</v>
      </c>
      <c r="K25" s="3">
        <v>2</v>
      </c>
      <c r="L25" s="3">
        <v>2</v>
      </c>
      <c r="M25" s="3">
        <v>2</v>
      </c>
      <c r="N25" s="3">
        <v>2</v>
      </c>
      <c r="O25" s="3">
        <v>2</v>
      </c>
      <c r="P25" s="3">
        <v>2</v>
      </c>
      <c r="Q25" s="3">
        <v>2</v>
      </c>
      <c r="R25" s="3">
        <v>2</v>
      </c>
      <c r="S25" s="3">
        <v>2</v>
      </c>
      <c r="T25" s="3">
        <v>2</v>
      </c>
      <c r="U25" s="3">
        <v>2</v>
      </c>
      <c r="V25" s="3">
        <v>2</v>
      </c>
      <c r="W25" s="3">
        <v>2</v>
      </c>
      <c r="Y25" s="10"/>
      <c r="Z25">
        <v>1</v>
      </c>
      <c r="AA25" t="s">
        <v>288</v>
      </c>
    </row>
    <row r="26" spans="2:27" x14ac:dyDescent="0.35">
      <c r="G26" s="10"/>
      <c r="H26" s="2"/>
      <c r="I26" s="3"/>
      <c r="J26" s="3"/>
      <c r="K26" s="3"/>
      <c r="L26" s="3"/>
      <c r="M26" s="3"/>
      <c r="N26" s="3"/>
      <c r="O26" s="3"/>
      <c r="P26" s="3"/>
      <c r="Q26" s="3"/>
      <c r="R26" s="3"/>
      <c r="S26" s="3"/>
      <c r="T26" s="3"/>
      <c r="U26" s="3"/>
      <c r="V26" s="3"/>
      <c r="W26" s="3"/>
      <c r="Y26" s="10"/>
      <c r="Z26">
        <v>2</v>
      </c>
      <c r="AA26" t="s">
        <v>349</v>
      </c>
    </row>
    <row r="27" spans="2:27" x14ac:dyDescent="0.35">
      <c r="G27" s="10"/>
      <c r="H27" s="2"/>
      <c r="I27" s="3"/>
      <c r="J27" s="3"/>
      <c r="K27" s="3"/>
      <c r="L27" s="3"/>
      <c r="M27" s="3"/>
      <c r="N27" s="3"/>
      <c r="O27" s="3"/>
      <c r="P27" s="3"/>
      <c r="Q27" s="3"/>
      <c r="R27" s="3"/>
      <c r="S27" s="3"/>
      <c r="T27" s="3"/>
      <c r="U27" s="3"/>
      <c r="V27" s="3"/>
      <c r="W27" s="3"/>
      <c r="Y27" s="10"/>
      <c r="Z27">
        <v>3</v>
      </c>
      <c r="AA27" t="s">
        <v>350</v>
      </c>
    </row>
    <row r="28" spans="2:27" x14ac:dyDescent="0.35">
      <c r="G28" s="10"/>
      <c r="H28" s="2"/>
      <c r="I28" s="3"/>
      <c r="J28" s="3"/>
      <c r="K28" s="3"/>
      <c r="L28" s="3"/>
      <c r="M28" s="3"/>
      <c r="N28" s="3"/>
      <c r="O28" s="3"/>
      <c r="P28" s="3"/>
      <c r="Q28" s="3"/>
      <c r="R28" s="3"/>
      <c r="S28" s="3"/>
      <c r="T28" s="3"/>
      <c r="U28" s="3"/>
      <c r="V28" s="3"/>
      <c r="W28" s="3"/>
      <c r="Y28" s="10"/>
      <c r="Z28">
        <v>4</v>
      </c>
      <c r="AA28" t="s">
        <v>106</v>
      </c>
    </row>
    <row r="29" spans="2:27" x14ac:dyDescent="0.35">
      <c r="G29" s="10"/>
      <c r="H29" s="2"/>
      <c r="I29" s="3"/>
      <c r="J29" s="3"/>
      <c r="K29" s="3"/>
      <c r="L29" s="3"/>
      <c r="M29" s="3"/>
      <c r="N29" s="3"/>
      <c r="O29" s="3"/>
      <c r="P29" s="3"/>
      <c r="Q29" s="3"/>
      <c r="R29" s="3"/>
      <c r="S29" s="3"/>
      <c r="T29" s="3"/>
      <c r="U29" s="3"/>
      <c r="V29" s="3"/>
      <c r="W29" s="3"/>
      <c r="Y29" s="10"/>
      <c r="Z29">
        <v>5</v>
      </c>
      <c r="AA29" t="s">
        <v>107</v>
      </c>
    </row>
    <row r="30" spans="2:27" x14ac:dyDescent="0.35">
      <c r="G30" s="10"/>
      <c r="H30" s="2"/>
      <c r="I30" s="3"/>
      <c r="J30" s="3"/>
      <c r="K30" s="3"/>
      <c r="L30" s="3"/>
      <c r="M30" s="3"/>
      <c r="N30" s="3"/>
      <c r="O30" s="3"/>
      <c r="P30" s="3"/>
      <c r="Q30" s="3"/>
      <c r="R30" s="3"/>
      <c r="S30" s="3"/>
      <c r="T30" s="3"/>
      <c r="U30" s="3"/>
      <c r="V30" s="3"/>
      <c r="W30" s="3"/>
      <c r="Y30" s="10"/>
      <c r="Z30">
        <v>6</v>
      </c>
      <c r="AA30" t="s">
        <v>108</v>
      </c>
    </row>
    <row r="31" spans="2:27" x14ac:dyDescent="0.35">
      <c r="G31" s="10"/>
      <c r="H31" s="2"/>
      <c r="I31" s="3"/>
      <c r="J31" s="3"/>
      <c r="K31" s="3"/>
      <c r="L31" s="3"/>
      <c r="M31" s="3"/>
      <c r="N31" s="3"/>
      <c r="O31" s="3"/>
      <c r="P31" s="3"/>
      <c r="Q31" s="3"/>
      <c r="R31" s="3"/>
      <c r="S31" s="3"/>
      <c r="T31" s="3"/>
      <c r="U31" s="3"/>
      <c r="V31" s="3"/>
      <c r="W31" s="3"/>
      <c r="Y31" s="10"/>
      <c r="Z31">
        <v>7</v>
      </c>
      <c r="AA31" t="s">
        <v>109</v>
      </c>
    </row>
    <row r="32" spans="2:27" x14ac:dyDescent="0.35">
      <c r="G32" s="10"/>
      <c r="H32" s="2"/>
      <c r="I32" s="3"/>
      <c r="J32" s="3"/>
      <c r="K32" s="3"/>
      <c r="L32" s="3"/>
      <c r="M32" s="3"/>
      <c r="N32" s="3"/>
      <c r="O32" s="3"/>
      <c r="P32" s="3"/>
      <c r="Q32" s="3"/>
      <c r="R32" s="3"/>
      <c r="S32" s="3"/>
      <c r="T32" s="3"/>
      <c r="U32" s="3"/>
      <c r="V32" s="3"/>
      <c r="W32" s="3"/>
      <c r="Y32" s="10"/>
      <c r="Z32">
        <v>8</v>
      </c>
      <c r="AA32" t="s">
        <v>110</v>
      </c>
    </row>
    <row r="33" spans="7:27" x14ac:dyDescent="0.35">
      <c r="G33" s="10"/>
      <c r="H33" s="2"/>
      <c r="I33" s="3"/>
      <c r="J33" s="3"/>
      <c r="K33" s="3"/>
      <c r="L33" s="3"/>
      <c r="M33" s="3"/>
      <c r="N33" s="3"/>
      <c r="O33" s="3"/>
      <c r="P33" s="3"/>
      <c r="Q33" s="3"/>
      <c r="R33" s="3"/>
      <c r="S33" s="3"/>
      <c r="T33" s="3"/>
      <c r="U33" s="3"/>
      <c r="V33" s="3"/>
      <c r="W33" s="3"/>
      <c r="Y33" s="10"/>
      <c r="Z33">
        <v>9</v>
      </c>
      <c r="AA33" t="s">
        <v>111</v>
      </c>
    </row>
    <row r="34" spans="7:27" x14ac:dyDescent="0.35">
      <c r="G34" s="10"/>
      <c r="H34" s="2"/>
      <c r="I34" s="3"/>
      <c r="J34" s="3"/>
      <c r="K34" s="3"/>
      <c r="L34" s="3"/>
      <c r="M34" s="3"/>
      <c r="N34" s="3"/>
      <c r="O34" s="3"/>
      <c r="P34" s="3"/>
      <c r="Q34" s="3"/>
      <c r="R34" s="3"/>
      <c r="S34" s="3"/>
      <c r="T34" s="3"/>
      <c r="U34" s="3"/>
      <c r="V34" s="3"/>
      <c r="W34" s="3"/>
      <c r="Y34" s="10"/>
      <c r="Z34">
        <v>10</v>
      </c>
      <c r="AA34" t="s">
        <v>112</v>
      </c>
    </row>
    <row r="35" spans="7:27" x14ac:dyDescent="0.35">
      <c r="G35" s="10"/>
      <c r="H35" s="2"/>
      <c r="I35" s="3"/>
      <c r="J35" s="3"/>
      <c r="K35" s="3"/>
      <c r="L35" s="3"/>
      <c r="M35" s="3"/>
      <c r="N35" s="3"/>
      <c r="O35" s="3"/>
      <c r="P35" s="3"/>
      <c r="Q35" s="3"/>
      <c r="R35" s="3"/>
      <c r="S35" s="3"/>
      <c r="T35" s="3"/>
      <c r="U35" s="3"/>
      <c r="V35" s="3"/>
      <c r="W35" s="3"/>
      <c r="Y35" s="10"/>
      <c r="Z35">
        <v>11</v>
      </c>
      <c r="AA35" t="s">
        <v>113</v>
      </c>
    </row>
    <row r="36" spans="7:27" x14ac:dyDescent="0.35">
      <c r="G36" s="10"/>
      <c r="H36" s="2"/>
      <c r="I36" s="3"/>
      <c r="J36" s="3"/>
      <c r="K36" s="3"/>
      <c r="L36" s="3"/>
      <c r="M36" s="3"/>
      <c r="N36" s="3"/>
      <c r="O36" s="3"/>
      <c r="P36" s="3"/>
      <c r="Q36" s="3"/>
      <c r="R36" s="3"/>
      <c r="S36" s="3"/>
      <c r="T36" s="3"/>
      <c r="U36" s="3"/>
      <c r="V36" s="3"/>
      <c r="W36" s="3"/>
      <c r="Y36" s="10"/>
      <c r="Z36">
        <v>12</v>
      </c>
      <c r="AA36" t="s">
        <v>351</v>
      </c>
    </row>
    <row r="37" spans="7:27" x14ac:dyDescent="0.35">
      <c r="G37" s="10"/>
      <c r="H37" s="2"/>
      <c r="I37" s="3"/>
      <c r="J37" s="3"/>
      <c r="K37" s="3"/>
      <c r="L37" s="3"/>
      <c r="M37" s="3"/>
      <c r="N37" s="3"/>
      <c r="O37" s="3"/>
      <c r="P37" s="3"/>
      <c r="Q37" s="3"/>
      <c r="R37" s="3"/>
      <c r="S37" s="3"/>
      <c r="T37" s="3"/>
      <c r="U37" s="3"/>
      <c r="V37" s="3"/>
      <c r="W37" s="3"/>
      <c r="Y37" s="10"/>
      <c r="Z37">
        <v>13</v>
      </c>
      <c r="AA37" t="s">
        <v>352</v>
      </c>
    </row>
    <row r="38" spans="7:27" x14ac:dyDescent="0.35">
      <c r="G38" s="10"/>
      <c r="H38" s="2"/>
      <c r="I38" s="3"/>
      <c r="J38" s="3"/>
      <c r="K38" s="3"/>
      <c r="L38" s="3"/>
      <c r="M38" s="3"/>
      <c r="N38" s="3"/>
      <c r="O38" s="3"/>
      <c r="P38" s="3"/>
      <c r="Q38" s="3"/>
      <c r="R38" s="3"/>
      <c r="S38" s="3"/>
      <c r="T38" s="3"/>
      <c r="U38" s="3"/>
      <c r="V38" s="3"/>
      <c r="W38" s="3"/>
      <c r="Y38" s="10"/>
      <c r="Z38">
        <v>14</v>
      </c>
      <c r="AA38" t="s">
        <v>122</v>
      </c>
    </row>
    <row r="39" spans="7:27" x14ac:dyDescent="0.35">
      <c r="G39" s="10"/>
      <c r="H39" s="2"/>
      <c r="I39" s="3"/>
      <c r="J39" s="3"/>
      <c r="K39" s="3"/>
      <c r="L39" s="3"/>
      <c r="M39" s="3"/>
      <c r="N39" s="3"/>
      <c r="O39" s="3"/>
      <c r="P39" s="3"/>
      <c r="Q39" s="3"/>
      <c r="R39" s="3"/>
      <c r="S39" s="3"/>
      <c r="T39" s="3"/>
      <c r="U39" s="3"/>
      <c r="V39" s="3"/>
      <c r="W39" s="3"/>
      <c r="Y39" s="10"/>
      <c r="Z39">
        <v>15</v>
      </c>
      <c r="AA39" t="s">
        <v>123</v>
      </c>
    </row>
    <row r="40" spans="7:27" x14ac:dyDescent="0.35">
      <c r="G40" s="10"/>
      <c r="H40" s="2"/>
      <c r="I40" s="3"/>
      <c r="J40" s="3"/>
      <c r="K40" s="3"/>
      <c r="L40" s="3"/>
      <c r="M40" s="3"/>
      <c r="N40" s="3"/>
      <c r="O40" s="3"/>
      <c r="P40" s="3"/>
      <c r="Q40" s="3"/>
      <c r="R40" s="3"/>
      <c r="S40" s="3"/>
      <c r="T40" s="3"/>
      <c r="U40" s="3"/>
      <c r="V40" s="3"/>
      <c r="W40" s="3"/>
      <c r="Y40" s="51"/>
    </row>
    <row r="41" spans="7:27" x14ac:dyDescent="0.35">
      <c r="G41" s="10"/>
      <c r="H41" s="2"/>
      <c r="I41" s="3"/>
      <c r="J41" s="3"/>
      <c r="K41" s="3"/>
      <c r="L41" s="3"/>
      <c r="M41" s="3"/>
      <c r="N41" s="3"/>
      <c r="O41" s="3"/>
      <c r="P41" s="3"/>
      <c r="Q41" s="3"/>
      <c r="R41" s="3"/>
      <c r="S41" s="3"/>
      <c r="T41" s="3"/>
      <c r="U41" s="3"/>
      <c r="V41" s="3"/>
      <c r="W41" s="3"/>
      <c r="Z41" s="38"/>
      <c r="AA41" s="38"/>
    </row>
    <row r="42" spans="7:27" x14ac:dyDescent="0.35">
      <c r="G42" s="10"/>
      <c r="H42" s="2"/>
      <c r="I42" s="3"/>
      <c r="J42" s="3"/>
      <c r="K42" s="3"/>
      <c r="L42" s="3"/>
      <c r="M42" s="3"/>
      <c r="N42" s="3"/>
      <c r="O42" s="3"/>
      <c r="P42" s="3"/>
      <c r="Q42" s="3"/>
      <c r="R42" s="3"/>
      <c r="S42" s="3"/>
      <c r="T42" s="3"/>
      <c r="U42" s="3"/>
      <c r="V42" s="3"/>
      <c r="W42" s="3"/>
    </row>
    <row r="43" spans="7:27" x14ac:dyDescent="0.35">
      <c r="G43" s="10"/>
      <c r="H43" s="2"/>
      <c r="I43" s="3"/>
      <c r="J43" s="3"/>
      <c r="K43" s="3"/>
      <c r="L43" s="3"/>
      <c r="M43" s="3"/>
      <c r="N43" s="3"/>
      <c r="O43" s="3"/>
      <c r="P43" s="3"/>
      <c r="Q43" s="3"/>
      <c r="R43" s="3"/>
      <c r="S43" s="3"/>
      <c r="T43" s="3"/>
      <c r="U43" s="3"/>
      <c r="V43" s="3"/>
      <c r="W43" s="3"/>
    </row>
    <row r="44" spans="7:27" x14ac:dyDescent="0.35">
      <c r="G44" s="10"/>
      <c r="H44" s="2"/>
      <c r="I44" s="3"/>
      <c r="J44" s="3"/>
      <c r="K44" s="3"/>
      <c r="L44" s="3"/>
      <c r="M44" s="3"/>
      <c r="N44" s="3"/>
      <c r="O44" s="3"/>
      <c r="P44" s="3"/>
      <c r="Q44" s="3"/>
      <c r="R44" s="3"/>
      <c r="S44" s="3"/>
      <c r="T44" s="3"/>
      <c r="U44" s="3"/>
      <c r="V44" s="3"/>
      <c r="W44" s="3"/>
    </row>
    <row r="45" spans="7:27" x14ac:dyDescent="0.35">
      <c r="G45" s="10"/>
      <c r="H45" s="2"/>
      <c r="I45" s="3"/>
      <c r="J45" s="3"/>
      <c r="K45" s="3"/>
      <c r="L45" s="3"/>
      <c r="M45" s="3"/>
      <c r="N45" s="3"/>
      <c r="O45" s="3"/>
      <c r="P45" s="3"/>
      <c r="Q45" s="3"/>
      <c r="R45" s="3"/>
      <c r="S45" s="3"/>
      <c r="T45" s="3"/>
      <c r="U45" s="3"/>
      <c r="V45" s="3"/>
      <c r="W45" s="3"/>
    </row>
    <row r="46" spans="7:27" x14ac:dyDescent="0.35">
      <c r="G46" s="10"/>
      <c r="H46" s="2"/>
      <c r="I46" s="3"/>
      <c r="J46" s="3"/>
      <c r="K46" s="3"/>
      <c r="L46" s="3"/>
      <c r="M46" s="3"/>
      <c r="N46" s="3"/>
      <c r="O46" s="3"/>
      <c r="P46" s="3"/>
      <c r="Q46" s="3"/>
      <c r="R46" s="3"/>
      <c r="S46" s="3"/>
      <c r="T46" s="3"/>
      <c r="U46" s="3"/>
      <c r="V46" s="3"/>
      <c r="W46" s="3"/>
    </row>
    <row r="47" spans="7:27" x14ac:dyDescent="0.35">
      <c r="G47" s="10"/>
      <c r="H47" s="2"/>
      <c r="I47" s="3"/>
      <c r="J47" s="3"/>
      <c r="K47" s="3"/>
      <c r="L47" s="3"/>
      <c r="M47" s="3"/>
      <c r="N47" s="3"/>
      <c r="O47" s="3"/>
      <c r="P47" s="3"/>
      <c r="Q47" s="3"/>
      <c r="R47" s="3"/>
      <c r="S47" s="3"/>
      <c r="T47" s="3"/>
      <c r="U47" s="3"/>
      <c r="V47" s="3"/>
      <c r="W47" s="3"/>
    </row>
    <row r="48" spans="7:27" x14ac:dyDescent="0.35">
      <c r="G48" s="10"/>
      <c r="H48" s="2"/>
      <c r="I48" s="3"/>
      <c r="J48" s="3"/>
      <c r="K48" s="3"/>
      <c r="L48" s="3"/>
      <c r="M48" s="3"/>
      <c r="N48" s="3"/>
      <c r="O48" s="3"/>
      <c r="P48" s="3"/>
      <c r="Q48" s="3"/>
      <c r="R48" s="3"/>
      <c r="S48" s="3"/>
      <c r="T48" s="3"/>
      <c r="U48" s="3"/>
      <c r="V48" s="3"/>
      <c r="W48" s="3"/>
    </row>
    <row r="49" spans="7:23" x14ac:dyDescent="0.35">
      <c r="G49" s="10"/>
      <c r="H49" s="2"/>
      <c r="I49" s="3"/>
      <c r="J49" s="3"/>
      <c r="K49" s="3"/>
      <c r="L49" s="3"/>
      <c r="M49" s="3"/>
      <c r="N49" s="3"/>
      <c r="O49" s="3"/>
      <c r="P49" s="3"/>
      <c r="Q49" s="3"/>
      <c r="R49" s="3"/>
      <c r="S49" s="3"/>
      <c r="T49" s="3"/>
      <c r="U49" s="3"/>
      <c r="V49" s="3"/>
      <c r="W49" s="3"/>
    </row>
    <row r="50" spans="7:23" x14ac:dyDescent="0.35">
      <c r="G50" s="10"/>
      <c r="H50" s="2"/>
      <c r="I50" s="3"/>
      <c r="J50" s="3"/>
      <c r="K50" s="3"/>
      <c r="L50" s="3"/>
      <c r="M50" s="3"/>
      <c r="N50" s="3"/>
      <c r="O50" s="3"/>
      <c r="P50" s="3"/>
      <c r="Q50" s="3"/>
      <c r="R50" s="3"/>
      <c r="S50" s="3"/>
      <c r="T50" s="3"/>
      <c r="U50" s="3"/>
      <c r="V50" s="3"/>
      <c r="W50" s="3"/>
    </row>
    <row r="51" spans="7:23" x14ac:dyDescent="0.35">
      <c r="G51" s="10"/>
      <c r="H51" s="2"/>
      <c r="I51" s="2"/>
      <c r="J51" s="2"/>
      <c r="K51" s="2"/>
      <c r="L51" s="2"/>
      <c r="M51" s="2"/>
      <c r="N51" s="2"/>
      <c r="O51" s="2"/>
      <c r="P51" s="2"/>
      <c r="Q51" s="2"/>
      <c r="R51" s="2"/>
      <c r="S51" s="2"/>
      <c r="T51" s="2"/>
      <c r="U51" s="2"/>
      <c r="V51" s="2"/>
      <c r="W51" s="2"/>
    </row>
    <row r="52" spans="7:23" x14ac:dyDescent="0.35">
      <c r="G52" s="10"/>
      <c r="H52" s="2"/>
      <c r="I52" s="2"/>
      <c r="J52" s="2"/>
      <c r="K52" s="2"/>
      <c r="L52" s="2"/>
      <c r="M52" s="2"/>
      <c r="N52" s="2"/>
      <c r="O52" s="2"/>
      <c r="P52" s="2"/>
      <c r="Q52" s="2"/>
      <c r="R52" s="2"/>
      <c r="S52" s="2"/>
      <c r="T52" s="2"/>
      <c r="U52" s="2"/>
      <c r="V52" s="2"/>
      <c r="W52" s="2"/>
    </row>
    <row r="53" spans="7:23" x14ac:dyDescent="0.35">
      <c r="G53" s="10"/>
      <c r="H53" s="2"/>
      <c r="I53" s="2"/>
      <c r="J53" s="2"/>
      <c r="K53" s="2"/>
      <c r="L53" s="2"/>
      <c r="M53" s="2"/>
      <c r="N53" s="2"/>
      <c r="O53" s="2"/>
      <c r="P53" s="2"/>
      <c r="Q53" s="2"/>
      <c r="R53" s="2"/>
      <c r="S53" s="2"/>
      <c r="T53" s="2"/>
      <c r="U53" s="2"/>
      <c r="V53" s="2"/>
      <c r="W53" s="2"/>
    </row>
    <row r="54" spans="7:23" x14ac:dyDescent="0.35">
      <c r="G54" s="10"/>
      <c r="H54" s="2"/>
      <c r="I54" s="2"/>
      <c r="J54" s="2"/>
      <c r="K54" s="2"/>
      <c r="L54" s="2"/>
      <c r="M54" s="2"/>
      <c r="N54" s="2"/>
      <c r="O54" s="2"/>
      <c r="P54" s="2"/>
      <c r="Q54" s="2"/>
      <c r="R54" s="2"/>
      <c r="S54" s="2"/>
      <c r="T54" s="2"/>
      <c r="U54" s="2"/>
      <c r="V54" s="2"/>
      <c r="W54" s="2"/>
    </row>
    <row r="55" spans="7:23" x14ac:dyDescent="0.35">
      <c r="G55" s="10"/>
      <c r="H55" s="2"/>
      <c r="I55" s="2"/>
      <c r="J55" s="2"/>
      <c r="K55" s="2"/>
      <c r="L55" s="2"/>
      <c r="M55" s="2"/>
      <c r="N55" s="2"/>
      <c r="O55" s="2"/>
      <c r="P55" s="2"/>
      <c r="Q55" s="2"/>
      <c r="R55" s="2"/>
      <c r="S55" s="2"/>
      <c r="T55" s="2"/>
      <c r="U55" s="2"/>
      <c r="V55" s="2"/>
      <c r="W55" s="2"/>
    </row>
    <row r="56" spans="7:23" x14ac:dyDescent="0.35">
      <c r="G56" s="10"/>
      <c r="H56" s="2"/>
      <c r="I56" s="2"/>
      <c r="J56" s="2"/>
      <c r="K56" s="2"/>
      <c r="L56" s="2"/>
      <c r="M56" s="2"/>
      <c r="N56" s="2"/>
      <c r="O56" s="2"/>
      <c r="P56" s="2"/>
      <c r="Q56" s="2"/>
      <c r="R56" s="2"/>
      <c r="S56" s="2"/>
      <c r="T56" s="2"/>
      <c r="U56" s="2"/>
      <c r="V56" s="2"/>
      <c r="W56" s="2"/>
    </row>
    <row r="57" spans="7:23" x14ac:dyDescent="0.35">
      <c r="G57" s="10"/>
      <c r="H57" s="2"/>
      <c r="I57" s="2"/>
      <c r="J57" s="2"/>
      <c r="K57" s="2"/>
      <c r="L57" s="2"/>
      <c r="M57" s="2"/>
      <c r="N57" s="2"/>
      <c r="O57" s="2"/>
      <c r="P57" s="2"/>
      <c r="Q57" s="2"/>
      <c r="R57" s="2"/>
      <c r="S57" s="2"/>
      <c r="T57" s="2"/>
      <c r="U57" s="2"/>
      <c r="V57" s="2"/>
      <c r="W57" s="2"/>
    </row>
    <row r="58" spans="7:23" x14ac:dyDescent="0.35">
      <c r="G58" s="10"/>
      <c r="H58" s="2"/>
      <c r="I58" s="2"/>
      <c r="J58" s="2"/>
      <c r="K58" s="2"/>
      <c r="L58" s="2"/>
      <c r="M58" s="2"/>
      <c r="N58" s="2"/>
      <c r="O58" s="2"/>
      <c r="P58" s="2"/>
      <c r="Q58" s="2"/>
      <c r="R58" s="2"/>
      <c r="S58" s="2"/>
      <c r="T58" s="2"/>
      <c r="U58" s="2"/>
      <c r="V58" s="2"/>
      <c r="W58" s="2"/>
    </row>
    <row r="59" spans="7:23" x14ac:dyDescent="0.35">
      <c r="G59" s="10"/>
      <c r="H59" s="2"/>
      <c r="I59" s="2"/>
      <c r="J59" s="2"/>
      <c r="K59" s="2"/>
      <c r="L59" s="2"/>
      <c r="M59" s="2"/>
      <c r="N59" s="2"/>
      <c r="O59" s="2"/>
      <c r="P59" s="2"/>
      <c r="Q59" s="2"/>
      <c r="R59" s="2"/>
      <c r="S59" s="2"/>
      <c r="T59" s="2"/>
      <c r="U59" s="2"/>
      <c r="V59" s="2"/>
      <c r="W59" s="2"/>
    </row>
    <row r="60" spans="7:23" x14ac:dyDescent="0.35">
      <c r="G60" s="10"/>
      <c r="H60" s="2"/>
      <c r="I60" s="2"/>
      <c r="J60" s="2"/>
      <c r="K60" s="2"/>
      <c r="L60" s="2"/>
      <c r="M60" s="2"/>
      <c r="N60" s="2"/>
      <c r="O60" s="2"/>
      <c r="P60" s="2"/>
      <c r="Q60" s="2"/>
      <c r="R60" s="2"/>
      <c r="S60" s="2"/>
      <c r="T60" s="2"/>
      <c r="U60" s="2"/>
      <c r="V60" s="2"/>
      <c r="W60" s="2"/>
    </row>
    <row r="61" spans="7:23" x14ac:dyDescent="0.35">
      <c r="G61" s="10"/>
      <c r="H61" s="2"/>
      <c r="I61" s="2"/>
      <c r="J61" s="2"/>
      <c r="K61" s="2"/>
      <c r="L61" s="2"/>
      <c r="M61" s="2"/>
      <c r="N61" s="2"/>
      <c r="O61" s="2"/>
      <c r="P61" s="2"/>
      <c r="Q61" s="2"/>
      <c r="R61" s="2"/>
      <c r="S61" s="2"/>
      <c r="T61" s="2"/>
      <c r="U61" s="2"/>
      <c r="V61" s="2"/>
      <c r="W61" s="2"/>
    </row>
    <row r="62" spans="7:23" x14ac:dyDescent="0.35">
      <c r="G62" s="10"/>
      <c r="H62" s="2"/>
      <c r="I62" s="2"/>
      <c r="J62" s="2"/>
      <c r="K62" s="2"/>
      <c r="L62" s="2"/>
      <c r="M62" s="2"/>
      <c r="N62" s="2"/>
      <c r="O62" s="2"/>
      <c r="P62" s="2"/>
      <c r="Q62" s="2"/>
      <c r="R62" s="2"/>
      <c r="S62" s="2"/>
      <c r="T62" s="2"/>
      <c r="U62" s="2"/>
      <c r="V62" s="2"/>
      <c r="W62" s="2"/>
    </row>
    <row r="63" spans="7:23" x14ac:dyDescent="0.35">
      <c r="G63" s="10"/>
      <c r="H63" s="2"/>
      <c r="I63" s="2"/>
      <c r="J63" s="2"/>
      <c r="K63" s="2"/>
      <c r="L63" s="2"/>
      <c r="M63" s="2"/>
      <c r="N63" s="2"/>
      <c r="O63" s="2"/>
      <c r="P63" s="2"/>
      <c r="Q63" s="2"/>
      <c r="R63" s="2"/>
      <c r="S63" s="2"/>
      <c r="T63" s="2"/>
      <c r="U63" s="2"/>
      <c r="V63" s="2"/>
      <c r="W63" s="2"/>
    </row>
    <row r="64" spans="7:23" x14ac:dyDescent="0.35">
      <c r="G64" s="10"/>
      <c r="H64" s="2"/>
      <c r="I64" s="2"/>
      <c r="J64" s="2"/>
      <c r="K64" s="2"/>
      <c r="L64" s="2"/>
      <c r="M64" s="2"/>
      <c r="N64" s="2"/>
      <c r="O64" s="2"/>
      <c r="P64" s="2"/>
      <c r="Q64" s="2"/>
      <c r="R64" s="2"/>
      <c r="S64" s="2"/>
      <c r="T64" s="2"/>
      <c r="U64" s="2"/>
      <c r="V64" s="2"/>
      <c r="W64" s="2"/>
    </row>
    <row r="65" spans="7:23" x14ac:dyDescent="0.35">
      <c r="G65" s="10"/>
      <c r="H65" s="2"/>
      <c r="I65" s="2"/>
      <c r="J65" s="2"/>
      <c r="K65" s="2"/>
      <c r="L65" s="2"/>
      <c r="M65" s="2"/>
      <c r="N65" s="2"/>
      <c r="O65" s="2"/>
      <c r="P65" s="2"/>
      <c r="Q65" s="2"/>
      <c r="R65" s="2"/>
      <c r="S65" s="2"/>
      <c r="T65" s="2"/>
      <c r="U65" s="2"/>
      <c r="V65" s="2"/>
      <c r="W65" s="2"/>
    </row>
    <row r="66" spans="7:23" x14ac:dyDescent="0.35">
      <c r="G66" s="10"/>
      <c r="H66" s="2"/>
      <c r="I66" s="2"/>
      <c r="J66" s="2"/>
      <c r="K66" s="2"/>
      <c r="L66" s="2"/>
      <c r="M66" s="2"/>
      <c r="N66" s="2"/>
      <c r="O66" s="2"/>
      <c r="P66" s="2"/>
      <c r="Q66" s="2"/>
      <c r="R66" s="2"/>
      <c r="S66" s="2"/>
      <c r="T66" s="2"/>
      <c r="U66" s="2"/>
      <c r="V66" s="2"/>
      <c r="W66" s="2"/>
    </row>
    <row r="67" spans="7:23" x14ac:dyDescent="0.35">
      <c r="G67" s="10"/>
      <c r="H67" s="2"/>
      <c r="I67" s="2"/>
      <c r="J67" s="2"/>
      <c r="K67" s="2"/>
      <c r="L67" s="2"/>
      <c r="M67" s="2"/>
      <c r="N67" s="2"/>
      <c r="O67" s="2"/>
      <c r="P67" s="2"/>
      <c r="Q67" s="2"/>
      <c r="R67" s="2"/>
      <c r="S67" s="2"/>
      <c r="T67" s="2"/>
      <c r="U67" s="2"/>
      <c r="V67" s="2"/>
      <c r="W67" s="2"/>
    </row>
    <row r="68" spans="7:23" x14ac:dyDescent="0.35">
      <c r="G68" s="10"/>
      <c r="H68" s="2"/>
      <c r="I68" s="2"/>
      <c r="J68" s="2"/>
      <c r="K68" s="2"/>
      <c r="L68" s="2"/>
      <c r="M68" s="2"/>
      <c r="N68" s="2"/>
      <c r="O68" s="2"/>
      <c r="P68" s="2"/>
      <c r="Q68" s="2"/>
      <c r="R68" s="2"/>
      <c r="S68" s="2"/>
      <c r="T68" s="2"/>
      <c r="U68" s="2"/>
      <c r="V68" s="2"/>
      <c r="W68" s="2"/>
    </row>
    <row r="69" spans="7:23" x14ac:dyDescent="0.35">
      <c r="G69" s="10"/>
      <c r="H69" s="2"/>
      <c r="I69" s="2"/>
      <c r="J69" s="2"/>
      <c r="K69" s="2"/>
      <c r="L69" s="2"/>
      <c r="M69" s="2"/>
      <c r="N69" s="2"/>
      <c r="O69" s="2"/>
      <c r="P69" s="2"/>
      <c r="Q69" s="2"/>
      <c r="R69" s="2"/>
      <c r="S69" s="2"/>
      <c r="T69" s="2"/>
      <c r="U69" s="2"/>
      <c r="V69" s="2"/>
      <c r="W69" s="2"/>
    </row>
    <row r="70" spans="7:23" x14ac:dyDescent="0.35">
      <c r="G70" s="10"/>
      <c r="H70" s="2"/>
      <c r="I70" s="2"/>
      <c r="J70" s="2"/>
      <c r="K70" s="2"/>
      <c r="L70" s="2"/>
      <c r="M70" s="2"/>
      <c r="N70" s="2"/>
      <c r="O70" s="2"/>
      <c r="P70" s="2"/>
      <c r="Q70" s="2"/>
      <c r="R70" s="2"/>
      <c r="S70" s="2"/>
      <c r="T70" s="2"/>
      <c r="U70" s="2"/>
      <c r="V70" s="2"/>
      <c r="W70" s="2"/>
    </row>
    <row r="71" spans="7:23" x14ac:dyDescent="0.35">
      <c r="G71" s="10"/>
      <c r="H71" s="2"/>
      <c r="I71" s="2"/>
      <c r="J71" s="2"/>
      <c r="K71" s="2"/>
      <c r="L71" s="2"/>
      <c r="M71" s="2"/>
      <c r="N71" s="2"/>
      <c r="O71" s="2"/>
      <c r="P71" s="2"/>
      <c r="Q71" s="2"/>
      <c r="R71" s="2"/>
      <c r="S71" s="2"/>
      <c r="T71" s="2"/>
      <c r="U71" s="2"/>
      <c r="V71" s="2"/>
      <c r="W71" s="2"/>
    </row>
    <row r="72" spans="7:23" x14ac:dyDescent="0.35">
      <c r="G72" s="10"/>
      <c r="H72" s="2"/>
      <c r="I72" s="2"/>
      <c r="J72" s="2"/>
      <c r="K72" s="2"/>
      <c r="L72" s="2"/>
      <c r="M72" s="2"/>
      <c r="N72" s="2"/>
      <c r="O72" s="2"/>
      <c r="P72" s="2"/>
      <c r="Q72" s="2"/>
      <c r="R72" s="2"/>
      <c r="S72" s="2"/>
      <c r="T72" s="2"/>
      <c r="U72" s="2"/>
      <c r="V72" s="2"/>
      <c r="W72" s="2"/>
    </row>
    <row r="73" spans="7:23" x14ac:dyDescent="0.35">
      <c r="G73" s="10"/>
      <c r="H73" s="2"/>
      <c r="I73" s="2"/>
      <c r="J73" s="2"/>
      <c r="K73" s="2"/>
      <c r="L73" s="2"/>
      <c r="M73" s="2"/>
      <c r="N73" s="2"/>
      <c r="O73" s="2"/>
      <c r="P73" s="2"/>
      <c r="Q73" s="2"/>
      <c r="R73" s="2"/>
      <c r="S73" s="2"/>
      <c r="T73" s="2"/>
      <c r="U73" s="2"/>
      <c r="V73" s="2"/>
      <c r="W73" s="2"/>
    </row>
    <row r="74" spans="7:23" x14ac:dyDescent="0.35">
      <c r="G74" s="10"/>
      <c r="H74" s="2"/>
      <c r="I74" s="2"/>
      <c r="J74" s="2"/>
      <c r="K74" s="2"/>
      <c r="L74" s="2"/>
      <c r="M74" s="2"/>
      <c r="N74" s="2"/>
      <c r="O74" s="2"/>
      <c r="P74" s="2"/>
      <c r="Q74" s="2"/>
      <c r="R74" s="2"/>
      <c r="S74" s="2"/>
      <c r="T74" s="2"/>
      <c r="U74" s="2"/>
      <c r="V74" s="2"/>
      <c r="W74" s="2"/>
    </row>
    <row r="75" spans="7:23" x14ac:dyDescent="0.35">
      <c r="G75" s="10"/>
      <c r="H75" s="2"/>
      <c r="I75" s="2"/>
      <c r="J75" s="2"/>
      <c r="K75" s="2"/>
      <c r="L75" s="2"/>
      <c r="M75" s="2"/>
      <c r="N75" s="2"/>
      <c r="O75" s="2"/>
      <c r="P75" s="2"/>
      <c r="Q75" s="2"/>
      <c r="R75" s="2"/>
      <c r="S75" s="2"/>
      <c r="T75" s="2"/>
      <c r="U75" s="2"/>
      <c r="V75" s="2"/>
      <c r="W75" s="2"/>
    </row>
    <row r="76" spans="7:23" x14ac:dyDescent="0.35">
      <c r="G76" s="10"/>
      <c r="H76" s="2"/>
      <c r="I76" s="2"/>
      <c r="J76" s="2"/>
      <c r="K76" s="2"/>
      <c r="L76" s="2"/>
      <c r="M76" s="2"/>
      <c r="N76" s="2"/>
      <c r="O76" s="2"/>
      <c r="P76" s="2"/>
      <c r="Q76" s="2"/>
      <c r="R76" s="2"/>
      <c r="S76" s="2"/>
      <c r="T76" s="2"/>
      <c r="U76" s="2"/>
      <c r="V76" s="2"/>
      <c r="W76" s="2"/>
    </row>
    <row r="77" spans="7:23" x14ac:dyDescent="0.35">
      <c r="G77" s="10"/>
      <c r="H77" s="2"/>
      <c r="I77" s="2"/>
      <c r="J77" s="2"/>
      <c r="K77" s="2"/>
      <c r="L77" s="2"/>
      <c r="M77" s="2"/>
      <c r="N77" s="2"/>
      <c r="O77" s="2"/>
      <c r="P77" s="2"/>
      <c r="Q77" s="2"/>
      <c r="R77" s="2"/>
      <c r="S77" s="2"/>
      <c r="T77" s="2"/>
      <c r="U77" s="2"/>
      <c r="V77" s="2"/>
      <c r="W77" s="2"/>
    </row>
    <row r="78" spans="7:23" x14ac:dyDescent="0.35">
      <c r="G78" s="10"/>
      <c r="H78" s="2"/>
      <c r="I78" s="2"/>
      <c r="J78" s="2"/>
      <c r="K78" s="2"/>
      <c r="L78" s="2"/>
      <c r="M78" s="2"/>
      <c r="N78" s="2"/>
      <c r="O78" s="2"/>
      <c r="P78" s="2"/>
      <c r="Q78" s="2"/>
      <c r="R78" s="2"/>
      <c r="S78" s="2"/>
      <c r="T78" s="2"/>
      <c r="U78" s="2"/>
      <c r="V78" s="2"/>
      <c r="W78" s="2"/>
    </row>
    <row r="79" spans="7:23" x14ac:dyDescent="0.35">
      <c r="G79" s="10"/>
      <c r="H79" s="2"/>
      <c r="I79" s="2"/>
      <c r="J79" s="2"/>
      <c r="K79" s="2"/>
      <c r="L79" s="2"/>
      <c r="M79" s="2"/>
      <c r="N79" s="2"/>
      <c r="O79" s="2"/>
      <c r="P79" s="2"/>
      <c r="Q79" s="2"/>
      <c r="R79" s="2"/>
      <c r="S79" s="2"/>
      <c r="T79" s="2"/>
      <c r="U79" s="2"/>
      <c r="V79" s="2"/>
      <c r="W79" s="2"/>
    </row>
    <row r="80" spans="7:23" x14ac:dyDescent="0.35">
      <c r="G80" s="10"/>
      <c r="H80" s="2"/>
      <c r="I80" s="2"/>
      <c r="J80" s="2"/>
      <c r="K80" s="2"/>
      <c r="L80" s="2"/>
      <c r="M80" s="2"/>
      <c r="N80" s="2"/>
      <c r="O80" s="2"/>
      <c r="P80" s="2"/>
      <c r="Q80" s="2"/>
      <c r="R80" s="2"/>
      <c r="S80" s="2"/>
      <c r="T80" s="2"/>
      <c r="U80" s="2"/>
      <c r="V80" s="2"/>
      <c r="W80" s="2"/>
    </row>
    <row r="81" spans="7:23" x14ac:dyDescent="0.35">
      <c r="G81" s="10"/>
      <c r="H81" s="2"/>
      <c r="I81" s="2"/>
      <c r="J81" s="2"/>
      <c r="K81" s="2"/>
      <c r="L81" s="2"/>
      <c r="M81" s="2"/>
      <c r="N81" s="2"/>
      <c r="O81" s="2"/>
      <c r="P81" s="2"/>
      <c r="Q81" s="2"/>
      <c r="R81" s="2"/>
      <c r="S81" s="2"/>
      <c r="T81" s="2"/>
      <c r="U81" s="2"/>
      <c r="V81" s="2"/>
      <c r="W81" s="2"/>
    </row>
    <row r="82" spans="7:23" x14ac:dyDescent="0.35">
      <c r="G82" s="10"/>
      <c r="H82" s="2"/>
      <c r="I82" s="2"/>
      <c r="J82" s="2"/>
      <c r="K82" s="2"/>
      <c r="L82" s="2"/>
      <c r="M82" s="2"/>
      <c r="N82" s="2"/>
      <c r="O82" s="2"/>
      <c r="P82" s="2"/>
      <c r="Q82" s="2"/>
      <c r="R82" s="2"/>
      <c r="S82" s="2"/>
      <c r="T82" s="2"/>
      <c r="U82" s="2"/>
      <c r="V82" s="2"/>
      <c r="W82" s="2"/>
    </row>
    <row r="83" spans="7:23" x14ac:dyDescent="0.35">
      <c r="G83" s="10"/>
      <c r="H83" s="2"/>
      <c r="I83" s="2"/>
      <c r="J83" s="2"/>
      <c r="K83" s="2"/>
      <c r="L83" s="2"/>
      <c r="M83" s="2"/>
      <c r="N83" s="2"/>
      <c r="O83" s="2"/>
      <c r="P83" s="2"/>
      <c r="Q83" s="2"/>
      <c r="R83" s="2"/>
      <c r="S83" s="2"/>
      <c r="T83" s="2"/>
      <c r="U83" s="2"/>
      <c r="V83" s="2"/>
      <c r="W83" s="2"/>
    </row>
    <row r="84" spans="7:23" x14ac:dyDescent="0.35">
      <c r="G84" s="10"/>
      <c r="H84" s="2"/>
      <c r="I84" s="2"/>
      <c r="J84" s="2"/>
      <c r="K84" s="2"/>
      <c r="L84" s="2"/>
      <c r="M84" s="2"/>
      <c r="N84" s="2"/>
      <c r="O84" s="2"/>
      <c r="P84" s="2"/>
      <c r="Q84" s="2"/>
      <c r="R84" s="2"/>
      <c r="S84" s="2"/>
      <c r="T84" s="2"/>
      <c r="U84" s="2"/>
      <c r="V84" s="2"/>
      <c r="W84" s="2"/>
    </row>
    <row r="85" spans="7:23" x14ac:dyDescent="0.35">
      <c r="G85" s="10"/>
      <c r="H85" s="2"/>
      <c r="I85" s="2"/>
      <c r="J85" s="2"/>
      <c r="K85" s="2"/>
      <c r="L85" s="2"/>
      <c r="M85" s="2"/>
      <c r="N85" s="2"/>
      <c r="O85" s="2"/>
      <c r="P85" s="2"/>
      <c r="Q85" s="2"/>
      <c r="R85" s="2"/>
      <c r="S85" s="2"/>
      <c r="T85" s="2"/>
      <c r="U85" s="2"/>
      <c r="V85" s="2"/>
      <c r="W85" s="2"/>
    </row>
    <row r="86" spans="7:23" x14ac:dyDescent="0.35">
      <c r="G86" s="10"/>
      <c r="H86" s="2"/>
      <c r="I86" s="2"/>
      <c r="J86" s="2"/>
      <c r="K86" s="2"/>
      <c r="L86" s="2"/>
      <c r="M86" s="2"/>
      <c r="N86" s="2"/>
      <c r="O86" s="2"/>
      <c r="P86" s="2"/>
      <c r="Q86" s="2"/>
      <c r="R86" s="2"/>
      <c r="S86" s="2"/>
      <c r="T86" s="2"/>
      <c r="U86" s="2"/>
      <c r="V86" s="2"/>
      <c r="W86" s="2"/>
    </row>
    <row r="87" spans="7:23" x14ac:dyDescent="0.35">
      <c r="G87" s="10"/>
      <c r="H87" s="2"/>
      <c r="I87" s="2"/>
      <c r="J87" s="2"/>
      <c r="K87" s="2"/>
      <c r="L87" s="2"/>
      <c r="M87" s="2"/>
      <c r="N87" s="2"/>
      <c r="O87" s="2"/>
      <c r="P87" s="2"/>
      <c r="Q87" s="2"/>
      <c r="R87" s="2"/>
      <c r="S87" s="2"/>
      <c r="T87" s="2"/>
      <c r="U87" s="2"/>
      <c r="V87" s="2"/>
      <c r="W87" s="2"/>
    </row>
    <row r="88" spans="7:23" x14ac:dyDescent="0.35">
      <c r="G88" s="10"/>
      <c r="H88" s="2"/>
      <c r="I88" s="2"/>
      <c r="J88" s="2"/>
      <c r="K88" s="2"/>
      <c r="L88" s="2"/>
      <c r="M88" s="2"/>
      <c r="N88" s="2"/>
      <c r="O88" s="2"/>
      <c r="P88" s="2"/>
      <c r="Q88" s="2"/>
      <c r="R88" s="2"/>
      <c r="S88" s="2"/>
      <c r="T88" s="2"/>
      <c r="U88" s="2"/>
      <c r="V88" s="2"/>
      <c r="W88" s="2"/>
    </row>
    <row r="89" spans="7:23" x14ac:dyDescent="0.35">
      <c r="G89" s="10"/>
      <c r="H89" s="2"/>
      <c r="I89" s="2"/>
      <c r="J89" s="2"/>
      <c r="K89" s="2"/>
      <c r="L89" s="2"/>
      <c r="M89" s="2"/>
      <c r="N89" s="2"/>
      <c r="O89" s="2"/>
      <c r="P89" s="2"/>
      <c r="Q89" s="2"/>
      <c r="R89" s="2"/>
      <c r="S89" s="2"/>
      <c r="T89" s="2"/>
      <c r="U89" s="2"/>
      <c r="V89" s="2"/>
      <c r="W89" s="2"/>
    </row>
    <row r="90" spans="7:23" x14ac:dyDescent="0.35">
      <c r="G90" s="10"/>
      <c r="H90" s="2"/>
      <c r="I90" s="2"/>
      <c r="J90" s="2"/>
      <c r="K90" s="2"/>
      <c r="L90" s="2"/>
      <c r="M90" s="2"/>
      <c r="N90" s="2"/>
      <c r="O90" s="2"/>
      <c r="P90" s="2"/>
      <c r="Q90" s="2"/>
      <c r="R90" s="2"/>
      <c r="S90" s="2"/>
      <c r="T90" s="2"/>
      <c r="U90" s="2"/>
      <c r="V90" s="2"/>
      <c r="W90" s="2"/>
    </row>
    <row r="91" spans="7:23" x14ac:dyDescent="0.35">
      <c r="G91" s="10"/>
      <c r="H91" s="2"/>
      <c r="I91" s="2"/>
      <c r="J91" s="2"/>
      <c r="K91" s="2"/>
      <c r="L91" s="2"/>
      <c r="M91" s="2"/>
      <c r="N91" s="2"/>
      <c r="O91" s="2"/>
      <c r="P91" s="2"/>
      <c r="Q91" s="2"/>
      <c r="R91" s="2"/>
      <c r="S91" s="2"/>
      <c r="T91" s="2"/>
      <c r="U91" s="2"/>
      <c r="V91" s="2"/>
      <c r="W91" s="2"/>
    </row>
    <row r="92" spans="7:23" x14ac:dyDescent="0.35">
      <c r="G92" s="10"/>
      <c r="H92" s="2"/>
      <c r="I92" s="2"/>
      <c r="J92" s="2"/>
      <c r="K92" s="2"/>
      <c r="L92" s="2"/>
      <c r="M92" s="2"/>
      <c r="N92" s="2"/>
      <c r="O92" s="2"/>
      <c r="P92" s="2"/>
      <c r="Q92" s="2"/>
      <c r="R92" s="2"/>
      <c r="S92" s="2"/>
      <c r="T92" s="2"/>
      <c r="U92" s="2"/>
      <c r="V92" s="2"/>
      <c r="W92" s="2"/>
    </row>
    <row r="93" spans="7:23" x14ac:dyDescent="0.35">
      <c r="G93" s="10"/>
      <c r="H93" s="2"/>
      <c r="I93" s="2"/>
      <c r="J93" s="2"/>
      <c r="K93" s="2"/>
      <c r="L93" s="2"/>
      <c r="M93" s="2"/>
      <c r="N93" s="2"/>
      <c r="O93" s="2"/>
      <c r="P93" s="2"/>
      <c r="Q93" s="2"/>
      <c r="R93" s="2"/>
      <c r="S93" s="2"/>
      <c r="T93" s="2"/>
      <c r="U93" s="2"/>
      <c r="V93" s="2"/>
      <c r="W93" s="2"/>
    </row>
    <row r="94" spans="7:23" x14ac:dyDescent="0.35">
      <c r="G94" s="10"/>
      <c r="H94" s="2"/>
      <c r="I94" s="2"/>
      <c r="J94" s="2"/>
      <c r="K94" s="2"/>
      <c r="L94" s="2"/>
      <c r="M94" s="2"/>
      <c r="N94" s="2"/>
      <c r="O94" s="2"/>
      <c r="P94" s="2"/>
      <c r="Q94" s="2"/>
      <c r="R94" s="2"/>
      <c r="S94" s="2"/>
      <c r="T94" s="2"/>
      <c r="U94" s="2"/>
      <c r="V94" s="2"/>
      <c r="W94" s="2"/>
    </row>
    <row r="95" spans="7:23" x14ac:dyDescent="0.35">
      <c r="G95" s="10"/>
      <c r="H95" s="2"/>
      <c r="I95" s="2"/>
      <c r="J95" s="2"/>
      <c r="K95" s="2"/>
      <c r="L95" s="2"/>
      <c r="M95" s="2"/>
      <c r="N95" s="2"/>
      <c r="O95" s="2"/>
      <c r="P95" s="2"/>
      <c r="Q95" s="2"/>
      <c r="R95" s="2"/>
      <c r="S95" s="2"/>
      <c r="T95" s="2"/>
      <c r="U95" s="2"/>
      <c r="V95" s="2"/>
      <c r="W95" s="2"/>
    </row>
    <row r="96" spans="7:23" x14ac:dyDescent="0.35">
      <c r="G96" s="10"/>
      <c r="H96" s="2"/>
      <c r="I96" s="2"/>
      <c r="J96" s="2"/>
      <c r="K96" s="2"/>
      <c r="L96" s="2"/>
      <c r="M96" s="2"/>
      <c r="N96" s="2"/>
      <c r="O96" s="2"/>
      <c r="P96" s="2"/>
      <c r="Q96" s="2"/>
      <c r="R96" s="2"/>
      <c r="S96" s="2"/>
      <c r="T96" s="2"/>
      <c r="U96" s="2"/>
      <c r="V96" s="2"/>
      <c r="W96" s="2"/>
    </row>
    <row r="97" spans="7:23" x14ac:dyDescent="0.35">
      <c r="G97" s="10"/>
      <c r="H97" s="2"/>
      <c r="I97" s="2"/>
      <c r="J97" s="2"/>
      <c r="K97" s="2"/>
      <c r="L97" s="2"/>
      <c r="M97" s="2"/>
      <c r="N97" s="2"/>
      <c r="O97" s="2"/>
      <c r="P97" s="2"/>
      <c r="Q97" s="2"/>
      <c r="R97" s="2"/>
      <c r="S97" s="2"/>
      <c r="T97" s="2"/>
      <c r="U97" s="2"/>
      <c r="V97" s="2"/>
      <c r="W97" s="2"/>
    </row>
    <row r="98" spans="7:23" x14ac:dyDescent="0.35">
      <c r="G98" s="10"/>
      <c r="H98" s="2"/>
      <c r="I98" s="2"/>
      <c r="J98" s="2"/>
      <c r="K98" s="2"/>
      <c r="L98" s="2"/>
      <c r="M98" s="2"/>
      <c r="N98" s="2"/>
      <c r="O98" s="2"/>
      <c r="P98" s="2"/>
      <c r="Q98" s="2"/>
      <c r="R98" s="2"/>
      <c r="S98" s="2"/>
      <c r="T98" s="2"/>
      <c r="U98" s="2"/>
      <c r="V98" s="2"/>
      <c r="W98" s="2"/>
    </row>
    <row r="99" spans="7:23" x14ac:dyDescent="0.35">
      <c r="G99" s="10"/>
      <c r="H99" s="2"/>
      <c r="I99" s="2"/>
      <c r="J99" s="2"/>
      <c r="K99" s="2"/>
      <c r="L99" s="2"/>
      <c r="M99" s="2"/>
      <c r="N99" s="2"/>
      <c r="O99" s="2"/>
      <c r="P99" s="2"/>
      <c r="Q99" s="2"/>
      <c r="R99" s="2"/>
      <c r="S99" s="2"/>
      <c r="T99" s="2"/>
      <c r="U99" s="2"/>
      <c r="V99" s="2"/>
      <c r="W99" s="2"/>
    </row>
    <row r="100" spans="7:23" x14ac:dyDescent="0.35">
      <c r="G100" s="10"/>
      <c r="H100" s="2"/>
      <c r="I100" s="2"/>
      <c r="J100" s="2"/>
      <c r="K100" s="2"/>
      <c r="L100" s="2"/>
      <c r="M100" s="2"/>
      <c r="N100" s="2"/>
      <c r="O100" s="2"/>
      <c r="P100" s="2"/>
      <c r="Q100" s="2"/>
      <c r="R100" s="2"/>
      <c r="S100" s="2"/>
      <c r="T100" s="2"/>
      <c r="U100" s="2"/>
      <c r="V100" s="2"/>
      <c r="W100" s="2"/>
    </row>
    <row r="101" spans="7:23" x14ac:dyDescent="0.35">
      <c r="G101" s="10"/>
      <c r="H101" s="2"/>
      <c r="I101" s="2"/>
      <c r="J101" s="2"/>
      <c r="K101" s="2"/>
      <c r="L101" s="2"/>
      <c r="M101" s="2"/>
      <c r="N101" s="2"/>
      <c r="O101" s="2"/>
      <c r="P101" s="2"/>
      <c r="Q101" s="2"/>
      <c r="R101" s="2"/>
      <c r="S101" s="2"/>
      <c r="T101" s="2"/>
      <c r="U101" s="2"/>
      <c r="V101" s="2"/>
      <c r="W101" s="2"/>
    </row>
    <row r="102" spans="7:23" x14ac:dyDescent="0.35">
      <c r="G102" s="10"/>
      <c r="H102" s="2"/>
      <c r="I102" s="2"/>
      <c r="J102" s="2"/>
      <c r="K102" s="2"/>
      <c r="L102" s="2"/>
      <c r="M102" s="2"/>
      <c r="N102" s="2"/>
      <c r="O102" s="2"/>
      <c r="P102" s="2"/>
      <c r="Q102" s="2"/>
      <c r="R102" s="2"/>
      <c r="S102" s="2"/>
      <c r="T102" s="2"/>
      <c r="U102" s="2"/>
      <c r="V102" s="2"/>
      <c r="W102" s="2"/>
    </row>
    <row r="103" spans="7:23" x14ac:dyDescent="0.35">
      <c r="G103" s="10"/>
      <c r="H103" s="2"/>
      <c r="I103" s="2"/>
      <c r="J103" s="2"/>
      <c r="K103" s="2"/>
      <c r="L103" s="2"/>
      <c r="M103" s="2"/>
      <c r="N103" s="2"/>
      <c r="O103" s="2"/>
      <c r="P103" s="2"/>
      <c r="Q103" s="2"/>
      <c r="R103" s="2"/>
      <c r="S103" s="2"/>
      <c r="T103" s="2"/>
      <c r="U103" s="2"/>
      <c r="V103" s="2"/>
      <c r="W103" s="2"/>
    </row>
    <row r="104" spans="7:23" x14ac:dyDescent="0.35">
      <c r="G104" s="10"/>
      <c r="H104" s="2"/>
      <c r="I104" s="2"/>
      <c r="J104" s="2"/>
      <c r="K104" s="2"/>
      <c r="L104" s="2"/>
      <c r="M104" s="2"/>
      <c r="N104" s="2"/>
      <c r="O104" s="2"/>
      <c r="P104" s="2"/>
      <c r="Q104" s="2"/>
      <c r="R104" s="2"/>
      <c r="S104" s="2"/>
      <c r="T104" s="2"/>
      <c r="U104" s="2"/>
      <c r="V104" s="2"/>
      <c r="W104" s="2"/>
    </row>
    <row r="105" spans="7:23" x14ac:dyDescent="0.35">
      <c r="G105" s="10"/>
      <c r="H105" s="2"/>
      <c r="I105" s="2"/>
      <c r="J105" s="2"/>
      <c r="K105" s="2"/>
      <c r="L105" s="2"/>
      <c r="M105" s="2"/>
      <c r="N105" s="2"/>
      <c r="O105" s="2"/>
      <c r="P105" s="2"/>
      <c r="Q105" s="2"/>
      <c r="R105" s="2"/>
      <c r="S105" s="2"/>
      <c r="T105" s="2"/>
      <c r="U105" s="2"/>
      <c r="V105" s="2"/>
      <c r="W105" s="2"/>
    </row>
    <row r="106" spans="7:23" x14ac:dyDescent="0.35">
      <c r="G106" s="10"/>
      <c r="H106" s="2"/>
      <c r="I106" s="2"/>
      <c r="J106" s="2"/>
      <c r="K106" s="2"/>
      <c r="L106" s="2"/>
      <c r="M106" s="2"/>
      <c r="N106" s="2"/>
      <c r="O106" s="2"/>
      <c r="P106" s="2"/>
      <c r="Q106" s="2"/>
      <c r="R106" s="2"/>
      <c r="S106" s="2"/>
      <c r="T106" s="2"/>
      <c r="U106" s="2"/>
      <c r="V106" s="2"/>
      <c r="W106" s="2"/>
    </row>
    <row r="107" spans="7:23" x14ac:dyDescent="0.35">
      <c r="G107" s="10"/>
      <c r="H107" s="2"/>
      <c r="I107" s="2"/>
      <c r="J107" s="2"/>
      <c r="K107" s="2"/>
      <c r="L107" s="2"/>
      <c r="M107" s="2"/>
      <c r="N107" s="2"/>
      <c r="O107" s="2"/>
      <c r="P107" s="2"/>
      <c r="Q107" s="2"/>
      <c r="R107" s="2"/>
      <c r="S107" s="2"/>
      <c r="T107" s="2"/>
      <c r="U107" s="2"/>
      <c r="V107" s="2"/>
      <c r="W107" s="2"/>
    </row>
    <row r="108" spans="7:23" x14ac:dyDescent="0.35">
      <c r="G108" s="10"/>
      <c r="H108" s="2"/>
      <c r="I108" s="2"/>
      <c r="J108" s="2"/>
      <c r="K108" s="2"/>
      <c r="L108" s="2"/>
      <c r="M108" s="2"/>
      <c r="N108" s="2"/>
      <c r="O108" s="2"/>
      <c r="P108" s="2"/>
      <c r="Q108" s="2"/>
      <c r="R108" s="2"/>
      <c r="S108" s="2"/>
      <c r="T108" s="2"/>
      <c r="U108" s="2"/>
      <c r="V108" s="2"/>
      <c r="W108" s="2"/>
    </row>
    <row r="109" spans="7:23" x14ac:dyDescent="0.35">
      <c r="G109" s="10"/>
      <c r="H109" s="2"/>
      <c r="I109" s="2"/>
      <c r="J109" s="2"/>
      <c r="K109" s="2"/>
      <c r="L109" s="2"/>
      <c r="M109" s="2"/>
      <c r="N109" s="2"/>
      <c r="O109" s="2"/>
      <c r="P109" s="2"/>
      <c r="Q109" s="2"/>
      <c r="R109" s="2"/>
      <c r="S109" s="2"/>
      <c r="T109" s="2"/>
      <c r="U109" s="2"/>
      <c r="V109" s="2"/>
      <c r="W109" s="2"/>
    </row>
    <row r="110" spans="7:23" x14ac:dyDescent="0.35">
      <c r="G110" s="10"/>
      <c r="H110" s="2"/>
      <c r="I110" s="2"/>
      <c r="J110" s="2"/>
      <c r="K110" s="2"/>
      <c r="L110" s="2"/>
      <c r="M110" s="2"/>
      <c r="N110" s="2"/>
      <c r="O110" s="2"/>
      <c r="P110" s="2"/>
      <c r="Q110" s="2"/>
      <c r="R110" s="2"/>
      <c r="S110" s="2"/>
      <c r="T110" s="2"/>
      <c r="U110" s="2"/>
      <c r="V110" s="2"/>
      <c r="W110" s="2"/>
    </row>
    <row r="111" spans="7:23" x14ac:dyDescent="0.35">
      <c r="G111" s="10"/>
      <c r="H111" s="2"/>
      <c r="I111" s="2"/>
      <c r="J111" s="2"/>
      <c r="K111" s="2"/>
      <c r="L111" s="2"/>
      <c r="M111" s="2"/>
      <c r="N111" s="2"/>
      <c r="O111" s="2"/>
      <c r="P111" s="2"/>
      <c r="Q111" s="2"/>
      <c r="R111" s="2"/>
      <c r="S111" s="2"/>
      <c r="T111" s="2"/>
      <c r="U111" s="2"/>
      <c r="V111" s="2"/>
      <c r="W111" s="2"/>
    </row>
    <row r="112" spans="7:23" x14ac:dyDescent="0.35">
      <c r="G112" s="10"/>
      <c r="H112" s="2"/>
      <c r="I112" s="2"/>
      <c r="J112" s="2"/>
      <c r="K112" s="2"/>
      <c r="L112" s="2"/>
      <c r="M112" s="2"/>
      <c r="N112" s="2"/>
      <c r="O112" s="2"/>
      <c r="P112" s="2"/>
      <c r="Q112" s="2"/>
      <c r="R112" s="2"/>
      <c r="S112" s="2"/>
      <c r="T112" s="2"/>
      <c r="U112" s="2"/>
      <c r="V112" s="2"/>
      <c r="W112" s="2"/>
    </row>
    <row r="113" spans="7:23" x14ac:dyDescent="0.35">
      <c r="G113" s="10"/>
      <c r="H113" s="2"/>
      <c r="I113" s="2"/>
      <c r="J113" s="2"/>
      <c r="K113" s="2"/>
      <c r="L113" s="2"/>
      <c r="M113" s="2"/>
      <c r="N113" s="2"/>
      <c r="O113" s="2"/>
      <c r="P113" s="2"/>
      <c r="Q113" s="2"/>
      <c r="R113" s="2"/>
      <c r="S113" s="2"/>
      <c r="T113" s="2"/>
      <c r="U113" s="2"/>
      <c r="V113" s="2"/>
      <c r="W113" s="2"/>
    </row>
    <row r="114" spans="7:23" x14ac:dyDescent="0.35">
      <c r="G114" s="10"/>
      <c r="H114" s="2"/>
      <c r="I114" s="2"/>
      <c r="J114" s="2"/>
      <c r="K114" s="2"/>
      <c r="L114" s="2"/>
      <c r="M114" s="2"/>
      <c r="N114" s="2"/>
      <c r="O114" s="2"/>
      <c r="P114" s="2"/>
      <c r="Q114" s="2"/>
      <c r="R114" s="2"/>
      <c r="S114" s="2"/>
      <c r="T114" s="2"/>
      <c r="U114" s="2"/>
      <c r="V114" s="2"/>
      <c r="W114" s="2"/>
    </row>
    <row r="115" spans="7:23" x14ac:dyDescent="0.35">
      <c r="G115" s="10"/>
      <c r="H115" s="2"/>
      <c r="I115" s="2"/>
      <c r="J115" s="2"/>
      <c r="K115" s="2"/>
      <c r="L115" s="2"/>
      <c r="M115" s="2"/>
      <c r="N115" s="2"/>
      <c r="O115" s="2"/>
      <c r="P115" s="2"/>
      <c r="Q115" s="2"/>
      <c r="R115" s="2"/>
      <c r="S115" s="2"/>
      <c r="T115" s="2"/>
      <c r="U115" s="2"/>
      <c r="V115" s="2"/>
      <c r="W115" s="2"/>
    </row>
    <row r="116" spans="7:23" x14ac:dyDescent="0.35">
      <c r="G116" s="10"/>
      <c r="H116" s="2"/>
      <c r="I116" s="2"/>
      <c r="J116" s="2"/>
      <c r="K116" s="2"/>
      <c r="L116" s="2"/>
      <c r="M116" s="2"/>
      <c r="N116" s="2"/>
      <c r="O116" s="2"/>
      <c r="P116" s="2"/>
      <c r="Q116" s="2"/>
      <c r="R116" s="2"/>
      <c r="S116" s="2"/>
      <c r="T116" s="2"/>
      <c r="U116" s="2"/>
      <c r="V116" s="2"/>
      <c r="W116" s="2"/>
    </row>
    <row r="117" spans="7:23" x14ac:dyDescent="0.35">
      <c r="G117" s="10"/>
      <c r="H117" s="2"/>
      <c r="I117" s="2"/>
      <c r="J117" s="2"/>
      <c r="K117" s="2"/>
      <c r="L117" s="2"/>
      <c r="M117" s="2"/>
      <c r="N117" s="2"/>
      <c r="O117" s="2"/>
      <c r="P117" s="2"/>
      <c r="Q117" s="2"/>
      <c r="R117" s="2"/>
      <c r="S117" s="2"/>
      <c r="T117" s="2"/>
      <c r="U117" s="2"/>
      <c r="V117" s="2"/>
      <c r="W117" s="2"/>
    </row>
    <row r="118" spans="7:23" x14ac:dyDescent="0.35">
      <c r="G118" s="10"/>
      <c r="H118" s="2"/>
      <c r="I118" s="2"/>
      <c r="J118" s="2"/>
      <c r="K118" s="2"/>
      <c r="L118" s="2"/>
      <c r="M118" s="2"/>
      <c r="N118" s="2"/>
      <c r="O118" s="2"/>
      <c r="P118" s="2"/>
      <c r="Q118" s="2"/>
      <c r="R118" s="2"/>
      <c r="S118" s="2"/>
      <c r="T118" s="2"/>
      <c r="U118" s="2"/>
      <c r="V118" s="2"/>
      <c r="W118" s="2"/>
    </row>
    <row r="119" spans="7:23" x14ac:dyDescent="0.35">
      <c r="G119" s="10"/>
      <c r="H119" s="2"/>
      <c r="I119" s="2"/>
      <c r="J119" s="2"/>
      <c r="K119" s="2"/>
      <c r="L119" s="2"/>
      <c r="M119" s="2"/>
      <c r="N119" s="2"/>
      <c r="O119" s="2"/>
      <c r="P119" s="2"/>
      <c r="Q119" s="2"/>
      <c r="R119" s="2"/>
      <c r="S119" s="2"/>
      <c r="T119" s="2"/>
      <c r="U119" s="2"/>
      <c r="V119" s="2"/>
      <c r="W119" s="2"/>
    </row>
    <row r="120" spans="7:23" x14ac:dyDescent="0.35">
      <c r="G120" s="10"/>
      <c r="H120" s="2"/>
      <c r="I120" s="2"/>
      <c r="J120" s="2"/>
      <c r="K120" s="2"/>
      <c r="L120" s="2"/>
      <c r="M120" s="2"/>
      <c r="N120" s="2"/>
      <c r="O120" s="2"/>
      <c r="P120" s="2"/>
      <c r="Q120" s="2"/>
      <c r="R120" s="2"/>
      <c r="S120" s="2"/>
      <c r="T120" s="2"/>
      <c r="U120" s="2"/>
      <c r="V120" s="2"/>
      <c r="W120" s="2"/>
    </row>
    <row r="121" spans="7:23" x14ac:dyDescent="0.35">
      <c r="G121" s="10"/>
      <c r="H121" s="2"/>
      <c r="I121" s="2"/>
      <c r="J121" s="2"/>
      <c r="K121" s="2"/>
      <c r="L121" s="2"/>
      <c r="M121" s="2"/>
      <c r="N121" s="2"/>
      <c r="O121" s="2"/>
      <c r="P121" s="2"/>
      <c r="Q121" s="2"/>
      <c r="R121" s="2"/>
      <c r="S121" s="2"/>
      <c r="T121" s="2"/>
      <c r="U121" s="2"/>
      <c r="V121" s="2"/>
      <c r="W121" s="2"/>
    </row>
    <row r="122" spans="7:23" x14ac:dyDescent="0.35">
      <c r="G122" s="10"/>
      <c r="H122" s="2"/>
      <c r="I122" s="2"/>
      <c r="J122" s="2"/>
      <c r="K122" s="2"/>
      <c r="L122" s="2"/>
      <c r="M122" s="2"/>
      <c r="N122" s="2"/>
      <c r="O122" s="2"/>
      <c r="P122" s="2"/>
      <c r="Q122" s="2"/>
      <c r="R122" s="2"/>
      <c r="S122" s="2"/>
      <c r="T122" s="2"/>
      <c r="U122" s="2"/>
      <c r="V122" s="2"/>
      <c r="W122" s="2"/>
    </row>
    <row r="123" spans="7:23" x14ac:dyDescent="0.35">
      <c r="G123" s="10"/>
      <c r="H123" s="2"/>
      <c r="I123" s="2"/>
      <c r="J123" s="2"/>
      <c r="K123" s="2"/>
      <c r="L123" s="2"/>
      <c r="M123" s="2"/>
      <c r="N123" s="2"/>
      <c r="O123" s="2"/>
      <c r="P123" s="2"/>
      <c r="Q123" s="2"/>
      <c r="R123" s="2"/>
      <c r="S123" s="2"/>
      <c r="T123" s="2"/>
      <c r="U123" s="2"/>
      <c r="V123" s="2"/>
      <c r="W123" s="2"/>
    </row>
    <row r="124" spans="7:23" x14ac:dyDescent="0.35">
      <c r="G124" s="10"/>
      <c r="H124" s="2"/>
      <c r="I124" s="2"/>
      <c r="J124" s="2"/>
      <c r="K124" s="2"/>
      <c r="L124" s="2"/>
      <c r="M124" s="2"/>
      <c r="N124" s="2"/>
      <c r="O124" s="2"/>
      <c r="P124" s="2"/>
      <c r="Q124" s="2"/>
      <c r="R124" s="2"/>
      <c r="S124" s="2"/>
      <c r="T124" s="2"/>
      <c r="U124" s="2"/>
      <c r="V124" s="2"/>
      <c r="W124" s="2"/>
    </row>
    <row r="125" spans="7:23" x14ac:dyDescent="0.35">
      <c r="G125" s="10"/>
      <c r="H125" s="2"/>
      <c r="I125" s="2"/>
      <c r="J125" s="2"/>
      <c r="K125" s="2"/>
      <c r="L125" s="2"/>
      <c r="M125" s="2"/>
      <c r="N125" s="2"/>
      <c r="O125" s="2"/>
      <c r="P125" s="2"/>
      <c r="Q125" s="2"/>
      <c r="R125" s="2"/>
      <c r="S125" s="2"/>
      <c r="T125" s="2"/>
      <c r="U125" s="2"/>
      <c r="V125" s="2"/>
      <c r="W125" s="2"/>
    </row>
    <row r="126" spans="7:23" x14ac:dyDescent="0.35">
      <c r="G126" s="10"/>
      <c r="H126" s="2"/>
      <c r="I126" s="2"/>
      <c r="J126" s="2"/>
      <c r="K126" s="2"/>
      <c r="L126" s="2"/>
      <c r="M126" s="2"/>
      <c r="N126" s="2"/>
      <c r="O126" s="2"/>
      <c r="P126" s="2"/>
      <c r="Q126" s="2"/>
      <c r="R126" s="2"/>
      <c r="S126" s="2"/>
      <c r="T126" s="2"/>
      <c r="U126" s="2"/>
      <c r="V126" s="2"/>
      <c r="W126" s="2"/>
    </row>
    <row r="127" spans="7:23" x14ac:dyDescent="0.35">
      <c r="G127" s="10"/>
      <c r="H127" s="2"/>
      <c r="I127" s="2"/>
      <c r="J127" s="2"/>
      <c r="K127" s="2"/>
      <c r="L127" s="2"/>
      <c r="M127" s="2"/>
      <c r="N127" s="2"/>
      <c r="O127" s="2"/>
      <c r="P127" s="2"/>
      <c r="Q127" s="2"/>
      <c r="R127" s="2"/>
      <c r="S127" s="2"/>
      <c r="T127" s="2"/>
      <c r="U127" s="2"/>
      <c r="V127" s="2"/>
      <c r="W127" s="2"/>
    </row>
    <row r="128" spans="7:23" x14ac:dyDescent="0.35">
      <c r="G128" s="10"/>
      <c r="H128" s="2"/>
      <c r="I128" s="2"/>
      <c r="J128" s="2"/>
      <c r="K128" s="2"/>
      <c r="L128" s="2"/>
      <c r="M128" s="2"/>
      <c r="N128" s="2"/>
      <c r="O128" s="2"/>
      <c r="P128" s="2"/>
      <c r="Q128" s="2"/>
      <c r="R128" s="2"/>
      <c r="S128" s="2"/>
      <c r="T128" s="2"/>
      <c r="U128" s="2"/>
      <c r="V128" s="2"/>
      <c r="W128" s="2"/>
    </row>
    <row r="129" spans="7:23" x14ac:dyDescent="0.35">
      <c r="G129" s="10"/>
      <c r="H129" s="2"/>
      <c r="I129" s="2"/>
      <c r="J129" s="2"/>
      <c r="K129" s="2"/>
      <c r="L129" s="2"/>
      <c r="M129" s="2"/>
      <c r="N129" s="2"/>
      <c r="O129" s="2"/>
      <c r="P129" s="2"/>
      <c r="Q129" s="2"/>
      <c r="R129" s="2"/>
      <c r="S129" s="2"/>
      <c r="T129" s="2"/>
      <c r="U129" s="2"/>
      <c r="V129" s="2"/>
      <c r="W129" s="2"/>
    </row>
    <row r="130" spans="7:23" x14ac:dyDescent="0.35">
      <c r="G130" s="10"/>
      <c r="H130" s="2"/>
      <c r="I130" s="2"/>
      <c r="J130" s="2"/>
      <c r="K130" s="2"/>
      <c r="L130" s="2"/>
      <c r="M130" s="2"/>
      <c r="N130" s="2"/>
      <c r="O130" s="2"/>
      <c r="P130" s="2"/>
      <c r="Q130" s="2"/>
      <c r="R130" s="2"/>
      <c r="S130" s="2"/>
      <c r="T130" s="2"/>
      <c r="U130" s="2"/>
      <c r="V130" s="2"/>
      <c r="W130" s="2"/>
    </row>
    <row r="131" spans="7:23" x14ac:dyDescent="0.35">
      <c r="G131" s="10"/>
      <c r="H131" s="2"/>
      <c r="I131" s="2"/>
      <c r="J131" s="2"/>
      <c r="K131" s="2"/>
      <c r="L131" s="2"/>
      <c r="M131" s="2"/>
      <c r="N131" s="2"/>
      <c r="O131" s="2"/>
      <c r="P131" s="2"/>
      <c r="Q131" s="2"/>
      <c r="R131" s="2"/>
      <c r="S131" s="2"/>
      <c r="T131" s="2"/>
      <c r="U131" s="2"/>
      <c r="V131" s="2"/>
      <c r="W131" s="2"/>
    </row>
    <row r="132" spans="7:23" x14ac:dyDescent="0.35">
      <c r="G132" s="10"/>
      <c r="H132" s="2"/>
      <c r="I132" s="2"/>
      <c r="J132" s="2"/>
      <c r="K132" s="2"/>
      <c r="L132" s="2"/>
      <c r="M132" s="2"/>
      <c r="N132" s="2"/>
      <c r="O132" s="2"/>
      <c r="P132" s="2"/>
      <c r="Q132" s="2"/>
      <c r="R132" s="2"/>
      <c r="S132" s="2"/>
      <c r="T132" s="2"/>
      <c r="U132" s="2"/>
      <c r="V132" s="2"/>
      <c r="W132" s="2"/>
    </row>
    <row r="133" spans="7:23" x14ac:dyDescent="0.35">
      <c r="G133" s="10"/>
      <c r="H133" s="2"/>
      <c r="I133" s="2"/>
      <c r="J133" s="2"/>
      <c r="K133" s="2"/>
      <c r="L133" s="2"/>
      <c r="M133" s="2"/>
      <c r="N133" s="2"/>
      <c r="O133" s="2"/>
      <c r="P133" s="2"/>
      <c r="Q133" s="2"/>
      <c r="R133" s="2"/>
      <c r="S133" s="2"/>
      <c r="T133" s="2"/>
      <c r="U133" s="2"/>
      <c r="V133" s="2"/>
      <c r="W133" s="2"/>
    </row>
    <row r="134" spans="7:23" x14ac:dyDescent="0.35">
      <c r="G134" s="10"/>
      <c r="H134" s="2"/>
      <c r="I134" s="2"/>
      <c r="J134" s="2"/>
      <c r="K134" s="2"/>
      <c r="L134" s="2"/>
      <c r="M134" s="2"/>
      <c r="N134" s="2"/>
      <c r="O134" s="2"/>
      <c r="P134" s="2"/>
      <c r="Q134" s="2"/>
      <c r="R134" s="2"/>
      <c r="S134" s="2"/>
      <c r="T134" s="2"/>
      <c r="U134" s="2"/>
      <c r="V134" s="2"/>
      <c r="W134" s="2"/>
    </row>
    <row r="135" spans="7:23" x14ac:dyDescent="0.35">
      <c r="G135" s="10"/>
      <c r="H135" s="2"/>
      <c r="I135" s="2"/>
      <c r="J135" s="2"/>
      <c r="K135" s="2"/>
      <c r="L135" s="2"/>
      <c r="M135" s="2"/>
      <c r="N135" s="2"/>
      <c r="O135" s="2"/>
      <c r="P135" s="2"/>
      <c r="Q135" s="2"/>
      <c r="R135" s="2"/>
      <c r="S135" s="2"/>
      <c r="T135" s="2"/>
      <c r="U135" s="2"/>
      <c r="V135" s="2"/>
      <c r="W135" s="2"/>
    </row>
    <row r="136" spans="7:23" x14ac:dyDescent="0.35">
      <c r="G136" s="10"/>
      <c r="H136" s="2"/>
      <c r="I136" s="2"/>
      <c r="J136" s="2"/>
      <c r="K136" s="2"/>
      <c r="L136" s="2"/>
      <c r="M136" s="2"/>
      <c r="N136" s="2"/>
      <c r="O136" s="2"/>
      <c r="P136" s="2"/>
      <c r="Q136" s="2"/>
      <c r="R136" s="2"/>
      <c r="S136" s="2"/>
      <c r="T136" s="2"/>
      <c r="U136" s="2"/>
      <c r="V136" s="2"/>
      <c r="W136" s="2"/>
    </row>
    <row r="137" spans="7:23" x14ac:dyDescent="0.35">
      <c r="G137" s="10"/>
      <c r="H137" s="2"/>
      <c r="I137" s="2"/>
      <c r="J137" s="2"/>
      <c r="K137" s="2"/>
      <c r="L137" s="2"/>
      <c r="M137" s="2"/>
      <c r="N137" s="2"/>
      <c r="O137" s="2"/>
      <c r="P137" s="2"/>
      <c r="Q137" s="2"/>
      <c r="R137" s="2"/>
      <c r="S137" s="2"/>
      <c r="T137" s="2"/>
      <c r="U137" s="2"/>
      <c r="V137" s="2"/>
      <c r="W137" s="2"/>
    </row>
    <row r="138" spans="7:23" x14ac:dyDescent="0.35">
      <c r="G138" s="10"/>
      <c r="H138" s="2"/>
      <c r="I138" s="2"/>
      <c r="J138" s="2"/>
      <c r="K138" s="2"/>
      <c r="L138" s="2"/>
      <c r="M138" s="2"/>
      <c r="N138" s="2"/>
      <c r="O138" s="2"/>
      <c r="P138" s="2"/>
      <c r="Q138" s="2"/>
      <c r="R138" s="2"/>
      <c r="S138" s="2"/>
      <c r="T138" s="2"/>
      <c r="U138" s="2"/>
      <c r="V138" s="2"/>
      <c r="W138" s="2"/>
    </row>
    <row r="139" spans="7:23" x14ac:dyDescent="0.35">
      <c r="G139" s="10"/>
      <c r="H139" s="2"/>
      <c r="I139" s="2"/>
      <c r="J139" s="2"/>
      <c r="K139" s="2"/>
      <c r="L139" s="2"/>
      <c r="M139" s="2"/>
      <c r="N139" s="2"/>
      <c r="O139" s="2"/>
      <c r="P139" s="2"/>
      <c r="Q139" s="2"/>
      <c r="R139" s="2"/>
      <c r="S139" s="2"/>
      <c r="T139" s="2"/>
      <c r="U139" s="2"/>
      <c r="V139" s="2"/>
      <c r="W139" s="2"/>
    </row>
    <row r="140" spans="7:23" x14ac:dyDescent="0.35">
      <c r="G140" s="10"/>
      <c r="H140" s="2"/>
      <c r="I140" s="2"/>
      <c r="J140" s="2"/>
      <c r="K140" s="2"/>
      <c r="L140" s="2"/>
      <c r="M140" s="2"/>
      <c r="N140" s="2"/>
      <c r="O140" s="2"/>
      <c r="P140" s="2"/>
      <c r="Q140" s="2"/>
      <c r="R140" s="2"/>
      <c r="S140" s="2"/>
      <c r="T140" s="2"/>
      <c r="U140" s="2"/>
      <c r="V140" s="2"/>
      <c r="W140" s="2"/>
    </row>
    <row r="141" spans="7:23" x14ac:dyDescent="0.35">
      <c r="G141" s="10"/>
      <c r="H141" s="2"/>
      <c r="I141" s="2"/>
      <c r="J141" s="2"/>
      <c r="K141" s="2"/>
      <c r="L141" s="2"/>
      <c r="M141" s="2"/>
      <c r="N141" s="2"/>
      <c r="O141" s="2"/>
      <c r="P141" s="2"/>
      <c r="Q141" s="2"/>
      <c r="R141" s="2"/>
      <c r="S141" s="2"/>
      <c r="T141" s="2"/>
      <c r="U141" s="2"/>
      <c r="V141" s="2"/>
      <c r="W141" s="2"/>
    </row>
    <row r="142" spans="7:23" x14ac:dyDescent="0.35">
      <c r="G142" s="10"/>
      <c r="H142" s="2"/>
      <c r="I142" s="2"/>
      <c r="J142" s="2"/>
      <c r="K142" s="2"/>
      <c r="L142" s="2"/>
      <c r="M142" s="2"/>
      <c r="N142" s="2"/>
      <c r="O142" s="2"/>
      <c r="P142" s="2"/>
      <c r="Q142" s="2"/>
      <c r="R142" s="2"/>
      <c r="S142" s="2"/>
      <c r="T142" s="2"/>
      <c r="U142" s="2"/>
      <c r="V142" s="2"/>
      <c r="W142" s="2"/>
    </row>
    <row r="143" spans="7:23" x14ac:dyDescent="0.35">
      <c r="G143" s="10"/>
      <c r="H143" s="2"/>
      <c r="I143" s="2"/>
      <c r="J143" s="2"/>
      <c r="K143" s="2"/>
      <c r="L143" s="2"/>
      <c r="M143" s="2"/>
      <c r="N143" s="2"/>
      <c r="O143" s="2"/>
      <c r="P143" s="2"/>
      <c r="Q143" s="2"/>
      <c r="R143" s="2"/>
      <c r="S143" s="2"/>
      <c r="T143" s="2"/>
      <c r="U143" s="2"/>
      <c r="V143" s="2"/>
      <c r="W143" s="2"/>
    </row>
    <row r="144" spans="7:23" x14ac:dyDescent="0.35">
      <c r="G144" s="10"/>
      <c r="H144" s="2"/>
      <c r="I144" s="2"/>
      <c r="J144" s="2"/>
      <c r="K144" s="2"/>
      <c r="L144" s="2"/>
      <c r="M144" s="2"/>
      <c r="N144" s="2"/>
      <c r="O144" s="2"/>
      <c r="P144" s="2"/>
      <c r="Q144" s="2"/>
      <c r="R144" s="2"/>
      <c r="S144" s="2"/>
      <c r="T144" s="2"/>
      <c r="U144" s="2"/>
      <c r="V144" s="2"/>
      <c r="W144" s="2"/>
    </row>
    <row r="145" spans="7:23" x14ac:dyDescent="0.35">
      <c r="G145" s="10"/>
      <c r="H145" s="2"/>
      <c r="I145" s="2"/>
      <c r="J145" s="2"/>
      <c r="K145" s="2"/>
      <c r="L145" s="2"/>
      <c r="M145" s="2"/>
      <c r="N145" s="2"/>
      <c r="O145" s="2"/>
      <c r="P145" s="2"/>
      <c r="Q145" s="2"/>
      <c r="R145" s="2"/>
      <c r="S145" s="2"/>
      <c r="T145" s="2"/>
      <c r="U145" s="2"/>
      <c r="V145" s="2"/>
      <c r="W145" s="2"/>
    </row>
    <row r="146" spans="7:23" x14ac:dyDescent="0.35">
      <c r="G146" s="10"/>
      <c r="H146" s="2"/>
      <c r="I146" s="2"/>
      <c r="J146" s="2"/>
      <c r="K146" s="2"/>
      <c r="L146" s="2"/>
      <c r="M146" s="2"/>
      <c r="N146" s="2"/>
      <c r="O146" s="2"/>
      <c r="P146" s="2"/>
      <c r="Q146" s="2"/>
      <c r="R146" s="2"/>
      <c r="S146" s="2"/>
      <c r="T146" s="2"/>
      <c r="U146" s="2"/>
      <c r="V146" s="2"/>
      <c r="W146" s="2"/>
    </row>
    <row r="147" spans="7:23" x14ac:dyDescent="0.35">
      <c r="G147" s="10"/>
      <c r="H147" s="2"/>
      <c r="I147" s="2"/>
      <c r="J147" s="2"/>
      <c r="K147" s="2"/>
      <c r="L147" s="2"/>
      <c r="M147" s="2"/>
      <c r="N147" s="2"/>
      <c r="O147" s="2"/>
      <c r="P147" s="2"/>
      <c r="Q147" s="2"/>
      <c r="R147" s="2"/>
      <c r="S147" s="2"/>
      <c r="T147" s="2"/>
      <c r="U147" s="2"/>
      <c r="V147" s="2"/>
      <c r="W147" s="2"/>
    </row>
    <row r="148" spans="7:23" x14ac:dyDescent="0.35">
      <c r="G148" s="10"/>
      <c r="H148" s="2"/>
      <c r="I148" s="2"/>
      <c r="J148" s="2"/>
      <c r="K148" s="2"/>
      <c r="L148" s="2"/>
      <c r="M148" s="2"/>
      <c r="N148" s="2"/>
      <c r="O148" s="2"/>
      <c r="P148" s="2"/>
      <c r="Q148" s="2"/>
      <c r="R148" s="2"/>
      <c r="S148" s="2"/>
      <c r="T148" s="2"/>
      <c r="U148" s="2"/>
      <c r="V148" s="2"/>
      <c r="W148" s="2"/>
    </row>
    <row r="149" spans="7:23" x14ac:dyDescent="0.35">
      <c r="G149" s="10"/>
      <c r="H149" s="2"/>
      <c r="I149" s="2"/>
      <c r="J149" s="2"/>
      <c r="K149" s="2"/>
      <c r="L149" s="2"/>
      <c r="M149" s="2"/>
      <c r="N149" s="2"/>
      <c r="O149" s="2"/>
      <c r="P149" s="2"/>
      <c r="Q149" s="2"/>
      <c r="R149" s="2"/>
      <c r="S149" s="2"/>
      <c r="T149" s="2"/>
      <c r="U149" s="2"/>
      <c r="V149" s="2"/>
      <c r="W149" s="2"/>
    </row>
    <row r="150" spans="7:23" x14ac:dyDescent="0.35">
      <c r="G150" s="10"/>
      <c r="H150" s="2"/>
      <c r="I150" s="2"/>
      <c r="J150" s="2"/>
      <c r="K150" s="2"/>
      <c r="L150" s="2"/>
      <c r="M150" s="2"/>
      <c r="N150" s="2"/>
      <c r="O150" s="2"/>
      <c r="P150" s="2"/>
      <c r="Q150" s="2"/>
      <c r="R150" s="2"/>
      <c r="S150" s="2"/>
      <c r="T150" s="2"/>
      <c r="U150" s="2"/>
      <c r="V150" s="2"/>
      <c r="W150" s="2"/>
    </row>
    <row r="151" spans="7:23" x14ac:dyDescent="0.35">
      <c r="G151" s="10"/>
      <c r="H151" s="2"/>
      <c r="I151" s="2"/>
      <c r="J151" s="2"/>
      <c r="K151" s="2"/>
      <c r="L151" s="2"/>
      <c r="M151" s="2"/>
      <c r="N151" s="2"/>
      <c r="O151" s="2"/>
      <c r="P151" s="2"/>
      <c r="Q151" s="2"/>
      <c r="R151" s="2"/>
      <c r="S151" s="2"/>
      <c r="T151" s="2"/>
      <c r="U151" s="2"/>
      <c r="V151" s="2"/>
      <c r="W151" s="2"/>
    </row>
    <row r="152" spans="7:23" x14ac:dyDescent="0.35">
      <c r="G152" s="10"/>
      <c r="H152" s="2"/>
      <c r="I152" s="2"/>
      <c r="J152" s="2"/>
      <c r="K152" s="2"/>
      <c r="L152" s="2"/>
      <c r="M152" s="2"/>
      <c r="N152" s="2"/>
      <c r="O152" s="2"/>
      <c r="P152" s="2"/>
      <c r="Q152" s="2"/>
      <c r="R152" s="2"/>
      <c r="S152" s="2"/>
      <c r="T152" s="2"/>
      <c r="U152" s="2"/>
      <c r="V152" s="2"/>
      <c r="W152" s="2"/>
    </row>
    <row r="153" spans="7:23" x14ac:dyDescent="0.35">
      <c r="G153" s="10"/>
      <c r="H153" s="2"/>
      <c r="I153" s="2"/>
      <c r="J153" s="2"/>
      <c r="K153" s="2"/>
      <c r="L153" s="2"/>
      <c r="M153" s="2"/>
      <c r="N153" s="2"/>
      <c r="O153" s="2"/>
      <c r="P153" s="2"/>
      <c r="Q153" s="2"/>
      <c r="R153" s="2"/>
      <c r="S153" s="2"/>
      <c r="T153" s="2"/>
      <c r="U153" s="2"/>
      <c r="V153" s="2"/>
      <c r="W153" s="2"/>
    </row>
    <row r="154" spans="7:23" x14ac:dyDescent="0.35">
      <c r="G154" s="10"/>
      <c r="H154" s="2"/>
      <c r="I154" s="2"/>
      <c r="J154" s="2"/>
      <c r="K154" s="2"/>
      <c r="L154" s="2"/>
      <c r="M154" s="2"/>
      <c r="N154" s="2"/>
      <c r="O154" s="2"/>
      <c r="P154" s="2"/>
      <c r="Q154" s="2"/>
      <c r="R154" s="2"/>
      <c r="S154" s="2"/>
      <c r="T154" s="2"/>
      <c r="U154" s="2"/>
      <c r="V154" s="2"/>
      <c r="W154" s="2"/>
    </row>
    <row r="155" spans="7:23" x14ac:dyDescent="0.35">
      <c r="G155" s="10"/>
      <c r="H155" s="2"/>
      <c r="I155" s="2"/>
      <c r="J155" s="2"/>
      <c r="K155" s="2"/>
      <c r="L155" s="2"/>
      <c r="M155" s="2"/>
      <c r="N155" s="2"/>
      <c r="O155" s="2"/>
      <c r="P155" s="2"/>
      <c r="Q155" s="2"/>
      <c r="R155" s="2"/>
      <c r="S155" s="2"/>
      <c r="T155" s="2"/>
      <c r="U155" s="2"/>
      <c r="V155" s="2"/>
      <c r="W155" s="2"/>
    </row>
    <row r="156" spans="7:23" x14ac:dyDescent="0.35">
      <c r="G156" s="10"/>
      <c r="H156" s="2"/>
      <c r="I156" s="2"/>
      <c r="J156" s="2"/>
      <c r="K156" s="2"/>
      <c r="L156" s="2"/>
      <c r="M156" s="2"/>
      <c r="N156" s="2"/>
      <c r="O156" s="2"/>
      <c r="P156" s="2"/>
      <c r="Q156" s="2"/>
      <c r="R156" s="2"/>
      <c r="S156" s="2"/>
      <c r="T156" s="2"/>
      <c r="U156" s="2"/>
      <c r="V156" s="2"/>
      <c r="W156" s="2"/>
    </row>
    <row r="157" spans="7:23" x14ac:dyDescent="0.35">
      <c r="G157" s="10"/>
      <c r="H157" s="2"/>
      <c r="I157" s="2"/>
      <c r="J157" s="2"/>
      <c r="K157" s="2"/>
      <c r="L157" s="2"/>
      <c r="M157" s="2"/>
      <c r="N157" s="2"/>
      <c r="O157" s="2"/>
      <c r="P157" s="2"/>
      <c r="Q157" s="2"/>
      <c r="R157" s="2"/>
      <c r="S157" s="2"/>
      <c r="T157" s="2"/>
      <c r="U157" s="2"/>
      <c r="V157" s="2"/>
      <c r="W157" s="2"/>
    </row>
    <row r="158" spans="7:23" x14ac:dyDescent="0.35">
      <c r="G158" s="10"/>
      <c r="H158" s="2"/>
      <c r="I158" s="2"/>
      <c r="J158" s="2"/>
      <c r="K158" s="2"/>
      <c r="L158" s="2"/>
      <c r="M158" s="2"/>
      <c r="N158" s="2"/>
      <c r="O158" s="2"/>
      <c r="P158" s="2"/>
      <c r="Q158" s="2"/>
      <c r="R158" s="2"/>
      <c r="S158" s="2"/>
      <c r="T158" s="2"/>
      <c r="U158" s="2"/>
      <c r="V158" s="2"/>
      <c r="W158" s="2"/>
    </row>
    <row r="159" spans="7:23" x14ac:dyDescent="0.35">
      <c r="G159" s="10"/>
      <c r="H159" s="2"/>
      <c r="I159" s="2"/>
      <c r="J159" s="2"/>
      <c r="K159" s="2"/>
      <c r="L159" s="2"/>
      <c r="M159" s="2"/>
      <c r="N159" s="2"/>
      <c r="O159" s="2"/>
      <c r="P159" s="2"/>
      <c r="Q159" s="2"/>
      <c r="R159" s="2"/>
      <c r="S159" s="2"/>
      <c r="T159" s="2"/>
      <c r="U159" s="2"/>
      <c r="V159" s="2"/>
      <c r="W159" s="2"/>
    </row>
    <row r="160" spans="7:23" x14ac:dyDescent="0.35">
      <c r="G160" s="10"/>
      <c r="H160" s="2"/>
      <c r="I160" s="2"/>
      <c r="J160" s="2"/>
      <c r="K160" s="2"/>
      <c r="L160" s="2"/>
      <c r="M160" s="2"/>
      <c r="N160" s="2"/>
      <c r="O160" s="2"/>
      <c r="P160" s="2"/>
      <c r="Q160" s="2"/>
      <c r="R160" s="2"/>
      <c r="S160" s="2"/>
      <c r="T160" s="2"/>
      <c r="U160" s="2"/>
      <c r="V160" s="2"/>
      <c r="W160" s="2"/>
    </row>
    <row r="161" spans="7:23" x14ac:dyDescent="0.35">
      <c r="G161" s="10"/>
      <c r="H161" s="2"/>
      <c r="I161" s="2"/>
      <c r="J161" s="2"/>
      <c r="K161" s="2"/>
      <c r="L161" s="2"/>
      <c r="M161" s="2"/>
      <c r="N161" s="2"/>
      <c r="O161" s="2"/>
      <c r="P161" s="2"/>
      <c r="Q161" s="2"/>
      <c r="R161" s="2"/>
      <c r="S161" s="2"/>
      <c r="T161" s="2"/>
      <c r="U161" s="2"/>
      <c r="V161" s="2"/>
      <c r="W161" s="2"/>
    </row>
    <row r="162" spans="7:23" x14ac:dyDescent="0.35">
      <c r="G162" s="10"/>
      <c r="H162" s="2"/>
      <c r="I162" s="2"/>
      <c r="J162" s="2"/>
      <c r="K162" s="2"/>
      <c r="L162" s="2"/>
      <c r="M162" s="2"/>
      <c r="N162" s="2"/>
      <c r="O162" s="2"/>
      <c r="P162" s="2"/>
      <c r="Q162" s="2"/>
      <c r="R162" s="2"/>
      <c r="S162" s="2"/>
      <c r="T162" s="2"/>
      <c r="U162" s="2"/>
      <c r="V162" s="2"/>
      <c r="W162" s="2"/>
    </row>
    <row r="163" spans="7:23" x14ac:dyDescent="0.35">
      <c r="G163" s="38"/>
      <c r="H163" s="38"/>
      <c r="I163" s="38"/>
      <c r="J163" s="38"/>
      <c r="K163" s="38"/>
      <c r="L163" s="38"/>
      <c r="M163" s="38"/>
      <c r="N163" s="38"/>
      <c r="O163" s="38"/>
      <c r="P163" s="38"/>
      <c r="Q163" s="38"/>
      <c r="R163" s="38"/>
      <c r="S163" s="38"/>
      <c r="T163" s="38"/>
      <c r="U163" s="38"/>
      <c r="V163" s="38"/>
      <c r="W163" s="38"/>
    </row>
  </sheetData>
  <phoneticPr fontId="2" type="noConversion"/>
  <dataValidations count="5">
    <dataValidation type="whole" errorStyle="information" allowBlank="1" showInputMessage="1" showErrorMessage="1" errorTitle="Must select 1-2" error="See note (closure descriptions) for valid options." sqref="I5:W5 I7:W7" xr:uid="{E97D9373-C01E-4153-AA40-88F64236830B}">
      <formula1>1</formula1>
      <formula2>2</formula2>
    </dataValidation>
    <dataValidation type="whole" errorStyle="information" allowBlank="1" showInputMessage="1" showErrorMessage="1" errorTitle="Must select 1-5" error="See note (closure descriptions) for valid options." sqref="I6:W6" xr:uid="{C199850F-CADC-4EF7-8077-43500016D508}">
      <formula1>1</formula1>
      <formula2>5</formula2>
    </dataValidation>
    <dataValidation type="whole" errorStyle="information" allowBlank="1" showInputMessage="1" showErrorMessage="1" errorTitle="Must select 1-15" error="See note (closure descriptions) for valid options." sqref="I8:W8" xr:uid="{5230C456-5AE8-44A8-AC5C-5A7C71C8D04F}">
      <formula1>1</formula1>
      <formula2>15</formula2>
    </dataValidation>
    <dataValidation type="whole" errorStyle="information" allowBlank="1" showInputMessage="1" showErrorMessage="1" errorTitle="Must select 1-3" error="See note (closure descriptions) for valid options." sqref="I13:W50" xr:uid="{787F711C-6F35-46D2-8531-86CC47DF7032}">
      <formula1>1</formula1>
      <formula2>3</formula2>
    </dataValidation>
    <dataValidation type="whole" errorStyle="information" allowBlank="1" showErrorMessage="1" errorTitle="Must select 0 or 1" error="0 = inactive_x000a_1 = active" sqref="D5:D20" xr:uid="{DFCF6A13-A374-4B53-9088-A318E547D2AB}">
      <formula1>0</formula1>
      <formula2>1</formula2>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C262-8D3A-4B19-B666-93C39D9D767A}">
  <sheetPr>
    <tabColor theme="8" tint="-0.499984740745262"/>
  </sheetPr>
  <dimension ref="A1:BB163"/>
  <sheetViews>
    <sheetView zoomScale="85" zoomScaleNormal="85" workbookViewId="0">
      <pane ySplit="12" topLeftCell="A13" activePane="bottomLeft" state="frozen"/>
      <selection activeCell="AR14" sqref="AR14"/>
      <selection pane="bottomLeft" activeCell="F96" sqref="F13:G96"/>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v>
      </c>
      <c r="B1" s="7"/>
      <c r="C1" s="4"/>
      <c r="D1" s="4"/>
      <c r="E1" s="4"/>
      <c r="F1" s="4"/>
      <c r="G1" s="4"/>
      <c r="H1" s="4"/>
      <c r="I1" s="4"/>
      <c r="J1" s="4"/>
      <c r="K1" s="4"/>
      <c r="L1" s="4"/>
      <c r="M1" s="4"/>
      <c r="N1" s="4"/>
      <c r="O1" s="4"/>
      <c r="P1" s="4"/>
      <c r="Q1" s="4"/>
      <c r="R1" s="4"/>
      <c r="S1" s="4"/>
      <c r="T1" s="4"/>
      <c r="U1" s="4"/>
      <c r="V1" s="4"/>
      <c r="W1" s="4"/>
      <c r="X1" s="4"/>
      <c r="Y1" s="4"/>
      <c r="Z1" s="4"/>
      <c r="AA1" s="4"/>
      <c r="AB1" s="4"/>
      <c r="AC1" s="4" t="str">
        <f>Main!C6</f>
        <v>sim1</v>
      </c>
      <c r="AD1" s="4" t="str">
        <f>IF(Main!E6&lt;&gt;"",Main!E6,"")</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L13:L162">
    <cfRule type="cellIs" dxfId="435" priority="16" operator="greaterThan">
      <formula>1</formula>
    </cfRule>
  </conditionalFormatting>
  <conditionalFormatting sqref="P9:R9">
    <cfRule type="cellIs" dxfId="434" priority="15" operator="greaterThan">
      <formula>1</formula>
    </cfRule>
  </conditionalFormatting>
  <conditionalFormatting sqref="P13:T162">
    <cfRule type="cellIs" dxfId="433" priority="13" operator="lessThan">
      <formula>0</formula>
    </cfRule>
    <cfRule type="cellIs" dxfId="432" priority="14" operator="greaterThan">
      <formula>0</formula>
    </cfRule>
  </conditionalFormatting>
  <conditionalFormatting sqref="U13:V162">
    <cfRule type="cellIs" dxfId="431" priority="12" operator="greaterThan">
      <formula>1</formula>
    </cfRule>
  </conditionalFormatting>
  <conditionalFormatting sqref="Z9:AG9">
    <cfRule type="cellIs" dxfId="430" priority="2" operator="greaterThan">
      <formula>1</formula>
    </cfRule>
  </conditionalFormatting>
  <conditionalFormatting sqref="Z13:AG162">
    <cfRule type="cellIs" dxfId="429" priority="10" operator="lessThan">
      <formula>0</formula>
    </cfRule>
    <cfRule type="cellIs" dxfId="428" priority="11" operator="greaterThan">
      <formula>0</formula>
    </cfRule>
  </conditionalFormatting>
  <conditionalFormatting sqref="AH13:AH162">
    <cfRule type="cellIs" dxfId="427" priority="9" operator="greaterThan">
      <formula>1</formula>
    </cfRule>
  </conditionalFormatting>
  <conditionalFormatting sqref="AL9:AR9">
    <cfRule type="cellIs" dxfId="426" priority="1" operator="greaterThan">
      <formula>1</formula>
    </cfRule>
  </conditionalFormatting>
  <conditionalFormatting sqref="AL13:AR162">
    <cfRule type="cellIs" dxfId="425" priority="7" operator="lessThan">
      <formula>0</formula>
    </cfRule>
    <cfRule type="cellIs" dxfId="424" priority="8" operator="greaterThan">
      <formula>0</formula>
    </cfRule>
  </conditionalFormatting>
  <conditionalFormatting sqref="AS13:AT162">
    <cfRule type="cellIs" dxfId="423" priority="6" operator="greaterThan">
      <formula>1</formula>
    </cfRule>
  </conditionalFormatting>
  <conditionalFormatting sqref="AY7:AY23 D13:K162">
    <cfRule type="cellIs" dxfId="422" priority="19" operator="lessThan">
      <formula>0</formula>
    </cfRule>
    <cfRule type="cellIs" dxfId="421" priority="20" operator="greaterThan">
      <formula>0</formula>
    </cfRule>
  </conditionalFormatting>
  <conditionalFormatting sqref="AZ7:AZ23 D9:K9">
    <cfRule type="cellIs" dxfId="420" priority="18"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C23349FC-4EB3-4921-A962-8E933036A5B1}">
      <formula1>1</formula1>
      <formula2>2</formula2>
    </dataValidation>
    <dataValidation type="decimal" errorStyle="information" allowBlank="1" showInputMessage="1" showErrorMessage="1" errorTitle="Must select a number" error="Cannot choose letters or special characters." sqref="AL13:AR162 Z13:AG162 AY7:AY23 P13:T162 D13:K162" xr:uid="{364ADE4F-0C3C-454B-9375-1C9BAB424F48}">
      <formula1>-1000000000</formula1>
      <formula2>1000000000</formula2>
    </dataValidation>
    <dataValidation type="whole" errorStyle="information" allowBlank="1" showInputMessage="1" showErrorMessage="1" errorTitle="Must select 1 or 2" error="1 = Included in closure_x000a_2 = Excluded" sqref="AS13:AT162 AH13:AH162 L13:L162 V13:V162" xr:uid="{DC150A7E-AD18-434D-8EC7-2B8DA4478792}">
      <formula1>1</formula1>
      <formula2>2</formula2>
    </dataValidation>
    <dataValidation type="whole" errorStyle="information" allowBlank="1" showInputMessage="1" showErrorMessage="1" errorTitle="Must select 1 or 2" error="1 = Included in shock_x000a_2 = Excluded" sqref="U13:U162" xr:uid="{A8D5632E-D19B-4973-80A7-0442040749BF}">
      <formula1>1</formula1>
      <formula2>2</formula2>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2711-5322-41BB-B07E-4B8BC37995E3}">
  <sheetPr>
    <tabColor theme="8" tint="-0.499984740745262"/>
  </sheetPr>
  <dimension ref="A1:BB163"/>
  <sheetViews>
    <sheetView zoomScale="85" zoomScaleNormal="85" workbookViewId="0">
      <pane ySplit="12" topLeftCell="A55"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sim2</v>
      </c>
      <c r="B1" s="7"/>
      <c r="C1" s="4"/>
      <c r="D1" s="4"/>
      <c r="E1" s="4"/>
      <c r="F1" s="4"/>
      <c r="G1" s="4"/>
      <c r="H1" s="4"/>
      <c r="I1" s="4"/>
      <c r="J1" s="4"/>
      <c r="K1" s="4"/>
      <c r="L1" s="4"/>
      <c r="M1" s="4"/>
      <c r="N1" s="4"/>
      <c r="O1" s="4"/>
      <c r="P1" s="4"/>
      <c r="Q1" s="4"/>
      <c r="R1" s="4"/>
      <c r="S1" s="4"/>
      <c r="T1" s="4"/>
      <c r="U1" s="4"/>
      <c r="V1" s="4"/>
      <c r="W1" s="4"/>
      <c r="X1" s="4"/>
      <c r="Y1" s="4"/>
      <c r="Z1" s="4"/>
      <c r="AA1" s="4"/>
      <c r="AB1" s="4"/>
      <c r="AC1" s="4" t="str">
        <f>Main!C7</f>
        <v>sim2</v>
      </c>
      <c r="AD1" s="4" t="str">
        <f>IF(Main!E7&lt;&gt;"",Main!E7,"")</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419" priority="43" operator="greaterThan">
      <formula>1</formula>
    </cfRule>
  </conditionalFormatting>
  <conditionalFormatting sqref="L134:L162">
    <cfRule type="cellIs" dxfId="418" priority="23" operator="greaterThan">
      <formula>1</formula>
    </cfRule>
  </conditionalFormatting>
  <conditionalFormatting sqref="P9:R9">
    <cfRule type="cellIs" dxfId="417" priority="41" operator="greaterThan">
      <formula>1</formula>
    </cfRule>
  </conditionalFormatting>
  <conditionalFormatting sqref="P134:T162">
    <cfRule type="cellIs" dxfId="416" priority="21" operator="lessThan">
      <formula>0</formula>
    </cfRule>
    <cfRule type="cellIs" dxfId="415" priority="22" operator="greaterThan">
      <formula>0</formula>
    </cfRule>
  </conditionalFormatting>
  <conditionalFormatting sqref="U134:V162">
    <cfRule type="cellIs" dxfId="414" priority="20" operator="greaterThan">
      <formula>1</formula>
    </cfRule>
  </conditionalFormatting>
  <conditionalFormatting sqref="Z9:AG9">
    <cfRule type="cellIs" dxfId="413" priority="28" operator="greaterThan">
      <formula>1</formula>
    </cfRule>
  </conditionalFormatting>
  <conditionalFormatting sqref="Z134:AG162">
    <cfRule type="cellIs" dxfId="412" priority="18" operator="lessThan">
      <formula>0</formula>
    </cfRule>
    <cfRule type="cellIs" dxfId="411" priority="19" operator="greaterThan">
      <formula>0</formula>
    </cfRule>
  </conditionalFormatting>
  <conditionalFormatting sqref="AH134:AH162">
    <cfRule type="cellIs" dxfId="410" priority="17" operator="greaterThan">
      <formula>1</formula>
    </cfRule>
  </conditionalFormatting>
  <conditionalFormatting sqref="AL9:AR9">
    <cfRule type="cellIs" dxfId="409" priority="27" operator="greaterThan">
      <formula>1</formula>
    </cfRule>
  </conditionalFormatting>
  <conditionalFormatting sqref="AL134:AR162">
    <cfRule type="cellIs" dxfId="408" priority="15" operator="lessThan">
      <formula>0</formula>
    </cfRule>
    <cfRule type="cellIs" dxfId="407" priority="16" operator="greaterThan">
      <formula>0</formula>
    </cfRule>
  </conditionalFormatting>
  <conditionalFormatting sqref="AS134:AT162">
    <cfRule type="cellIs" dxfId="406" priority="14" operator="greaterThan">
      <formula>1</formula>
    </cfRule>
  </conditionalFormatting>
  <conditionalFormatting sqref="AY7:AY12 D134:K162">
    <cfRule type="cellIs" dxfId="405" priority="25" operator="lessThan">
      <formula>0</formula>
    </cfRule>
    <cfRule type="cellIs" dxfId="404" priority="26" operator="greaterThan">
      <formula>0</formula>
    </cfRule>
  </conditionalFormatting>
  <conditionalFormatting sqref="AZ7:AZ12">
    <cfRule type="cellIs" dxfId="403" priority="24" operator="greaterThan">
      <formula>1</formula>
    </cfRule>
  </conditionalFormatting>
  <conditionalFormatting sqref="L13:L133">
    <cfRule type="cellIs" dxfId="181" priority="10" operator="greaterThan">
      <formula>1</formula>
    </cfRule>
  </conditionalFormatting>
  <conditionalFormatting sqref="P13:T133">
    <cfRule type="cellIs" dxfId="180" priority="8" operator="lessThan">
      <formula>0</formula>
    </cfRule>
    <cfRule type="cellIs" dxfId="179" priority="9" operator="greaterThan">
      <formula>0</formula>
    </cfRule>
  </conditionalFormatting>
  <conditionalFormatting sqref="U13:V133">
    <cfRule type="cellIs" dxfId="178" priority="7" operator="greaterThan">
      <formula>1</formula>
    </cfRule>
  </conditionalFormatting>
  <conditionalFormatting sqref="Z13:AG133">
    <cfRule type="cellIs" dxfId="177" priority="5" operator="lessThan">
      <formula>0</formula>
    </cfRule>
    <cfRule type="cellIs" dxfId="176" priority="6" operator="greaterThan">
      <formula>0</formula>
    </cfRule>
  </conditionalFormatting>
  <conditionalFormatting sqref="AH13:AH133">
    <cfRule type="cellIs" dxfId="175" priority="4" operator="greaterThan">
      <formula>1</formula>
    </cfRule>
  </conditionalFormatting>
  <conditionalFormatting sqref="AL13:AR133">
    <cfRule type="cellIs" dxfId="174" priority="2" operator="lessThan">
      <formula>0</formula>
    </cfRule>
    <cfRule type="cellIs" dxfId="173" priority="3" operator="greaterThan">
      <formula>0</formula>
    </cfRule>
  </conditionalFormatting>
  <conditionalFormatting sqref="AS13:AT133">
    <cfRule type="cellIs" dxfId="172" priority="1" operator="greaterThan">
      <formula>1</formula>
    </cfRule>
  </conditionalFormatting>
  <conditionalFormatting sqref="AY13:AY23 D13:K133">
    <cfRule type="cellIs" dxfId="171" priority="12" operator="lessThan">
      <formula>0</formula>
    </cfRule>
    <cfRule type="cellIs" dxfId="170" priority="13" operator="greaterThan">
      <formula>0</formula>
    </cfRule>
  </conditionalFormatting>
  <conditionalFormatting sqref="AZ13:AZ23">
    <cfRule type="cellIs" dxfId="169"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24AF615C-5266-403F-BD5D-FAD00E2F552C}">
      <formula1>1</formula1>
      <formula2>2</formula2>
    </dataValidation>
    <dataValidation type="whole" errorStyle="information" allowBlank="1" showInputMessage="1" showErrorMessage="1" errorTitle="Must select 1 or 2" error="1 = Included in closure_x000a_2 = Excluded" sqref="V13:V162 AS13:AT162 AH13:AH162 L13:L162" xr:uid="{440EF76C-C9C4-4ECC-BCB4-DD65C4125A27}">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F24263FF-122E-40E7-BBB8-3E209FF68D54}">
      <formula1>-1000000000</formula1>
      <formula2>1000000000</formula2>
    </dataValidation>
    <dataValidation type="whole" errorStyle="information" allowBlank="1" showInputMessage="1" showErrorMessage="1" errorTitle="Must select 1 or 2" error="1 = Multiplicative_x000a_2 = Additive" sqref="Z9:AG9 D9:K9 P9:R9 AL9:AR9 AZ7:AZ23" xr:uid="{636470AC-C770-46D6-B84C-00ABA7E07F52}">
      <formula1>1</formula1>
      <formula2>2</formula2>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2184-950D-4AAE-ABFA-5E31B08BE401}">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sim3</v>
      </c>
      <c r="B1" s="7"/>
      <c r="C1" s="4"/>
      <c r="D1" s="4"/>
      <c r="E1" s="4"/>
      <c r="F1" s="4"/>
      <c r="G1" s="4"/>
      <c r="H1" s="4"/>
      <c r="I1" s="4"/>
      <c r="J1" s="4"/>
      <c r="K1" s="4"/>
      <c r="L1" s="4"/>
      <c r="M1" s="4"/>
      <c r="N1" s="4"/>
      <c r="O1" s="4"/>
      <c r="P1" s="4"/>
      <c r="Q1" s="4"/>
      <c r="R1" s="4"/>
      <c r="S1" s="4"/>
      <c r="T1" s="4"/>
      <c r="U1" s="4"/>
      <c r="V1" s="4"/>
      <c r="W1" s="4"/>
      <c r="X1" s="4"/>
      <c r="Y1" s="4"/>
      <c r="Z1" s="4"/>
      <c r="AA1" s="4"/>
      <c r="AB1" s="4"/>
      <c r="AC1" s="4" t="str">
        <f>Main!C8</f>
        <v>sim3</v>
      </c>
      <c r="AD1" s="4" t="str">
        <f>IF(Main!E8&lt;&gt;"",Main!E8,"")</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402" priority="45" operator="greaterThan">
      <formula>1</formula>
    </cfRule>
  </conditionalFormatting>
  <conditionalFormatting sqref="L134:L162">
    <cfRule type="cellIs" dxfId="401" priority="23" operator="greaterThan">
      <formula>1</formula>
    </cfRule>
  </conditionalFormatting>
  <conditionalFormatting sqref="P9:R9">
    <cfRule type="cellIs" dxfId="400" priority="43" operator="greaterThan">
      <formula>1</formula>
    </cfRule>
  </conditionalFormatting>
  <conditionalFormatting sqref="P134:T162">
    <cfRule type="cellIs" dxfId="399" priority="21" operator="lessThan">
      <formula>0</formula>
    </cfRule>
    <cfRule type="cellIs" dxfId="398" priority="22" operator="greaterThan">
      <formula>0</formula>
    </cfRule>
  </conditionalFormatting>
  <conditionalFormatting sqref="U134:V162">
    <cfRule type="cellIs" dxfId="397" priority="20" operator="greaterThan">
      <formula>1</formula>
    </cfRule>
  </conditionalFormatting>
  <conditionalFormatting sqref="Z9:AG9">
    <cfRule type="cellIs" dxfId="396" priority="30" operator="greaterThan">
      <formula>1</formula>
    </cfRule>
  </conditionalFormatting>
  <conditionalFormatting sqref="Z134:AG162">
    <cfRule type="cellIs" dxfId="395" priority="18" operator="lessThan">
      <formula>0</formula>
    </cfRule>
    <cfRule type="cellIs" dxfId="394" priority="19" operator="greaterThan">
      <formula>0</formula>
    </cfRule>
  </conditionalFormatting>
  <conditionalFormatting sqref="AH134:AH162">
    <cfRule type="cellIs" dxfId="393" priority="17" operator="greaterThan">
      <formula>1</formula>
    </cfRule>
  </conditionalFormatting>
  <conditionalFormatting sqref="AL9:AR9">
    <cfRule type="cellIs" dxfId="392" priority="29" operator="greaterThan">
      <formula>1</formula>
    </cfRule>
  </conditionalFormatting>
  <conditionalFormatting sqref="AL134:AR162">
    <cfRule type="cellIs" dxfId="391" priority="15" operator="lessThan">
      <formula>0</formula>
    </cfRule>
    <cfRule type="cellIs" dxfId="390" priority="16" operator="greaterThan">
      <formula>0</formula>
    </cfRule>
  </conditionalFormatting>
  <conditionalFormatting sqref="AS134:AT162">
    <cfRule type="cellIs" dxfId="389" priority="14" operator="greaterThan">
      <formula>1</formula>
    </cfRule>
  </conditionalFormatting>
  <conditionalFormatting sqref="AY7:AY12 D134:K162">
    <cfRule type="cellIs" dxfId="388" priority="25" operator="lessThan">
      <formula>0</formula>
    </cfRule>
    <cfRule type="cellIs" dxfId="387" priority="26" operator="greaterThan">
      <formula>0</formula>
    </cfRule>
  </conditionalFormatting>
  <conditionalFormatting sqref="AZ7:AZ12">
    <cfRule type="cellIs" dxfId="386" priority="24" operator="greaterThan">
      <formula>1</formula>
    </cfRule>
  </conditionalFormatting>
  <conditionalFormatting sqref="L13:L133">
    <cfRule type="cellIs" dxfId="168" priority="10" operator="greaterThan">
      <formula>1</formula>
    </cfRule>
  </conditionalFormatting>
  <conditionalFormatting sqref="P13:T133">
    <cfRule type="cellIs" dxfId="167" priority="8" operator="lessThan">
      <formula>0</formula>
    </cfRule>
    <cfRule type="cellIs" dxfId="166" priority="9" operator="greaterThan">
      <formula>0</formula>
    </cfRule>
  </conditionalFormatting>
  <conditionalFormatting sqref="U13:V133">
    <cfRule type="cellIs" dxfId="165" priority="7" operator="greaterThan">
      <formula>1</formula>
    </cfRule>
  </conditionalFormatting>
  <conditionalFormatting sqref="Z13:AG133">
    <cfRule type="cellIs" dxfId="164" priority="5" operator="lessThan">
      <formula>0</formula>
    </cfRule>
    <cfRule type="cellIs" dxfId="163" priority="6" operator="greaterThan">
      <formula>0</formula>
    </cfRule>
  </conditionalFormatting>
  <conditionalFormatting sqref="AH13:AH133">
    <cfRule type="cellIs" dxfId="162" priority="4" operator="greaterThan">
      <formula>1</formula>
    </cfRule>
  </conditionalFormatting>
  <conditionalFormatting sqref="AL13:AR133">
    <cfRule type="cellIs" dxfId="161" priority="2" operator="lessThan">
      <formula>0</formula>
    </cfRule>
    <cfRule type="cellIs" dxfId="160" priority="3" operator="greaterThan">
      <formula>0</formula>
    </cfRule>
  </conditionalFormatting>
  <conditionalFormatting sqref="AS13:AT133">
    <cfRule type="cellIs" dxfId="159" priority="1" operator="greaterThan">
      <formula>1</formula>
    </cfRule>
  </conditionalFormatting>
  <conditionalFormatting sqref="AY13:AY23 D13:K133">
    <cfRule type="cellIs" dxfId="158" priority="12" operator="lessThan">
      <formula>0</formula>
    </cfRule>
    <cfRule type="cellIs" dxfId="157" priority="13" operator="greaterThan">
      <formula>0</formula>
    </cfRule>
  </conditionalFormatting>
  <conditionalFormatting sqref="AZ13:AZ23">
    <cfRule type="cellIs" dxfId="156"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0EFE9A04-3494-4016-8C9D-04122F4B3D71}">
      <formula1>1</formula1>
      <formula2>2</formula2>
    </dataValidation>
    <dataValidation type="decimal" errorStyle="information" allowBlank="1" showInputMessage="1" showErrorMessage="1" errorTitle="Must select a number" error="Cannot choose letters or special characters." sqref="P13:T162 D13:K162 AL13:AR162 Z13:AG162 AY7:AY23" xr:uid="{B9990B4F-B3EA-40AC-BC57-75E1C77B539C}">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70929003-8B89-4C77-9F97-83366D23FB8E}">
      <formula1>1</formula1>
      <formula2>2</formula2>
    </dataValidation>
    <dataValidation type="whole" errorStyle="information" allowBlank="1" showInputMessage="1" showErrorMessage="1" errorTitle="Must select 1 or 2" error="1 = Included in shock_x000a_2 = Excluded" sqref="U13:U162" xr:uid="{5DC2A29C-7039-4133-9518-3A08CD92F5C5}">
      <formula1>1</formula1>
      <formula2>2</formula2>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D2D2-AE26-41B0-8032-07F464A48914}">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sim4</v>
      </c>
      <c r="B1" s="7"/>
      <c r="C1" s="4"/>
      <c r="D1" s="4"/>
      <c r="E1" s="4"/>
      <c r="F1" s="4"/>
      <c r="G1" s="4"/>
      <c r="H1" s="4"/>
      <c r="I1" s="4"/>
      <c r="J1" s="4"/>
      <c r="K1" s="4"/>
      <c r="L1" s="4"/>
      <c r="M1" s="4"/>
      <c r="N1" s="4"/>
      <c r="O1" s="4"/>
      <c r="P1" s="4"/>
      <c r="Q1" s="4"/>
      <c r="R1" s="4"/>
      <c r="S1" s="4"/>
      <c r="T1" s="4"/>
      <c r="U1" s="4"/>
      <c r="V1" s="4"/>
      <c r="W1" s="4"/>
      <c r="X1" s="4"/>
      <c r="Y1" s="4"/>
      <c r="Z1" s="4"/>
      <c r="AA1" s="4"/>
      <c r="AB1" s="4"/>
      <c r="AC1" s="4" t="str">
        <f>Main!C9</f>
        <v>sim4</v>
      </c>
      <c r="AD1" s="4" t="str">
        <f>IF(Main!E9&lt;&gt;"",Main!E9,"")</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85" priority="43" operator="greaterThan">
      <formula>1</formula>
    </cfRule>
  </conditionalFormatting>
  <conditionalFormatting sqref="L134:L162">
    <cfRule type="cellIs" dxfId="384" priority="23" operator="greaterThan">
      <formula>1</formula>
    </cfRule>
  </conditionalFormatting>
  <conditionalFormatting sqref="P9:R9">
    <cfRule type="cellIs" dxfId="383" priority="41" operator="greaterThan">
      <formula>1</formula>
    </cfRule>
  </conditionalFormatting>
  <conditionalFormatting sqref="P134:T162">
    <cfRule type="cellIs" dxfId="382" priority="21" operator="lessThan">
      <formula>0</formula>
    </cfRule>
    <cfRule type="cellIs" dxfId="381" priority="22" operator="greaterThan">
      <formula>0</formula>
    </cfRule>
  </conditionalFormatting>
  <conditionalFormatting sqref="U134:V162">
    <cfRule type="cellIs" dxfId="380" priority="20" operator="greaterThan">
      <formula>1</formula>
    </cfRule>
  </conditionalFormatting>
  <conditionalFormatting sqref="Z9:AG9">
    <cfRule type="cellIs" dxfId="379" priority="28" operator="greaterThan">
      <formula>1</formula>
    </cfRule>
  </conditionalFormatting>
  <conditionalFormatting sqref="Z134:AG162">
    <cfRule type="cellIs" dxfId="378" priority="18" operator="lessThan">
      <formula>0</formula>
    </cfRule>
    <cfRule type="cellIs" dxfId="377" priority="19" operator="greaterThan">
      <formula>0</formula>
    </cfRule>
  </conditionalFormatting>
  <conditionalFormatting sqref="AH134:AH162">
    <cfRule type="cellIs" dxfId="376" priority="17" operator="greaterThan">
      <formula>1</formula>
    </cfRule>
  </conditionalFormatting>
  <conditionalFormatting sqref="AL9:AR9">
    <cfRule type="cellIs" dxfId="375" priority="27" operator="greaterThan">
      <formula>1</formula>
    </cfRule>
  </conditionalFormatting>
  <conditionalFormatting sqref="AL134:AR162">
    <cfRule type="cellIs" dxfId="374" priority="15" operator="lessThan">
      <formula>0</formula>
    </cfRule>
    <cfRule type="cellIs" dxfId="373" priority="16" operator="greaterThan">
      <formula>0</formula>
    </cfRule>
  </conditionalFormatting>
  <conditionalFormatting sqref="AS134:AT162">
    <cfRule type="cellIs" dxfId="372" priority="14" operator="greaterThan">
      <formula>1</formula>
    </cfRule>
  </conditionalFormatting>
  <conditionalFormatting sqref="AY7:AY12 D134:K162">
    <cfRule type="cellIs" dxfId="371" priority="25" operator="lessThan">
      <formula>0</formula>
    </cfRule>
    <cfRule type="cellIs" dxfId="370" priority="26" operator="greaterThan">
      <formula>0</formula>
    </cfRule>
  </conditionalFormatting>
  <conditionalFormatting sqref="AZ7:AZ12">
    <cfRule type="cellIs" dxfId="369" priority="24" operator="greaterThan">
      <formula>1</formula>
    </cfRule>
  </conditionalFormatting>
  <conditionalFormatting sqref="L13:L133">
    <cfRule type="cellIs" dxfId="155" priority="10" operator="greaterThan">
      <formula>1</formula>
    </cfRule>
  </conditionalFormatting>
  <conditionalFormatting sqref="P13:T133">
    <cfRule type="cellIs" dxfId="154" priority="8" operator="lessThan">
      <formula>0</formula>
    </cfRule>
    <cfRule type="cellIs" dxfId="153" priority="9" operator="greaterThan">
      <formula>0</formula>
    </cfRule>
  </conditionalFormatting>
  <conditionalFormatting sqref="U13:V133">
    <cfRule type="cellIs" dxfId="152" priority="7" operator="greaterThan">
      <formula>1</formula>
    </cfRule>
  </conditionalFormatting>
  <conditionalFormatting sqref="Z13:AG133">
    <cfRule type="cellIs" dxfId="151" priority="5" operator="lessThan">
      <formula>0</formula>
    </cfRule>
    <cfRule type="cellIs" dxfId="150" priority="6" operator="greaterThan">
      <formula>0</formula>
    </cfRule>
  </conditionalFormatting>
  <conditionalFormatting sqref="AH13:AH133">
    <cfRule type="cellIs" dxfId="149" priority="4" operator="greaterThan">
      <formula>1</formula>
    </cfRule>
  </conditionalFormatting>
  <conditionalFormatting sqref="AL13:AR133">
    <cfRule type="cellIs" dxfId="148" priority="2" operator="lessThan">
      <formula>0</formula>
    </cfRule>
    <cfRule type="cellIs" dxfId="147" priority="3" operator="greaterThan">
      <formula>0</formula>
    </cfRule>
  </conditionalFormatting>
  <conditionalFormatting sqref="AS13:AT133">
    <cfRule type="cellIs" dxfId="146" priority="1" operator="greaterThan">
      <formula>1</formula>
    </cfRule>
  </conditionalFormatting>
  <conditionalFormatting sqref="AY13:AY23 D13:K133">
    <cfRule type="cellIs" dxfId="145" priority="12" operator="lessThan">
      <formula>0</formula>
    </cfRule>
    <cfRule type="cellIs" dxfId="144" priority="13" operator="greaterThan">
      <formula>0</formula>
    </cfRule>
  </conditionalFormatting>
  <conditionalFormatting sqref="AZ13:AZ23">
    <cfRule type="cellIs" dxfId="143"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0DAE9C61-A58D-41AC-B963-53E546575EFA}">
      <formula1>1</formula1>
      <formula2>2</formula2>
    </dataValidation>
    <dataValidation type="whole" errorStyle="information" allowBlank="1" showInputMessage="1" showErrorMessage="1" errorTitle="Must select 1 or 2" error="1 = Included in closure_x000a_2 = Excluded" sqref="V13:V162 AS13:AT162 AH13:AH162 L13:L162" xr:uid="{37031603-10BF-402F-A402-8F4FA3691BEF}">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D7A15931-1ACA-4B1A-9337-AFC97F750CE6}">
      <formula1>-1000000000</formula1>
      <formula2>1000000000</formula2>
    </dataValidation>
    <dataValidation type="whole" errorStyle="information" allowBlank="1" showInputMessage="1" showErrorMessage="1" errorTitle="Must select 1 or 2" error="1 = Multiplicative_x000a_2 = Additive" sqref="Z9:AG9 D9:K9 P9:R9 AL9:AR9 AZ7:AZ23" xr:uid="{A18EB0F6-8E5E-4951-A781-7DD93B7D6E36}">
      <formula1>1</formula1>
      <formula2>2</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0062-0981-456B-9C05-F4482EECDE63}">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sim5</v>
      </c>
      <c r="B1" s="7"/>
      <c r="C1" s="4"/>
      <c r="D1" s="4"/>
      <c r="E1" s="4"/>
      <c r="F1" s="4"/>
      <c r="G1" s="4"/>
      <c r="H1" s="4"/>
      <c r="I1" s="4"/>
      <c r="J1" s="4"/>
      <c r="K1" s="4"/>
      <c r="L1" s="4"/>
      <c r="M1" s="4"/>
      <c r="N1" s="4"/>
      <c r="O1" s="4"/>
      <c r="P1" s="4"/>
      <c r="Q1" s="4"/>
      <c r="R1" s="4"/>
      <c r="S1" s="4"/>
      <c r="T1" s="4"/>
      <c r="U1" s="4"/>
      <c r="V1" s="4"/>
      <c r="W1" s="4"/>
      <c r="X1" s="4"/>
      <c r="Y1" s="4"/>
      <c r="Z1" s="4"/>
      <c r="AA1" s="4"/>
      <c r="AB1" s="4"/>
      <c r="AC1" s="4" t="str">
        <f>Main!C10</f>
        <v>sim5</v>
      </c>
      <c r="AD1" s="4" t="str">
        <f>IF(Main!E10&lt;&gt;"",Main!E10,"")</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68" priority="43" operator="greaterThan">
      <formula>1</formula>
    </cfRule>
  </conditionalFormatting>
  <conditionalFormatting sqref="L134:L162">
    <cfRule type="cellIs" dxfId="367" priority="23" operator="greaterThan">
      <formula>1</formula>
    </cfRule>
  </conditionalFormatting>
  <conditionalFormatting sqref="P9:R9">
    <cfRule type="cellIs" dxfId="366" priority="41" operator="greaterThan">
      <formula>1</formula>
    </cfRule>
  </conditionalFormatting>
  <conditionalFormatting sqref="P134:T162">
    <cfRule type="cellIs" dxfId="365" priority="21" operator="lessThan">
      <formula>0</formula>
    </cfRule>
    <cfRule type="cellIs" dxfId="364" priority="22" operator="greaterThan">
      <formula>0</formula>
    </cfRule>
  </conditionalFormatting>
  <conditionalFormatting sqref="U134:V162">
    <cfRule type="cellIs" dxfId="363" priority="20" operator="greaterThan">
      <formula>1</formula>
    </cfRule>
  </conditionalFormatting>
  <conditionalFormatting sqref="Z9:AG9">
    <cfRule type="cellIs" dxfId="362" priority="28" operator="greaterThan">
      <formula>1</formula>
    </cfRule>
  </conditionalFormatting>
  <conditionalFormatting sqref="Z134:AG162">
    <cfRule type="cellIs" dxfId="361" priority="18" operator="lessThan">
      <formula>0</formula>
    </cfRule>
    <cfRule type="cellIs" dxfId="360" priority="19" operator="greaterThan">
      <formula>0</formula>
    </cfRule>
  </conditionalFormatting>
  <conditionalFormatting sqref="AH134:AH162">
    <cfRule type="cellIs" dxfId="359" priority="17" operator="greaterThan">
      <formula>1</formula>
    </cfRule>
  </conditionalFormatting>
  <conditionalFormatting sqref="AL9:AR9">
    <cfRule type="cellIs" dxfId="358" priority="27" operator="greaterThan">
      <formula>1</formula>
    </cfRule>
  </conditionalFormatting>
  <conditionalFormatting sqref="AL134:AR162">
    <cfRule type="cellIs" dxfId="357" priority="15" operator="lessThan">
      <formula>0</formula>
    </cfRule>
    <cfRule type="cellIs" dxfId="356" priority="16" operator="greaterThan">
      <formula>0</formula>
    </cfRule>
  </conditionalFormatting>
  <conditionalFormatting sqref="AS134:AT162">
    <cfRule type="cellIs" dxfId="355" priority="14" operator="greaterThan">
      <formula>1</formula>
    </cfRule>
  </conditionalFormatting>
  <conditionalFormatting sqref="AY7:AY12 D134:K162">
    <cfRule type="cellIs" dxfId="354" priority="25" operator="lessThan">
      <formula>0</formula>
    </cfRule>
    <cfRule type="cellIs" dxfId="353" priority="26" operator="greaterThan">
      <formula>0</formula>
    </cfRule>
  </conditionalFormatting>
  <conditionalFormatting sqref="AZ7:AZ12">
    <cfRule type="cellIs" dxfId="352" priority="24" operator="greaterThan">
      <formula>1</formula>
    </cfRule>
  </conditionalFormatting>
  <conditionalFormatting sqref="L13:L133">
    <cfRule type="cellIs" dxfId="142" priority="10" operator="greaterThan">
      <formula>1</formula>
    </cfRule>
  </conditionalFormatting>
  <conditionalFormatting sqref="P13:T133">
    <cfRule type="cellIs" dxfId="141" priority="8" operator="lessThan">
      <formula>0</formula>
    </cfRule>
    <cfRule type="cellIs" dxfId="140" priority="9" operator="greaterThan">
      <formula>0</formula>
    </cfRule>
  </conditionalFormatting>
  <conditionalFormatting sqref="U13:V133">
    <cfRule type="cellIs" dxfId="139" priority="7" operator="greaterThan">
      <formula>1</formula>
    </cfRule>
  </conditionalFormatting>
  <conditionalFormatting sqref="Z13:AG133">
    <cfRule type="cellIs" dxfId="138" priority="5" operator="lessThan">
      <formula>0</formula>
    </cfRule>
    <cfRule type="cellIs" dxfId="137" priority="6" operator="greaterThan">
      <formula>0</formula>
    </cfRule>
  </conditionalFormatting>
  <conditionalFormatting sqref="AH13:AH133">
    <cfRule type="cellIs" dxfId="136" priority="4" operator="greaterThan">
      <formula>1</formula>
    </cfRule>
  </conditionalFormatting>
  <conditionalFormatting sqref="AL13:AR133">
    <cfRule type="cellIs" dxfId="135" priority="2" operator="lessThan">
      <formula>0</formula>
    </cfRule>
    <cfRule type="cellIs" dxfId="134" priority="3" operator="greaterThan">
      <formula>0</formula>
    </cfRule>
  </conditionalFormatting>
  <conditionalFormatting sqref="AS13:AT133">
    <cfRule type="cellIs" dxfId="133" priority="1" operator="greaterThan">
      <formula>1</formula>
    </cfRule>
  </conditionalFormatting>
  <conditionalFormatting sqref="AY13:AY23 D13:K133">
    <cfRule type="cellIs" dxfId="132" priority="12" operator="lessThan">
      <formula>0</formula>
    </cfRule>
    <cfRule type="cellIs" dxfId="131" priority="13" operator="greaterThan">
      <formula>0</formula>
    </cfRule>
  </conditionalFormatting>
  <conditionalFormatting sqref="AZ13:AZ23">
    <cfRule type="cellIs" dxfId="130"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F0BB1B00-6B49-4DC0-9F90-551B9C446753}">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61923FD5-58E1-4835-B476-0C2E8718E392}">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89670358-DBC7-496F-B644-8E0D57DE7436}">
      <formula1>1</formula1>
      <formula2>2</formula2>
    </dataValidation>
    <dataValidation type="whole" errorStyle="information" allowBlank="1" showInputMessage="1" showErrorMessage="1" errorTitle="Must select 1 or 2" error="1 = Included in shock_x000a_2 = Excluded" sqref="U13:U162" xr:uid="{E0A123B5-2137-4B9D-A6E0-67A8FE6BDDB8}">
      <formula1>1</formula1>
      <formula2>2</formula2>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3D1A-9F26-4D1F-913F-D358CFF52B7A}">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sim6</v>
      </c>
      <c r="B1" s="7"/>
      <c r="C1" s="4"/>
      <c r="D1" s="4"/>
      <c r="E1" s="4"/>
      <c r="F1" s="4"/>
      <c r="G1" s="4"/>
      <c r="H1" s="4"/>
      <c r="I1" s="4"/>
      <c r="J1" s="4"/>
      <c r="K1" s="4"/>
      <c r="L1" s="4"/>
      <c r="M1" s="4"/>
      <c r="N1" s="4"/>
      <c r="O1" s="4"/>
      <c r="P1" s="4"/>
      <c r="Q1" s="4"/>
      <c r="R1" s="4"/>
      <c r="S1" s="4"/>
      <c r="T1" s="4"/>
      <c r="U1" s="4"/>
      <c r="V1" s="4"/>
      <c r="W1" s="4"/>
      <c r="X1" s="4"/>
      <c r="Y1" s="4"/>
      <c r="Z1" s="4"/>
      <c r="AA1" s="4"/>
      <c r="AB1" s="4"/>
      <c r="AC1" s="4" t="str">
        <f>Main!C11</f>
        <v>sim6</v>
      </c>
      <c r="AD1" s="4" t="str">
        <f>IF(Main!E11&lt;&gt;"",Main!E11,"")</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51" priority="43" operator="greaterThan">
      <formula>1</formula>
    </cfRule>
  </conditionalFormatting>
  <conditionalFormatting sqref="L134:L162">
    <cfRule type="cellIs" dxfId="350" priority="23" operator="greaterThan">
      <formula>1</formula>
    </cfRule>
  </conditionalFormatting>
  <conditionalFormatting sqref="P9:R9">
    <cfRule type="cellIs" dxfId="349" priority="41" operator="greaterThan">
      <formula>1</formula>
    </cfRule>
  </conditionalFormatting>
  <conditionalFormatting sqref="P134:T162">
    <cfRule type="cellIs" dxfId="348" priority="21" operator="lessThan">
      <formula>0</formula>
    </cfRule>
    <cfRule type="cellIs" dxfId="347" priority="22" operator="greaterThan">
      <formula>0</formula>
    </cfRule>
  </conditionalFormatting>
  <conditionalFormatting sqref="U134:V162">
    <cfRule type="cellIs" dxfId="346" priority="20" operator="greaterThan">
      <formula>1</formula>
    </cfRule>
  </conditionalFormatting>
  <conditionalFormatting sqref="Z9:AG9">
    <cfRule type="cellIs" dxfId="345" priority="28" operator="greaterThan">
      <formula>1</formula>
    </cfRule>
  </conditionalFormatting>
  <conditionalFormatting sqref="Z134:AG162">
    <cfRule type="cellIs" dxfId="344" priority="18" operator="lessThan">
      <formula>0</formula>
    </cfRule>
    <cfRule type="cellIs" dxfId="343" priority="19" operator="greaterThan">
      <formula>0</formula>
    </cfRule>
  </conditionalFormatting>
  <conditionalFormatting sqref="AH134:AH162">
    <cfRule type="cellIs" dxfId="342" priority="17" operator="greaterThan">
      <formula>1</formula>
    </cfRule>
  </conditionalFormatting>
  <conditionalFormatting sqref="AL9:AR9">
    <cfRule type="cellIs" dxfId="341" priority="27" operator="greaterThan">
      <formula>1</formula>
    </cfRule>
  </conditionalFormatting>
  <conditionalFormatting sqref="AL134:AR162">
    <cfRule type="cellIs" dxfId="340" priority="15" operator="lessThan">
      <formula>0</formula>
    </cfRule>
    <cfRule type="cellIs" dxfId="339" priority="16" operator="greaterThan">
      <formula>0</formula>
    </cfRule>
  </conditionalFormatting>
  <conditionalFormatting sqref="AS134:AT162">
    <cfRule type="cellIs" dxfId="338" priority="14" operator="greaterThan">
      <formula>1</formula>
    </cfRule>
  </conditionalFormatting>
  <conditionalFormatting sqref="AY7:AY12 D134:K162">
    <cfRule type="cellIs" dxfId="337" priority="25" operator="lessThan">
      <formula>0</formula>
    </cfRule>
    <cfRule type="cellIs" dxfId="336" priority="26" operator="greaterThan">
      <formula>0</formula>
    </cfRule>
  </conditionalFormatting>
  <conditionalFormatting sqref="AZ7:AZ12">
    <cfRule type="cellIs" dxfId="335" priority="24" operator="greaterThan">
      <formula>1</formula>
    </cfRule>
  </conditionalFormatting>
  <conditionalFormatting sqref="L13:L133">
    <cfRule type="cellIs" dxfId="129" priority="10" operator="greaterThan">
      <formula>1</formula>
    </cfRule>
  </conditionalFormatting>
  <conditionalFormatting sqref="P13:T133">
    <cfRule type="cellIs" dxfId="128" priority="8" operator="lessThan">
      <formula>0</formula>
    </cfRule>
    <cfRule type="cellIs" dxfId="127" priority="9" operator="greaterThan">
      <formula>0</formula>
    </cfRule>
  </conditionalFormatting>
  <conditionalFormatting sqref="U13:V133">
    <cfRule type="cellIs" dxfId="126" priority="7" operator="greaterThan">
      <formula>1</formula>
    </cfRule>
  </conditionalFormatting>
  <conditionalFormatting sqref="Z13:AG133">
    <cfRule type="cellIs" dxfId="125" priority="5" operator="lessThan">
      <formula>0</formula>
    </cfRule>
    <cfRule type="cellIs" dxfId="124" priority="6" operator="greaterThan">
      <formula>0</formula>
    </cfRule>
  </conditionalFormatting>
  <conditionalFormatting sqref="AH13:AH133">
    <cfRule type="cellIs" dxfId="123" priority="4" operator="greaterThan">
      <formula>1</formula>
    </cfRule>
  </conditionalFormatting>
  <conditionalFormatting sqref="AL13:AR133">
    <cfRule type="cellIs" dxfId="122" priority="2" operator="lessThan">
      <formula>0</formula>
    </cfRule>
    <cfRule type="cellIs" dxfId="121" priority="3" operator="greaterThan">
      <formula>0</formula>
    </cfRule>
  </conditionalFormatting>
  <conditionalFormatting sqref="AS13:AT133">
    <cfRule type="cellIs" dxfId="120" priority="1" operator="greaterThan">
      <formula>1</formula>
    </cfRule>
  </conditionalFormatting>
  <conditionalFormatting sqref="AY13:AY23 D13:K133">
    <cfRule type="cellIs" dxfId="119" priority="12" operator="lessThan">
      <formula>0</formula>
    </cfRule>
    <cfRule type="cellIs" dxfId="118" priority="13" operator="greaterThan">
      <formula>0</formula>
    </cfRule>
  </conditionalFormatting>
  <conditionalFormatting sqref="AZ13:AZ23">
    <cfRule type="cellIs" dxfId="117"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57C77ADA-34CF-457A-B544-81EE0C359ABD}">
      <formula1>1</formula1>
      <formula2>2</formula2>
    </dataValidation>
    <dataValidation type="whole" errorStyle="information" allowBlank="1" showInputMessage="1" showErrorMessage="1" errorTitle="Must select 1 or 2" error="1 = Included in closure_x000a_2 = Excluded" sqref="V13:V162 AS13:AT162 AH13:AH162 L13:L162" xr:uid="{275F1050-305A-466E-92AF-A9EBF79D9CB2}">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D833674E-D72E-402A-A76E-3DDAAAC0198B}">
      <formula1>-1000000000</formula1>
      <formula2>1000000000</formula2>
    </dataValidation>
    <dataValidation type="whole" errorStyle="information" allowBlank="1" showInputMessage="1" showErrorMessage="1" errorTitle="Must select 1 or 2" error="1 = Multiplicative_x000a_2 = Additive" sqref="Z9:AG9 D9:K9 P9:R9 AL9:AR9 AZ7:AZ23" xr:uid="{C2619D70-9462-470D-8732-A8C6DA3E7257}">
      <formula1>1</formula1>
      <formula2>2</formula2>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8CC4-9D6A-4F50-92C4-FBE5B531E5BD}">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sim7</v>
      </c>
      <c r="B1" s="7"/>
      <c r="C1" s="4"/>
      <c r="D1" s="4"/>
      <c r="E1" s="4"/>
      <c r="F1" s="4"/>
      <c r="G1" s="4"/>
      <c r="H1" s="4"/>
      <c r="I1" s="4"/>
      <c r="J1" s="4"/>
      <c r="K1" s="4"/>
      <c r="L1" s="4"/>
      <c r="M1" s="4"/>
      <c r="N1" s="4"/>
      <c r="O1" s="4"/>
      <c r="P1" s="4"/>
      <c r="Q1" s="4"/>
      <c r="R1" s="4"/>
      <c r="S1" s="4"/>
      <c r="T1" s="4"/>
      <c r="U1" s="4"/>
      <c r="V1" s="4"/>
      <c r="W1" s="4"/>
      <c r="X1" s="4"/>
      <c r="Y1" s="4"/>
      <c r="Z1" s="4"/>
      <c r="AA1" s="4"/>
      <c r="AB1" s="4"/>
      <c r="AC1" s="4" t="str">
        <f>Main!C12</f>
        <v>sim7</v>
      </c>
      <c r="AD1" s="4" t="str">
        <f>IF(Main!E12&lt;&gt;"",Main!E12,"")</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34" priority="43" operator="greaterThan">
      <formula>1</formula>
    </cfRule>
  </conditionalFormatting>
  <conditionalFormatting sqref="L134:L162">
    <cfRule type="cellIs" dxfId="333" priority="23" operator="greaterThan">
      <formula>1</formula>
    </cfRule>
  </conditionalFormatting>
  <conditionalFormatting sqref="P9:R9">
    <cfRule type="cellIs" dxfId="332" priority="41" operator="greaterThan">
      <formula>1</formula>
    </cfRule>
  </conditionalFormatting>
  <conditionalFormatting sqref="P134:T162">
    <cfRule type="cellIs" dxfId="331" priority="21" operator="lessThan">
      <formula>0</formula>
    </cfRule>
    <cfRule type="cellIs" dxfId="330" priority="22" operator="greaterThan">
      <formula>0</formula>
    </cfRule>
  </conditionalFormatting>
  <conditionalFormatting sqref="U134:V162">
    <cfRule type="cellIs" dxfId="329" priority="20" operator="greaterThan">
      <formula>1</formula>
    </cfRule>
  </conditionalFormatting>
  <conditionalFormatting sqref="Z9:AG9">
    <cfRule type="cellIs" dxfId="328" priority="28" operator="greaterThan">
      <formula>1</formula>
    </cfRule>
  </conditionalFormatting>
  <conditionalFormatting sqref="Z134:AG162">
    <cfRule type="cellIs" dxfId="327" priority="18" operator="lessThan">
      <formula>0</formula>
    </cfRule>
    <cfRule type="cellIs" dxfId="326" priority="19" operator="greaterThan">
      <formula>0</formula>
    </cfRule>
  </conditionalFormatting>
  <conditionalFormatting sqref="AH134:AH162">
    <cfRule type="cellIs" dxfId="325" priority="17" operator="greaterThan">
      <formula>1</formula>
    </cfRule>
  </conditionalFormatting>
  <conditionalFormatting sqref="AL9:AR9">
    <cfRule type="cellIs" dxfId="324" priority="27" operator="greaterThan">
      <formula>1</formula>
    </cfRule>
  </conditionalFormatting>
  <conditionalFormatting sqref="AL134:AR162">
    <cfRule type="cellIs" dxfId="323" priority="15" operator="lessThan">
      <formula>0</formula>
    </cfRule>
    <cfRule type="cellIs" dxfId="322" priority="16" operator="greaterThan">
      <formula>0</formula>
    </cfRule>
  </conditionalFormatting>
  <conditionalFormatting sqref="AS134:AT162">
    <cfRule type="cellIs" dxfId="321" priority="14" operator="greaterThan">
      <formula>1</formula>
    </cfRule>
  </conditionalFormatting>
  <conditionalFormatting sqref="AY7:AY12 D134:K162">
    <cfRule type="cellIs" dxfId="320" priority="25" operator="lessThan">
      <formula>0</formula>
    </cfRule>
    <cfRule type="cellIs" dxfId="319" priority="26" operator="greaterThan">
      <formula>0</formula>
    </cfRule>
  </conditionalFormatting>
  <conditionalFormatting sqref="AZ7:AZ12">
    <cfRule type="cellIs" dxfId="318" priority="24" operator="greaterThan">
      <formula>1</formula>
    </cfRule>
  </conditionalFormatting>
  <conditionalFormatting sqref="L13:L133">
    <cfRule type="cellIs" dxfId="116" priority="10" operator="greaterThan">
      <formula>1</formula>
    </cfRule>
  </conditionalFormatting>
  <conditionalFormatting sqref="P13:T133">
    <cfRule type="cellIs" dxfId="115" priority="8" operator="lessThan">
      <formula>0</formula>
    </cfRule>
    <cfRule type="cellIs" dxfId="114" priority="9" operator="greaterThan">
      <formula>0</formula>
    </cfRule>
  </conditionalFormatting>
  <conditionalFormatting sqref="U13:V133">
    <cfRule type="cellIs" dxfId="113" priority="7" operator="greaterThan">
      <formula>1</formula>
    </cfRule>
  </conditionalFormatting>
  <conditionalFormatting sqref="Z13:AG133">
    <cfRule type="cellIs" dxfId="112" priority="5" operator="lessThan">
      <formula>0</formula>
    </cfRule>
    <cfRule type="cellIs" dxfId="111" priority="6" operator="greaterThan">
      <formula>0</formula>
    </cfRule>
  </conditionalFormatting>
  <conditionalFormatting sqref="AH13:AH133">
    <cfRule type="cellIs" dxfId="110" priority="4" operator="greaterThan">
      <formula>1</formula>
    </cfRule>
  </conditionalFormatting>
  <conditionalFormatting sqref="AL13:AR133">
    <cfRule type="cellIs" dxfId="109" priority="2" operator="lessThan">
      <formula>0</formula>
    </cfRule>
    <cfRule type="cellIs" dxfId="108" priority="3" operator="greaterThan">
      <formula>0</formula>
    </cfRule>
  </conditionalFormatting>
  <conditionalFormatting sqref="AS13:AT133">
    <cfRule type="cellIs" dxfId="107" priority="1" operator="greaterThan">
      <formula>1</formula>
    </cfRule>
  </conditionalFormatting>
  <conditionalFormatting sqref="AY13:AY23 D13:K133">
    <cfRule type="cellIs" dxfId="106" priority="12" operator="lessThan">
      <formula>0</formula>
    </cfRule>
    <cfRule type="cellIs" dxfId="105" priority="13" operator="greaterThan">
      <formula>0</formula>
    </cfRule>
  </conditionalFormatting>
  <conditionalFormatting sqref="AZ13:AZ23">
    <cfRule type="cellIs" dxfId="104"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69B00DA3-EBE4-4726-8109-C421CC7755F4}">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820805EE-E14D-440D-81DB-42F655D0E438}">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245437F4-1F33-4E39-9990-164E43C7E0CB}">
      <formula1>1</formula1>
      <formula2>2</formula2>
    </dataValidation>
    <dataValidation type="whole" errorStyle="information" allowBlank="1" showInputMessage="1" showErrorMessage="1" errorTitle="Must select 1 or 2" error="1 = Included in shock_x000a_2 = Excluded" sqref="U13:U162" xr:uid="{D2283127-E3AF-4262-A510-8D3FA9AB484C}">
      <formula1>1</formula1>
      <formula2>2</formula2>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71DE8-2780-4FB1-9DFF-6F48F014A130}">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sim8</v>
      </c>
      <c r="B1" s="7"/>
      <c r="C1" s="4"/>
      <c r="D1" s="4"/>
      <c r="E1" s="4"/>
      <c r="F1" s="4"/>
      <c r="G1" s="4"/>
      <c r="H1" s="4"/>
      <c r="I1" s="4"/>
      <c r="J1" s="4"/>
      <c r="K1" s="4"/>
      <c r="L1" s="4"/>
      <c r="M1" s="4"/>
      <c r="N1" s="4"/>
      <c r="O1" s="4"/>
      <c r="P1" s="4"/>
      <c r="Q1" s="4"/>
      <c r="R1" s="4"/>
      <c r="S1" s="4"/>
      <c r="T1" s="4"/>
      <c r="U1" s="4"/>
      <c r="V1" s="4"/>
      <c r="W1" s="4"/>
      <c r="X1" s="4"/>
      <c r="Y1" s="4"/>
      <c r="Z1" s="4"/>
      <c r="AA1" s="4"/>
      <c r="AB1" s="4"/>
      <c r="AC1" s="4" t="str">
        <f>Main!C13</f>
        <v>sim8</v>
      </c>
      <c r="AD1" s="4" t="str">
        <f>IF(Main!E13&lt;&gt;"",Main!E13,"")</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17" priority="43" operator="greaterThan">
      <formula>1</formula>
    </cfRule>
  </conditionalFormatting>
  <conditionalFormatting sqref="L134:L162">
    <cfRule type="cellIs" dxfId="316" priority="23" operator="greaterThan">
      <formula>1</formula>
    </cfRule>
  </conditionalFormatting>
  <conditionalFormatting sqref="P9:R9">
    <cfRule type="cellIs" dxfId="315" priority="41" operator="greaterThan">
      <formula>1</formula>
    </cfRule>
  </conditionalFormatting>
  <conditionalFormatting sqref="P134:T162">
    <cfRule type="cellIs" dxfId="314" priority="21" operator="lessThan">
      <formula>0</formula>
    </cfRule>
    <cfRule type="cellIs" dxfId="313" priority="22" operator="greaterThan">
      <formula>0</formula>
    </cfRule>
  </conditionalFormatting>
  <conditionalFormatting sqref="U134:V162">
    <cfRule type="cellIs" dxfId="312" priority="20" operator="greaterThan">
      <formula>1</formula>
    </cfRule>
  </conditionalFormatting>
  <conditionalFormatting sqref="Z9:AG9">
    <cfRule type="cellIs" dxfId="311" priority="28" operator="greaterThan">
      <formula>1</formula>
    </cfRule>
  </conditionalFormatting>
  <conditionalFormatting sqref="Z134:AG162">
    <cfRule type="cellIs" dxfId="310" priority="18" operator="lessThan">
      <formula>0</formula>
    </cfRule>
    <cfRule type="cellIs" dxfId="309" priority="19" operator="greaterThan">
      <formula>0</formula>
    </cfRule>
  </conditionalFormatting>
  <conditionalFormatting sqref="AH134:AH162">
    <cfRule type="cellIs" dxfId="308" priority="17" operator="greaterThan">
      <formula>1</formula>
    </cfRule>
  </conditionalFormatting>
  <conditionalFormatting sqref="AL9:AR9">
    <cfRule type="cellIs" dxfId="307" priority="27" operator="greaterThan">
      <formula>1</formula>
    </cfRule>
  </conditionalFormatting>
  <conditionalFormatting sqref="AL134:AR162">
    <cfRule type="cellIs" dxfId="306" priority="15" operator="lessThan">
      <formula>0</formula>
    </cfRule>
    <cfRule type="cellIs" dxfId="305" priority="16" operator="greaterThan">
      <formula>0</formula>
    </cfRule>
  </conditionalFormatting>
  <conditionalFormatting sqref="AS134:AT162">
    <cfRule type="cellIs" dxfId="304" priority="14" operator="greaterThan">
      <formula>1</formula>
    </cfRule>
  </conditionalFormatting>
  <conditionalFormatting sqref="AY7:AY12 D134:K162">
    <cfRule type="cellIs" dxfId="303" priority="25" operator="lessThan">
      <formula>0</formula>
    </cfRule>
    <cfRule type="cellIs" dxfId="302" priority="26" operator="greaterThan">
      <formula>0</formula>
    </cfRule>
  </conditionalFormatting>
  <conditionalFormatting sqref="AZ7:AZ12">
    <cfRule type="cellIs" dxfId="301" priority="24" operator="greaterThan">
      <formula>1</formula>
    </cfRule>
  </conditionalFormatting>
  <conditionalFormatting sqref="L13:L133">
    <cfRule type="cellIs" dxfId="103" priority="10" operator="greaterThan">
      <formula>1</formula>
    </cfRule>
  </conditionalFormatting>
  <conditionalFormatting sqref="P13:T133">
    <cfRule type="cellIs" dxfId="102" priority="8" operator="lessThan">
      <formula>0</formula>
    </cfRule>
    <cfRule type="cellIs" dxfId="101" priority="9" operator="greaterThan">
      <formula>0</formula>
    </cfRule>
  </conditionalFormatting>
  <conditionalFormatting sqref="U13:V133">
    <cfRule type="cellIs" dxfId="100" priority="7" operator="greaterThan">
      <formula>1</formula>
    </cfRule>
  </conditionalFormatting>
  <conditionalFormatting sqref="Z13:AG133">
    <cfRule type="cellIs" dxfId="99" priority="5" operator="lessThan">
      <formula>0</formula>
    </cfRule>
    <cfRule type="cellIs" dxfId="98" priority="6" operator="greaterThan">
      <formula>0</formula>
    </cfRule>
  </conditionalFormatting>
  <conditionalFormatting sqref="AH13:AH133">
    <cfRule type="cellIs" dxfId="97" priority="4" operator="greaterThan">
      <formula>1</formula>
    </cfRule>
  </conditionalFormatting>
  <conditionalFormatting sqref="AL13:AR133">
    <cfRule type="cellIs" dxfId="96" priority="2" operator="lessThan">
      <formula>0</formula>
    </cfRule>
    <cfRule type="cellIs" dxfId="95" priority="3" operator="greaterThan">
      <formula>0</formula>
    </cfRule>
  </conditionalFormatting>
  <conditionalFormatting sqref="AS13:AT133">
    <cfRule type="cellIs" dxfId="94" priority="1" operator="greaterThan">
      <formula>1</formula>
    </cfRule>
  </conditionalFormatting>
  <conditionalFormatting sqref="AY13:AY23 D13:K133">
    <cfRule type="cellIs" dxfId="93" priority="12" operator="lessThan">
      <formula>0</formula>
    </cfRule>
    <cfRule type="cellIs" dxfId="92" priority="13" operator="greaterThan">
      <formula>0</formula>
    </cfRule>
  </conditionalFormatting>
  <conditionalFormatting sqref="AZ13:AZ23">
    <cfRule type="cellIs" dxfId="91"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5F8DBD71-7F2D-4F78-BA16-6FA47E2247D9}">
      <formula1>1</formula1>
      <formula2>2</formula2>
    </dataValidation>
    <dataValidation type="whole" errorStyle="information" allowBlank="1" showInputMessage="1" showErrorMessage="1" errorTitle="Must select 1 or 2" error="1 = Included in closure_x000a_2 = Excluded" sqref="V13:V162 AS13:AT162 AH13:AH162 L13:L162" xr:uid="{6B105AFA-66DC-45A8-8BDB-01D9D9CDC16E}">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5FF3250E-7D39-4434-8C0D-CAEA78C78008}">
      <formula1>-1000000000</formula1>
      <formula2>1000000000</formula2>
    </dataValidation>
    <dataValidation type="whole" errorStyle="information" allowBlank="1" showInputMessage="1" showErrorMessage="1" errorTitle="Must select 1 or 2" error="1 = Multiplicative_x000a_2 = Additive" sqref="Z9:AG9 D9:K9 P9:R9 AL9:AR9 AZ7:AZ23" xr:uid="{2E8565C6-EE09-42CE-A145-64190597EBCF}">
      <formula1>1</formula1>
      <formula2>2</formula2>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3503-788E-4174-B828-9ECDFB437E0E}">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sim9</v>
      </c>
      <c r="B1" s="7"/>
      <c r="C1" s="4"/>
      <c r="D1" s="4"/>
      <c r="E1" s="4"/>
      <c r="F1" s="4"/>
      <c r="G1" s="4"/>
      <c r="H1" s="4"/>
      <c r="I1" s="4"/>
      <c r="J1" s="4"/>
      <c r="K1" s="4"/>
      <c r="L1" s="4"/>
      <c r="M1" s="4"/>
      <c r="N1" s="4"/>
      <c r="O1" s="4"/>
      <c r="P1" s="4"/>
      <c r="Q1" s="4"/>
      <c r="R1" s="4"/>
      <c r="S1" s="4"/>
      <c r="T1" s="4"/>
      <c r="U1" s="4"/>
      <c r="V1" s="4"/>
      <c r="W1" s="4"/>
      <c r="X1" s="4"/>
      <c r="Y1" s="4"/>
      <c r="Z1" s="4"/>
      <c r="AA1" s="4"/>
      <c r="AB1" s="4"/>
      <c r="AC1" s="4" t="str">
        <f>Main!C14</f>
        <v>sim9</v>
      </c>
      <c r="AD1" s="4" t="str">
        <f>IF(Main!E14&lt;&gt;"",Main!E14,"")</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300" priority="43" operator="greaterThan">
      <formula>1</formula>
    </cfRule>
  </conditionalFormatting>
  <conditionalFormatting sqref="L134:L162">
    <cfRule type="cellIs" dxfId="299" priority="23" operator="greaterThan">
      <formula>1</formula>
    </cfRule>
  </conditionalFormatting>
  <conditionalFormatting sqref="P9:R9">
    <cfRule type="cellIs" dxfId="298" priority="41" operator="greaterThan">
      <formula>1</formula>
    </cfRule>
  </conditionalFormatting>
  <conditionalFormatting sqref="P134:T162">
    <cfRule type="cellIs" dxfId="297" priority="21" operator="lessThan">
      <formula>0</formula>
    </cfRule>
    <cfRule type="cellIs" dxfId="296" priority="22" operator="greaterThan">
      <formula>0</formula>
    </cfRule>
  </conditionalFormatting>
  <conditionalFormatting sqref="U134:V162">
    <cfRule type="cellIs" dxfId="295" priority="20" operator="greaterThan">
      <formula>1</formula>
    </cfRule>
  </conditionalFormatting>
  <conditionalFormatting sqref="Z9:AG9">
    <cfRule type="cellIs" dxfId="294" priority="28" operator="greaterThan">
      <formula>1</formula>
    </cfRule>
  </conditionalFormatting>
  <conditionalFormatting sqref="Z134:AG162">
    <cfRule type="cellIs" dxfId="293" priority="18" operator="lessThan">
      <formula>0</formula>
    </cfRule>
    <cfRule type="cellIs" dxfId="292" priority="19" operator="greaterThan">
      <formula>0</formula>
    </cfRule>
  </conditionalFormatting>
  <conditionalFormatting sqref="AH134:AH162">
    <cfRule type="cellIs" dxfId="291" priority="17" operator="greaterThan">
      <formula>1</formula>
    </cfRule>
  </conditionalFormatting>
  <conditionalFormatting sqref="AL9:AR9">
    <cfRule type="cellIs" dxfId="290" priority="27" operator="greaterThan">
      <formula>1</formula>
    </cfRule>
  </conditionalFormatting>
  <conditionalFormatting sqref="AL134:AR162">
    <cfRule type="cellIs" dxfId="289" priority="15" operator="lessThan">
      <formula>0</formula>
    </cfRule>
    <cfRule type="cellIs" dxfId="288" priority="16" operator="greaterThan">
      <formula>0</formula>
    </cfRule>
  </conditionalFormatting>
  <conditionalFormatting sqref="AS134:AT162">
    <cfRule type="cellIs" dxfId="287" priority="14" operator="greaterThan">
      <formula>1</formula>
    </cfRule>
  </conditionalFormatting>
  <conditionalFormatting sqref="AY7:AY12 D134:K162">
    <cfRule type="cellIs" dxfId="286" priority="25" operator="lessThan">
      <formula>0</formula>
    </cfRule>
    <cfRule type="cellIs" dxfId="285" priority="26" operator="greaterThan">
      <formula>0</formula>
    </cfRule>
  </conditionalFormatting>
  <conditionalFormatting sqref="AZ7:AZ12">
    <cfRule type="cellIs" dxfId="284" priority="24" operator="greaterThan">
      <formula>1</formula>
    </cfRule>
  </conditionalFormatting>
  <conditionalFormatting sqref="L13:L133">
    <cfRule type="cellIs" dxfId="90" priority="10" operator="greaterThan">
      <formula>1</formula>
    </cfRule>
  </conditionalFormatting>
  <conditionalFormatting sqref="P13:T133">
    <cfRule type="cellIs" dxfId="89" priority="8" operator="lessThan">
      <formula>0</formula>
    </cfRule>
    <cfRule type="cellIs" dxfId="88" priority="9" operator="greaterThan">
      <formula>0</formula>
    </cfRule>
  </conditionalFormatting>
  <conditionalFormatting sqref="U13:V133">
    <cfRule type="cellIs" dxfId="87" priority="7" operator="greaterThan">
      <formula>1</formula>
    </cfRule>
  </conditionalFormatting>
  <conditionalFormatting sqref="Z13:AG133">
    <cfRule type="cellIs" dxfId="86" priority="5" operator="lessThan">
      <formula>0</formula>
    </cfRule>
    <cfRule type="cellIs" dxfId="85" priority="6" operator="greaterThan">
      <formula>0</formula>
    </cfRule>
  </conditionalFormatting>
  <conditionalFormatting sqref="AH13:AH133">
    <cfRule type="cellIs" dxfId="84" priority="4" operator="greaterThan">
      <formula>1</formula>
    </cfRule>
  </conditionalFormatting>
  <conditionalFormatting sqref="AL13:AR133">
    <cfRule type="cellIs" dxfId="83" priority="2" operator="lessThan">
      <formula>0</formula>
    </cfRule>
    <cfRule type="cellIs" dxfId="82" priority="3" operator="greaterThan">
      <formula>0</formula>
    </cfRule>
  </conditionalFormatting>
  <conditionalFormatting sqref="AS13:AT133">
    <cfRule type="cellIs" dxfId="81" priority="1" operator="greaterThan">
      <formula>1</formula>
    </cfRule>
  </conditionalFormatting>
  <conditionalFormatting sqref="AY13:AY23 D13:K133">
    <cfRule type="cellIs" dxfId="80" priority="12" operator="lessThan">
      <formula>0</formula>
    </cfRule>
    <cfRule type="cellIs" dxfId="79" priority="13" operator="greaterThan">
      <formula>0</formula>
    </cfRule>
  </conditionalFormatting>
  <conditionalFormatting sqref="AZ13:AZ23">
    <cfRule type="cellIs" dxfId="78"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3A72DECA-FBA4-47D8-B491-1E4CB7E1596F}">
      <formula1>1</formula1>
      <formula2>2</formula2>
    </dataValidation>
    <dataValidation type="whole" errorStyle="information" allowBlank="1" showInputMessage="1" showErrorMessage="1" errorTitle="Must select 1 or 2" error="1 = Included in closure_x000a_2 = Excluded" sqref="V13:V162 AS13:AT162 AH13:AH162 L13:L162" xr:uid="{8D4873C0-2E1A-4AD7-9150-479EA403D83D}">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F188D50B-6813-4434-B184-D74ADA15C2BF}">
      <formula1>-1000000000</formula1>
      <formula2>1000000000</formula2>
    </dataValidation>
    <dataValidation type="whole" errorStyle="information" allowBlank="1" showInputMessage="1" showErrorMessage="1" errorTitle="Must select 1 or 2" error="1 = Multiplicative_x000a_2 = Additive" sqref="Z9:AG9 D9:K9 P9:R9 AL9:AR9 AZ7:AZ23" xr:uid="{C1DF6CF1-0809-4AC3-88D6-FC419622465F}">
      <formula1>1</formula1>
      <formula2>2</formula2>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439D-62FE-45B9-A892-1E8F8E69F2C5}">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sim10</v>
      </c>
      <c r="B1" s="7"/>
      <c r="C1" s="4"/>
      <c r="D1" s="4"/>
      <c r="E1" s="4"/>
      <c r="F1" s="4"/>
      <c r="G1" s="4"/>
      <c r="H1" s="4"/>
      <c r="I1" s="4"/>
      <c r="J1" s="4"/>
      <c r="K1" s="4"/>
      <c r="L1" s="4"/>
      <c r="M1" s="4"/>
      <c r="N1" s="4"/>
      <c r="O1" s="4"/>
      <c r="P1" s="4"/>
      <c r="Q1" s="4"/>
      <c r="R1" s="4"/>
      <c r="S1" s="4"/>
      <c r="T1" s="4"/>
      <c r="U1" s="4"/>
      <c r="V1" s="4"/>
      <c r="W1" s="4"/>
      <c r="X1" s="4"/>
      <c r="Y1" s="4"/>
      <c r="Z1" s="4"/>
      <c r="AA1" s="4"/>
      <c r="AB1" s="4"/>
      <c r="AC1" s="4" t="str">
        <f>Main!C15</f>
        <v>sim10</v>
      </c>
      <c r="AD1" s="4" t="str">
        <f>IF(Main!E15&lt;&gt;"",Main!E15,"")</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283" priority="43" operator="greaterThan">
      <formula>1</formula>
    </cfRule>
  </conditionalFormatting>
  <conditionalFormatting sqref="L134:L162">
    <cfRule type="cellIs" dxfId="282" priority="23" operator="greaterThan">
      <formula>1</formula>
    </cfRule>
  </conditionalFormatting>
  <conditionalFormatting sqref="P9:R9">
    <cfRule type="cellIs" dxfId="281" priority="41" operator="greaterThan">
      <formula>1</formula>
    </cfRule>
  </conditionalFormatting>
  <conditionalFormatting sqref="P134:T162">
    <cfRule type="cellIs" dxfId="280" priority="21" operator="lessThan">
      <formula>0</formula>
    </cfRule>
    <cfRule type="cellIs" dxfId="279" priority="22" operator="greaterThan">
      <formula>0</formula>
    </cfRule>
  </conditionalFormatting>
  <conditionalFormatting sqref="U134:V162">
    <cfRule type="cellIs" dxfId="278" priority="20" operator="greaterThan">
      <formula>1</formula>
    </cfRule>
  </conditionalFormatting>
  <conditionalFormatting sqref="Z9:AG9">
    <cfRule type="cellIs" dxfId="277" priority="28" operator="greaterThan">
      <formula>1</formula>
    </cfRule>
  </conditionalFormatting>
  <conditionalFormatting sqref="Z134:AG162">
    <cfRule type="cellIs" dxfId="276" priority="18" operator="lessThan">
      <formula>0</formula>
    </cfRule>
    <cfRule type="cellIs" dxfId="275" priority="19" operator="greaterThan">
      <formula>0</formula>
    </cfRule>
  </conditionalFormatting>
  <conditionalFormatting sqref="AH134:AH162">
    <cfRule type="cellIs" dxfId="274" priority="17" operator="greaterThan">
      <formula>1</formula>
    </cfRule>
  </conditionalFormatting>
  <conditionalFormatting sqref="AL9:AR9">
    <cfRule type="cellIs" dxfId="273" priority="27" operator="greaterThan">
      <formula>1</formula>
    </cfRule>
  </conditionalFormatting>
  <conditionalFormatting sqref="AL134:AR162">
    <cfRule type="cellIs" dxfId="272" priority="15" operator="lessThan">
      <formula>0</formula>
    </cfRule>
    <cfRule type="cellIs" dxfId="271" priority="16" operator="greaterThan">
      <formula>0</formula>
    </cfRule>
  </conditionalFormatting>
  <conditionalFormatting sqref="AS134:AT162">
    <cfRule type="cellIs" dxfId="270" priority="14" operator="greaterThan">
      <formula>1</formula>
    </cfRule>
  </conditionalFormatting>
  <conditionalFormatting sqref="AY7:AY12 D134:K162">
    <cfRule type="cellIs" dxfId="269" priority="25" operator="lessThan">
      <formula>0</formula>
    </cfRule>
    <cfRule type="cellIs" dxfId="268" priority="26" operator="greaterThan">
      <formula>0</formula>
    </cfRule>
  </conditionalFormatting>
  <conditionalFormatting sqref="AZ7:AZ12">
    <cfRule type="cellIs" dxfId="267" priority="24" operator="greaterThan">
      <formula>1</formula>
    </cfRule>
  </conditionalFormatting>
  <conditionalFormatting sqref="L13:L133">
    <cfRule type="cellIs" dxfId="77" priority="10" operator="greaterThan">
      <formula>1</formula>
    </cfRule>
  </conditionalFormatting>
  <conditionalFormatting sqref="P13:T133">
    <cfRule type="cellIs" dxfId="76" priority="8" operator="lessThan">
      <formula>0</formula>
    </cfRule>
    <cfRule type="cellIs" dxfId="75" priority="9" operator="greaterThan">
      <formula>0</formula>
    </cfRule>
  </conditionalFormatting>
  <conditionalFormatting sqref="U13:V133">
    <cfRule type="cellIs" dxfId="74" priority="7" operator="greaterThan">
      <formula>1</formula>
    </cfRule>
  </conditionalFormatting>
  <conditionalFormatting sqref="Z13:AG133">
    <cfRule type="cellIs" dxfId="73" priority="5" operator="lessThan">
      <formula>0</formula>
    </cfRule>
    <cfRule type="cellIs" dxfId="72" priority="6" operator="greaterThan">
      <formula>0</formula>
    </cfRule>
  </conditionalFormatting>
  <conditionalFormatting sqref="AH13:AH133">
    <cfRule type="cellIs" dxfId="71" priority="4" operator="greaterThan">
      <formula>1</formula>
    </cfRule>
  </conditionalFormatting>
  <conditionalFormatting sqref="AL13:AR133">
    <cfRule type="cellIs" dxfId="70" priority="2" operator="lessThan">
      <formula>0</formula>
    </cfRule>
    <cfRule type="cellIs" dxfId="69" priority="3" operator="greaterThan">
      <formula>0</formula>
    </cfRule>
  </conditionalFormatting>
  <conditionalFormatting sqref="AS13:AT133">
    <cfRule type="cellIs" dxfId="68" priority="1" operator="greaterThan">
      <formula>1</formula>
    </cfRule>
  </conditionalFormatting>
  <conditionalFormatting sqref="AY13:AY23 D13:K133">
    <cfRule type="cellIs" dxfId="67" priority="12" operator="lessThan">
      <formula>0</formula>
    </cfRule>
    <cfRule type="cellIs" dxfId="66" priority="13" operator="greaterThan">
      <formula>0</formula>
    </cfRule>
  </conditionalFormatting>
  <conditionalFormatting sqref="AZ13:AZ23">
    <cfRule type="cellIs" dxfId="65"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DEF7E4E1-5482-446A-A559-1EABED725F55}">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EA092713-7B47-4D9B-BCF8-627C2A6B6FB7}">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C4262E6C-24E7-4E81-9796-7120603C05D6}">
      <formula1>1</formula1>
      <formula2>2</formula2>
    </dataValidation>
    <dataValidation type="whole" errorStyle="information" allowBlank="1" showInputMessage="1" showErrorMessage="1" errorTitle="Must select 1 or 2" error="1 = Included in shock_x000a_2 = Excluded" sqref="U13:U162" xr:uid="{95B0D79F-AAB8-4E34-BF73-7B191C94C658}">
      <formula1>1</formula1>
      <formula2>2</formula2>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8BF4-6D08-4141-B119-8A16F67D8954}">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sim11</v>
      </c>
      <c r="B1" s="7"/>
      <c r="C1" s="4"/>
      <c r="D1" s="4"/>
      <c r="E1" s="4"/>
      <c r="F1" s="4"/>
      <c r="G1" s="4"/>
      <c r="H1" s="4"/>
      <c r="I1" s="4"/>
      <c r="J1" s="4"/>
      <c r="K1" s="4"/>
      <c r="L1" s="4"/>
      <c r="M1" s="4"/>
      <c r="N1" s="4"/>
      <c r="O1" s="4"/>
      <c r="P1" s="4"/>
      <c r="Q1" s="4"/>
      <c r="R1" s="4"/>
      <c r="S1" s="4"/>
      <c r="T1" s="4"/>
      <c r="U1" s="4"/>
      <c r="V1" s="4"/>
      <c r="W1" s="4"/>
      <c r="X1" s="4"/>
      <c r="Y1" s="4"/>
      <c r="Z1" s="4"/>
      <c r="AA1" s="4"/>
      <c r="AB1" s="4"/>
      <c r="AC1" s="4" t="str">
        <f>Main!C16</f>
        <v>sim11</v>
      </c>
      <c r="AD1" s="4" t="str">
        <f>IF(Main!E16&lt;&gt;"",Main!E16,"")</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266" priority="43" operator="greaterThan">
      <formula>1</formula>
    </cfRule>
  </conditionalFormatting>
  <conditionalFormatting sqref="L134:L162">
    <cfRule type="cellIs" dxfId="265" priority="23" operator="greaterThan">
      <formula>1</formula>
    </cfRule>
  </conditionalFormatting>
  <conditionalFormatting sqref="P9:R9">
    <cfRule type="cellIs" dxfId="264" priority="41" operator="greaterThan">
      <formula>1</formula>
    </cfRule>
  </conditionalFormatting>
  <conditionalFormatting sqref="P134:T162">
    <cfRule type="cellIs" dxfId="263" priority="21" operator="lessThan">
      <formula>0</formula>
    </cfRule>
    <cfRule type="cellIs" dxfId="262" priority="22" operator="greaterThan">
      <formula>0</formula>
    </cfRule>
  </conditionalFormatting>
  <conditionalFormatting sqref="U134:V162">
    <cfRule type="cellIs" dxfId="261" priority="20" operator="greaterThan">
      <formula>1</formula>
    </cfRule>
  </conditionalFormatting>
  <conditionalFormatting sqref="Z9:AG9">
    <cfRule type="cellIs" dxfId="260" priority="28" operator="greaterThan">
      <formula>1</formula>
    </cfRule>
  </conditionalFormatting>
  <conditionalFormatting sqref="Z134:AG162">
    <cfRule type="cellIs" dxfId="259" priority="18" operator="lessThan">
      <formula>0</formula>
    </cfRule>
    <cfRule type="cellIs" dxfId="258" priority="19" operator="greaterThan">
      <formula>0</formula>
    </cfRule>
  </conditionalFormatting>
  <conditionalFormatting sqref="AH134:AH162">
    <cfRule type="cellIs" dxfId="257" priority="17" operator="greaterThan">
      <formula>1</formula>
    </cfRule>
  </conditionalFormatting>
  <conditionalFormatting sqref="AL9:AR9">
    <cfRule type="cellIs" dxfId="256" priority="27" operator="greaterThan">
      <formula>1</formula>
    </cfRule>
  </conditionalFormatting>
  <conditionalFormatting sqref="AL134:AR162">
    <cfRule type="cellIs" dxfId="255" priority="15" operator="lessThan">
      <formula>0</formula>
    </cfRule>
    <cfRule type="cellIs" dxfId="254" priority="16" operator="greaterThan">
      <formula>0</formula>
    </cfRule>
  </conditionalFormatting>
  <conditionalFormatting sqref="AS134:AT162">
    <cfRule type="cellIs" dxfId="253" priority="14" operator="greaterThan">
      <formula>1</formula>
    </cfRule>
  </conditionalFormatting>
  <conditionalFormatting sqref="AY7:AY12 D134:K162">
    <cfRule type="cellIs" dxfId="252" priority="25" operator="lessThan">
      <formula>0</formula>
    </cfRule>
    <cfRule type="cellIs" dxfId="251" priority="26" operator="greaterThan">
      <formula>0</formula>
    </cfRule>
  </conditionalFormatting>
  <conditionalFormatting sqref="AZ7:AZ12">
    <cfRule type="cellIs" dxfId="250" priority="24" operator="greaterThan">
      <formula>1</formula>
    </cfRule>
  </conditionalFormatting>
  <conditionalFormatting sqref="L13:L133">
    <cfRule type="cellIs" dxfId="64" priority="10" operator="greaterThan">
      <formula>1</formula>
    </cfRule>
  </conditionalFormatting>
  <conditionalFormatting sqref="P13:T133">
    <cfRule type="cellIs" dxfId="63" priority="8" operator="lessThan">
      <formula>0</formula>
    </cfRule>
    <cfRule type="cellIs" dxfId="62" priority="9" operator="greaterThan">
      <formula>0</formula>
    </cfRule>
  </conditionalFormatting>
  <conditionalFormatting sqref="U13:V133">
    <cfRule type="cellIs" dxfId="61" priority="7" operator="greaterThan">
      <formula>1</formula>
    </cfRule>
  </conditionalFormatting>
  <conditionalFormatting sqref="Z13:AG133">
    <cfRule type="cellIs" dxfId="60" priority="5" operator="lessThan">
      <formula>0</formula>
    </cfRule>
    <cfRule type="cellIs" dxfId="59" priority="6" operator="greaterThan">
      <formula>0</formula>
    </cfRule>
  </conditionalFormatting>
  <conditionalFormatting sqref="AH13:AH133">
    <cfRule type="cellIs" dxfId="58" priority="4" operator="greaterThan">
      <formula>1</formula>
    </cfRule>
  </conditionalFormatting>
  <conditionalFormatting sqref="AL13:AR133">
    <cfRule type="cellIs" dxfId="57" priority="2" operator="lessThan">
      <formula>0</formula>
    </cfRule>
    <cfRule type="cellIs" dxfId="56" priority="3" operator="greaterThan">
      <formula>0</formula>
    </cfRule>
  </conditionalFormatting>
  <conditionalFormatting sqref="AS13:AT133">
    <cfRule type="cellIs" dxfId="55" priority="1" operator="greaterThan">
      <formula>1</formula>
    </cfRule>
  </conditionalFormatting>
  <conditionalFormatting sqref="AY13:AY23 D13:K133">
    <cfRule type="cellIs" dxfId="54" priority="12" operator="lessThan">
      <formula>0</formula>
    </cfRule>
    <cfRule type="cellIs" dxfId="53" priority="13" operator="greaterThan">
      <formula>0</formula>
    </cfRule>
  </conditionalFormatting>
  <conditionalFormatting sqref="AZ13:AZ23">
    <cfRule type="cellIs" dxfId="52"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F0963093-F6FB-4814-84E9-F22FFA6C1F35}">
      <formula1>1</formula1>
      <formula2>2</formula2>
    </dataValidation>
    <dataValidation type="whole" errorStyle="information" allowBlank="1" showInputMessage="1" showErrorMessage="1" errorTitle="Must select 1 or 2" error="1 = Included in closure_x000a_2 = Excluded" sqref="V13:V162 AS13:AT162 AH13:AH162 L13:L162" xr:uid="{EB94C48D-A083-4172-80AF-3435986C17F7}">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DF64BA45-20A6-4915-AEEA-029217452173}">
      <formula1>-1000000000</formula1>
      <formula2>1000000000</formula2>
    </dataValidation>
    <dataValidation type="whole" errorStyle="information" allowBlank="1" showInputMessage="1" showErrorMessage="1" errorTitle="Must select 1 or 2" error="1 = Multiplicative_x000a_2 = Additive" sqref="Z9:AG9 D9:K9 P9:R9 AL9:AR9 AZ7:AZ23" xr:uid="{F706E6C9-99C2-44D8-9D6A-CFFB0974C79C}">
      <formula1>1</formula1>
      <formula2>2</formula2>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8321-6161-4A1D-BD7F-9147CBFE5D7C}">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sim12</v>
      </c>
      <c r="B1" s="7"/>
      <c r="C1" s="4"/>
      <c r="D1" s="4"/>
      <c r="E1" s="4"/>
      <c r="F1" s="4"/>
      <c r="G1" s="4"/>
      <c r="H1" s="4"/>
      <c r="I1" s="4"/>
      <c r="J1" s="4"/>
      <c r="K1" s="4"/>
      <c r="L1" s="4"/>
      <c r="M1" s="4"/>
      <c r="N1" s="4"/>
      <c r="O1" s="4"/>
      <c r="P1" s="4"/>
      <c r="Q1" s="4"/>
      <c r="R1" s="4"/>
      <c r="S1" s="4"/>
      <c r="T1" s="4"/>
      <c r="U1" s="4"/>
      <c r="V1" s="4"/>
      <c r="W1" s="4"/>
      <c r="X1" s="4"/>
      <c r="Y1" s="4"/>
      <c r="Z1" s="4"/>
      <c r="AA1" s="4"/>
      <c r="AB1" s="4"/>
      <c r="AC1" s="4" t="str">
        <f>Main!C17</f>
        <v>sim12</v>
      </c>
      <c r="AD1" s="4" t="str">
        <f>IF(Main!E17&lt;&gt;"",Main!E17,"")</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249" priority="43" operator="greaterThan">
      <formula>1</formula>
    </cfRule>
  </conditionalFormatting>
  <conditionalFormatting sqref="L134:L162">
    <cfRule type="cellIs" dxfId="248" priority="23" operator="greaterThan">
      <formula>1</formula>
    </cfRule>
  </conditionalFormatting>
  <conditionalFormatting sqref="P9:R9">
    <cfRule type="cellIs" dxfId="247" priority="41" operator="greaterThan">
      <formula>1</formula>
    </cfRule>
  </conditionalFormatting>
  <conditionalFormatting sqref="P134:T162">
    <cfRule type="cellIs" dxfId="246" priority="21" operator="lessThan">
      <formula>0</formula>
    </cfRule>
    <cfRule type="cellIs" dxfId="245" priority="22" operator="greaterThan">
      <formula>0</formula>
    </cfRule>
  </conditionalFormatting>
  <conditionalFormatting sqref="U134:V162">
    <cfRule type="cellIs" dxfId="244" priority="20" operator="greaterThan">
      <formula>1</formula>
    </cfRule>
  </conditionalFormatting>
  <conditionalFormatting sqref="Z9:AG9">
    <cfRule type="cellIs" dxfId="243" priority="28" operator="greaterThan">
      <formula>1</formula>
    </cfRule>
  </conditionalFormatting>
  <conditionalFormatting sqref="Z134:AG162">
    <cfRule type="cellIs" dxfId="242" priority="18" operator="lessThan">
      <formula>0</formula>
    </cfRule>
    <cfRule type="cellIs" dxfId="241" priority="19" operator="greaterThan">
      <formula>0</formula>
    </cfRule>
  </conditionalFormatting>
  <conditionalFormatting sqref="AH134:AH162">
    <cfRule type="cellIs" dxfId="240" priority="17" operator="greaterThan">
      <formula>1</formula>
    </cfRule>
  </conditionalFormatting>
  <conditionalFormatting sqref="AL9:AR9">
    <cfRule type="cellIs" dxfId="239" priority="27" operator="greaterThan">
      <formula>1</formula>
    </cfRule>
  </conditionalFormatting>
  <conditionalFormatting sqref="AL134:AR162">
    <cfRule type="cellIs" dxfId="238" priority="15" operator="lessThan">
      <formula>0</formula>
    </cfRule>
    <cfRule type="cellIs" dxfId="237" priority="16" operator="greaterThan">
      <formula>0</formula>
    </cfRule>
  </conditionalFormatting>
  <conditionalFormatting sqref="AS134:AT162">
    <cfRule type="cellIs" dxfId="236" priority="14" operator="greaterThan">
      <formula>1</formula>
    </cfRule>
  </conditionalFormatting>
  <conditionalFormatting sqref="AY7:AY12 D134:K162">
    <cfRule type="cellIs" dxfId="235" priority="25" operator="lessThan">
      <formula>0</formula>
    </cfRule>
    <cfRule type="cellIs" dxfId="234" priority="26" operator="greaterThan">
      <formula>0</formula>
    </cfRule>
  </conditionalFormatting>
  <conditionalFormatting sqref="AZ7:AZ12">
    <cfRule type="cellIs" dxfId="233" priority="24" operator="greaterThan">
      <formula>1</formula>
    </cfRule>
  </conditionalFormatting>
  <conditionalFormatting sqref="L13:L133">
    <cfRule type="cellIs" dxfId="51" priority="10" operator="greaterThan">
      <formula>1</formula>
    </cfRule>
  </conditionalFormatting>
  <conditionalFormatting sqref="P13:T133">
    <cfRule type="cellIs" dxfId="50" priority="8" operator="lessThan">
      <formula>0</formula>
    </cfRule>
    <cfRule type="cellIs" dxfId="49" priority="9" operator="greaterThan">
      <formula>0</formula>
    </cfRule>
  </conditionalFormatting>
  <conditionalFormatting sqref="U13:V133">
    <cfRule type="cellIs" dxfId="48" priority="7" operator="greaterThan">
      <formula>1</formula>
    </cfRule>
  </conditionalFormatting>
  <conditionalFormatting sqref="Z13:AG133">
    <cfRule type="cellIs" dxfId="47" priority="5" operator="lessThan">
      <formula>0</formula>
    </cfRule>
    <cfRule type="cellIs" dxfId="46" priority="6" operator="greaterThan">
      <formula>0</formula>
    </cfRule>
  </conditionalFormatting>
  <conditionalFormatting sqref="AH13:AH133">
    <cfRule type="cellIs" dxfId="45" priority="4" operator="greaterThan">
      <formula>1</formula>
    </cfRule>
  </conditionalFormatting>
  <conditionalFormatting sqref="AL13:AR133">
    <cfRule type="cellIs" dxfId="44" priority="2" operator="lessThan">
      <formula>0</formula>
    </cfRule>
    <cfRule type="cellIs" dxfId="43" priority="3" operator="greaterThan">
      <formula>0</formula>
    </cfRule>
  </conditionalFormatting>
  <conditionalFormatting sqref="AS13:AT133">
    <cfRule type="cellIs" dxfId="42" priority="1" operator="greaterThan">
      <formula>1</formula>
    </cfRule>
  </conditionalFormatting>
  <conditionalFormatting sqref="AY13:AY23 D13:K133">
    <cfRule type="cellIs" dxfId="41" priority="12" operator="lessThan">
      <formula>0</formula>
    </cfRule>
    <cfRule type="cellIs" dxfId="40" priority="13" operator="greaterThan">
      <formula>0</formula>
    </cfRule>
  </conditionalFormatting>
  <conditionalFormatting sqref="AZ13:AZ23">
    <cfRule type="cellIs" dxfId="39"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D77FD39F-F347-4213-B8FF-048C3980A754}">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B2E62C46-B093-40C2-A504-D3AC8CE842E4}">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D1F8EBA6-D0C4-487F-812F-4EFE7BE191AC}">
      <formula1>1</formula1>
      <formula2>2</formula2>
    </dataValidation>
    <dataValidation type="whole" errorStyle="information" allowBlank="1" showInputMessage="1" showErrorMessage="1" errorTitle="Must select 1 or 2" error="1 = Included in shock_x000a_2 = Excluded" sqref="U13:U162" xr:uid="{F72F1A1D-1C0B-40B4-B742-1FC703D7D70D}">
      <formula1>1</formula1>
      <formula2>2</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B145-7BA4-43BC-B4C6-76A3B59EA848}">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sim13</v>
      </c>
      <c r="B1" s="7"/>
      <c r="C1" s="4"/>
      <c r="D1" s="4"/>
      <c r="E1" s="4"/>
      <c r="F1" s="4"/>
      <c r="G1" s="4"/>
      <c r="H1" s="4"/>
      <c r="I1" s="4"/>
      <c r="J1" s="4"/>
      <c r="K1" s="4"/>
      <c r="L1" s="4"/>
      <c r="M1" s="4"/>
      <c r="N1" s="4"/>
      <c r="O1" s="4"/>
      <c r="P1" s="4"/>
      <c r="Q1" s="4"/>
      <c r="R1" s="4"/>
      <c r="S1" s="4"/>
      <c r="T1" s="4"/>
      <c r="U1" s="4"/>
      <c r="V1" s="4"/>
      <c r="W1" s="4"/>
      <c r="X1" s="4"/>
      <c r="Y1" s="4"/>
      <c r="Z1" s="4"/>
      <c r="AA1" s="4"/>
      <c r="AB1" s="4"/>
      <c r="AC1" s="4" t="str">
        <f>Main!C18</f>
        <v>sim13</v>
      </c>
      <c r="AD1" s="4" t="str">
        <f>IF(Main!E18&lt;&gt;"",Main!E18,"")</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232" priority="43" operator="greaterThan">
      <formula>1</formula>
    </cfRule>
  </conditionalFormatting>
  <conditionalFormatting sqref="L134:L162">
    <cfRule type="cellIs" dxfId="231" priority="23" operator="greaterThan">
      <formula>1</formula>
    </cfRule>
  </conditionalFormatting>
  <conditionalFormatting sqref="P9:R9">
    <cfRule type="cellIs" dxfId="230" priority="41" operator="greaterThan">
      <formula>1</formula>
    </cfRule>
  </conditionalFormatting>
  <conditionalFormatting sqref="P134:T162">
    <cfRule type="cellIs" dxfId="229" priority="21" operator="lessThan">
      <formula>0</formula>
    </cfRule>
    <cfRule type="cellIs" dxfId="228" priority="22" operator="greaterThan">
      <formula>0</formula>
    </cfRule>
  </conditionalFormatting>
  <conditionalFormatting sqref="U134:V162">
    <cfRule type="cellIs" dxfId="227" priority="20" operator="greaterThan">
      <formula>1</formula>
    </cfRule>
  </conditionalFormatting>
  <conditionalFormatting sqref="Z9:AG9">
    <cfRule type="cellIs" dxfId="226" priority="28" operator="greaterThan">
      <formula>1</formula>
    </cfRule>
  </conditionalFormatting>
  <conditionalFormatting sqref="Z134:AG162">
    <cfRule type="cellIs" dxfId="225" priority="18" operator="lessThan">
      <formula>0</formula>
    </cfRule>
    <cfRule type="cellIs" dxfId="224" priority="19" operator="greaterThan">
      <formula>0</formula>
    </cfRule>
  </conditionalFormatting>
  <conditionalFormatting sqref="AH134:AH162">
    <cfRule type="cellIs" dxfId="223" priority="17" operator="greaterThan">
      <formula>1</formula>
    </cfRule>
  </conditionalFormatting>
  <conditionalFormatting sqref="AL9:AR9">
    <cfRule type="cellIs" dxfId="222" priority="27" operator="greaterThan">
      <formula>1</formula>
    </cfRule>
  </conditionalFormatting>
  <conditionalFormatting sqref="AL134:AR162">
    <cfRule type="cellIs" dxfId="221" priority="15" operator="lessThan">
      <formula>0</formula>
    </cfRule>
    <cfRule type="cellIs" dxfId="220" priority="16" operator="greaterThan">
      <formula>0</formula>
    </cfRule>
  </conditionalFormatting>
  <conditionalFormatting sqref="AS134:AT162">
    <cfRule type="cellIs" dxfId="219" priority="14" operator="greaterThan">
      <formula>1</formula>
    </cfRule>
  </conditionalFormatting>
  <conditionalFormatting sqref="AY7:AY12 D134:K162">
    <cfRule type="cellIs" dxfId="218" priority="25" operator="lessThan">
      <formula>0</formula>
    </cfRule>
    <cfRule type="cellIs" dxfId="217" priority="26" operator="greaterThan">
      <formula>0</formula>
    </cfRule>
  </conditionalFormatting>
  <conditionalFormatting sqref="AZ7:AZ12">
    <cfRule type="cellIs" dxfId="216" priority="24" operator="greaterThan">
      <formula>1</formula>
    </cfRule>
  </conditionalFormatting>
  <conditionalFormatting sqref="L13:L133">
    <cfRule type="cellIs" dxfId="38" priority="10" operator="greaterThan">
      <formula>1</formula>
    </cfRule>
  </conditionalFormatting>
  <conditionalFormatting sqref="P13:T133">
    <cfRule type="cellIs" dxfId="37" priority="8" operator="lessThan">
      <formula>0</formula>
    </cfRule>
    <cfRule type="cellIs" dxfId="36" priority="9" operator="greaterThan">
      <formula>0</formula>
    </cfRule>
  </conditionalFormatting>
  <conditionalFormatting sqref="U13:V133">
    <cfRule type="cellIs" dxfId="35" priority="7" operator="greaterThan">
      <formula>1</formula>
    </cfRule>
  </conditionalFormatting>
  <conditionalFormatting sqref="Z13:AG133">
    <cfRule type="cellIs" dxfId="34" priority="5" operator="lessThan">
      <formula>0</formula>
    </cfRule>
    <cfRule type="cellIs" dxfId="33" priority="6" operator="greaterThan">
      <formula>0</formula>
    </cfRule>
  </conditionalFormatting>
  <conditionalFormatting sqref="AH13:AH133">
    <cfRule type="cellIs" dxfId="32" priority="4" operator="greaterThan">
      <formula>1</formula>
    </cfRule>
  </conditionalFormatting>
  <conditionalFormatting sqref="AL13:AR133">
    <cfRule type="cellIs" dxfId="31" priority="2" operator="lessThan">
      <formula>0</formula>
    </cfRule>
    <cfRule type="cellIs" dxfId="30" priority="3" operator="greaterThan">
      <formula>0</formula>
    </cfRule>
  </conditionalFormatting>
  <conditionalFormatting sqref="AS13:AT133">
    <cfRule type="cellIs" dxfId="29" priority="1" operator="greaterThan">
      <formula>1</formula>
    </cfRule>
  </conditionalFormatting>
  <conditionalFormatting sqref="AY13:AY23 D13:K133">
    <cfRule type="cellIs" dxfId="28" priority="12" operator="lessThan">
      <formula>0</formula>
    </cfRule>
    <cfRule type="cellIs" dxfId="27" priority="13" operator="greaterThan">
      <formula>0</formula>
    </cfRule>
  </conditionalFormatting>
  <conditionalFormatting sqref="AZ13:AZ23">
    <cfRule type="cellIs" dxfId="26"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894803AD-0B06-4C84-8261-A10ED8F2002F}">
      <formula1>1</formula1>
      <formula2>2</formula2>
    </dataValidation>
    <dataValidation type="whole" errorStyle="information" allowBlank="1" showInputMessage="1" showErrorMessage="1" errorTitle="Must select 1 or 2" error="1 = Included in closure_x000a_2 = Excluded" sqref="V13:V162 AS13:AT162 AH13:AH162 L13:L162" xr:uid="{0F9CFCBC-A174-4798-80BE-D381C12769A8}">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D925321E-338D-4880-A3FD-C56507D175D5}">
      <formula1>-1000000000</formula1>
      <formula2>1000000000</formula2>
    </dataValidation>
    <dataValidation type="whole" errorStyle="information" allowBlank="1" showInputMessage="1" showErrorMessage="1" errorTitle="Must select 1 or 2" error="1 = Multiplicative_x000a_2 = Additive" sqref="Z9:AG9 D9:K9 P9:R9 AL9:AR9 AZ7:AZ23" xr:uid="{15CE8DA2-2B9D-46A1-9D0E-CB678B765E7C}">
      <formula1>1</formula1>
      <formula2>2</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3E4E5-365B-4321-9911-D895170BB8BD}">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sim14</v>
      </c>
      <c r="B1" s="7"/>
      <c r="C1" s="4"/>
      <c r="D1" s="4"/>
      <c r="E1" s="4"/>
      <c r="F1" s="4"/>
      <c r="G1" s="4"/>
      <c r="H1" s="4"/>
      <c r="I1" s="4"/>
      <c r="J1" s="4"/>
      <c r="K1" s="4"/>
      <c r="L1" s="4"/>
      <c r="M1" s="4"/>
      <c r="N1" s="4"/>
      <c r="O1" s="4"/>
      <c r="P1" s="4"/>
      <c r="Q1" s="4"/>
      <c r="R1" s="4"/>
      <c r="S1" s="4"/>
      <c r="T1" s="4"/>
      <c r="U1" s="4"/>
      <c r="V1" s="4"/>
      <c r="W1" s="4"/>
      <c r="X1" s="4"/>
      <c r="Y1" s="4"/>
      <c r="Z1" s="4"/>
      <c r="AA1" s="4"/>
      <c r="AB1" s="4"/>
      <c r="AC1" s="4" t="str">
        <f>Main!C19</f>
        <v>sim14</v>
      </c>
      <c r="AD1" s="4" t="str">
        <f>IF(Main!E19&lt;&gt;"",Main!E19,"")</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215" priority="43" operator="greaterThan">
      <formula>1</formula>
    </cfRule>
  </conditionalFormatting>
  <conditionalFormatting sqref="L134:L162">
    <cfRule type="cellIs" dxfId="214" priority="23" operator="greaterThan">
      <formula>1</formula>
    </cfRule>
  </conditionalFormatting>
  <conditionalFormatting sqref="P9:R9">
    <cfRule type="cellIs" dxfId="213" priority="41" operator="greaterThan">
      <formula>1</formula>
    </cfRule>
  </conditionalFormatting>
  <conditionalFormatting sqref="P134:T162">
    <cfRule type="cellIs" dxfId="212" priority="21" operator="lessThan">
      <formula>0</formula>
    </cfRule>
    <cfRule type="cellIs" dxfId="211" priority="22" operator="greaterThan">
      <formula>0</formula>
    </cfRule>
  </conditionalFormatting>
  <conditionalFormatting sqref="U134:V162">
    <cfRule type="cellIs" dxfId="210" priority="20" operator="greaterThan">
      <formula>1</formula>
    </cfRule>
  </conditionalFormatting>
  <conditionalFormatting sqref="Z9:AG9">
    <cfRule type="cellIs" dxfId="209" priority="28" operator="greaterThan">
      <formula>1</formula>
    </cfRule>
  </conditionalFormatting>
  <conditionalFormatting sqref="Z134:AG162">
    <cfRule type="cellIs" dxfId="208" priority="18" operator="lessThan">
      <formula>0</formula>
    </cfRule>
    <cfRule type="cellIs" dxfId="207" priority="19" operator="greaterThan">
      <formula>0</formula>
    </cfRule>
  </conditionalFormatting>
  <conditionalFormatting sqref="AH134:AH162">
    <cfRule type="cellIs" dxfId="206" priority="17" operator="greaterThan">
      <formula>1</formula>
    </cfRule>
  </conditionalFormatting>
  <conditionalFormatting sqref="AL9:AR9">
    <cfRule type="cellIs" dxfId="205" priority="27" operator="greaterThan">
      <formula>1</formula>
    </cfRule>
  </conditionalFormatting>
  <conditionalFormatting sqref="AL134:AR162">
    <cfRule type="cellIs" dxfId="204" priority="15" operator="lessThan">
      <formula>0</formula>
    </cfRule>
    <cfRule type="cellIs" dxfId="203" priority="16" operator="greaterThan">
      <formula>0</formula>
    </cfRule>
  </conditionalFormatting>
  <conditionalFormatting sqref="AS134:AT162">
    <cfRule type="cellIs" dxfId="202" priority="14" operator="greaterThan">
      <formula>1</formula>
    </cfRule>
  </conditionalFormatting>
  <conditionalFormatting sqref="AY7:AY12 D134:K162">
    <cfRule type="cellIs" dxfId="201" priority="25" operator="lessThan">
      <formula>0</formula>
    </cfRule>
    <cfRule type="cellIs" dxfId="200" priority="26" operator="greaterThan">
      <formula>0</formula>
    </cfRule>
  </conditionalFormatting>
  <conditionalFormatting sqref="AZ7:AZ12">
    <cfRule type="cellIs" dxfId="199" priority="24" operator="greaterThan">
      <formula>1</formula>
    </cfRule>
  </conditionalFormatting>
  <conditionalFormatting sqref="L13:L133">
    <cfRule type="cellIs" dxfId="25" priority="10" operator="greaterThan">
      <formula>1</formula>
    </cfRule>
  </conditionalFormatting>
  <conditionalFormatting sqref="P13:T133">
    <cfRule type="cellIs" dxfId="24" priority="8" operator="lessThan">
      <formula>0</formula>
    </cfRule>
    <cfRule type="cellIs" dxfId="23" priority="9" operator="greaterThan">
      <formula>0</formula>
    </cfRule>
  </conditionalFormatting>
  <conditionalFormatting sqref="U13:V133">
    <cfRule type="cellIs" dxfId="22" priority="7" operator="greaterThan">
      <formula>1</formula>
    </cfRule>
  </conditionalFormatting>
  <conditionalFormatting sqref="Z13:AG133">
    <cfRule type="cellIs" dxfId="21" priority="5" operator="lessThan">
      <formula>0</formula>
    </cfRule>
    <cfRule type="cellIs" dxfId="20" priority="6" operator="greaterThan">
      <formula>0</formula>
    </cfRule>
  </conditionalFormatting>
  <conditionalFormatting sqref="AH13:AH133">
    <cfRule type="cellIs" dxfId="19" priority="4" operator="greaterThan">
      <formula>1</formula>
    </cfRule>
  </conditionalFormatting>
  <conditionalFormatting sqref="AL13:AR133">
    <cfRule type="cellIs" dxfId="18" priority="2" operator="lessThan">
      <formula>0</formula>
    </cfRule>
    <cfRule type="cellIs" dxfId="17" priority="3" operator="greaterThan">
      <formula>0</formula>
    </cfRule>
  </conditionalFormatting>
  <conditionalFormatting sqref="AS13:AT133">
    <cfRule type="cellIs" dxfId="16" priority="1" operator="greaterThan">
      <formula>1</formula>
    </cfRule>
  </conditionalFormatting>
  <conditionalFormatting sqref="AY13:AY23 D13:K133">
    <cfRule type="cellIs" dxfId="15" priority="12" operator="lessThan">
      <formula>0</formula>
    </cfRule>
    <cfRule type="cellIs" dxfId="14" priority="13" operator="greaterThan">
      <formula>0</formula>
    </cfRule>
  </conditionalFormatting>
  <conditionalFormatting sqref="AZ13:AZ23">
    <cfRule type="cellIs" dxfId="13" priority="11" operator="greaterThan">
      <formula>1</formula>
    </cfRule>
  </conditionalFormatting>
  <dataValidations count="4">
    <dataValidation type="whole" errorStyle="information" allowBlank="1" showInputMessage="1" showErrorMessage="1" errorTitle="Must select 1 or 2" error="1 = Multiplicative_x000a_2 = Additive" sqref="Z9:AG9 D9:K9 P9:R9 AL9:AR9 AZ7:AZ23" xr:uid="{BC40400E-0268-40DD-A0C1-9278FBB22E8B}">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F5483DDB-3D62-4E44-8E4B-639923825AC0}">
      <formula1>-1000000000</formula1>
      <formula2>1000000000</formula2>
    </dataValidation>
    <dataValidation type="whole" errorStyle="information" allowBlank="1" showInputMessage="1" showErrorMessage="1" errorTitle="Must select 1 or 2" error="1 = Included in closure_x000a_2 = Excluded" sqref="V13:V162 AS13:AT162 AH13:AH162 L13:L162" xr:uid="{FF3F567E-93E8-42C7-9101-E907B6837CAE}">
      <formula1>1</formula1>
      <formula2>2</formula2>
    </dataValidation>
    <dataValidation type="whole" errorStyle="information" allowBlank="1" showInputMessage="1" showErrorMessage="1" errorTitle="Must select 1 or 2" error="1 = Included in shock_x000a_2 = Excluded" sqref="U13:U162" xr:uid="{7AC44672-0204-48DA-8B7A-6A49605C809B}">
      <formula1>1</formula1>
      <formula2>2</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3D2B-57D1-44B7-A154-E3A2D7FEC275}">
  <sheetPr>
    <tabColor theme="8" tint="-0.499984740745262"/>
  </sheetPr>
  <dimension ref="A1:BB163"/>
  <sheetViews>
    <sheetView zoomScale="85" zoomScaleNormal="85" workbookViewId="0">
      <pane ySplit="12" topLeftCell="A13" activePane="bottomLeft" state="frozen"/>
      <selection activeCell="AR14" sqref="AR14"/>
      <selection pane="bottomLeft" activeCell="A13" sqref="A13:XFD133"/>
    </sheetView>
  </sheetViews>
  <sheetFormatPr defaultColWidth="0" defaultRowHeight="14.5" zeroHeight="1" x14ac:dyDescent="0.35"/>
  <cols>
    <col min="1" max="2" width="2.453125" customWidth="1"/>
    <col min="3" max="12" width="9.08984375" customWidth="1"/>
    <col min="13" max="14" width="2.453125" customWidth="1"/>
    <col min="15" max="22" width="9.08984375" customWidth="1"/>
    <col min="23" max="24" width="2.453125" customWidth="1"/>
    <col min="25" max="34" width="9.08984375" customWidth="1"/>
    <col min="35" max="36" width="2.453125" customWidth="1"/>
    <col min="37" max="46" width="9.08984375" customWidth="1"/>
    <col min="47" max="48" width="2.453125" customWidth="1"/>
    <col min="49" max="49" width="20.08984375" customWidth="1"/>
    <col min="50" max="52" width="9.08984375" customWidth="1"/>
    <col min="53" max="53" width="2.453125" customWidth="1"/>
    <col min="54" max="54" width="0" hidden="1" customWidth="1"/>
    <col min="55" max="16384" width="9.08984375" hidden="1"/>
  </cols>
  <sheetData>
    <row r="1" spans="1:53" ht="18.5" x14ac:dyDescent="0.45">
      <c r="A1" s="7" t="str">
        <f>"Simulation "&amp;AC1&amp;IF(AD1&lt;&gt;""," : "&amp;AD1,"")</f>
        <v>Simulation sim15</v>
      </c>
      <c r="B1" s="7"/>
      <c r="C1" s="4"/>
      <c r="D1" s="4"/>
      <c r="E1" s="4"/>
      <c r="F1" s="4"/>
      <c r="G1" s="4"/>
      <c r="H1" s="4"/>
      <c r="I1" s="4"/>
      <c r="J1" s="4"/>
      <c r="K1" s="4"/>
      <c r="L1" s="4"/>
      <c r="M1" s="4"/>
      <c r="N1" s="4"/>
      <c r="O1" s="4"/>
      <c r="P1" s="4"/>
      <c r="Q1" s="4"/>
      <c r="R1" s="4"/>
      <c r="S1" s="4"/>
      <c r="T1" s="4"/>
      <c r="U1" s="4"/>
      <c r="V1" s="4"/>
      <c r="W1" s="4"/>
      <c r="X1" s="4"/>
      <c r="Y1" s="4"/>
      <c r="Z1" s="4"/>
      <c r="AA1" s="4"/>
      <c r="AB1" s="4"/>
      <c r="AC1" s="4" t="str">
        <f>Main!C20</f>
        <v>sim15</v>
      </c>
      <c r="AD1" s="4" t="str">
        <f>IF(Main!E20&lt;&gt;"",Main!E20,"")</f>
        <v/>
      </c>
      <c r="AE1" s="4"/>
      <c r="AF1" s="4"/>
      <c r="AG1" s="4"/>
      <c r="AH1" s="4"/>
      <c r="AI1" s="4"/>
      <c r="AJ1" s="4"/>
      <c r="AK1" s="4"/>
      <c r="AL1" s="4"/>
      <c r="AM1" s="4"/>
      <c r="AN1" s="4"/>
      <c r="AO1" s="4"/>
      <c r="AP1" s="4"/>
      <c r="AQ1" s="4"/>
      <c r="AR1" s="4"/>
      <c r="AS1" s="4"/>
      <c r="AT1" s="4"/>
      <c r="AU1" s="4"/>
      <c r="AV1" s="4"/>
      <c r="AW1" s="4"/>
      <c r="AX1" s="4"/>
      <c r="AY1" s="4"/>
      <c r="AZ1" s="4"/>
      <c r="BA1" s="4"/>
    </row>
    <row r="2" spans="1:53" x14ac:dyDescent="0.35"/>
    <row r="3" spans="1:53" ht="15.5" x14ac:dyDescent="0.35">
      <c r="B3" s="8"/>
      <c r="C3" s="33" t="s">
        <v>56</v>
      </c>
      <c r="D3" s="9"/>
      <c r="E3" s="9"/>
      <c r="F3" s="9"/>
      <c r="G3" s="9"/>
      <c r="H3" s="9"/>
      <c r="I3" s="9"/>
      <c r="J3" s="9"/>
      <c r="K3" s="9"/>
      <c r="L3" s="9"/>
      <c r="N3" s="8"/>
      <c r="O3" s="33" t="s">
        <v>57</v>
      </c>
      <c r="P3" s="9"/>
      <c r="Q3" s="9"/>
      <c r="R3" s="9"/>
      <c r="S3" s="9"/>
      <c r="T3" s="9"/>
      <c r="U3" s="9"/>
      <c r="V3" s="9"/>
      <c r="X3" s="8"/>
      <c r="Y3" s="33" t="s">
        <v>58</v>
      </c>
      <c r="Z3" s="9"/>
      <c r="AA3" s="9"/>
      <c r="AB3" s="9"/>
      <c r="AC3" s="9"/>
      <c r="AD3" s="9"/>
      <c r="AE3" s="9"/>
      <c r="AF3" s="9"/>
      <c r="AG3" s="9"/>
      <c r="AH3" s="9"/>
      <c r="AJ3" s="8"/>
      <c r="AK3" s="33" t="s">
        <v>284</v>
      </c>
      <c r="AL3" s="9"/>
      <c r="AM3" s="9"/>
      <c r="AN3" s="9"/>
      <c r="AO3" s="9"/>
      <c r="AP3" s="9"/>
      <c r="AQ3" s="9"/>
      <c r="AR3" s="9"/>
      <c r="AS3" s="9"/>
      <c r="AT3" s="9"/>
      <c r="AV3" s="8"/>
      <c r="AW3" s="33" t="s">
        <v>126</v>
      </c>
      <c r="AX3" s="9"/>
      <c r="AY3" s="9"/>
      <c r="AZ3" s="9"/>
    </row>
    <row r="4" spans="1:53" x14ac:dyDescent="0.35">
      <c r="B4" s="30"/>
      <c r="C4" s="22"/>
      <c r="D4" s="66" t="s">
        <v>59</v>
      </c>
      <c r="E4" s="66"/>
      <c r="F4" s="67" t="s">
        <v>60</v>
      </c>
      <c r="G4" s="66"/>
      <c r="H4" s="66"/>
      <c r="I4" s="67" t="s">
        <v>8</v>
      </c>
      <c r="J4" s="66"/>
      <c r="K4" s="66"/>
      <c r="L4" s="39" t="s">
        <v>104</v>
      </c>
      <c r="N4" s="30"/>
      <c r="O4" s="22"/>
      <c r="P4" s="11" t="s">
        <v>61</v>
      </c>
      <c r="Q4" s="67" t="s">
        <v>62</v>
      </c>
      <c r="R4" s="68"/>
      <c r="S4" s="67" t="s">
        <v>569</v>
      </c>
      <c r="T4" s="66"/>
      <c r="U4" s="67" t="s">
        <v>104</v>
      </c>
      <c r="V4" s="66"/>
      <c r="X4" s="30"/>
      <c r="Y4" s="22"/>
      <c r="Z4" s="11" t="s">
        <v>64</v>
      </c>
      <c r="AA4" s="11" t="s">
        <v>63</v>
      </c>
      <c r="AB4" s="11" t="s">
        <v>344</v>
      </c>
      <c r="AC4" s="11" t="s">
        <v>63</v>
      </c>
      <c r="AD4" s="67" t="s">
        <v>127</v>
      </c>
      <c r="AE4" s="68"/>
      <c r="AF4" s="66" t="s">
        <v>128</v>
      </c>
      <c r="AG4" s="66"/>
      <c r="AH4" s="39" t="s">
        <v>104</v>
      </c>
      <c r="AJ4" s="30"/>
      <c r="AK4" s="22"/>
      <c r="AL4" s="11" t="s">
        <v>133</v>
      </c>
      <c r="AM4" s="11" t="s">
        <v>100</v>
      </c>
      <c r="AN4" s="11" t="s">
        <v>290</v>
      </c>
      <c r="AO4" s="67" t="s">
        <v>127</v>
      </c>
      <c r="AP4" s="68"/>
      <c r="AQ4" s="66" t="s">
        <v>128</v>
      </c>
      <c r="AR4" s="66"/>
      <c r="AS4" s="67" t="s">
        <v>104</v>
      </c>
      <c r="AT4" s="66"/>
      <c r="AV4" s="10"/>
      <c r="AY4" s="12" t="s">
        <v>301</v>
      </c>
      <c r="AZ4" s="12" t="s">
        <v>305</v>
      </c>
    </row>
    <row r="5" spans="1:53" x14ac:dyDescent="0.35">
      <c r="B5" s="30"/>
      <c r="C5" s="22"/>
      <c r="D5" s="13" t="s">
        <v>65</v>
      </c>
      <c r="E5" s="13" t="s">
        <v>66</v>
      </c>
      <c r="F5" s="40" t="s">
        <v>65</v>
      </c>
      <c r="G5" s="13" t="s">
        <v>66</v>
      </c>
      <c r="H5" s="13" t="s">
        <v>67</v>
      </c>
      <c r="I5" s="40" t="s">
        <v>65</v>
      </c>
      <c r="J5" s="13" t="s">
        <v>66</v>
      </c>
      <c r="K5" s="13" t="s">
        <v>68</v>
      </c>
      <c r="L5" s="40" t="s">
        <v>101</v>
      </c>
      <c r="N5" s="30"/>
      <c r="O5" s="22"/>
      <c r="P5" s="13"/>
      <c r="Q5" s="40" t="s">
        <v>69</v>
      </c>
      <c r="R5" s="45" t="s">
        <v>125</v>
      </c>
      <c r="S5" s="13" t="s">
        <v>285</v>
      </c>
      <c r="T5" s="13" t="s">
        <v>287</v>
      </c>
      <c r="U5" s="61" t="s">
        <v>346</v>
      </c>
      <c r="V5" s="13" t="s">
        <v>101</v>
      </c>
      <c r="X5" s="30"/>
      <c r="Y5" s="22"/>
      <c r="Z5" s="11" t="s">
        <v>71</v>
      </c>
      <c r="AA5" s="11" t="s">
        <v>72</v>
      </c>
      <c r="AB5" s="11" t="s">
        <v>345</v>
      </c>
      <c r="AC5" s="11" t="s">
        <v>70</v>
      </c>
      <c r="AD5" s="40" t="s">
        <v>87</v>
      </c>
      <c r="AE5" s="45" t="s">
        <v>88</v>
      </c>
      <c r="AF5" s="13" t="s">
        <v>87</v>
      </c>
      <c r="AG5" s="13" t="s">
        <v>88</v>
      </c>
      <c r="AH5" s="40" t="s">
        <v>101</v>
      </c>
      <c r="AJ5" s="30"/>
      <c r="AK5" s="22"/>
      <c r="AL5" s="11" t="s">
        <v>135</v>
      </c>
      <c r="AM5" s="11" t="s">
        <v>71</v>
      </c>
      <c r="AN5" s="11" t="s">
        <v>124</v>
      </c>
      <c r="AO5" s="40" t="s">
        <v>87</v>
      </c>
      <c r="AP5" s="45" t="s">
        <v>88</v>
      </c>
      <c r="AQ5" s="13" t="s">
        <v>87</v>
      </c>
      <c r="AR5" s="13" t="s">
        <v>88</v>
      </c>
      <c r="AS5" s="40" t="s">
        <v>100</v>
      </c>
      <c r="AT5" s="13" t="s">
        <v>101</v>
      </c>
      <c r="AV5" s="10"/>
      <c r="AY5" s="14"/>
      <c r="AZ5" s="15" t="s">
        <v>306</v>
      </c>
    </row>
    <row r="6" spans="1:53" x14ac:dyDescent="0.35">
      <c r="B6" s="10"/>
      <c r="F6" s="41"/>
      <c r="I6" s="41"/>
      <c r="L6" s="41"/>
      <c r="N6" s="10"/>
      <c r="Q6" s="41"/>
      <c r="R6" s="46"/>
      <c r="T6" s="46"/>
      <c r="X6" s="10"/>
      <c r="AD6" s="41"/>
      <c r="AE6" s="46"/>
      <c r="AH6" s="41"/>
      <c r="AJ6" s="10"/>
      <c r="AO6" s="41"/>
      <c r="AP6" s="46"/>
      <c r="AS6" s="41"/>
      <c r="AV6" s="10"/>
      <c r="AW6" s="16" t="s">
        <v>304</v>
      </c>
      <c r="AX6" s="6"/>
      <c r="AY6" s="17" t="s">
        <v>207</v>
      </c>
      <c r="AZ6" s="17" t="s">
        <v>208</v>
      </c>
    </row>
    <row r="7" spans="1:53" x14ac:dyDescent="0.35">
      <c r="B7" s="10"/>
      <c r="C7" s="18" t="s">
        <v>303</v>
      </c>
      <c r="D7" s="19"/>
      <c r="E7" s="19"/>
      <c r="F7" s="44"/>
      <c r="G7" s="19"/>
      <c r="H7" s="19"/>
      <c r="I7" s="44"/>
      <c r="J7" s="19"/>
      <c r="K7" s="19"/>
      <c r="L7" s="44"/>
      <c r="N7" s="10"/>
      <c r="O7" s="18" t="s">
        <v>303</v>
      </c>
      <c r="P7" s="20"/>
      <c r="Q7" s="42"/>
      <c r="R7" s="47"/>
      <c r="S7" s="20"/>
      <c r="T7" s="46"/>
      <c r="U7" s="20"/>
      <c r="V7" s="20"/>
      <c r="X7" s="10"/>
      <c r="Y7" s="18" t="s">
        <v>303</v>
      </c>
      <c r="Z7" s="20"/>
      <c r="AA7" s="20"/>
      <c r="AB7" s="20"/>
      <c r="AC7" s="20"/>
      <c r="AD7" s="42"/>
      <c r="AE7" s="47"/>
      <c r="AF7" s="20"/>
      <c r="AG7" s="20"/>
      <c r="AH7" s="44"/>
      <c r="AJ7" s="10"/>
      <c r="AK7" s="18" t="s">
        <v>303</v>
      </c>
      <c r="AL7" s="18"/>
      <c r="AM7" s="21"/>
      <c r="AN7" s="20"/>
      <c r="AO7" s="42"/>
      <c r="AP7" s="47"/>
      <c r="AQ7" s="20"/>
      <c r="AR7" s="20"/>
      <c r="AS7" s="42"/>
      <c r="AT7" s="20"/>
      <c r="AV7" s="10"/>
      <c r="AW7" s="22" t="s">
        <v>89</v>
      </c>
      <c r="AX7" s="20" t="s">
        <v>90</v>
      </c>
      <c r="AY7" s="53">
        <v>0</v>
      </c>
      <c r="AZ7" s="57">
        <v>1</v>
      </c>
    </row>
    <row r="8" spans="1:53" x14ac:dyDescent="0.35">
      <c r="B8" s="10"/>
      <c r="C8" s="18"/>
      <c r="D8" s="23" t="s">
        <v>73</v>
      </c>
      <c r="E8" s="23" t="s">
        <v>74</v>
      </c>
      <c r="F8" s="43" t="s">
        <v>75</v>
      </c>
      <c r="G8" s="23" t="s">
        <v>76</v>
      </c>
      <c r="H8" s="23" t="s">
        <v>77</v>
      </c>
      <c r="I8" s="43" t="s">
        <v>78</v>
      </c>
      <c r="J8" s="23" t="s">
        <v>79</v>
      </c>
      <c r="K8" s="23" t="s">
        <v>80</v>
      </c>
      <c r="L8" s="44"/>
      <c r="N8" s="10"/>
      <c r="O8" s="18"/>
      <c r="P8" s="23" t="s">
        <v>82</v>
      </c>
      <c r="Q8" s="43" t="s">
        <v>83</v>
      </c>
      <c r="R8" s="48" t="s">
        <v>347</v>
      </c>
      <c r="S8" s="20"/>
      <c r="T8" s="46"/>
      <c r="U8" s="20"/>
      <c r="V8" s="20"/>
      <c r="X8" s="10"/>
      <c r="Y8" s="18"/>
      <c r="Z8" s="23" t="s">
        <v>85</v>
      </c>
      <c r="AA8" s="23" t="s">
        <v>86</v>
      </c>
      <c r="AB8" s="23" t="s">
        <v>343</v>
      </c>
      <c r="AC8" s="23" t="s">
        <v>84</v>
      </c>
      <c r="AD8" s="43" t="s">
        <v>131</v>
      </c>
      <c r="AE8" s="48" t="s">
        <v>132</v>
      </c>
      <c r="AF8" s="23" t="s">
        <v>129</v>
      </c>
      <c r="AG8" s="23" t="s">
        <v>130</v>
      </c>
      <c r="AH8" s="44"/>
      <c r="AJ8" s="10"/>
      <c r="AK8" s="18"/>
      <c r="AL8" s="23" t="s">
        <v>134</v>
      </c>
      <c r="AM8" s="23" t="s">
        <v>102</v>
      </c>
      <c r="AN8" s="23" t="s">
        <v>348</v>
      </c>
      <c r="AO8" s="43" t="s">
        <v>131</v>
      </c>
      <c r="AP8" s="48" t="s">
        <v>132</v>
      </c>
      <c r="AQ8" s="23" t="s">
        <v>129</v>
      </c>
      <c r="AR8" s="23" t="s">
        <v>130</v>
      </c>
      <c r="AS8" s="42"/>
      <c r="AT8" s="20"/>
      <c r="AV8" s="10"/>
      <c r="AW8" s="22" t="s">
        <v>93</v>
      </c>
      <c r="AX8" s="20" t="s">
        <v>94</v>
      </c>
      <c r="AY8" s="53">
        <v>0</v>
      </c>
      <c r="AZ8" s="57">
        <v>1</v>
      </c>
    </row>
    <row r="9" spans="1:53" x14ac:dyDescent="0.35">
      <c r="B9" s="10"/>
      <c r="C9" s="19"/>
      <c r="D9" s="57">
        <v>1</v>
      </c>
      <c r="E9" s="57">
        <v>1</v>
      </c>
      <c r="F9" s="58">
        <v>1</v>
      </c>
      <c r="G9" s="57">
        <v>1</v>
      </c>
      <c r="H9" s="57">
        <v>1</v>
      </c>
      <c r="I9" s="58">
        <v>1</v>
      </c>
      <c r="J9" s="57">
        <v>1</v>
      </c>
      <c r="K9" s="57">
        <v>1</v>
      </c>
      <c r="L9" s="44"/>
      <c r="N9" s="10"/>
      <c r="O9" s="19"/>
      <c r="P9" s="57">
        <v>1</v>
      </c>
      <c r="Q9" s="58">
        <v>1</v>
      </c>
      <c r="R9" s="60">
        <v>1</v>
      </c>
      <c r="S9" s="19"/>
      <c r="T9" s="46"/>
      <c r="U9" s="19"/>
      <c r="V9" s="19"/>
      <c r="X9" s="10"/>
      <c r="Y9" s="19"/>
      <c r="Z9" s="57">
        <v>1</v>
      </c>
      <c r="AA9" s="57">
        <v>1</v>
      </c>
      <c r="AB9" s="57">
        <v>1</v>
      </c>
      <c r="AC9" s="57">
        <v>1</v>
      </c>
      <c r="AD9" s="58">
        <v>1</v>
      </c>
      <c r="AE9" s="60">
        <v>1</v>
      </c>
      <c r="AF9" s="57">
        <v>1</v>
      </c>
      <c r="AG9" s="57">
        <v>1</v>
      </c>
      <c r="AH9" s="44"/>
      <c r="AJ9" s="10"/>
      <c r="AK9" s="19"/>
      <c r="AL9" s="57">
        <v>1</v>
      </c>
      <c r="AM9" s="57">
        <v>1</v>
      </c>
      <c r="AN9" s="57">
        <v>1</v>
      </c>
      <c r="AO9" s="58">
        <v>1</v>
      </c>
      <c r="AP9" s="60">
        <v>1</v>
      </c>
      <c r="AQ9" s="57">
        <v>1</v>
      </c>
      <c r="AR9" s="57">
        <v>1</v>
      </c>
      <c r="AS9" s="44"/>
      <c r="AT9" s="19"/>
      <c r="AV9" s="10"/>
      <c r="AW9" s="22" t="s">
        <v>91</v>
      </c>
      <c r="AX9" s="20" t="s">
        <v>92</v>
      </c>
      <c r="AY9" s="53">
        <v>0</v>
      </c>
      <c r="AZ9" s="57">
        <v>1</v>
      </c>
    </row>
    <row r="10" spans="1:53" x14ac:dyDescent="0.35">
      <c r="B10" s="10"/>
      <c r="C10" s="19"/>
      <c r="F10" s="41"/>
      <c r="I10" s="41"/>
      <c r="L10" s="41"/>
      <c r="N10" s="10"/>
      <c r="O10" s="19"/>
      <c r="Q10" s="41"/>
      <c r="R10" s="46"/>
      <c r="T10" s="46"/>
      <c r="X10" s="10"/>
      <c r="Y10" s="19"/>
      <c r="AD10" s="41"/>
      <c r="AE10" s="46"/>
      <c r="AH10" s="41"/>
      <c r="AJ10" s="10"/>
      <c r="AK10" s="19"/>
      <c r="AL10" s="19"/>
      <c r="AO10" s="41"/>
      <c r="AP10" s="46"/>
      <c r="AS10" s="41"/>
      <c r="AV10" s="10"/>
      <c r="AW10" s="22" t="s">
        <v>299</v>
      </c>
      <c r="AX10" s="20" t="s">
        <v>300</v>
      </c>
      <c r="AY10" s="53">
        <v>0</v>
      </c>
      <c r="AZ10" s="57">
        <v>1</v>
      </c>
    </row>
    <row r="11" spans="1:53" x14ac:dyDescent="0.35">
      <c r="B11" s="10"/>
      <c r="C11" s="18" t="s">
        <v>302</v>
      </c>
      <c r="F11" s="41"/>
      <c r="I11" s="41"/>
      <c r="L11" s="41"/>
      <c r="N11" s="10"/>
      <c r="O11" s="18" t="s">
        <v>302</v>
      </c>
      <c r="P11" s="24"/>
      <c r="Q11" s="41"/>
      <c r="R11" s="46"/>
      <c r="T11" s="46"/>
      <c r="X11" s="10"/>
      <c r="Y11" s="18" t="s">
        <v>302</v>
      </c>
      <c r="Z11" s="24"/>
      <c r="AD11" s="41"/>
      <c r="AE11" s="46"/>
      <c r="AH11" s="41"/>
      <c r="AJ11" s="10"/>
      <c r="AK11" s="18" t="s">
        <v>302</v>
      </c>
      <c r="AL11" s="18"/>
      <c r="AO11" s="41"/>
      <c r="AP11" s="46"/>
      <c r="AS11" s="41"/>
      <c r="AV11" s="10"/>
      <c r="AW11" s="22" t="s">
        <v>99</v>
      </c>
      <c r="AX11" s="20" t="s">
        <v>102</v>
      </c>
      <c r="AY11" s="53">
        <v>0</v>
      </c>
      <c r="AZ11" s="57">
        <v>1</v>
      </c>
    </row>
    <row r="12" spans="1:53" x14ac:dyDescent="0.35">
      <c r="B12" s="10"/>
      <c r="D12" s="23" t="s">
        <v>73</v>
      </c>
      <c r="E12" s="23" t="s">
        <v>74</v>
      </c>
      <c r="F12" s="43" t="s">
        <v>75</v>
      </c>
      <c r="G12" s="23" t="s">
        <v>76</v>
      </c>
      <c r="H12" s="23" t="s">
        <v>77</v>
      </c>
      <c r="I12" s="43" t="s">
        <v>78</v>
      </c>
      <c r="J12" s="23" t="s">
        <v>79</v>
      </c>
      <c r="K12" s="23" t="s">
        <v>80</v>
      </c>
      <c r="L12" s="43" t="s">
        <v>124</v>
      </c>
      <c r="N12" s="10"/>
      <c r="P12" s="23" t="s">
        <v>82</v>
      </c>
      <c r="Q12" s="43" t="s">
        <v>83</v>
      </c>
      <c r="R12" s="48" t="s">
        <v>347</v>
      </c>
      <c r="S12" s="23" t="s">
        <v>81</v>
      </c>
      <c r="T12" s="48" t="s">
        <v>286</v>
      </c>
      <c r="U12" s="23" t="s">
        <v>343</v>
      </c>
      <c r="V12" s="23" t="s">
        <v>124</v>
      </c>
      <c r="X12" s="10"/>
      <c r="Z12" s="23" t="s">
        <v>85</v>
      </c>
      <c r="AA12" s="23" t="s">
        <v>86</v>
      </c>
      <c r="AB12" s="23" t="s">
        <v>343</v>
      </c>
      <c r="AC12" s="23" t="s">
        <v>84</v>
      </c>
      <c r="AD12" s="43" t="s">
        <v>131</v>
      </c>
      <c r="AE12" s="48" t="s">
        <v>132</v>
      </c>
      <c r="AF12" s="23" t="s">
        <v>129</v>
      </c>
      <c r="AG12" s="25" t="s">
        <v>130</v>
      </c>
      <c r="AH12" s="43" t="s">
        <v>124</v>
      </c>
      <c r="AJ12" s="10"/>
      <c r="AL12" s="23" t="s">
        <v>134</v>
      </c>
      <c r="AM12" s="23" t="s">
        <v>102</v>
      </c>
      <c r="AN12" s="23" t="s">
        <v>348</v>
      </c>
      <c r="AO12" s="43" t="s">
        <v>131</v>
      </c>
      <c r="AP12" s="49" t="s">
        <v>132</v>
      </c>
      <c r="AQ12" s="23" t="s">
        <v>129</v>
      </c>
      <c r="AR12" s="25" t="s">
        <v>130</v>
      </c>
      <c r="AS12" s="43" t="s">
        <v>289</v>
      </c>
      <c r="AT12" s="23" t="s">
        <v>124</v>
      </c>
      <c r="AV12" s="10"/>
      <c r="AW12" s="22" t="s">
        <v>95</v>
      </c>
      <c r="AX12" s="20" t="s">
        <v>96</v>
      </c>
      <c r="AY12" s="53">
        <v>0</v>
      </c>
      <c r="AZ12" s="57">
        <v>1</v>
      </c>
    </row>
    <row r="13" spans="1:53" x14ac:dyDescent="0.35">
      <c r="B13" s="10"/>
      <c r="C13" s="2" t="s">
        <v>588</v>
      </c>
      <c r="D13" s="53">
        <v>0</v>
      </c>
      <c r="E13" s="53">
        <v>0</v>
      </c>
      <c r="F13" s="54">
        <v>0</v>
      </c>
      <c r="G13" s="53">
        <v>0</v>
      </c>
      <c r="H13" s="53">
        <v>0</v>
      </c>
      <c r="I13" s="54">
        <v>0</v>
      </c>
      <c r="J13" s="53">
        <v>0</v>
      </c>
      <c r="K13" s="53">
        <v>0</v>
      </c>
      <c r="L13" s="59">
        <v>1</v>
      </c>
      <c r="N13" s="10"/>
      <c r="O13" s="2" t="s">
        <v>631</v>
      </c>
      <c r="P13" s="53">
        <v>0</v>
      </c>
      <c r="Q13" s="54">
        <v>0</v>
      </c>
      <c r="R13" s="62">
        <v>0</v>
      </c>
      <c r="S13" s="53">
        <v>0</v>
      </c>
      <c r="T13" s="62">
        <v>0</v>
      </c>
      <c r="U13" s="57">
        <v>1</v>
      </c>
      <c r="V13" s="57">
        <v>1</v>
      </c>
      <c r="X13" s="10"/>
      <c r="Y13" s="2" t="s">
        <v>576</v>
      </c>
      <c r="Z13" s="53">
        <v>0</v>
      </c>
      <c r="AA13" s="53">
        <v>0</v>
      </c>
      <c r="AB13" s="53">
        <v>0</v>
      </c>
      <c r="AC13" s="53">
        <v>0</v>
      </c>
      <c r="AD13" s="54">
        <v>0</v>
      </c>
      <c r="AE13" s="62">
        <v>0</v>
      </c>
      <c r="AF13" s="53">
        <v>0</v>
      </c>
      <c r="AG13" s="53">
        <v>0</v>
      </c>
      <c r="AH13" s="58">
        <v>1</v>
      </c>
      <c r="AJ13" s="10"/>
      <c r="AK13" s="2" t="s">
        <v>9</v>
      </c>
      <c r="AL13" s="53">
        <v>0</v>
      </c>
      <c r="AM13" s="53">
        <v>0</v>
      </c>
      <c r="AN13" s="53">
        <v>0</v>
      </c>
      <c r="AO13" s="54">
        <v>0</v>
      </c>
      <c r="AP13" s="62">
        <v>0</v>
      </c>
      <c r="AQ13" s="53">
        <v>0</v>
      </c>
      <c r="AR13" s="53">
        <v>0</v>
      </c>
      <c r="AS13" s="58">
        <v>1</v>
      </c>
      <c r="AT13" s="57">
        <v>1</v>
      </c>
      <c r="AV13" s="10"/>
      <c r="AW13" s="22" t="s">
        <v>97</v>
      </c>
      <c r="AX13" s="20" t="s">
        <v>98</v>
      </c>
      <c r="AY13" s="53">
        <v>0</v>
      </c>
      <c r="AZ13" s="57">
        <v>1</v>
      </c>
    </row>
    <row r="14" spans="1:53" x14ac:dyDescent="0.35">
      <c r="B14" s="10"/>
      <c r="C14" s="2" t="s">
        <v>393</v>
      </c>
      <c r="D14" s="53">
        <v>0</v>
      </c>
      <c r="E14" s="53">
        <v>0</v>
      </c>
      <c r="F14" s="54">
        <v>0</v>
      </c>
      <c r="G14" s="53">
        <v>0</v>
      </c>
      <c r="H14" s="53">
        <v>0</v>
      </c>
      <c r="I14" s="54">
        <v>0</v>
      </c>
      <c r="J14" s="53">
        <v>0</v>
      </c>
      <c r="K14" s="53">
        <v>0</v>
      </c>
      <c r="L14" s="59">
        <v>1</v>
      </c>
      <c r="N14" s="10"/>
      <c r="O14" s="2" t="s">
        <v>353</v>
      </c>
      <c r="P14" s="53">
        <v>0</v>
      </c>
      <c r="Q14" s="54">
        <v>0</v>
      </c>
      <c r="R14" s="62">
        <v>0</v>
      </c>
      <c r="S14" s="53">
        <v>0</v>
      </c>
      <c r="T14" s="62">
        <v>0</v>
      </c>
      <c r="U14" s="57">
        <v>1</v>
      </c>
      <c r="V14" s="57">
        <v>1</v>
      </c>
      <c r="X14" s="10"/>
      <c r="Y14" s="2" t="s">
        <v>577</v>
      </c>
      <c r="Z14" s="53">
        <v>0</v>
      </c>
      <c r="AA14" s="53">
        <v>0</v>
      </c>
      <c r="AB14" s="53">
        <v>0</v>
      </c>
      <c r="AC14" s="53">
        <v>0</v>
      </c>
      <c r="AD14" s="54">
        <v>0</v>
      </c>
      <c r="AE14" s="62">
        <v>0</v>
      </c>
      <c r="AF14" s="53">
        <v>0</v>
      </c>
      <c r="AG14" s="53">
        <v>0</v>
      </c>
      <c r="AH14" s="58">
        <v>1</v>
      </c>
      <c r="AJ14" s="10"/>
      <c r="AK14" s="2" t="s">
        <v>765</v>
      </c>
      <c r="AL14" s="53">
        <v>0</v>
      </c>
      <c r="AM14" s="53">
        <v>0</v>
      </c>
      <c r="AN14" s="53">
        <v>0</v>
      </c>
      <c r="AO14" s="54">
        <v>0</v>
      </c>
      <c r="AP14" s="62">
        <v>0</v>
      </c>
      <c r="AQ14" s="53">
        <v>0</v>
      </c>
      <c r="AR14" s="53">
        <v>0</v>
      </c>
      <c r="AS14" s="58">
        <v>1</v>
      </c>
      <c r="AT14" s="57">
        <v>1</v>
      </c>
      <c r="AV14" s="10"/>
      <c r="AW14" s="22" t="s">
        <v>298</v>
      </c>
      <c r="AX14" s="20" t="s">
        <v>297</v>
      </c>
      <c r="AY14" s="53">
        <v>0</v>
      </c>
      <c r="AZ14" s="57">
        <v>1</v>
      </c>
    </row>
    <row r="15" spans="1:53" x14ac:dyDescent="0.35">
      <c r="B15" s="10"/>
      <c r="C15" s="2" t="s">
        <v>589</v>
      </c>
      <c r="D15" s="53">
        <v>0</v>
      </c>
      <c r="E15" s="53">
        <v>0</v>
      </c>
      <c r="F15" s="54">
        <v>0</v>
      </c>
      <c r="G15" s="53">
        <v>0</v>
      </c>
      <c r="H15" s="53">
        <v>0</v>
      </c>
      <c r="I15" s="54">
        <v>0</v>
      </c>
      <c r="J15" s="53">
        <v>0</v>
      </c>
      <c r="K15" s="53">
        <v>0</v>
      </c>
      <c r="L15" s="59">
        <v>1</v>
      </c>
      <c r="N15" s="10"/>
      <c r="O15" s="2" t="s">
        <v>632</v>
      </c>
      <c r="P15" s="53">
        <v>0</v>
      </c>
      <c r="Q15" s="54">
        <v>0</v>
      </c>
      <c r="R15" s="62">
        <v>0</v>
      </c>
      <c r="S15" s="53">
        <v>0</v>
      </c>
      <c r="T15" s="62">
        <v>0</v>
      </c>
      <c r="U15" s="57">
        <v>1</v>
      </c>
      <c r="V15" s="57">
        <v>1</v>
      </c>
      <c r="X15" s="10"/>
      <c r="Y15" s="2" t="s">
        <v>578</v>
      </c>
      <c r="Z15" s="53">
        <v>0</v>
      </c>
      <c r="AA15" s="53">
        <v>0</v>
      </c>
      <c r="AB15" s="53">
        <v>0</v>
      </c>
      <c r="AC15" s="53">
        <v>0</v>
      </c>
      <c r="AD15" s="54">
        <v>0</v>
      </c>
      <c r="AE15" s="62">
        <v>0</v>
      </c>
      <c r="AF15" s="53">
        <v>0</v>
      </c>
      <c r="AG15" s="53">
        <v>0</v>
      </c>
      <c r="AH15" s="58">
        <v>1</v>
      </c>
      <c r="AJ15" s="10"/>
      <c r="AK15" s="2" t="s">
        <v>766</v>
      </c>
      <c r="AL15" s="53">
        <v>0</v>
      </c>
      <c r="AM15" s="53">
        <v>0</v>
      </c>
      <c r="AN15" s="53">
        <v>0</v>
      </c>
      <c r="AO15" s="54">
        <v>0</v>
      </c>
      <c r="AP15" s="62">
        <v>0</v>
      </c>
      <c r="AQ15" s="53">
        <v>0</v>
      </c>
      <c r="AR15" s="53">
        <v>0</v>
      </c>
      <c r="AS15" s="58">
        <v>1</v>
      </c>
      <c r="AT15" s="57">
        <v>1</v>
      </c>
      <c r="AV15" s="10"/>
      <c r="AW15" s="22" t="s">
        <v>571</v>
      </c>
      <c r="AX15" s="20" t="s">
        <v>132</v>
      </c>
      <c r="AY15" s="53">
        <v>0</v>
      </c>
      <c r="AZ15" s="57">
        <v>1</v>
      </c>
    </row>
    <row r="16" spans="1:53" x14ac:dyDescent="0.35">
      <c r="B16" s="10"/>
      <c r="C16" s="2" t="s">
        <v>775</v>
      </c>
      <c r="D16" s="53">
        <v>0</v>
      </c>
      <c r="E16" s="53">
        <v>0</v>
      </c>
      <c r="F16" s="54">
        <v>0</v>
      </c>
      <c r="G16" s="53">
        <v>0</v>
      </c>
      <c r="H16" s="53">
        <v>0</v>
      </c>
      <c r="I16" s="54">
        <v>0</v>
      </c>
      <c r="J16" s="53">
        <v>0</v>
      </c>
      <c r="K16" s="53">
        <v>0</v>
      </c>
      <c r="L16" s="59">
        <v>1</v>
      </c>
      <c r="N16" s="10"/>
      <c r="O16" s="2" t="s">
        <v>801</v>
      </c>
      <c r="P16" s="53">
        <v>0</v>
      </c>
      <c r="Q16" s="54">
        <v>0</v>
      </c>
      <c r="R16" s="62">
        <v>0</v>
      </c>
      <c r="S16" s="53">
        <v>0</v>
      </c>
      <c r="T16" s="62">
        <v>0</v>
      </c>
      <c r="U16" s="57">
        <v>1</v>
      </c>
      <c r="V16" s="57">
        <v>1</v>
      </c>
      <c r="X16" s="10"/>
      <c r="Y16" s="2" t="s">
        <v>579</v>
      </c>
      <c r="Z16" s="53">
        <v>0</v>
      </c>
      <c r="AA16" s="53">
        <v>0</v>
      </c>
      <c r="AB16" s="53">
        <v>0</v>
      </c>
      <c r="AC16" s="53">
        <v>0</v>
      </c>
      <c r="AD16" s="54">
        <v>0</v>
      </c>
      <c r="AE16" s="62">
        <v>0</v>
      </c>
      <c r="AF16" s="53">
        <v>0</v>
      </c>
      <c r="AG16" s="53">
        <v>0</v>
      </c>
      <c r="AH16" s="58">
        <v>1</v>
      </c>
      <c r="AJ16" s="10"/>
      <c r="AK16" s="2" t="s">
        <v>767</v>
      </c>
      <c r="AL16" s="53">
        <v>0</v>
      </c>
      <c r="AM16" s="53">
        <v>0</v>
      </c>
      <c r="AN16" s="53">
        <v>0</v>
      </c>
      <c r="AO16" s="54">
        <v>0</v>
      </c>
      <c r="AP16" s="62">
        <v>0</v>
      </c>
      <c r="AQ16" s="53">
        <v>0</v>
      </c>
      <c r="AR16" s="53">
        <v>0</v>
      </c>
      <c r="AS16" s="58">
        <v>1</v>
      </c>
      <c r="AT16" s="57">
        <v>1</v>
      </c>
      <c r="AV16" s="10"/>
      <c r="AW16" s="22" t="s">
        <v>570</v>
      </c>
      <c r="AX16" s="20" t="s">
        <v>130</v>
      </c>
      <c r="AY16" s="53">
        <v>0</v>
      </c>
      <c r="AZ16" s="57">
        <v>1</v>
      </c>
    </row>
    <row r="17" spans="2:52" x14ac:dyDescent="0.35">
      <c r="B17" s="10"/>
      <c r="C17" s="2" t="s">
        <v>394</v>
      </c>
      <c r="D17" s="53">
        <v>0</v>
      </c>
      <c r="E17" s="53">
        <v>0</v>
      </c>
      <c r="F17" s="54">
        <v>0</v>
      </c>
      <c r="G17" s="53">
        <v>0</v>
      </c>
      <c r="H17" s="53">
        <v>0</v>
      </c>
      <c r="I17" s="54">
        <v>0</v>
      </c>
      <c r="J17" s="53">
        <v>0</v>
      </c>
      <c r="K17" s="53">
        <v>0</v>
      </c>
      <c r="L17" s="59">
        <v>1</v>
      </c>
      <c r="N17" s="10"/>
      <c r="O17" s="2" t="s">
        <v>354</v>
      </c>
      <c r="P17" s="53">
        <v>0</v>
      </c>
      <c r="Q17" s="54">
        <v>0</v>
      </c>
      <c r="R17" s="62">
        <v>0</v>
      </c>
      <c r="S17" s="53">
        <v>0</v>
      </c>
      <c r="T17" s="62">
        <v>0</v>
      </c>
      <c r="U17" s="57">
        <v>1</v>
      </c>
      <c r="V17" s="57">
        <v>1</v>
      </c>
      <c r="X17" s="10"/>
      <c r="Y17" s="2" t="s">
        <v>580</v>
      </c>
      <c r="Z17" s="53">
        <v>0</v>
      </c>
      <c r="AA17" s="53">
        <v>0</v>
      </c>
      <c r="AB17" s="53">
        <v>0</v>
      </c>
      <c r="AC17" s="53">
        <v>0</v>
      </c>
      <c r="AD17" s="54">
        <v>0</v>
      </c>
      <c r="AE17" s="62">
        <v>0</v>
      </c>
      <c r="AF17" s="53">
        <v>0</v>
      </c>
      <c r="AG17" s="53">
        <v>0</v>
      </c>
      <c r="AH17" s="58">
        <v>1</v>
      </c>
      <c r="AJ17" s="10"/>
      <c r="AK17" s="2" t="s">
        <v>768</v>
      </c>
      <c r="AL17" s="53">
        <v>0</v>
      </c>
      <c r="AM17" s="53">
        <v>0</v>
      </c>
      <c r="AN17" s="53">
        <v>0</v>
      </c>
      <c r="AO17" s="54">
        <v>0</v>
      </c>
      <c r="AP17" s="62">
        <v>0</v>
      </c>
      <c r="AQ17" s="53">
        <v>0</v>
      </c>
      <c r="AR17" s="53">
        <v>0</v>
      </c>
      <c r="AS17" s="58">
        <v>1</v>
      </c>
      <c r="AT17" s="57">
        <v>1</v>
      </c>
      <c r="AV17" s="10"/>
      <c r="AW17" s="22" t="s">
        <v>291</v>
      </c>
      <c r="AX17" s="20" t="s">
        <v>75</v>
      </c>
      <c r="AY17" s="53">
        <v>0</v>
      </c>
      <c r="AZ17" s="57">
        <v>1</v>
      </c>
    </row>
    <row r="18" spans="2:52" x14ac:dyDescent="0.35">
      <c r="B18" s="10"/>
      <c r="C18" s="2" t="s">
        <v>592</v>
      </c>
      <c r="D18" s="53">
        <v>0</v>
      </c>
      <c r="E18" s="53">
        <v>0</v>
      </c>
      <c r="F18" s="54">
        <v>0</v>
      </c>
      <c r="G18" s="53">
        <v>0</v>
      </c>
      <c r="H18" s="53">
        <v>0</v>
      </c>
      <c r="I18" s="54">
        <v>0</v>
      </c>
      <c r="J18" s="53">
        <v>0</v>
      </c>
      <c r="K18" s="53">
        <v>0</v>
      </c>
      <c r="L18" s="59">
        <v>1</v>
      </c>
      <c r="N18" s="10"/>
      <c r="O18" s="2" t="s">
        <v>635</v>
      </c>
      <c r="P18" s="53">
        <v>0</v>
      </c>
      <c r="Q18" s="54">
        <v>0</v>
      </c>
      <c r="R18" s="62">
        <v>0</v>
      </c>
      <c r="S18" s="53">
        <v>0</v>
      </c>
      <c r="T18" s="62">
        <v>0</v>
      </c>
      <c r="U18" s="57">
        <v>1</v>
      </c>
      <c r="V18" s="57">
        <v>1</v>
      </c>
      <c r="X18" s="10"/>
      <c r="Y18" s="2" t="s">
        <v>581</v>
      </c>
      <c r="Z18" s="53">
        <v>0</v>
      </c>
      <c r="AA18" s="53">
        <v>0</v>
      </c>
      <c r="AB18" s="53">
        <v>0</v>
      </c>
      <c r="AC18" s="53">
        <v>0</v>
      </c>
      <c r="AD18" s="54">
        <v>0</v>
      </c>
      <c r="AE18" s="62">
        <v>0</v>
      </c>
      <c r="AF18" s="53">
        <v>0</v>
      </c>
      <c r="AG18" s="53">
        <v>0</v>
      </c>
      <c r="AH18" s="58">
        <v>1</v>
      </c>
      <c r="AJ18" s="10"/>
      <c r="AK18" s="2" t="s">
        <v>769</v>
      </c>
      <c r="AL18" s="53">
        <v>0</v>
      </c>
      <c r="AM18" s="53">
        <v>0</v>
      </c>
      <c r="AN18" s="53">
        <v>0</v>
      </c>
      <c r="AO18" s="54">
        <v>0</v>
      </c>
      <c r="AP18" s="62">
        <v>0</v>
      </c>
      <c r="AQ18" s="53">
        <v>0</v>
      </c>
      <c r="AR18" s="53">
        <v>0</v>
      </c>
      <c r="AS18" s="58">
        <v>1</v>
      </c>
      <c r="AT18" s="57">
        <v>1</v>
      </c>
      <c r="AV18" s="10"/>
      <c r="AW18" s="22" t="s">
        <v>292</v>
      </c>
      <c r="AX18" s="20" t="s">
        <v>76</v>
      </c>
      <c r="AY18" s="53">
        <v>0</v>
      </c>
      <c r="AZ18" s="57">
        <v>1</v>
      </c>
    </row>
    <row r="19" spans="2:52" x14ac:dyDescent="0.35">
      <c r="B19" s="10"/>
      <c r="C19" s="2" t="s">
        <v>593</v>
      </c>
      <c r="D19" s="53">
        <v>0</v>
      </c>
      <c r="E19" s="53">
        <v>0</v>
      </c>
      <c r="F19" s="54">
        <v>0</v>
      </c>
      <c r="G19" s="53">
        <v>0</v>
      </c>
      <c r="H19" s="53">
        <v>0</v>
      </c>
      <c r="I19" s="54">
        <v>0</v>
      </c>
      <c r="J19" s="53">
        <v>0</v>
      </c>
      <c r="K19" s="53">
        <v>0</v>
      </c>
      <c r="L19" s="59">
        <v>1</v>
      </c>
      <c r="N19" s="10"/>
      <c r="O19" s="2" t="s">
        <v>636</v>
      </c>
      <c r="P19" s="53">
        <v>0</v>
      </c>
      <c r="Q19" s="54">
        <v>0</v>
      </c>
      <c r="R19" s="62">
        <v>0</v>
      </c>
      <c r="S19" s="53">
        <v>0</v>
      </c>
      <c r="T19" s="62">
        <v>0</v>
      </c>
      <c r="U19" s="57">
        <v>1</v>
      </c>
      <c r="V19" s="57">
        <v>1</v>
      </c>
      <c r="X19" s="10"/>
      <c r="Y19" s="2" t="s">
        <v>582</v>
      </c>
      <c r="Z19" s="53">
        <v>0</v>
      </c>
      <c r="AA19" s="53">
        <v>0</v>
      </c>
      <c r="AB19" s="53">
        <v>0</v>
      </c>
      <c r="AC19" s="53">
        <v>0</v>
      </c>
      <c r="AD19" s="54">
        <v>0</v>
      </c>
      <c r="AE19" s="62">
        <v>0</v>
      </c>
      <c r="AF19" s="53">
        <v>0</v>
      </c>
      <c r="AG19" s="53">
        <v>0</v>
      </c>
      <c r="AH19" s="58">
        <v>1</v>
      </c>
      <c r="AJ19" s="10"/>
      <c r="AK19" s="2" t="s">
        <v>770</v>
      </c>
      <c r="AL19" s="53">
        <v>0</v>
      </c>
      <c r="AM19" s="53">
        <v>0</v>
      </c>
      <c r="AN19" s="53">
        <v>0</v>
      </c>
      <c r="AO19" s="54">
        <v>0</v>
      </c>
      <c r="AP19" s="62">
        <v>0</v>
      </c>
      <c r="AQ19" s="53">
        <v>0</v>
      </c>
      <c r="AR19" s="53">
        <v>0</v>
      </c>
      <c r="AS19" s="58">
        <v>1</v>
      </c>
      <c r="AT19" s="57">
        <v>1</v>
      </c>
      <c r="AV19" s="10"/>
      <c r="AW19" s="22" t="s">
        <v>293</v>
      </c>
      <c r="AX19" s="20" t="s">
        <v>77</v>
      </c>
      <c r="AY19" s="53">
        <v>0</v>
      </c>
      <c r="AZ19" s="57">
        <v>1</v>
      </c>
    </row>
    <row r="20" spans="2:52" x14ac:dyDescent="0.35">
      <c r="B20" s="10"/>
      <c r="C20" s="2" t="s">
        <v>591</v>
      </c>
      <c r="D20" s="53">
        <v>0</v>
      </c>
      <c r="E20" s="53">
        <v>0</v>
      </c>
      <c r="F20" s="54">
        <v>0</v>
      </c>
      <c r="G20" s="53">
        <v>0</v>
      </c>
      <c r="H20" s="53">
        <v>0</v>
      </c>
      <c r="I20" s="54">
        <v>0</v>
      </c>
      <c r="J20" s="53">
        <v>0</v>
      </c>
      <c r="K20" s="53">
        <v>0</v>
      </c>
      <c r="L20" s="59">
        <v>1</v>
      </c>
      <c r="N20" s="10"/>
      <c r="O20" s="2" t="s">
        <v>634</v>
      </c>
      <c r="P20" s="53">
        <v>0</v>
      </c>
      <c r="Q20" s="54">
        <v>0</v>
      </c>
      <c r="R20" s="62">
        <v>0</v>
      </c>
      <c r="S20" s="53">
        <v>0</v>
      </c>
      <c r="T20" s="62">
        <v>0</v>
      </c>
      <c r="U20" s="57">
        <v>1</v>
      </c>
      <c r="V20" s="57">
        <v>1</v>
      </c>
      <c r="X20" s="10"/>
      <c r="Y20" s="2" t="s">
        <v>583</v>
      </c>
      <c r="Z20" s="53">
        <v>0</v>
      </c>
      <c r="AA20" s="53">
        <v>0</v>
      </c>
      <c r="AB20" s="53">
        <v>0</v>
      </c>
      <c r="AC20" s="53">
        <v>0</v>
      </c>
      <c r="AD20" s="54">
        <v>0</v>
      </c>
      <c r="AE20" s="62">
        <v>0</v>
      </c>
      <c r="AF20" s="53">
        <v>0</v>
      </c>
      <c r="AG20" s="53">
        <v>0</v>
      </c>
      <c r="AH20" s="58">
        <v>1</v>
      </c>
      <c r="AJ20" s="10"/>
      <c r="AK20" s="2" t="s">
        <v>771</v>
      </c>
      <c r="AL20" s="53">
        <v>0</v>
      </c>
      <c r="AM20" s="53">
        <v>0</v>
      </c>
      <c r="AN20" s="53">
        <v>0</v>
      </c>
      <c r="AO20" s="54">
        <v>0</v>
      </c>
      <c r="AP20" s="62">
        <v>0</v>
      </c>
      <c r="AQ20" s="53">
        <v>0</v>
      </c>
      <c r="AR20" s="53">
        <v>0</v>
      </c>
      <c r="AS20" s="58">
        <v>1</v>
      </c>
      <c r="AT20" s="57">
        <v>1</v>
      </c>
      <c r="AV20" s="10"/>
      <c r="AW20" s="22" t="s">
        <v>62</v>
      </c>
      <c r="AX20" s="20" t="s">
        <v>83</v>
      </c>
      <c r="AY20" s="53">
        <v>0</v>
      </c>
      <c r="AZ20" s="57">
        <v>1</v>
      </c>
    </row>
    <row r="21" spans="2:52" x14ac:dyDescent="0.35">
      <c r="B21" s="10"/>
      <c r="C21" s="2" t="s">
        <v>397</v>
      </c>
      <c r="D21" s="53">
        <v>0</v>
      </c>
      <c r="E21" s="53">
        <v>0</v>
      </c>
      <c r="F21" s="54">
        <v>0</v>
      </c>
      <c r="G21" s="53">
        <v>0</v>
      </c>
      <c r="H21" s="53">
        <v>0</v>
      </c>
      <c r="I21" s="54">
        <v>0</v>
      </c>
      <c r="J21" s="53">
        <v>0</v>
      </c>
      <c r="K21" s="53">
        <v>0</v>
      </c>
      <c r="L21" s="59">
        <v>1</v>
      </c>
      <c r="N21" s="10"/>
      <c r="O21" s="2" t="s">
        <v>357</v>
      </c>
      <c r="P21" s="53">
        <v>0</v>
      </c>
      <c r="Q21" s="54">
        <v>0</v>
      </c>
      <c r="R21" s="62">
        <v>0</v>
      </c>
      <c r="S21" s="53">
        <v>0</v>
      </c>
      <c r="T21" s="62">
        <v>0</v>
      </c>
      <c r="U21" s="57">
        <v>1</v>
      </c>
      <c r="V21" s="57">
        <v>1</v>
      </c>
      <c r="X21" s="10"/>
      <c r="Y21" s="2" t="s">
        <v>827</v>
      </c>
      <c r="Z21" s="53">
        <v>0</v>
      </c>
      <c r="AA21" s="53">
        <v>0</v>
      </c>
      <c r="AB21" s="53">
        <v>0</v>
      </c>
      <c r="AC21" s="53">
        <v>0</v>
      </c>
      <c r="AD21" s="54">
        <v>0</v>
      </c>
      <c r="AE21" s="62">
        <v>0</v>
      </c>
      <c r="AF21" s="53">
        <v>0</v>
      </c>
      <c r="AG21" s="53">
        <v>0</v>
      </c>
      <c r="AH21" s="58">
        <v>1</v>
      </c>
      <c r="AJ21" s="10"/>
      <c r="AK21" s="2" t="s">
        <v>772</v>
      </c>
      <c r="AL21" s="53">
        <v>0</v>
      </c>
      <c r="AM21" s="53">
        <v>0</v>
      </c>
      <c r="AN21" s="53">
        <v>0</v>
      </c>
      <c r="AO21" s="54">
        <v>0</v>
      </c>
      <c r="AP21" s="62">
        <v>0</v>
      </c>
      <c r="AQ21" s="53">
        <v>0</v>
      </c>
      <c r="AR21" s="53">
        <v>0</v>
      </c>
      <c r="AS21" s="58">
        <v>1</v>
      </c>
      <c r="AT21" s="57">
        <v>1</v>
      </c>
      <c r="AV21" s="10"/>
      <c r="AW21" s="22" t="s">
        <v>294</v>
      </c>
      <c r="AX21" s="20" t="s">
        <v>347</v>
      </c>
      <c r="AY21" s="53">
        <v>0</v>
      </c>
      <c r="AZ21" s="57">
        <v>1</v>
      </c>
    </row>
    <row r="22" spans="2:52" x14ac:dyDescent="0.35">
      <c r="B22" s="10"/>
      <c r="C22" s="2" t="s">
        <v>776</v>
      </c>
      <c r="D22" s="53">
        <v>0</v>
      </c>
      <c r="E22" s="53">
        <v>0</v>
      </c>
      <c r="F22" s="54">
        <v>0</v>
      </c>
      <c r="G22" s="53">
        <v>0</v>
      </c>
      <c r="H22" s="53">
        <v>0</v>
      </c>
      <c r="I22" s="54">
        <v>0</v>
      </c>
      <c r="J22" s="53">
        <v>0</v>
      </c>
      <c r="K22" s="53">
        <v>0</v>
      </c>
      <c r="L22" s="59">
        <v>1</v>
      </c>
      <c r="N22" s="10"/>
      <c r="O22" s="2" t="s">
        <v>802</v>
      </c>
      <c r="P22" s="53">
        <v>0</v>
      </c>
      <c r="Q22" s="54">
        <v>0</v>
      </c>
      <c r="R22" s="62">
        <v>0</v>
      </c>
      <c r="S22" s="53">
        <v>0</v>
      </c>
      <c r="T22" s="62">
        <v>0</v>
      </c>
      <c r="U22" s="57">
        <v>1</v>
      </c>
      <c r="V22" s="57">
        <v>1</v>
      </c>
      <c r="X22" s="10"/>
      <c r="Y22" s="2" t="s">
        <v>828</v>
      </c>
      <c r="Z22" s="53">
        <v>0</v>
      </c>
      <c r="AA22" s="53">
        <v>0</v>
      </c>
      <c r="AB22" s="53">
        <v>0</v>
      </c>
      <c r="AC22" s="53">
        <v>0</v>
      </c>
      <c r="AD22" s="54">
        <v>0</v>
      </c>
      <c r="AE22" s="62">
        <v>0</v>
      </c>
      <c r="AF22" s="53">
        <v>0</v>
      </c>
      <c r="AG22" s="53">
        <v>0</v>
      </c>
      <c r="AH22" s="58">
        <v>1</v>
      </c>
      <c r="AJ22" s="10"/>
      <c r="AK22" s="2" t="s">
        <v>773</v>
      </c>
      <c r="AL22" s="53">
        <v>0</v>
      </c>
      <c r="AM22" s="53">
        <v>0</v>
      </c>
      <c r="AN22" s="53">
        <v>0</v>
      </c>
      <c r="AO22" s="54">
        <v>0</v>
      </c>
      <c r="AP22" s="62">
        <v>0</v>
      </c>
      <c r="AQ22" s="53">
        <v>0</v>
      </c>
      <c r="AR22" s="53">
        <v>0</v>
      </c>
      <c r="AS22" s="58">
        <v>1</v>
      </c>
      <c r="AT22" s="57">
        <v>1</v>
      </c>
      <c r="AV22" s="10"/>
      <c r="AW22" s="22" t="s">
        <v>295</v>
      </c>
      <c r="AX22" s="20" t="s">
        <v>84</v>
      </c>
      <c r="AY22" s="53">
        <v>0</v>
      </c>
      <c r="AZ22" s="57">
        <v>1</v>
      </c>
    </row>
    <row r="23" spans="2:52" x14ac:dyDescent="0.35">
      <c r="B23" s="10"/>
      <c r="C23" s="2" t="s">
        <v>777</v>
      </c>
      <c r="D23" s="53">
        <v>0</v>
      </c>
      <c r="E23" s="53">
        <v>0</v>
      </c>
      <c r="F23" s="54">
        <v>0</v>
      </c>
      <c r="G23" s="53">
        <v>0</v>
      </c>
      <c r="H23" s="53">
        <v>0</v>
      </c>
      <c r="I23" s="54">
        <v>0</v>
      </c>
      <c r="J23" s="53">
        <v>0</v>
      </c>
      <c r="K23" s="53">
        <v>0</v>
      </c>
      <c r="L23" s="59">
        <v>1</v>
      </c>
      <c r="N23" s="10"/>
      <c r="O23" s="2" t="s">
        <v>803</v>
      </c>
      <c r="P23" s="53">
        <v>0</v>
      </c>
      <c r="Q23" s="54">
        <v>0</v>
      </c>
      <c r="R23" s="62">
        <v>0</v>
      </c>
      <c r="S23" s="53">
        <v>0</v>
      </c>
      <c r="T23" s="62">
        <v>0</v>
      </c>
      <c r="U23" s="57">
        <v>1</v>
      </c>
      <c r="V23" s="57">
        <v>1</v>
      </c>
      <c r="X23" s="10"/>
      <c r="Y23" s="2" t="s">
        <v>829</v>
      </c>
      <c r="Z23" s="53">
        <v>0</v>
      </c>
      <c r="AA23" s="53">
        <v>0</v>
      </c>
      <c r="AB23" s="53">
        <v>0</v>
      </c>
      <c r="AC23" s="53">
        <v>0</v>
      </c>
      <c r="AD23" s="54">
        <v>0</v>
      </c>
      <c r="AE23" s="62">
        <v>0</v>
      </c>
      <c r="AF23" s="53">
        <v>0</v>
      </c>
      <c r="AG23" s="53">
        <v>0</v>
      </c>
      <c r="AH23" s="58">
        <v>1</v>
      </c>
      <c r="AJ23" s="10"/>
      <c r="AK23" s="2" t="s">
        <v>774</v>
      </c>
      <c r="AL23" s="53">
        <v>0</v>
      </c>
      <c r="AM23" s="53">
        <v>0</v>
      </c>
      <c r="AN23" s="53">
        <v>0</v>
      </c>
      <c r="AO23" s="54">
        <v>0</v>
      </c>
      <c r="AP23" s="62">
        <v>0</v>
      </c>
      <c r="AQ23" s="53">
        <v>0</v>
      </c>
      <c r="AR23" s="53">
        <v>0</v>
      </c>
      <c r="AS23" s="58">
        <v>1</v>
      </c>
      <c r="AT23" s="57">
        <v>1</v>
      </c>
      <c r="AV23" s="10"/>
      <c r="AW23" s="22" t="s">
        <v>296</v>
      </c>
      <c r="AX23" s="20" t="s">
        <v>348</v>
      </c>
      <c r="AY23" s="53">
        <v>0</v>
      </c>
      <c r="AZ23" s="57">
        <v>1</v>
      </c>
    </row>
    <row r="24" spans="2:52" x14ac:dyDescent="0.35">
      <c r="B24" s="10"/>
      <c r="C24" s="2" t="s">
        <v>398</v>
      </c>
      <c r="D24" s="53">
        <v>0</v>
      </c>
      <c r="E24" s="53">
        <v>0</v>
      </c>
      <c r="F24" s="54">
        <v>0</v>
      </c>
      <c r="G24" s="53">
        <v>0</v>
      </c>
      <c r="H24" s="53">
        <v>0</v>
      </c>
      <c r="I24" s="54">
        <v>0</v>
      </c>
      <c r="J24" s="53">
        <v>0</v>
      </c>
      <c r="K24" s="53">
        <v>0</v>
      </c>
      <c r="L24" s="59">
        <v>1</v>
      </c>
      <c r="N24" s="10"/>
      <c r="O24" s="2" t="s">
        <v>358</v>
      </c>
      <c r="P24" s="53">
        <v>0</v>
      </c>
      <c r="Q24" s="54">
        <v>0</v>
      </c>
      <c r="R24" s="62">
        <v>0</v>
      </c>
      <c r="S24" s="53">
        <v>0</v>
      </c>
      <c r="T24" s="62">
        <v>0</v>
      </c>
      <c r="U24" s="57">
        <v>1</v>
      </c>
      <c r="V24" s="57">
        <v>1</v>
      </c>
      <c r="X24" s="10"/>
      <c r="Y24" s="2" t="s">
        <v>830</v>
      </c>
      <c r="Z24" s="53">
        <v>0</v>
      </c>
      <c r="AA24" s="53">
        <v>0</v>
      </c>
      <c r="AB24" s="53">
        <v>0</v>
      </c>
      <c r="AC24" s="53">
        <v>0</v>
      </c>
      <c r="AD24" s="54">
        <v>0</v>
      </c>
      <c r="AE24" s="62">
        <v>0</v>
      </c>
      <c r="AF24" s="53">
        <v>0</v>
      </c>
      <c r="AG24" s="53">
        <v>0</v>
      </c>
      <c r="AH24" s="58">
        <v>1</v>
      </c>
      <c r="AJ24" s="10"/>
      <c r="AK24" s="2" t="s">
        <v>831</v>
      </c>
      <c r="AL24" s="53">
        <v>0</v>
      </c>
      <c r="AM24" s="53">
        <v>0</v>
      </c>
      <c r="AN24" s="53">
        <v>0</v>
      </c>
      <c r="AO24" s="54">
        <v>0</v>
      </c>
      <c r="AP24" s="62">
        <v>0</v>
      </c>
      <c r="AQ24" s="53">
        <v>0</v>
      </c>
      <c r="AR24" s="53">
        <v>0</v>
      </c>
      <c r="AS24" s="58">
        <v>1</v>
      </c>
      <c r="AT24" s="57">
        <v>1</v>
      </c>
      <c r="AV24" s="10"/>
    </row>
    <row r="25" spans="2:52" x14ac:dyDescent="0.35">
      <c r="B25" s="10"/>
      <c r="C25" s="2" t="s">
        <v>778</v>
      </c>
      <c r="D25" s="53">
        <v>0</v>
      </c>
      <c r="E25" s="53">
        <v>0</v>
      </c>
      <c r="F25" s="54">
        <v>0</v>
      </c>
      <c r="G25" s="53">
        <v>0</v>
      </c>
      <c r="H25" s="53">
        <v>0</v>
      </c>
      <c r="I25" s="54">
        <v>0</v>
      </c>
      <c r="J25" s="53">
        <v>0</v>
      </c>
      <c r="K25" s="53">
        <v>0</v>
      </c>
      <c r="L25" s="59">
        <v>1</v>
      </c>
      <c r="N25" s="10"/>
      <c r="O25" s="2" t="s">
        <v>804</v>
      </c>
      <c r="P25" s="53">
        <v>0</v>
      </c>
      <c r="Q25" s="54">
        <v>0</v>
      </c>
      <c r="R25" s="62">
        <v>0</v>
      </c>
      <c r="S25" s="53">
        <v>0</v>
      </c>
      <c r="T25" s="62">
        <v>0</v>
      </c>
      <c r="U25" s="57">
        <v>1</v>
      </c>
      <c r="V25" s="57">
        <v>1</v>
      </c>
      <c r="X25" s="10"/>
      <c r="Y25" s="2" t="s">
        <v>11</v>
      </c>
      <c r="Z25" s="53">
        <v>0</v>
      </c>
      <c r="AA25" s="53">
        <v>0</v>
      </c>
      <c r="AB25" s="53">
        <v>0</v>
      </c>
      <c r="AC25" s="53">
        <v>0</v>
      </c>
      <c r="AD25" s="54">
        <v>0</v>
      </c>
      <c r="AE25" s="62">
        <v>0</v>
      </c>
      <c r="AF25" s="53">
        <v>0</v>
      </c>
      <c r="AG25" s="53">
        <v>0</v>
      </c>
      <c r="AH25" s="58">
        <v>1</v>
      </c>
      <c r="AJ25" s="10"/>
      <c r="AK25" s="2" t="s">
        <v>832</v>
      </c>
      <c r="AL25" s="53">
        <v>0</v>
      </c>
      <c r="AM25" s="53">
        <v>0</v>
      </c>
      <c r="AN25" s="53">
        <v>0</v>
      </c>
      <c r="AO25" s="54">
        <v>0</v>
      </c>
      <c r="AP25" s="62">
        <v>0</v>
      </c>
      <c r="AQ25" s="53">
        <v>0</v>
      </c>
      <c r="AR25" s="53">
        <v>0</v>
      </c>
      <c r="AS25" s="58">
        <v>1</v>
      </c>
      <c r="AT25" s="57">
        <v>1</v>
      </c>
      <c r="AV25" s="38"/>
      <c r="AW25" s="38"/>
      <c r="AX25" s="38"/>
      <c r="AY25" s="38"/>
      <c r="AZ25" s="38"/>
    </row>
    <row r="26" spans="2:52" x14ac:dyDescent="0.35">
      <c r="B26" s="10"/>
      <c r="C26" s="2" t="s">
        <v>779</v>
      </c>
      <c r="D26" s="53">
        <v>0</v>
      </c>
      <c r="E26" s="53">
        <v>0</v>
      </c>
      <c r="F26" s="54">
        <v>0</v>
      </c>
      <c r="G26" s="53">
        <v>0</v>
      </c>
      <c r="H26" s="53">
        <v>0</v>
      </c>
      <c r="I26" s="54">
        <v>0</v>
      </c>
      <c r="J26" s="53">
        <v>0</v>
      </c>
      <c r="K26" s="53">
        <v>0</v>
      </c>
      <c r="L26" s="59">
        <v>1</v>
      </c>
      <c r="N26" s="10"/>
      <c r="O26" s="2" t="s">
        <v>805</v>
      </c>
      <c r="P26" s="53">
        <v>0</v>
      </c>
      <c r="Q26" s="54">
        <v>0</v>
      </c>
      <c r="R26" s="62">
        <v>0</v>
      </c>
      <c r="S26" s="53">
        <v>0</v>
      </c>
      <c r="T26" s="62">
        <v>0</v>
      </c>
      <c r="U26" s="57">
        <v>1</v>
      </c>
      <c r="V26" s="57">
        <v>1</v>
      </c>
      <c r="X26" s="10"/>
      <c r="Y26" s="2" t="s">
        <v>584</v>
      </c>
      <c r="Z26" s="53">
        <v>0</v>
      </c>
      <c r="AA26" s="53">
        <v>0</v>
      </c>
      <c r="AB26" s="53">
        <v>0</v>
      </c>
      <c r="AC26" s="53">
        <v>0</v>
      </c>
      <c r="AD26" s="54">
        <v>0</v>
      </c>
      <c r="AE26" s="62">
        <v>0</v>
      </c>
      <c r="AF26" s="53">
        <v>0</v>
      </c>
      <c r="AG26" s="53">
        <v>0</v>
      </c>
      <c r="AH26" s="58">
        <v>1</v>
      </c>
      <c r="AJ26" s="10"/>
      <c r="AK26" s="2" t="s">
        <v>833</v>
      </c>
      <c r="AL26" s="53">
        <v>0</v>
      </c>
      <c r="AM26" s="53">
        <v>0</v>
      </c>
      <c r="AN26" s="53">
        <v>0</v>
      </c>
      <c r="AO26" s="54">
        <v>0</v>
      </c>
      <c r="AP26" s="62">
        <v>0</v>
      </c>
      <c r="AQ26" s="53">
        <v>0</v>
      </c>
      <c r="AR26" s="53">
        <v>0</v>
      </c>
      <c r="AS26" s="58">
        <v>1</v>
      </c>
      <c r="AT26" s="57">
        <v>1</v>
      </c>
    </row>
    <row r="27" spans="2:52" x14ac:dyDescent="0.35">
      <c r="B27" s="10"/>
      <c r="C27" s="2" t="s">
        <v>780</v>
      </c>
      <c r="D27" s="53">
        <v>0</v>
      </c>
      <c r="E27" s="53">
        <v>0</v>
      </c>
      <c r="F27" s="54">
        <v>0</v>
      </c>
      <c r="G27" s="53">
        <v>0</v>
      </c>
      <c r="H27" s="53">
        <v>0</v>
      </c>
      <c r="I27" s="54">
        <v>0</v>
      </c>
      <c r="J27" s="53">
        <v>0</v>
      </c>
      <c r="K27" s="53">
        <v>0</v>
      </c>
      <c r="L27" s="59">
        <v>1</v>
      </c>
      <c r="N27" s="10"/>
      <c r="O27" s="2" t="s">
        <v>806</v>
      </c>
      <c r="P27" s="53">
        <v>0</v>
      </c>
      <c r="Q27" s="54">
        <v>0</v>
      </c>
      <c r="R27" s="62">
        <v>0</v>
      </c>
      <c r="S27" s="53">
        <v>0</v>
      </c>
      <c r="T27" s="62">
        <v>0</v>
      </c>
      <c r="U27" s="57">
        <v>1</v>
      </c>
      <c r="V27" s="57">
        <v>1</v>
      </c>
      <c r="X27" s="10"/>
      <c r="Y27" s="2" t="s">
        <v>585</v>
      </c>
      <c r="Z27" s="53">
        <v>0</v>
      </c>
      <c r="AA27" s="53">
        <v>0</v>
      </c>
      <c r="AB27" s="53">
        <v>0</v>
      </c>
      <c r="AC27" s="53">
        <v>0</v>
      </c>
      <c r="AD27" s="54">
        <v>0</v>
      </c>
      <c r="AE27" s="62">
        <v>0</v>
      </c>
      <c r="AF27" s="53">
        <v>0</v>
      </c>
      <c r="AG27" s="53">
        <v>0</v>
      </c>
      <c r="AH27" s="58">
        <v>1</v>
      </c>
      <c r="AJ27" s="10"/>
      <c r="AK27" s="2" t="s">
        <v>834</v>
      </c>
      <c r="AL27" s="53">
        <v>0</v>
      </c>
      <c r="AM27" s="53">
        <v>0</v>
      </c>
      <c r="AN27" s="53">
        <v>0</v>
      </c>
      <c r="AO27" s="54">
        <v>0</v>
      </c>
      <c r="AP27" s="62">
        <v>0</v>
      </c>
      <c r="AQ27" s="53">
        <v>0</v>
      </c>
      <c r="AR27" s="53">
        <v>0</v>
      </c>
      <c r="AS27" s="58">
        <v>1</v>
      </c>
      <c r="AT27" s="57">
        <v>1</v>
      </c>
    </row>
    <row r="28" spans="2:52" x14ac:dyDescent="0.35">
      <c r="B28" s="10"/>
      <c r="C28" s="2" t="s">
        <v>402</v>
      </c>
      <c r="D28" s="53">
        <v>0</v>
      </c>
      <c r="E28" s="53">
        <v>0</v>
      </c>
      <c r="F28" s="54">
        <v>0</v>
      </c>
      <c r="G28" s="53">
        <v>0</v>
      </c>
      <c r="H28" s="53">
        <v>0</v>
      </c>
      <c r="I28" s="54">
        <v>0</v>
      </c>
      <c r="J28" s="53">
        <v>0</v>
      </c>
      <c r="K28" s="53">
        <v>0</v>
      </c>
      <c r="L28" s="59">
        <v>1</v>
      </c>
      <c r="N28" s="10"/>
      <c r="O28" s="2" t="s">
        <v>362</v>
      </c>
      <c r="P28" s="53">
        <v>0</v>
      </c>
      <c r="Q28" s="54">
        <v>0</v>
      </c>
      <c r="R28" s="62">
        <v>0</v>
      </c>
      <c r="S28" s="53">
        <v>0</v>
      </c>
      <c r="T28" s="62">
        <v>0</v>
      </c>
      <c r="U28" s="57">
        <v>1</v>
      </c>
      <c r="V28" s="57">
        <v>1</v>
      </c>
      <c r="X28" s="10"/>
      <c r="Y28" s="2" t="s">
        <v>586</v>
      </c>
      <c r="Z28" s="53">
        <v>0</v>
      </c>
      <c r="AA28" s="53">
        <v>0</v>
      </c>
      <c r="AB28" s="53">
        <v>0</v>
      </c>
      <c r="AC28" s="53">
        <v>0</v>
      </c>
      <c r="AD28" s="54">
        <v>0</v>
      </c>
      <c r="AE28" s="62">
        <v>0</v>
      </c>
      <c r="AF28" s="53">
        <v>0</v>
      </c>
      <c r="AG28" s="53">
        <v>0</v>
      </c>
      <c r="AH28" s="58">
        <v>1</v>
      </c>
      <c r="AJ28" s="10"/>
      <c r="AK28" s="2" t="s">
        <v>835</v>
      </c>
      <c r="AL28" s="53">
        <v>0</v>
      </c>
      <c r="AM28" s="53">
        <v>0</v>
      </c>
      <c r="AN28" s="53">
        <v>0</v>
      </c>
      <c r="AO28" s="54">
        <v>0</v>
      </c>
      <c r="AP28" s="62">
        <v>0</v>
      </c>
      <c r="AQ28" s="53">
        <v>0</v>
      </c>
      <c r="AR28" s="53">
        <v>0</v>
      </c>
      <c r="AS28" s="58">
        <v>1</v>
      </c>
      <c r="AT28" s="57">
        <v>1</v>
      </c>
    </row>
    <row r="29" spans="2:52" x14ac:dyDescent="0.35">
      <c r="B29" s="10"/>
      <c r="C29" s="2" t="s">
        <v>590</v>
      </c>
      <c r="D29" s="53">
        <v>0</v>
      </c>
      <c r="E29" s="53">
        <v>0</v>
      </c>
      <c r="F29" s="54">
        <v>0</v>
      </c>
      <c r="G29" s="53">
        <v>0</v>
      </c>
      <c r="H29" s="53">
        <v>0</v>
      </c>
      <c r="I29" s="54">
        <v>0</v>
      </c>
      <c r="J29" s="53">
        <v>0</v>
      </c>
      <c r="K29" s="53">
        <v>0</v>
      </c>
      <c r="L29" s="59">
        <v>1</v>
      </c>
      <c r="N29" s="10"/>
      <c r="O29" s="2" t="s">
        <v>633</v>
      </c>
      <c r="P29" s="53">
        <v>0</v>
      </c>
      <c r="Q29" s="54">
        <v>0</v>
      </c>
      <c r="R29" s="62">
        <v>0</v>
      </c>
      <c r="S29" s="53">
        <v>0</v>
      </c>
      <c r="T29" s="62">
        <v>0</v>
      </c>
      <c r="U29" s="57">
        <v>1</v>
      </c>
      <c r="V29" s="57">
        <v>1</v>
      </c>
      <c r="X29" s="10"/>
      <c r="Y29" s="2" t="s">
        <v>587</v>
      </c>
      <c r="Z29" s="53">
        <v>0</v>
      </c>
      <c r="AA29" s="53">
        <v>0</v>
      </c>
      <c r="AB29" s="53">
        <v>0</v>
      </c>
      <c r="AC29" s="53">
        <v>0</v>
      </c>
      <c r="AD29" s="54">
        <v>0</v>
      </c>
      <c r="AE29" s="62">
        <v>0</v>
      </c>
      <c r="AF29" s="53">
        <v>0</v>
      </c>
      <c r="AG29" s="53">
        <v>0</v>
      </c>
      <c r="AH29" s="58">
        <v>1</v>
      </c>
      <c r="AJ29" s="10"/>
      <c r="AK29" s="2"/>
      <c r="AL29" s="53"/>
      <c r="AM29" s="53"/>
      <c r="AN29" s="53"/>
      <c r="AO29" s="54"/>
      <c r="AP29" s="62"/>
      <c r="AQ29" s="53"/>
      <c r="AR29" s="53"/>
      <c r="AS29" s="58"/>
      <c r="AT29" s="57"/>
    </row>
    <row r="30" spans="2:52" x14ac:dyDescent="0.35">
      <c r="B30" s="10"/>
      <c r="C30" s="2" t="s">
        <v>781</v>
      </c>
      <c r="D30" s="53">
        <v>0</v>
      </c>
      <c r="E30" s="53">
        <v>0</v>
      </c>
      <c r="F30" s="54">
        <v>0</v>
      </c>
      <c r="G30" s="53">
        <v>0</v>
      </c>
      <c r="H30" s="53">
        <v>0</v>
      </c>
      <c r="I30" s="54">
        <v>0</v>
      </c>
      <c r="J30" s="53">
        <v>0</v>
      </c>
      <c r="K30" s="53">
        <v>0</v>
      </c>
      <c r="L30" s="59">
        <v>1</v>
      </c>
      <c r="N30" s="10"/>
      <c r="O30" s="2" t="s">
        <v>807</v>
      </c>
      <c r="P30" s="53">
        <v>0</v>
      </c>
      <c r="Q30" s="54">
        <v>0</v>
      </c>
      <c r="R30" s="62">
        <v>0</v>
      </c>
      <c r="S30" s="53">
        <v>0</v>
      </c>
      <c r="T30" s="62">
        <v>0</v>
      </c>
      <c r="U30" s="57">
        <v>1</v>
      </c>
      <c r="V30" s="57">
        <v>1</v>
      </c>
      <c r="X30" s="10"/>
      <c r="Y30" s="2"/>
      <c r="Z30" s="53"/>
      <c r="AA30" s="53"/>
      <c r="AB30" s="53"/>
      <c r="AC30" s="53"/>
      <c r="AD30" s="54"/>
      <c r="AE30" s="62"/>
      <c r="AF30" s="53"/>
      <c r="AG30" s="53"/>
      <c r="AH30" s="58"/>
      <c r="AJ30" s="10"/>
      <c r="AK30" s="2"/>
      <c r="AL30" s="53"/>
      <c r="AM30" s="53"/>
      <c r="AN30" s="53"/>
      <c r="AO30" s="54"/>
      <c r="AP30" s="62"/>
      <c r="AQ30" s="53"/>
      <c r="AR30" s="53"/>
      <c r="AS30" s="58"/>
      <c r="AT30" s="57"/>
    </row>
    <row r="31" spans="2:52" x14ac:dyDescent="0.35">
      <c r="B31" s="10"/>
      <c r="C31" s="2" t="s">
        <v>396</v>
      </c>
      <c r="D31" s="53">
        <v>0</v>
      </c>
      <c r="E31" s="53">
        <v>0</v>
      </c>
      <c r="F31" s="54">
        <v>0</v>
      </c>
      <c r="G31" s="53">
        <v>0</v>
      </c>
      <c r="H31" s="53">
        <v>0</v>
      </c>
      <c r="I31" s="54">
        <v>0</v>
      </c>
      <c r="J31" s="53">
        <v>0</v>
      </c>
      <c r="K31" s="53">
        <v>0</v>
      </c>
      <c r="L31" s="59">
        <v>1</v>
      </c>
      <c r="N31" s="10"/>
      <c r="O31" s="2" t="s">
        <v>356</v>
      </c>
      <c r="P31" s="53">
        <v>0</v>
      </c>
      <c r="Q31" s="54">
        <v>0</v>
      </c>
      <c r="R31" s="62">
        <v>0</v>
      </c>
      <c r="S31" s="53">
        <v>0</v>
      </c>
      <c r="T31" s="62">
        <v>0</v>
      </c>
      <c r="U31" s="57">
        <v>1</v>
      </c>
      <c r="V31" s="57">
        <v>1</v>
      </c>
      <c r="X31" s="10"/>
      <c r="Y31" s="2"/>
      <c r="Z31" s="53"/>
      <c r="AA31" s="53"/>
      <c r="AB31" s="53"/>
      <c r="AC31" s="53"/>
      <c r="AD31" s="54"/>
      <c r="AE31" s="62"/>
      <c r="AF31" s="53"/>
      <c r="AG31" s="53"/>
      <c r="AH31" s="58"/>
      <c r="AJ31" s="10"/>
      <c r="AK31" s="2"/>
      <c r="AL31" s="53"/>
      <c r="AM31" s="53"/>
      <c r="AN31" s="53"/>
      <c r="AO31" s="54"/>
      <c r="AP31" s="62"/>
      <c r="AQ31" s="53"/>
      <c r="AR31" s="53"/>
      <c r="AS31" s="58"/>
      <c r="AT31" s="57"/>
    </row>
    <row r="32" spans="2:52" x14ac:dyDescent="0.35">
      <c r="B32" s="10"/>
      <c r="C32" s="2" t="s">
        <v>403</v>
      </c>
      <c r="D32" s="53">
        <v>0</v>
      </c>
      <c r="E32" s="53">
        <v>0</v>
      </c>
      <c r="F32" s="54">
        <v>0</v>
      </c>
      <c r="G32" s="53">
        <v>0</v>
      </c>
      <c r="H32" s="53">
        <v>0</v>
      </c>
      <c r="I32" s="54">
        <v>0</v>
      </c>
      <c r="J32" s="53">
        <v>0</v>
      </c>
      <c r="K32" s="53">
        <v>0</v>
      </c>
      <c r="L32" s="59">
        <v>1</v>
      </c>
      <c r="N32" s="10"/>
      <c r="O32" s="2" t="s">
        <v>363</v>
      </c>
      <c r="P32" s="53">
        <v>0</v>
      </c>
      <c r="Q32" s="54">
        <v>0</v>
      </c>
      <c r="R32" s="62">
        <v>0</v>
      </c>
      <c r="S32" s="53">
        <v>0</v>
      </c>
      <c r="T32" s="62">
        <v>0</v>
      </c>
      <c r="U32" s="57">
        <v>1</v>
      </c>
      <c r="V32" s="57">
        <v>1</v>
      </c>
      <c r="X32" s="10"/>
      <c r="Y32" s="2"/>
      <c r="Z32" s="53"/>
      <c r="AA32" s="53"/>
      <c r="AB32" s="53"/>
      <c r="AC32" s="53"/>
      <c r="AD32" s="54"/>
      <c r="AE32" s="62"/>
      <c r="AF32" s="53"/>
      <c r="AG32" s="53"/>
      <c r="AH32" s="58"/>
      <c r="AJ32" s="10"/>
      <c r="AK32" s="2"/>
      <c r="AL32" s="53"/>
      <c r="AM32" s="53"/>
      <c r="AN32" s="53"/>
      <c r="AO32" s="54"/>
      <c r="AP32" s="62"/>
      <c r="AQ32" s="53"/>
      <c r="AR32" s="53"/>
      <c r="AS32" s="58"/>
      <c r="AT32" s="57"/>
    </row>
    <row r="33" spans="2:46" x14ac:dyDescent="0.35">
      <c r="B33" s="10"/>
      <c r="C33" s="2" t="s">
        <v>596</v>
      </c>
      <c r="D33" s="53">
        <v>0</v>
      </c>
      <c r="E33" s="53">
        <v>0</v>
      </c>
      <c r="F33" s="54">
        <v>0</v>
      </c>
      <c r="G33" s="53">
        <v>0</v>
      </c>
      <c r="H33" s="53">
        <v>0</v>
      </c>
      <c r="I33" s="54">
        <v>0</v>
      </c>
      <c r="J33" s="53">
        <v>0</v>
      </c>
      <c r="K33" s="53">
        <v>0</v>
      </c>
      <c r="L33" s="59">
        <v>1</v>
      </c>
      <c r="N33" s="10"/>
      <c r="O33" s="2" t="s">
        <v>639</v>
      </c>
      <c r="P33" s="53">
        <v>0</v>
      </c>
      <c r="Q33" s="54">
        <v>0</v>
      </c>
      <c r="R33" s="62">
        <v>0</v>
      </c>
      <c r="S33" s="53">
        <v>0</v>
      </c>
      <c r="T33" s="62">
        <v>0</v>
      </c>
      <c r="U33" s="57">
        <v>1</v>
      </c>
      <c r="V33" s="57">
        <v>1</v>
      </c>
      <c r="X33" s="10"/>
      <c r="Y33" s="2"/>
      <c r="Z33" s="53"/>
      <c r="AA33" s="53"/>
      <c r="AB33" s="53"/>
      <c r="AC33" s="53"/>
      <c r="AD33" s="54"/>
      <c r="AE33" s="62"/>
      <c r="AF33" s="53"/>
      <c r="AG33" s="53"/>
      <c r="AH33" s="58"/>
      <c r="AJ33" s="10"/>
      <c r="AK33" s="2"/>
      <c r="AL33" s="53"/>
      <c r="AM33" s="53"/>
      <c r="AN33" s="53"/>
      <c r="AO33" s="54"/>
      <c r="AP33" s="62"/>
      <c r="AQ33" s="53"/>
      <c r="AR33" s="53"/>
      <c r="AS33" s="58"/>
      <c r="AT33" s="57"/>
    </row>
    <row r="34" spans="2:46" x14ac:dyDescent="0.35">
      <c r="B34" s="10"/>
      <c r="C34" s="2" t="s">
        <v>400</v>
      </c>
      <c r="D34" s="53">
        <v>0</v>
      </c>
      <c r="E34" s="53">
        <v>0</v>
      </c>
      <c r="F34" s="54">
        <v>0</v>
      </c>
      <c r="G34" s="53">
        <v>0</v>
      </c>
      <c r="H34" s="53">
        <v>0</v>
      </c>
      <c r="I34" s="54">
        <v>0</v>
      </c>
      <c r="J34" s="53">
        <v>0</v>
      </c>
      <c r="K34" s="53">
        <v>0</v>
      </c>
      <c r="L34" s="59">
        <v>1</v>
      </c>
      <c r="N34" s="10"/>
      <c r="O34" s="2" t="s">
        <v>360</v>
      </c>
      <c r="P34" s="53">
        <v>0</v>
      </c>
      <c r="Q34" s="54">
        <v>0</v>
      </c>
      <c r="R34" s="62">
        <v>0</v>
      </c>
      <c r="S34" s="53">
        <v>0</v>
      </c>
      <c r="T34" s="62">
        <v>0</v>
      </c>
      <c r="U34" s="57">
        <v>1</v>
      </c>
      <c r="V34" s="57">
        <v>1</v>
      </c>
      <c r="X34" s="10"/>
      <c r="Y34" s="2"/>
      <c r="Z34" s="53"/>
      <c r="AA34" s="53"/>
      <c r="AB34" s="53"/>
      <c r="AC34" s="53"/>
      <c r="AD34" s="54"/>
      <c r="AE34" s="62"/>
      <c r="AF34" s="53"/>
      <c r="AG34" s="53"/>
      <c r="AH34" s="58"/>
      <c r="AJ34" s="10"/>
      <c r="AK34" s="2"/>
      <c r="AL34" s="53"/>
      <c r="AM34" s="53"/>
      <c r="AN34" s="53"/>
      <c r="AO34" s="54"/>
      <c r="AP34" s="62"/>
      <c r="AQ34" s="53"/>
      <c r="AR34" s="53"/>
      <c r="AS34" s="58"/>
      <c r="AT34" s="57"/>
    </row>
    <row r="35" spans="2:46" x14ac:dyDescent="0.35">
      <c r="B35" s="10"/>
      <c r="C35" s="2" t="s">
        <v>399</v>
      </c>
      <c r="D35" s="53">
        <v>0</v>
      </c>
      <c r="E35" s="53">
        <v>0</v>
      </c>
      <c r="F35" s="54">
        <v>0</v>
      </c>
      <c r="G35" s="53">
        <v>0</v>
      </c>
      <c r="H35" s="53">
        <v>0</v>
      </c>
      <c r="I35" s="54">
        <v>0</v>
      </c>
      <c r="J35" s="53">
        <v>0</v>
      </c>
      <c r="K35" s="53">
        <v>0</v>
      </c>
      <c r="L35" s="59">
        <v>1</v>
      </c>
      <c r="N35" s="10"/>
      <c r="O35" s="2" t="s">
        <v>359</v>
      </c>
      <c r="P35" s="53">
        <v>0</v>
      </c>
      <c r="Q35" s="54">
        <v>0</v>
      </c>
      <c r="R35" s="62">
        <v>0</v>
      </c>
      <c r="S35" s="53">
        <v>0</v>
      </c>
      <c r="T35" s="62">
        <v>0</v>
      </c>
      <c r="U35" s="57">
        <v>1</v>
      </c>
      <c r="V35" s="57">
        <v>1</v>
      </c>
      <c r="X35" s="10"/>
      <c r="Y35" s="2"/>
      <c r="Z35" s="53"/>
      <c r="AA35" s="53"/>
      <c r="AB35" s="53"/>
      <c r="AC35" s="53"/>
      <c r="AD35" s="54"/>
      <c r="AE35" s="62"/>
      <c r="AF35" s="53"/>
      <c r="AG35" s="53"/>
      <c r="AH35" s="58"/>
      <c r="AJ35" s="10"/>
      <c r="AK35" s="2"/>
      <c r="AL35" s="53"/>
      <c r="AM35" s="53"/>
      <c r="AN35" s="53"/>
      <c r="AO35" s="54"/>
      <c r="AP35" s="62"/>
      <c r="AQ35" s="53"/>
      <c r="AR35" s="53"/>
      <c r="AS35" s="58"/>
      <c r="AT35" s="57"/>
    </row>
    <row r="36" spans="2:46" x14ac:dyDescent="0.35">
      <c r="B36" s="10"/>
      <c r="C36" s="2" t="s">
        <v>782</v>
      </c>
      <c r="D36" s="53">
        <v>0</v>
      </c>
      <c r="E36" s="53">
        <v>0</v>
      </c>
      <c r="F36" s="54">
        <v>0</v>
      </c>
      <c r="G36" s="53">
        <v>0</v>
      </c>
      <c r="H36" s="53">
        <v>0</v>
      </c>
      <c r="I36" s="54">
        <v>0</v>
      </c>
      <c r="J36" s="53">
        <v>0</v>
      </c>
      <c r="K36" s="53">
        <v>0</v>
      </c>
      <c r="L36" s="59">
        <v>1</v>
      </c>
      <c r="N36" s="10"/>
      <c r="O36" s="2" t="s">
        <v>808</v>
      </c>
      <c r="P36" s="53">
        <v>0</v>
      </c>
      <c r="Q36" s="54">
        <v>0</v>
      </c>
      <c r="R36" s="62">
        <v>0</v>
      </c>
      <c r="S36" s="53">
        <v>0</v>
      </c>
      <c r="T36" s="62">
        <v>0</v>
      </c>
      <c r="U36" s="57">
        <v>1</v>
      </c>
      <c r="V36" s="57">
        <v>1</v>
      </c>
      <c r="X36" s="10"/>
      <c r="Y36" s="2"/>
      <c r="Z36" s="53"/>
      <c r="AA36" s="53"/>
      <c r="AB36" s="53"/>
      <c r="AC36" s="53"/>
      <c r="AD36" s="54"/>
      <c r="AE36" s="62"/>
      <c r="AF36" s="53"/>
      <c r="AG36" s="53"/>
      <c r="AH36" s="58"/>
      <c r="AJ36" s="10"/>
      <c r="AK36" s="2"/>
      <c r="AL36" s="53"/>
      <c r="AM36" s="53"/>
      <c r="AN36" s="53"/>
      <c r="AO36" s="54"/>
      <c r="AP36" s="62"/>
      <c r="AQ36" s="53"/>
      <c r="AR36" s="53"/>
      <c r="AS36" s="58"/>
      <c r="AT36" s="57"/>
    </row>
    <row r="37" spans="2:46" x14ac:dyDescent="0.35">
      <c r="B37" s="10"/>
      <c r="C37" s="2" t="s">
        <v>404</v>
      </c>
      <c r="D37" s="53">
        <v>0</v>
      </c>
      <c r="E37" s="53">
        <v>0</v>
      </c>
      <c r="F37" s="54">
        <v>0</v>
      </c>
      <c r="G37" s="53">
        <v>0</v>
      </c>
      <c r="H37" s="53">
        <v>0</v>
      </c>
      <c r="I37" s="54">
        <v>0</v>
      </c>
      <c r="J37" s="53">
        <v>0</v>
      </c>
      <c r="K37" s="53">
        <v>0</v>
      </c>
      <c r="L37" s="59">
        <v>1</v>
      </c>
      <c r="N37" s="10"/>
      <c r="O37" s="2" t="s">
        <v>364</v>
      </c>
      <c r="P37" s="53">
        <v>0</v>
      </c>
      <c r="Q37" s="54">
        <v>0</v>
      </c>
      <c r="R37" s="62">
        <v>0</v>
      </c>
      <c r="S37" s="53">
        <v>0</v>
      </c>
      <c r="T37" s="62">
        <v>0</v>
      </c>
      <c r="U37" s="57">
        <v>1</v>
      </c>
      <c r="V37" s="57">
        <v>1</v>
      </c>
      <c r="X37" s="10"/>
      <c r="Y37" s="2"/>
      <c r="Z37" s="53"/>
      <c r="AA37" s="53"/>
      <c r="AB37" s="53"/>
      <c r="AC37" s="53"/>
      <c r="AD37" s="54"/>
      <c r="AE37" s="62"/>
      <c r="AF37" s="53"/>
      <c r="AG37" s="53"/>
      <c r="AH37" s="58"/>
      <c r="AJ37" s="10"/>
      <c r="AK37" s="2"/>
      <c r="AL37" s="53"/>
      <c r="AM37" s="53"/>
      <c r="AN37" s="53"/>
      <c r="AO37" s="54"/>
      <c r="AP37" s="62"/>
      <c r="AQ37" s="53"/>
      <c r="AR37" s="53"/>
      <c r="AS37" s="58"/>
      <c r="AT37" s="57"/>
    </row>
    <row r="38" spans="2:46" x14ac:dyDescent="0.35">
      <c r="B38" s="10"/>
      <c r="C38" s="2" t="s">
        <v>405</v>
      </c>
      <c r="D38" s="53">
        <v>0</v>
      </c>
      <c r="E38" s="53">
        <v>0</v>
      </c>
      <c r="F38" s="54">
        <v>0</v>
      </c>
      <c r="G38" s="53">
        <v>0</v>
      </c>
      <c r="H38" s="53">
        <v>0</v>
      </c>
      <c r="I38" s="54">
        <v>0</v>
      </c>
      <c r="J38" s="53">
        <v>0</v>
      </c>
      <c r="K38" s="53">
        <v>0</v>
      </c>
      <c r="L38" s="59">
        <v>1</v>
      </c>
      <c r="N38" s="10"/>
      <c r="O38" s="2" t="s">
        <v>365</v>
      </c>
      <c r="P38" s="53">
        <v>0</v>
      </c>
      <c r="Q38" s="54">
        <v>0</v>
      </c>
      <c r="R38" s="62">
        <v>0</v>
      </c>
      <c r="S38" s="53">
        <v>0</v>
      </c>
      <c r="T38" s="62">
        <v>0</v>
      </c>
      <c r="U38" s="57">
        <v>1</v>
      </c>
      <c r="V38" s="57">
        <v>1</v>
      </c>
      <c r="X38" s="10"/>
      <c r="Y38" s="2"/>
      <c r="Z38" s="53"/>
      <c r="AA38" s="53"/>
      <c r="AB38" s="53"/>
      <c r="AC38" s="53"/>
      <c r="AD38" s="54"/>
      <c r="AE38" s="62"/>
      <c r="AF38" s="53"/>
      <c r="AG38" s="53"/>
      <c r="AH38" s="58"/>
      <c r="AJ38" s="10"/>
      <c r="AK38" s="2"/>
      <c r="AL38" s="53"/>
      <c r="AM38" s="53"/>
      <c r="AN38" s="53"/>
      <c r="AO38" s="54"/>
      <c r="AP38" s="62"/>
      <c r="AQ38" s="53"/>
      <c r="AR38" s="53"/>
      <c r="AS38" s="58"/>
      <c r="AT38" s="57"/>
    </row>
    <row r="39" spans="2:46" x14ac:dyDescent="0.35">
      <c r="B39" s="10"/>
      <c r="C39" s="2" t="s">
        <v>602</v>
      </c>
      <c r="D39" s="53">
        <v>0</v>
      </c>
      <c r="E39" s="53">
        <v>0</v>
      </c>
      <c r="F39" s="54">
        <v>0</v>
      </c>
      <c r="G39" s="53">
        <v>0</v>
      </c>
      <c r="H39" s="53">
        <v>0</v>
      </c>
      <c r="I39" s="54">
        <v>0</v>
      </c>
      <c r="J39" s="53">
        <v>0</v>
      </c>
      <c r="K39" s="53">
        <v>0</v>
      </c>
      <c r="L39" s="59">
        <v>1</v>
      </c>
      <c r="N39" s="10"/>
      <c r="O39" s="2" t="s">
        <v>645</v>
      </c>
      <c r="P39" s="53">
        <v>0</v>
      </c>
      <c r="Q39" s="54">
        <v>0</v>
      </c>
      <c r="R39" s="62">
        <v>0</v>
      </c>
      <c r="S39" s="53">
        <v>0</v>
      </c>
      <c r="T39" s="62">
        <v>0</v>
      </c>
      <c r="U39" s="57">
        <v>1</v>
      </c>
      <c r="V39" s="57">
        <v>1</v>
      </c>
      <c r="X39" s="10"/>
      <c r="Y39" s="2"/>
      <c r="Z39" s="53"/>
      <c r="AA39" s="53"/>
      <c r="AB39" s="53"/>
      <c r="AC39" s="53"/>
      <c r="AD39" s="54"/>
      <c r="AE39" s="62"/>
      <c r="AF39" s="53"/>
      <c r="AG39" s="53"/>
      <c r="AH39" s="58"/>
      <c r="AJ39" s="10"/>
      <c r="AK39" s="2"/>
      <c r="AL39" s="53"/>
      <c r="AM39" s="53"/>
      <c r="AN39" s="53"/>
      <c r="AO39" s="54"/>
      <c r="AP39" s="62"/>
      <c r="AQ39" s="53"/>
      <c r="AR39" s="53"/>
      <c r="AS39" s="58"/>
      <c r="AT39" s="57"/>
    </row>
    <row r="40" spans="2:46" x14ac:dyDescent="0.35">
      <c r="B40" s="10"/>
      <c r="C40" s="2" t="s">
        <v>406</v>
      </c>
      <c r="D40" s="53">
        <v>0</v>
      </c>
      <c r="E40" s="53">
        <v>0</v>
      </c>
      <c r="F40" s="54">
        <v>0</v>
      </c>
      <c r="G40" s="53">
        <v>0</v>
      </c>
      <c r="H40" s="53">
        <v>0</v>
      </c>
      <c r="I40" s="54">
        <v>0</v>
      </c>
      <c r="J40" s="53">
        <v>0</v>
      </c>
      <c r="K40" s="53">
        <v>0</v>
      </c>
      <c r="L40" s="59">
        <v>1</v>
      </c>
      <c r="N40" s="10"/>
      <c r="O40" s="2" t="s">
        <v>366</v>
      </c>
      <c r="P40" s="53">
        <v>0</v>
      </c>
      <c r="Q40" s="54">
        <v>0</v>
      </c>
      <c r="R40" s="62">
        <v>0</v>
      </c>
      <c r="S40" s="53">
        <v>0</v>
      </c>
      <c r="T40" s="62">
        <v>0</v>
      </c>
      <c r="U40" s="57">
        <v>1</v>
      </c>
      <c r="V40" s="57">
        <v>1</v>
      </c>
      <c r="X40" s="10"/>
      <c r="Y40" s="2"/>
      <c r="Z40" s="53"/>
      <c r="AA40" s="53"/>
      <c r="AB40" s="53"/>
      <c r="AC40" s="53"/>
      <c r="AD40" s="54"/>
      <c r="AE40" s="62"/>
      <c r="AF40" s="53"/>
      <c r="AG40" s="53"/>
      <c r="AH40" s="58"/>
      <c r="AJ40" s="10"/>
      <c r="AK40" s="2"/>
      <c r="AL40" s="53"/>
      <c r="AM40" s="53"/>
      <c r="AN40" s="53"/>
      <c r="AO40" s="54"/>
      <c r="AP40" s="62"/>
      <c r="AQ40" s="53"/>
      <c r="AR40" s="53"/>
      <c r="AS40" s="58"/>
      <c r="AT40" s="57"/>
    </row>
    <row r="41" spans="2:46" x14ac:dyDescent="0.35">
      <c r="B41" s="10"/>
      <c r="C41" s="2" t="s">
        <v>407</v>
      </c>
      <c r="D41" s="53">
        <v>0</v>
      </c>
      <c r="E41" s="53">
        <v>0</v>
      </c>
      <c r="F41" s="54">
        <v>0</v>
      </c>
      <c r="G41" s="53">
        <v>0</v>
      </c>
      <c r="H41" s="53">
        <v>0</v>
      </c>
      <c r="I41" s="54">
        <v>0</v>
      </c>
      <c r="J41" s="53">
        <v>0</v>
      </c>
      <c r="K41" s="53">
        <v>0</v>
      </c>
      <c r="L41" s="59">
        <v>1</v>
      </c>
      <c r="N41" s="10"/>
      <c r="O41" s="2" t="s">
        <v>367</v>
      </c>
      <c r="P41" s="53">
        <v>0</v>
      </c>
      <c r="Q41" s="54">
        <v>0</v>
      </c>
      <c r="R41" s="62">
        <v>0</v>
      </c>
      <c r="S41" s="53">
        <v>0</v>
      </c>
      <c r="T41" s="62">
        <v>0</v>
      </c>
      <c r="U41" s="57">
        <v>1</v>
      </c>
      <c r="V41" s="57">
        <v>1</v>
      </c>
      <c r="X41" s="10"/>
      <c r="Y41" s="2"/>
      <c r="Z41" s="53"/>
      <c r="AA41" s="53"/>
      <c r="AB41" s="53"/>
      <c r="AC41" s="53"/>
      <c r="AD41" s="54"/>
      <c r="AE41" s="62"/>
      <c r="AF41" s="53"/>
      <c r="AG41" s="53"/>
      <c r="AH41" s="58"/>
      <c r="AJ41" s="10"/>
      <c r="AK41" s="2"/>
      <c r="AL41" s="53"/>
      <c r="AM41" s="53"/>
      <c r="AN41" s="53"/>
      <c r="AO41" s="54"/>
      <c r="AP41" s="62"/>
      <c r="AQ41" s="53"/>
      <c r="AR41" s="53"/>
      <c r="AS41" s="58"/>
      <c r="AT41" s="57"/>
    </row>
    <row r="42" spans="2:46" x14ac:dyDescent="0.35">
      <c r="B42" s="10"/>
      <c r="C42" s="2" t="s">
        <v>600</v>
      </c>
      <c r="D42" s="53">
        <v>0</v>
      </c>
      <c r="E42" s="53">
        <v>0</v>
      </c>
      <c r="F42" s="54">
        <v>0</v>
      </c>
      <c r="G42" s="53">
        <v>0</v>
      </c>
      <c r="H42" s="53">
        <v>0</v>
      </c>
      <c r="I42" s="54">
        <v>0</v>
      </c>
      <c r="J42" s="53">
        <v>0</v>
      </c>
      <c r="K42" s="53">
        <v>0</v>
      </c>
      <c r="L42" s="59">
        <v>1</v>
      </c>
      <c r="N42" s="10"/>
      <c r="O42" s="2" t="s">
        <v>643</v>
      </c>
      <c r="P42" s="53">
        <v>0</v>
      </c>
      <c r="Q42" s="54">
        <v>0</v>
      </c>
      <c r="R42" s="62">
        <v>0</v>
      </c>
      <c r="S42" s="53">
        <v>0</v>
      </c>
      <c r="T42" s="62">
        <v>0</v>
      </c>
      <c r="U42" s="57">
        <v>1</v>
      </c>
      <c r="V42" s="57">
        <v>1</v>
      </c>
      <c r="X42" s="10"/>
      <c r="Y42" s="2"/>
      <c r="Z42" s="53"/>
      <c r="AA42" s="53"/>
      <c r="AB42" s="53"/>
      <c r="AC42" s="53"/>
      <c r="AD42" s="54"/>
      <c r="AE42" s="62"/>
      <c r="AF42" s="53"/>
      <c r="AG42" s="53"/>
      <c r="AH42" s="58"/>
      <c r="AJ42" s="10"/>
      <c r="AK42" s="2"/>
      <c r="AL42" s="53"/>
      <c r="AM42" s="53"/>
      <c r="AN42" s="53"/>
      <c r="AO42" s="54"/>
      <c r="AP42" s="62"/>
      <c r="AQ42" s="53"/>
      <c r="AR42" s="53"/>
      <c r="AS42" s="58"/>
      <c r="AT42" s="57"/>
    </row>
    <row r="43" spans="2:46" x14ac:dyDescent="0.35">
      <c r="B43" s="10"/>
      <c r="C43" s="2" t="s">
        <v>601</v>
      </c>
      <c r="D43" s="53">
        <v>0</v>
      </c>
      <c r="E43" s="53">
        <v>0</v>
      </c>
      <c r="F43" s="54">
        <v>0</v>
      </c>
      <c r="G43" s="53">
        <v>0</v>
      </c>
      <c r="H43" s="53">
        <v>0</v>
      </c>
      <c r="I43" s="54">
        <v>0</v>
      </c>
      <c r="J43" s="53">
        <v>0</v>
      </c>
      <c r="K43" s="53">
        <v>0</v>
      </c>
      <c r="L43" s="59">
        <v>1</v>
      </c>
      <c r="N43" s="10"/>
      <c r="O43" s="2" t="s">
        <v>644</v>
      </c>
      <c r="P43" s="53">
        <v>0</v>
      </c>
      <c r="Q43" s="54">
        <v>0</v>
      </c>
      <c r="R43" s="62">
        <v>0</v>
      </c>
      <c r="S43" s="53">
        <v>0</v>
      </c>
      <c r="T43" s="62">
        <v>0</v>
      </c>
      <c r="U43" s="57">
        <v>1</v>
      </c>
      <c r="V43" s="57">
        <v>1</v>
      </c>
      <c r="X43" s="10"/>
      <c r="Y43" s="2"/>
      <c r="Z43" s="53"/>
      <c r="AA43" s="53"/>
      <c r="AB43" s="53"/>
      <c r="AC43" s="53"/>
      <c r="AD43" s="54"/>
      <c r="AE43" s="62"/>
      <c r="AF43" s="53"/>
      <c r="AG43" s="53"/>
      <c r="AH43" s="58"/>
      <c r="AJ43" s="10"/>
      <c r="AK43" s="2"/>
      <c r="AL43" s="53"/>
      <c r="AM43" s="53"/>
      <c r="AN43" s="53"/>
      <c r="AO43" s="54"/>
      <c r="AP43" s="62"/>
      <c r="AQ43" s="53"/>
      <c r="AR43" s="53"/>
      <c r="AS43" s="58"/>
      <c r="AT43" s="57"/>
    </row>
    <row r="44" spans="2:46" x14ac:dyDescent="0.35">
      <c r="B44" s="10"/>
      <c r="C44" s="2" t="s">
        <v>408</v>
      </c>
      <c r="D44" s="53">
        <v>0</v>
      </c>
      <c r="E44" s="53">
        <v>0</v>
      </c>
      <c r="F44" s="54">
        <v>0</v>
      </c>
      <c r="G44" s="53">
        <v>0</v>
      </c>
      <c r="H44" s="53">
        <v>0</v>
      </c>
      <c r="I44" s="54">
        <v>0</v>
      </c>
      <c r="J44" s="53">
        <v>0</v>
      </c>
      <c r="K44" s="53">
        <v>0</v>
      </c>
      <c r="L44" s="59">
        <v>1</v>
      </c>
      <c r="N44" s="10"/>
      <c r="O44" s="2" t="s">
        <v>368</v>
      </c>
      <c r="P44" s="53">
        <v>0</v>
      </c>
      <c r="Q44" s="54">
        <v>0</v>
      </c>
      <c r="R44" s="62">
        <v>0</v>
      </c>
      <c r="S44" s="53">
        <v>0</v>
      </c>
      <c r="T44" s="62">
        <v>0</v>
      </c>
      <c r="U44" s="57">
        <v>1</v>
      </c>
      <c r="V44" s="57">
        <v>1</v>
      </c>
      <c r="X44" s="10"/>
      <c r="Y44" s="2"/>
      <c r="Z44" s="53"/>
      <c r="AA44" s="53"/>
      <c r="AB44" s="53"/>
      <c r="AC44" s="53"/>
      <c r="AD44" s="54"/>
      <c r="AE44" s="62"/>
      <c r="AF44" s="53"/>
      <c r="AG44" s="53"/>
      <c r="AH44" s="58"/>
      <c r="AJ44" s="10"/>
      <c r="AK44" s="2"/>
      <c r="AL44" s="53"/>
      <c r="AM44" s="53"/>
      <c r="AN44" s="53"/>
      <c r="AO44" s="54"/>
      <c r="AP44" s="62"/>
      <c r="AQ44" s="53"/>
      <c r="AR44" s="53"/>
      <c r="AS44" s="58"/>
      <c r="AT44" s="57"/>
    </row>
    <row r="45" spans="2:46" x14ac:dyDescent="0.35">
      <c r="B45" s="10"/>
      <c r="C45" s="2" t="s">
        <v>409</v>
      </c>
      <c r="D45" s="53">
        <v>0</v>
      </c>
      <c r="E45" s="53">
        <v>0</v>
      </c>
      <c r="F45" s="54">
        <v>0</v>
      </c>
      <c r="G45" s="53">
        <v>0</v>
      </c>
      <c r="H45" s="53">
        <v>0</v>
      </c>
      <c r="I45" s="54">
        <v>0</v>
      </c>
      <c r="J45" s="53">
        <v>0</v>
      </c>
      <c r="K45" s="53">
        <v>0</v>
      </c>
      <c r="L45" s="59">
        <v>1</v>
      </c>
      <c r="N45" s="10"/>
      <c r="O45" s="2" t="s">
        <v>369</v>
      </c>
      <c r="P45" s="53">
        <v>0</v>
      </c>
      <c r="Q45" s="54">
        <v>0</v>
      </c>
      <c r="R45" s="62">
        <v>0</v>
      </c>
      <c r="S45" s="53">
        <v>0</v>
      </c>
      <c r="T45" s="62">
        <v>0</v>
      </c>
      <c r="U45" s="57">
        <v>1</v>
      </c>
      <c r="V45" s="57">
        <v>1</v>
      </c>
      <c r="X45" s="10"/>
      <c r="Y45" s="2"/>
      <c r="Z45" s="53"/>
      <c r="AA45" s="53"/>
      <c r="AB45" s="53"/>
      <c r="AC45" s="53"/>
      <c r="AD45" s="54"/>
      <c r="AE45" s="62"/>
      <c r="AF45" s="53"/>
      <c r="AG45" s="53"/>
      <c r="AH45" s="58"/>
      <c r="AJ45" s="10"/>
      <c r="AK45" s="2"/>
      <c r="AL45" s="53"/>
      <c r="AM45" s="53"/>
      <c r="AN45" s="53"/>
      <c r="AO45" s="54"/>
      <c r="AP45" s="62"/>
      <c r="AQ45" s="53"/>
      <c r="AR45" s="53"/>
      <c r="AS45" s="58"/>
      <c r="AT45" s="57"/>
    </row>
    <row r="46" spans="2:46" x14ac:dyDescent="0.35">
      <c r="B46" s="10"/>
      <c r="C46" s="2" t="s">
        <v>606</v>
      </c>
      <c r="D46" s="53">
        <v>0</v>
      </c>
      <c r="E46" s="53">
        <v>0</v>
      </c>
      <c r="F46" s="54">
        <v>0</v>
      </c>
      <c r="G46" s="53">
        <v>0</v>
      </c>
      <c r="H46" s="53">
        <v>0</v>
      </c>
      <c r="I46" s="54">
        <v>0</v>
      </c>
      <c r="J46" s="53">
        <v>0</v>
      </c>
      <c r="K46" s="53">
        <v>0</v>
      </c>
      <c r="L46" s="59">
        <v>1</v>
      </c>
      <c r="N46" s="10"/>
      <c r="O46" s="2" t="s">
        <v>649</v>
      </c>
      <c r="P46" s="53">
        <v>0</v>
      </c>
      <c r="Q46" s="54">
        <v>0</v>
      </c>
      <c r="R46" s="62">
        <v>0</v>
      </c>
      <c r="S46" s="53">
        <v>0</v>
      </c>
      <c r="T46" s="62">
        <v>0</v>
      </c>
      <c r="U46" s="57">
        <v>1</v>
      </c>
      <c r="V46" s="57">
        <v>1</v>
      </c>
      <c r="X46" s="10"/>
      <c r="Y46" s="2"/>
      <c r="Z46" s="53"/>
      <c r="AA46" s="53"/>
      <c r="AB46" s="53"/>
      <c r="AC46" s="53"/>
      <c r="AD46" s="54"/>
      <c r="AE46" s="62"/>
      <c r="AF46" s="53"/>
      <c r="AG46" s="53"/>
      <c r="AH46" s="58"/>
      <c r="AJ46" s="10"/>
      <c r="AK46" s="2"/>
      <c r="AL46" s="53"/>
      <c r="AM46" s="53"/>
      <c r="AN46" s="53"/>
      <c r="AO46" s="54"/>
      <c r="AP46" s="62"/>
      <c r="AQ46" s="53"/>
      <c r="AR46" s="53"/>
      <c r="AS46" s="58"/>
      <c r="AT46" s="57"/>
    </row>
    <row r="47" spans="2:46" x14ac:dyDescent="0.35">
      <c r="B47" s="10"/>
      <c r="C47" s="2" t="s">
        <v>607</v>
      </c>
      <c r="D47" s="53">
        <v>0</v>
      </c>
      <c r="E47" s="53">
        <v>0</v>
      </c>
      <c r="F47" s="54">
        <v>0</v>
      </c>
      <c r="G47" s="53">
        <v>0</v>
      </c>
      <c r="H47" s="53">
        <v>0</v>
      </c>
      <c r="I47" s="54">
        <v>0</v>
      </c>
      <c r="J47" s="53">
        <v>0</v>
      </c>
      <c r="K47" s="53">
        <v>0</v>
      </c>
      <c r="L47" s="59">
        <v>1</v>
      </c>
      <c r="N47" s="10"/>
      <c r="O47" s="2" t="s">
        <v>650</v>
      </c>
      <c r="P47" s="53">
        <v>0</v>
      </c>
      <c r="Q47" s="54">
        <v>0</v>
      </c>
      <c r="R47" s="62">
        <v>0</v>
      </c>
      <c r="S47" s="53">
        <v>0</v>
      </c>
      <c r="T47" s="62">
        <v>0</v>
      </c>
      <c r="U47" s="57">
        <v>1</v>
      </c>
      <c r="V47" s="57">
        <v>1</v>
      </c>
      <c r="X47" s="10"/>
      <c r="Y47" s="2"/>
      <c r="Z47" s="53"/>
      <c r="AA47" s="53"/>
      <c r="AB47" s="53"/>
      <c r="AC47" s="53"/>
      <c r="AD47" s="54"/>
      <c r="AE47" s="62"/>
      <c r="AF47" s="53"/>
      <c r="AG47" s="53"/>
      <c r="AH47" s="58"/>
      <c r="AJ47" s="10"/>
      <c r="AK47" s="2"/>
      <c r="AL47" s="53"/>
      <c r="AM47" s="53"/>
      <c r="AN47" s="53"/>
      <c r="AO47" s="54"/>
      <c r="AP47" s="62"/>
      <c r="AQ47" s="53"/>
      <c r="AR47" s="53"/>
      <c r="AS47" s="58"/>
      <c r="AT47" s="57"/>
    </row>
    <row r="48" spans="2:46" x14ac:dyDescent="0.35">
      <c r="B48" s="10"/>
      <c r="C48" s="2" t="s">
        <v>608</v>
      </c>
      <c r="D48" s="53">
        <v>0</v>
      </c>
      <c r="E48" s="53">
        <v>0</v>
      </c>
      <c r="F48" s="54">
        <v>0</v>
      </c>
      <c r="G48" s="53">
        <v>0</v>
      </c>
      <c r="H48" s="53">
        <v>0</v>
      </c>
      <c r="I48" s="54">
        <v>0</v>
      </c>
      <c r="J48" s="53">
        <v>0</v>
      </c>
      <c r="K48" s="53">
        <v>0</v>
      </c>
      <c r="L48" s="59">
        <v>1</v>
      </c>
      <c r="N48" s="10"/>
      <c r="O48" s="2" t="s">
        <v>651</v>
      </c>
      <c r="P48" s="53">
        <v>0</v>
      </c>
      <c r="Q48" s="54">
        <v>0</v>
      </c>
      <c r="R48" s="62">
        <v>0</v>
      </c>
      <c r="S48" s="53">
        <v>0</v>
      </c>
      <c r="T48" s="62">
        <v>0</v>
      </c>
      <c r="U48" s="57">
        <v>1</v>
      </c>
      <c r="V48" s="57">
        <v>1</v>
      </c>
      <c r="X48" s="10"/>
      <c r="Y48" s="2"/>
      <c r="Z48" s="53"/>
      <c r="AA48" s="53"/>
      <c r="AB48" s="53"/>
      <c r="AC48" s="53"/>
      <c r="AD48" s="54"/>
      <c r="AE48" s="62"/>
      <c r="AF48" s="53"/>
      <c r="AG48" s="53"/>
      <c r="AH48" s="58"/>
      <c r="AJ48" s="10"/>
      <c r="AK48" s="2"/>
      <c r="AL48" s="53"/>
      <c r="AM48" s="53"/>
      <c r="AN48" s="53"/>
      <c r="AO48" s="54"/>
      <c r="AP48" s="62"/>
      <c r="AQ48" s="53"/>
      <c r="AR48" s="53"/>
      <c r="AS48" s="58"/>
      <c r="AT48" s="57"/>
    </row>
    <row r="49" spans="2:46" x14ac:dyDescent="0.35">
      <c r="B49" s="10"/>
      <c r="C49" s="2" t="s">
        <v>609</v>
      </c>
      <c r="D49" s="53">
        <v>0</v>
      </c>
      <c r="E49" s="53">
        <v>0</v>
      </c>
      <c r="F49" s="54">
        <v>0</v>
      </c>
      <c r="G49" s="53">
        <v>0</v>
      </c>
      <c r="H49" s="53">
        <v>0</v>
      </c>
      <c r="I49" s="54">
        <v>0</v>
      </c>
      <c r="J49" s="53">
        <v>0</v>
      </c>
      <c r="K49" s="53">
        <v>0</v>
      </c>
      <c r="L49" s="59">
        <v>1</v>
      </c>
      <c r="N49" s="10"/>
      <c r="O49" s="2" t="s">
        <v>652</v>
      </c>
      <c r="P49" s="53">
        <v>0</v>
      </c>
      <c r="Q49" s="54">
        <v>0</v>
      </c>
      <c r="R49" s="62">
        <v>0</v>
      </c>
      <c r="S49" s="53">
        <v>0</v>
      </c>
      <c r="T49" s="62">
        <v>0</v>
      </c>
      <c r="U49" s="57">
        <v>1</v>
      </c>
      <c r="V49" s="57">
        <v>1</v>
      </c>
      <c r="X49" s="10"/>
      <c r="Y49" s="2"/>
      <c r="Z49" s="53"/>
      <c r="AA49" s="53"/>
      <c r="AB49" s="53"/>
      <c r="AC49" s="53"/>
      <c r="AD49" s="54"/>
      <c r="AE49" s="62"/>
      <c r="AF49" s="53"/>
      <c r="AG49" s="53"/>
      <c r="AH49" s="58"/>
      <c r="AJ49" s="10"/>
      <c r="AK49" s="2"/>
      <c r="AL49" s="53"/>
      <c r="AM49" s="53"/>
      <c r="AN49" s="53"/>
      <c r="AO49" s="54"/>
      <c r="AP49" s="62"/>
      <c r="AQ49" s="53"/>
      <c r="AR49" s="53"/>
      <c r="AS49" s="58"/>
      <c r="AT49" s="57"/>
    </row>
    <row r="50" spans="2:46" x14ac:dyDescent="0.35">
      <c r="B50" s="10"/>
      <c r="C50" s="2" t="s">
        <v>611</v>
      </c>
      <c r="D50" s="53">
        <v>0</v>
      </c>
      <c r="E50" s="53">
        <v>0</v>
      </c>
      <c r="F50" s="54">
        <v>0</v>
      </c>
      <c r="G50" s="53">
        <v>0</v>
      </c>
      <c r="H50" s="53">
        <v>0</v>
      </c>
      <c r="I50" s="54">
        <v>0</v>
      </c>
      <c r="J50" s="53">
        <v>0</v>
      </c>
      <c r="K50" s="53">
        <v>0</v>
      </c>
      <c r="L50" s="59">
        <v>1</v>
      </c>
      <c r="N50" s="10"/>
      <c r="O50" s="2" t="s">
        <v>654</v>
      </c>
      <c r="P50" s="53">
        <v>0</v>
      </c>
      <c r="Q50" s="54">
        <v>0</v>
      </c>
      <c r="R50" s="62">
        <v>0</v>
      </c>
      <c r="S50" s="53">
        <v>0</v>
      </c>
      <c r="T50" s="62">
        <v>0</v>
      </c>
      <c r="U50" s="57">
        <v>1</v>
      </c>
      <c r="V50" s="57">
        <v>1</v>
      </c>
      <c r="X50" s="10"/>
      <c r="Y50" s="2"/>
      <c r="Z50" s="53"/>
      <c r="AA50" s="53"/>
      <c r="AB50" s="53"/>
      <c r="AC50" s="53"/>
      <c r="AD50" s="54"/>
      <c r="AE50" s="62"/>
      <c r="AF50" s="53"/>
      <c r="AG50" s="53"/>
      <c r="AH50" s="58"/>
      <c r="AJ50" s="10"/>
      <c r="AK50" s="2"/>
      <c r="AL50" s="53"/>
      <c r="AM50" s="53"/>
      <c r="AN50" s="53"/>
      <c r="AO50" s="54"/>
      <c r="AP50" s="62"/>
      <c r="AQ50" s="53"/>
      <c r="AR50" s="53"/>
      <c r="AS50" s="58"/>
      <c r="AT50" s="57"/>
    </row>
    <row r="51" spans="2:46" x14ac:dyDescent="0.35">
      <c r="B51" s="10"/>
      <c r="C51" s="2" t="s">
        <v>612</v>
      </c>
      <c r="D51" s="53">
        <v>0</v>
      </c>
      <c r="E51" s="53">
        <v>0</v>
      </c>
      <c r="F51" s="54">
        <v>0</v>
      </c>
      <c r="G51" s="53">
        <v>0</v>
      </c>
      <c r="H51" s="53">
        <v>0</v>
      </c>
      <c r="I51" s="54">
        <v>0</v>
      </c>
      <c r="J51" s="53">
        <v>0</v>
      </c>
      <c r="K51" s="53">
        <v>0</v>
      </c>
      <c r="L51" s="59">
        <v>1</v>
      </c>
      <c r="N51" s="10"/>
      <c r="O51" s="2" t="s">
        <v>655</v>
      </c>
      <c r="P51" s="53">
        <v>0</v>
      </c>
      <c r="Q51" s="54">
        <v>0</v>
      </c>
      <c r="R51" s="62">
        <v>0</v>
      </c>
      <c r="S51" s="53">
        <v>0</v>
      </c>
      <c r="T51" s="62">
        <v>0</v>
      </c>
      <c r="U51" s="57">
        <v>1</v>
      </c>
      <c r="V51" s="57">
        <v>1</v>
      </c>
      <c r="X51" s="10"/>
      <c r="Y51" s="2"/>
      <c r="Z51" s="53"/>
      <c r="AA51" s="53"/>
      <c r="AB51" s="53"/>
      <c r="AC51" s="53"/>
      <c r="AD51" s="54"/>
      <c r="AE51" s="62"/>
      <c r="AF51" s="53"/>
      <c r="AG51" s="53"/>
      <c r="AH51" s="58"/>
      <c r="AJ51" s="10"/>
      <c r="AK51" s="2"/>
      <c r="AL51" s="53"/>
      <c r="AM51" s="53"/>
      <c r="AN51" s="53"/>
      <c r="AO51" s="54"/>
      <c r="AP51" s="62"/>
      <c r="AQ51" s="53"/>
      <c r="AR51" s="53"/>
      <c r="AS51" s="58"/>
      <c r="AT51" s="57"/>
    </row>
    <row r="52" spans="2:46" x14ac:dyDescent="0.35">
      <c r="B52" s="10"/>
      <c r="C52" s="2" t="s">
        <v>610</v>
      </c>
      <c r="D52" s="53">
        <v>0</v>
      </c>
      <c r="E52" s="53">
        <v>0</v>
      </c>
      <c r="F52" s="54">
        <v>0</v>
      </c>
      <c r="G52" s="53">
        <v>0</v>
      </c>
      <c r="H52" s="53">
        <v>0</v>
      </c>
      <c r="I52" s="54">
        <v>0</v>
      </c>
      <c r="J52" s="53">
        <v>0</v>
      </c>
      <c r="K52" s="53">
        <v>0</v>
      </c>
      <c r="L52" s="59">
        <v>1</v>
      </c>
      <c r="N52" s="10"/>
      <c r="O52" s="2" t="s">
        <v>653</v>
      </c>
      <c r="P52" s="53">
        <v>0</v>
      </c>
      <c r="Q52" s="54">
        <v>0</v>
      </c>
      <c r="R52" s="62">
        <v>0</v>
      </c>
      <c r="S52" s="53">
        <v>0</v>
      </c>
      <c r="T52" s="62">
        <v>0</v>
      </c>
      <c r="U52" s="57">
        <v>1</v>
      </c>
      <c r="V52" s="57">
        <v>1</v>
      </c>
      <c r="X52" s="10"/>
      <c r="Y52" s="2"/>
      <c r="Z52" s="53"/>
      <c r="AA52" s="53"/>
      <c r="AB52" s="53"/>
      <c r="AC52" s="53"/>
      <c r="AD52" s="54"/>
      <c r="AE52" s="62"/>
      <c r="AF52" s="53"/>
      <c r="AG52" s="53"/>
      <c r="AH52" s="58"/>
      <c r="AJ52" s="10"/>
      <c r="AK52" s="2"/>
      <c r="AL52" s="53"/>
      <c r="AM52" s="53"/>
      <c r="AN52" s="53"/>
      <c r="AO52" s="54"/>
      <c r="AP52" s="62"/>
      <c r="AQ52" s="53"/>
      <c r="AR52" s="53"/>
      <c r="AS52" s="58"/>
      <c r="AT52" s="57"/>
    </row>
    <row r="53" spans="2:46" x14ac:dyDescent="0.35">
      <c r="B53" s="10"/>
      <c r="C53" s="2" t="s">
        <v>617</v>
      </c>
      <c r="D53" s="53">
        <v>0</v>
      </c>
      <c r="E53" s="53">
        <v>0</v>
      </c>
      <c r="F53" s="54">
        <v>0</v>
      </c>
      <c r="G53" s="53">
        <v>0</v>
      </c>
      <c r="H53" s="53">
        <v>0</v>
      </c>
      <c r="I53" s="54">
        <v>0</v>
      </c>
      <c r="J53" s="53">
        <v>0</v>
      </c>
      <c r="K53" s="53">
        <v>0</v>
      </c>
      <c r="L53" s="59">
        <v>1</v>
      </c>
      <c r="N53" s="10"/>
      <c r="O53" s="2" t="s">
        <v>660</v>
      </c>
      <c r="P53" s="53">
        <v>0</v>
      </c>
      <c r="Q53" s="54">
        <v>0</v>
      </c>
      <c r="R53" s="62">
        <v>0</v>
      </c>
      <c r="S53" s="53">
        <v>0</v>
      </c>
      <c r="T53" s="62">
        <v>0</v>
      </c>
      <c r="U53" s="57">
        <v>1</v>
      </c>
      <c r="V53" s="57">
        <v>1</v>
      </c>
      <c r="X53" s="10"/>
      <c r="Y53" s="2"/>
      <c r="Z53" s="53"/>
      <c r="AA53" s="53"/>
      <c r="AB53" s="53"/>
      <c r="AC53" s="53"/>
      <c r="AD53" s="54"/>
      <c r="AE53" s="62"/>
      <c r="AF53" s="53"/>
      <c r="AG53" s="53"/>
      <c r="AH53" s="58"/>
      <c r="AJ53" s="10"/>
      <c r="AK53" s="2"/>
      <c r="AL53" s="53"/>
      <c r="AM53" s="53"/>
      <c r="AN53" s="53"/>
      <c r="AO53" s="54"/>
      <c r="AP53" s="62"/>
      <c r="AQ53" s="53"/>
      <c r="AR53" s="53"/>
      <c r="AS53" s="58"/>
      <c r="AT53" s="57"/>
    </row>
    <row r="54" spans="2:46" x14ac:dyDescent="0.35">
      <c r="B54" s="10"/>
      <c r="C54" s="2" t="s">
        <v>783</v>
      </c>
      <c r="D54" s="53">
        <v>0</v>
      </c>
      <c r="E54" s="53">
        <v>0</v>
      </c>
      <c r="F54" s="54">
        <v>0</v>
      </c>
      <c r="G54" s="53">
        <v>0</v>
      </c>
      <c r="H54" s="53">
        <v>0</v>
      </c>
      <c r="I54" s="54">
        <v>0</v>
      </c>
      <c r="J54" s="53">
        <v>0</v>
      </c>
      <c r="K54" s="53">
        <v>0</v>
      </c>
      <c r="L54" s="59">
        <v>1</v>
      </c>
      <c r="N54" s="10"/>
      <c r="O54" s="2" t="s">
        <v>809</v>
      </c>
      <c r="P54" s="53">
        <v>0</v>
      </c>
      <c r="Q54" s="54">
        <v>0</v>
      </c>
      <c r="R54" s="62">
        <v>0</v>
      </c>
      <c r="S54" s="53">
        <v>0</v>
      </c>
      <c r="T54" s="62">
        <v>0</v>
      </c>
      <c r="U54" s="57">
        <v>1</v>
      </c>
      <c r="V54" s="57">
        <v>1</v>
      </c>
      <c r="X54" s="10"/>
      <c r="Y54" s="2"/>
      <c r="Z54" s="53"/>
      <c r="AA54" s="53"/>
      <c r="AB54" s="53"/>
      <c r="AC54" s="53"/>
      <c r="AD54" s="54"/>
      <c r="AE54" s="62"/>
      <c r="AF54" s="53"/>
      <c r="AG54" s="53"/>
      <c r="AH54" s="58"/>
      <c r="AJ54" s="10"/>
      <c r="AK54" s="2"/>
      <c r="AL54" s="53"/>
      <c r="AM54" s="53"/>
      <c r="AN54" s="53"/>
      <c r="AO54" s="54"/>
      <c r="AP54" s="62"/>
      <c r="AQ54" s="53"/>
      <c r="AR54" s="53"/>
      <c r="AS54" s="58"/>
      <c r="AT54" s="57"/>
    </row>
    <row r="55" spans="2:46" x14ac:dyDescent="0.35">
      <c r="B55" s="10"/>
      <c r="C55" s="2" t="s">
        <v>621</v>
      </c>
      <c r="D55" s="53">
        <v>0</v>
      </c>
      <c r="E55" s="53">
        <v>0</v>
      </c>
      <c r="F55" s="54">
        <v>0</v>
      </c>
      <c r="G55" s="53">
        <v>0</v>
      </c>
      <c r="H55" s="53">
        <v>0</v>
      </c>
      <c r="I55" s="54">
        <v>0</v>
      </c>
      <c r="J55" s="53">
        <v>0</v>
      </c>
      <c r="K55" s="53">
        <v>0</v>
      </c>
      <c r="L55" s="59">
        <v>1</v>
      </c>
      <c r="N55" s="10"/>
      <c r="O55" s="2" t="s">
        <v>664</v>
      </c>
      <c r="P55" s="53">
        <v>0</v>
      </c>
      <c r="Q55" s="54">
        <v>0</v>
      </c>
      <c r="R55" s="62">
        <v>0</v>
      </c>
      <c r="S55" s="53">
        <v>0</v>
      </c>
      <c r="T55" s="62">
        <v>0</v>
      </c>
      <c r="U55" s="57">
        <v>1</v>
      </c>
      <c r="V55" s="57">
        <v>1</v>
      </c>
      <c r="X55" s="10"/>
      <c r="Y55" s="2"/>
      <c r="Z55" s="53"/>
      <c r="AA55" s="53"/>
      <c r="AB55" s="53"/>
      <c r="AC55" s="53"/>
      <c r="AD55" s="54"/>
      <c r="AE55" s="62"/>
      <c r="AF55" s="53"/>
      <c r="AG55" s="53"/>
      <c r="AH55" s="58"/>
      <c r="AJ55" s="10"/>
      <c r="AK55" s="2"/>
      <c r="AL55" s="53"/>
      <c r="AM55" s="53"/>
      <c r="AN55" s="53"/>
      <c r="AO55" s="54"/>
      <c r="AP55" s="62"/>
      <c r="AQ55" s="53"/>
      <c r="AR55" s="53"/>
      <c r="AS55" s="58"/>
      <c r="AT55" s="57"/>
    </row>
    <row r="56" spans="2:46" x14ac:dyDescent="0.35">
      <c r="B56" s="10"/>
      <c r="C56" s="2" t="s">
        <v>410</v>
      </c>
      <c r="D56" s="53">
        <v>0</v>
      </c>
      <c r="E56" s="53">
        <v>0</v>
      </c>
      <c r="F56" s="54">
        <v>0</v>
      </c>
      <c r="G56" s="53">
        <v>0</v>
      </c>
      <c r="H56" s="53">
        <v>0</v>
      </c>
      <c r="I56" s="54">
        <v>0</v>
      </c>
      <c r="J56" s="53">
        <v>0</v>
      </c>
      <c r="K56" s="53">
        <v>0</v>
      </c>
      <c r="L56" s="59">
        <v>1</v>
      </c>
      <c r="N56" s="10"/>
      <c r="O56" s="2" t="s">
        <v>370</v>
      </c>
      <c r="P56" s="53">
        <v>0</v>
      </c>
      <c r="Q56" s="54">
        <v>0</v>
      </c>
      <c r="R56" s="62">
        <v>0</v>
      </c>
      <c r="S56" s="53">
        <v>0</v>
      </c>
      <c r="T56" s="62">
        <v>0</v>
      </c>
      <c r="U56" s="57">
        <v>1</v>
      </c>
      <c r="V56" s="57">
        <v>1</v>
      </c>
      <c r="X56" s="10"/>
      <c r="Y56" s="2"/>
      <c r="Z56" s="53"/>
      <c r="AA56" s="53"/>
      <c r="AB56" s="53"/>
      <c r="AC56" s="53"/>
      <c r="AD56" s="54"/>
      <c r="AE56" s="62"/>
      <c r="AF56" s="53"/>
      <c r="AG56" s="53"/>
      <c r="AH56" s="58"/>
      <c r="AJ56" s="10"/>
      <c r="AK56" s="2"/>
      <c r="AL56" s="53"/>
      <c r="AM56" s="53"/>
      <c r="AN56" s="53"/>
      <c r="AO56" s="54"/>
      <c r="AP56" s="62"/>
      <c r="AQ56" s="53"/>
      <c r="AR56" s="53"/>
      <c r="AS56" s="58"/>
      <c r="AT56" s="57"/>
    </row>
    <row r="57" spans="2:46" x14ac:dyDescent="0.35">
      <c r="B57" s="10"/>
      <c r="C57" s="2" t="s">
        <v>411</v>
      </c>
      <c r="D57" s="53">
        <v>0</v>
      </c>
      <c r="E57" s="53">
        <v>0</v>
      </c>
      <c r="F57" s="54">
        <v>0</v>
      </c>
      <c r="G57" s="53">
        <v>0</v>
      </c>
      <c r="H57" s="53">
        <v>0</v>
      </c>
      <c r="I57" s="54">
        <v>0</v>
      </c>
      <c r="J57" s="53">
        <v>0</v>
      </c>
      <c r="K57" s="53">
        <v>0</v>
      </c>
      <c r="L57" s="59">
        <v>1</v>
      </c>
      <c r="N57" s="10"/>
      <c r="O57" s="2" t="s">
        <v>371</v>
      </c>
      <c r="P57" s="53">
        <v>0</v>
      </c>
      <c r="Q57" s="54">
        <v>0</v>
      </c>
      <c r="R57" s="62">
        <v>0</v>
      </c>
      <c r="S57" s="53">
        <v>0</v>
      </c>
      <c r="T57" s="62">
        <v>0</v>
      </c>
      <c r="U57" s="57">
        <v>1</v>
      </c>
      <c r="V57" s="57">
        <v>1</v>
      </c>
      <c r="X57" s="10"/>
      <c r="Y57" s="2"/>
      <c r="Z57" s="53"/>
      <c r="AA57" s="53"/>
      <c r="AB57" s="53"/>
      <c r="AC57" s="53"/>
      <c r="AD57" s="54"/>
      <c r="AE57" s="62"/>
      <c r="AF57" s="53"/>
      <c r="AG57" s="53"/>
      <c r="AH57" s="58"/>
      <c r="AJ57" s="10"/>
      <c r="AK57" s="2"/>
      <c r="AL57" s="53"/>
      <c r="AM57" s="53"/>
      <c r="AN57" s="53"/>
      <c r="AO57" s="54"/>
      <c r="AP57" s="62"/>
      <c r="AQ57" s="53"/>
      <c r="AR57" s="53"/>
      <c r="AS57" s="58"/>
      <c r="AT57" s="57"/>
    </row>
    <row r="58" spans="2:46" x14ac:dyDescent="0.35">
      <c r="B58" s="10"/>
      <c r="C58" s="2" t="s">
        <v>622</v>
      </c>
      <c r="D58" s="53">
        <v>0</v>
      </c>
      <c r="E58" s="53">
        <v>0</v>
      </c>
      <c r="F58" s="54">
        <v>0</v>
      </c>
      <c r="G58" s="53">
        <v>0</v>
      </c>
      <c r="H58" s="53">
        <v>0</v>
      </c>
      <c r="I58" s="54">
        <v>0</v>
      </c>
      <c r="J58" s="53">
        <v>0</v>
      </c>
      <c r="K58" s="53">
        <v>0</v>
      </c>
      <c r="L58" s="59">
        <v>1</v>
      </c>
      <c r="N58" s="10"/>
      <c r="O58" s="2" t="s">
        <v>665</v>
      </c>
      <c r="P58" s="53">
        <v>0</v>
      </c>
      <c r="Q58" s="54">
        <v>0</v>
      </c>
      <c r="R58" s="62">
        <v>0</v>
      </c>
      <c r="S58" s="53">
        <v>0</v>
      </c>
      <c r="T58" s="62">
        <v>0</v>
      </c>
      <c r="U58" s="57">
        <v>1</v>
      </c>
      <c r="V58" s="57">
        <v>1</v>
      </c>
      <c r="X58" s="10"/>
      <c r="Y58" s="2"/>
      <c r="Z58" s="53"/>
      <c r="AA58" s="53"/>
      <c r="AB58" s="53"/>
      <c r="AC58" s="53"/>
      <c r="AD58" s="54"/>
      <c r="AE58" s="62"/>
      <c r="AF58" s="53"/>
      <c r="AG58" s="53"/>
      <c r="AH58" s="58"/>
      <c r="AJ58" s="10"/>
      <c r="AK58" s="2"/>
      <c r="AL58" s="53"/>
      <c r="AM58" s="53"/>
      <c r="AN58" s="53"/>
      <c r="AO58" s="54"/>
      <c r="AP58" s="62"/>
      <c r="AQ58" s="53"/>
      <c r="AR58" s="53"/>
      <c r="AS58" s="58"/>
      <c r="AT58" s="57"/>
    </row>
    <row r="59" spans="2:46" x14ac:dyDescent="0.35">
      <c r="B59" s="10"/>
      <c r="C59" s="2" t="s">
        <v>412</v>
      </c>
      <c r="D59" s="53">
        <v>0</v>
      </c>
      <c r="E59" s="53">
        <v>0</v>
      </c>
      <c r="F59" s="54">
        <v>0</v>
      </c>
      <c r="G59" s="53">
        <v>0</v>
      </c>
      <c r="H59" s="53">
        <v>0</v>
      </c>
      <c r="I59" s="54">
        <v>0</v>
      </c>
      <c r="J59" s="53">
        <v>0</v>
      </c>
      <c r="K59" s="53">
        <v>0</v>
      </c>
      <c r="L59" s="59">
        <v>1</v>
      </c>
      <c r="N59" s="10"/>
      <c r="O59" s="2" t="s">
        <v>372</v>
      </c>
      <c r="P59" s="53">
        <v>0</v>
      </c>
      <c r="Q59" s="54">
        <v>0</v>
      </c>
      <c r="R59" s="62">
        <v>0</v>
      </c>
      <c r="S59" s="53">
        <v>0</v>
      </c>
      <c r="T59" s="62">
        <v>0</v>
      </c>
      <c r="U59" s="57">
        <v>1</v>
      </c>
      <c r="V59" s="57">
        <v>1</v>
      </c>
      <c r="X59" s="10"/>
      <c r="Y59" s="2"/>
      <c r="Z59" s="53"/>
      <c r="AA59" s="53"/>
      <c r="AB59" s="53"/>
      <c r="AC59" s="53"/>
      <c r="AD59" s="54"/>
      <c r="AE59" s="62"/>
      <c r="AF59" s="53"/>
      <c r="AG59" s="53"/>
      <c r="AH59" s="58"/>
      <c r="AJ59" s="10"/>
      <c r="AK59" s="2"/>
      <c r="AL59" s="53"/>
      <c r="AM59" s="53"/>
      <c r="AN59" s="53"/>
      <c r="AO59" s="54"/>
      <c r="AP59" s="62"/>
      <c r="AQ59" s="53"/>
      <c r="AR59" s="53"/>
      <c r="AS59" s="58"/>
      <c r="AT59" s="57"/>
    </row>
    <row r="60" spans="2:46" x14ac:dyDescent="0.35">
      <c r="B60" s="10"/>
      <c r="C60" s="2" t="s">
        <v>413</v>
      </c>
      <c r="D60" s="53">
        <v>0</v>
      </c>
      <c r="E60" s="53">
        <v>0</v>
      </c>
      <c r="F60" s="54">
        <v>0</v>
      </c>
      <c r="G60" s="53">
        <v>0</v>
      </c>
      <c r="H60" s="53">
        <v>0</v>
      </c>
      <c r="I60" s="54">
        <v>0</v>
      </c>
      <c r="J60" s="53">
        <v>0</v>
      </c>
      <c r="K60" s="53">
        <v>0</v>
      </c>
      <c r="L60" s="59">
        <v>1</v>
      </c>
      <c r="N60" s="10"/>
      <c r="O60" s="2" t="s">
        <v>373</v>
      </c>
      <c r="P60" s="53">
        <v>0</v>
      </c>
      <c r="Q60" s="54">
        <v>0</v>
      </c>
      <c r="R60" s="62">
        <v>0</v>
      </c>
      <c r="S60" s="53">
        <v>0</v>
      </c>
      <c r="T60" s="62">
        <v>0</v>
      </c>
      <c r="U60" s="57">
        <v>1</v>
      </c>
      <c r="V60" s="57">
        <v>1</v>
      </c>
      <c r="X60" s="10"/>
      <c r="Y60" s="2"/>
      <c r="Z60" s="53"/>
      <c r="AA60" s="53"/>
      <c r="AB60" s="53"/>
      <c r="AC60" s="53"/>
      <c r="AD60" s="54"/>
      <c r="AE60" s="62"/>
      <c r="AF60" s="53"/>
      <c r="AG60" s="53"/>
      <c r="AH60" s="58"/>
      <c r="AJ60" s="10"/>
      <c r="AK60" s="2"/>
      <c r="AL60" s="53"/>
      <c r="AM60" s="53"/>
      <c r="AN60" s="53"/>
      <c r="AO60" s="54"/>
      <c r="AP60" s="62"/>
      <c r="AQ60" s="53"/>
      <c r="AR60" s="53"/>
      <c r="AS60" s="58"/>
      <c r="AT60" s="57"/>
    </row>
    <row r="61" spans="2:46" x14ac:dyDescent="0.35">
      <c r="B61" s="10"/>
      <c r="C61" s="2" t="s">
        <v>784</v>
      </c>
      <c r="D61" s="53">
        <v>0</v>
      </c>
      <c r="E61" s="53">
        <v>0</v>
      </c>
      <c r="F61" s="54">
        <v>0</v>
      </c>
      <c r="G61" s="53">
        <v>0</v>
      </c>
      <c r="H61" s="53">
        <v>0</v>
      </c>
      <c r="I61" s="54">
        <v>0</v>
      </c>
      <c r="J61" s="53">
        <v>0</v>
      </c>
      <c r="K61" s="53">
        <v>0</v>
      </c>
      <c r="L61" s="59">
        <v>1</v>
      </c>
      <c r="N61" s="10"/>
      <c r="O61" s="2" t="s">
        <v>810</v>
      </c>
      <c r="P61" s="53">
        <v>0</v>
      </c>
      <c r="Q61" s="54">
        <v>0</v>
      </c>
      <c r="R61" s="62">
        <v>0</v>
      </c>
      <c r="S61" s="53">
        <v>0</v>
      </c>
      <c r="T61" s="62">
        <v>0</v>
      </c>
      <c r="U61" s="57">
        <v>1</v>
      </c>
      <c r="V61" s="57">
        <v>1</v>
      </c>
      <c r="X61" s="10"/>
      <c r="Y61" s="2"/>
      <c r="Z61" s="53"/>
      <c r="AA61" s="53"/>
      <c r="AB61" s="53"/>
      <c r="AC61" s="53"/>
      <c r="AD61" s="54"/>
      <c r="AE61" s="62"/>
      <c r="AF61" s="53"/>
      <c r="AG61" s="53"/>
      <c r="AH61" s="58"/>
      <c r="AJ61" s="10"/>
      <c r="AK61" s="2"/>
      <c r="AL61" s="53"/>
      <c r="AM61" s="53"/>
      <c r="AN61" s="53"/>
      <c r="AO61" s="54"/>
      <c r="AP61" s="62"/>
      <c r="AQ61" s="53"/>
      <c r="AR61" s="53"/>
      <c r="AS61" s="58"/>
      <c r="AT61" s="57"/>
    </row>
    <row r="62" spans="2:46" x14ac:dyDescent="0.35">
      <c r="B62" s="10"/>
      <c r="C62" s="2" t="s">
        <v>626</v>
      </c>
      <c r="D62" s="53">
        <v>0</v>
      </c>
      <c r="E62" s="53">
        <v>0</v>
      </c>
      <c r="F62" s="54">
        <v>0</v>
      </c>
      <c r="G62" s="53">
        <v>0</v>
      </c>
      <c r="H62" s="53">
        <v>0</v>
      </c>
      <c r="I62" s="54">
        <v>0</v>
      </c>
      <c r="J62" s="53">
        <v>0</v>
      </c>
      <c r="K62" s="53">
        <v>0</v>
      </c>
      <c r="L62" s="59">
        <v>1</v>
      </c>
      <c r="N62" s="10"/>
      <c r="O62" s="2" t="s">
        <v>669</v>
      </c>
      <c r="P62" s="53">
        <v>0</v>
      </c>
      <c r="Q62" s="54">
        <v>0</v>
      </c>
      <c r="R62" s="62">
        <v>0</v>
      </c>
      <c r="S62" s="53">
        <v>0</v>
      </c>
      <c r="T62" s="62">
        <v>0</v>
      </c>
      <c r="U62" s="57">
        <v>1</v>
      </c>
      <c r="V62" s="57">
        <v>1</v>
      </c>
      <c r="X62" s="10"/>
      <c r="Y62" s="2"/>
      <c r="Z62" s="53"/>
      <c r="AA62" s="53"/>
      <c r="AB62" s="53"/>
      <c r="AC62" s="53"/>
      <c r="AD62" s="54"/>
      <c r="AE62" s="62"/>
      <c r="AF62" s="53"/>
      <c r="AG62" s="53"/>
      <c r="AH62" s="58"/>
      <c r="AJ62" s="10"/>
      <c r="AK62" s="2"/>
      <c r="AL62" s="53"/>
      <c r="AM62" s="53"/>
      <c r="AN62" s="53"/>
      <c r="AO62" s="54"/>
      <c r="AP62" s="62"/>
      <c r="AQ62" s="53"/>
      <c r="AR62" s="53"/>
      <c r="AS62" s="58"/>
      <c r="AT62" s="57"/>
    </row>
    <row r="63" spans="2:46" x14ac:dyDescent="0.35">
      <c r="B63" s="10"/>
      <c r="C63" s="2" t="s">
        <v>414</v>
      </c>
      <c r="D63" s="53">
        <v>0</v>
      </c>
      <c r="E63" s="53">
        <v>0</v>
      </c>
      <c r="F63" s="54">
        <v>0</v>
      </c>
      <c r="G63" s="53">
        <v>0</v>
      </c>
      <c r="H63" s="53">
        <v>0</v>
      </c>
      <c r="I63" s="54">
        <v>0</v>
      </c>
      <c r="J63" s="53">
        <v>0</v>
      </c>
      <c r="K63" s="53">
        <v>0</v>
      </c>
      <c r="L63" s="59">
        <v>1</v>
      </c>
      <c r="N63" s="10"/>
      <c r="O63" s="2" t="s">
        <v>374</v>
      </c>
      <c r="P63" s="53">
        <v>0</v>
      </c>
      <c r="Q63" s="54">
        <v>0</v>
      </c>
      <c r="R63" s="62">
        <v>0</v>
      </c>
      <c r="S63" s="53">
        <v>0</v>
      </c>
      <c r="T63" s="62">
        <v>0</v>
      </c>
      <c r="U63" s="57">
        <v>1</v>
      </c>
      <c r="V63" s="57">
        <v>1</v>
      </c>
      <c r="X63" s="10"/>
      <c r="Y63" s="2"/>
      <c r="Z63" s="53"/>
      <c r="AA63" s="53"/>
      <c r="AB63" s="53"/>
      <c r="AC63" s="53"/>
      <c r="AD63" s="54"/>
      <c r="AE63" s="62"/>
      <c r="AF63" s="53"/>
      <c r="AG63" s="53"/>
      <c r="AH63" s="58"/>
      <c r="AJ63" s="10"/>
      <c r="AK63" s="2"/>
      <c r="AL63" s="53"/>
      <c r="AM63" s="53"/>
      <c r="AN63" s="53"/>
      <c r="AO63" s="54"/>
      <c r="AP63" s="62"/>
      <c r="AQ63" s="53"/>
      <c r="AR63" s="53"/>
      <c r="AS63" s="58"/>
      <c r="AT63" s="57"/>
    </row>
    <row r="64" spans="2:46" x14ac:dyDescent="0.35">
      <c r="B64" s="10"/>
      <c r="C64" s="2" t="s">
        <v>785</v>
      </c>
      <c r="D64" s="53">
        <v>0</v>
      </c>
      <c r="E64" s="53">
        <v>0</v>
      </c>
      <c r="F64" s="54">
        <v>0</v>
      </c>
      <c r="G64" s="53">
        <v>0</v>
      </c>
      <c r="H64" s="53">
        <v>0</v>
      </c>
      <c r="I64" s="54">
        <v>0</v>
      </c>
      <c r="J64" s="53">
        <v>0</v>
      </c>
      <c r="K64" s="53">
        <v>0</v>
      </c>
      <c r="L64" s="59">
        <v>1</v>
      </c>
      <c r="N64" s="10"/>
      <c r="O64" s="2" t="s">
        <v>811</v>
      </c>
      <c r="P64" s="53">
        <v>0</v>
      </c>
      <c r="Q64" s="54">
        <v>0</v>
      </c>
      <c r="R64" s="62">
        <v>0</v>
      </c>
      <c r="S64" s="53">
        <v>0</v>
      </c>
      <c r="T64" s="62">
        <v>0</v>
      </c>
      <c r="U64" s="57">
        <v>1</v>
      </c>
      <c r="V64" s="57">
        <v>1</v>
      </c>
      <c r="X64" s="10"/>
      <c r="Y64" s="2"/>
      <c r="Z64" s="53"/>
      <c r="AA64" s="53"/>
      <c r="AB64" s="53"/>
      <c r="AC64" s="53"/>
      <c r="AD64" s="54"/>
      <c r="AE64" s="62"/>
      <c r="AF64" s="53"/>
      <c r="AG64" s="53"/>
      <c r="AH64" s="58"/>
      <c r="AJ64" s="10"/>
      <c r="AK64" s="2"/>
      <c r="AL64" s="53"/>
      <c r="AM64" s="53"/>
      <c r="AN64" s="53"/>
      <c r="AO64" s="54"/>
      <c r="AP64" s="62"/>
      <c r="AQ64" s="53"/>
      <c r="AR64" s="53"/>
      <c r="AS64" s="58"/>
      <c r="AT64" s="57"/>
    </row>
    <row r="65" spans="2:46" x14ac:dyDescent="0.35">
      <c r="B65" s="10"/>
      <c r="C65" s="2" t="s">
        <v>786</v>
      </c>
      <c r="D65" s="53">
        <v>0</v>
      </c>
      <c r="E65" s="53">
        <v>0</v>
      </c>
      <c r="F65" s="54">
        <v>0</v>
      </c>
      <c r="G65" s="53">
        <v>0</v>
      </c>
      <c r="H65" s="53">
        <v>0</v>
      </c>
      <c r="I65" s="54">
        <v>0</v>
      </c>
      <c r="J65" s="53">
        <v>0</v>
      </c>
      <c r="K65" s="53">
        <v>0</v>
      </c>
      <c r="L65" s="59">
        <v>1</v>
      </c>
      <c r="N65" s="10"/>
      <c r="O65" s="2" t="s">
        <v>812</v>
      </c>
      <c r="P65" s="53">
        <v>0</v>
      </c>
      <c r="Q65" s="54">
        <v>0</v>
      </c>
      <c r="R65" s="62">
        <v>0</v>
      </c>
      <c r="S65" s="53">
        <v>0</v>
      </c>
      <c r="T65" s="62">
        <v>0</v>
      </c>
      <c r="U65" s="57">
        <v>1</v>
      </c>
      <c r="V65" s="57">
        <v>1</v>
      </c>
      <c r="X65" s="10"/>
      <c r="Y65" s="2"/>
      <c r="Z65" s="53"/>
      <c r="AA65" s="53"/>
      <c r="AB65" s="53"/>
      <c r="AC65" s="53"/>
      <c r="AD65" s="54"/>
      <c r="AE65" s="62"/>
      <c r="AF65" s="53"/>
      <c r="AG65" s="53"/>
      <c r="AH65" s="58"/>
      <c r="AJ65" s="10"/>
      <c r="AK65" s="2"/>
      <c r="AL65" s="53"/>
      <c r="AM65" s="53"/>
      <c r="AN65" s="53"/>
      <c r="AO65" s="54"/>
      <c r="AP65" s="62"/>
      <c r="AQ65" s="53"/>
      <c r="AR65" s="53"/>
      <c r="AS65" s="58"/>
      <c r="AT65" s="57"/>
    </row>
    <row r="66" spans="2:46" x14ac:dyDescent="0.35">
      <c r="B66" s="10"/>
      <c r="C66" s="2" t="s">
        <v>415</v>
      </c>
      <c r="D66" s="53">
        <v>0</v>
      </c>
      <c r="E66" s="53">
        <v>0</v>
      </c>
      <c r="F66" s="54">
        <v>0</v>
      </c>
      <c r="G66" s="53">
        <v>0</v>
      </c>
      <c r="H66" s="53">
        <v>0</v>
      </c>
      <c r="I66" s="54">
        <v>0</v>
      </c>
      <c r="J66" s="53">
        <v>0</v>
      </c>
      <c r="K66" s="53">
        <v>0</v>
      </c>
      <c r="L66" s="59">
        <v>1</v>
      </c>
      <c r="N66" s="10"/>
      <c r="O66" s="2" t="s">
        <v>375</v>
      </c>
      <c r="P66" s="53">
        <v>0</v>
      </c>
      <c r="Q66" s="54">
        <v>0</v>
      </c>
      <c r="R66" s="62">
        <v>0</v>
      </c>
      <c r="S66" s="53">
        <v>0</v>
      </c>
      <c r="T66" s="62">
        <v>0</v>
      </c>
      <c r="U66" s="57">
        <v>1</v>
      </c>
      <c r="V66" s="57">
        <v>1</v>
      </c>
      <c r="X66" s="10"/>
      <c r="Y66" s="2"/>
      <c r="Z66" s="53"/>
      <c r="AA66" s="53"/>
      <c r="AB66" s="53"/>
      <c r="AC66" s="53"/>
      <c r="AD66" s="54"/>
      <c r="AE66" s="62"/>
      <c r="AF66" s="53"/>
      <c r="AG66" s="53"/>
      <c r="AH66" s="58"/>
      <c r="AJ66" s="10"/>
      <c r="AK66" s="2"/>
      <c r="AL66" s="53"/>
      <c r="AM66" s="53"/>
      <c r="AN66" s="53"/>
      <c r="AO66" s="54"/>
      <c r="AP66" s="62"/>
      <c r="AQ66" s="53"/>
      <c r="AR66" s="53"/>
      <c r="AS66" s="58"/>
      <c r="AT66" s="57"/>
    </row>
    <row r="67" spans="2:46" x14ac:dyDescent="0.35">
      <c r="B67" s="10"/>
      <c r="C67" s="2" t="s">
        <v>787</v>
      </c>
      <c r="D67" s="53">
        <v>0</v>
      </c>
      <c r="E67" s="53">
        <v>0</v>
      </c>
      <c r="F67" s="54">
        <v>0</v>
      </c>
      <c r="G67" s="53">
        <v>0</v>
      </c>
      <c r="H67" s="53">
        <v>0</v>
      </c>
      <c r="I67" s="54">
        <v>0</v>
      </c>
      <c r="J67" s="53">
        <v>0</v>
      </c>
      <c r="K67" s="53">
        <v>0</v>
      </c>
      <c r="L67" s="59">
        <v>1</v>
      </c>
      <c r="N67" s="10"/>
      <c r="O67" s="2" t="s">
        <v>813</v>
      </c>
      <c r="P67" s="53">
        <v>0</v>
      </c>
      <c r="Q67" s="54">
        <v>0</v>
      </c>
      <c r="R67" s="62">
        <v>0</v>
      </c>
      <c r="S67" s="53">
        <v>0</v>
      </c>
      <c r="T67" s="62">
        <v>0</v>
      </c>
      <c r="U67" s="57">
        <v>1</v>
      </c>
      <c r="V67" s="57">
        <v>1</v>
      </c>
      <c r="X67" s="10"/>
      <c r="Y67" s="2"/>
      <c r="Z67" s="53"/>
      <c r="AA67" s="53"/>
      <c r="AB67" s="53"/>
      <c r="AC67" s="53"/>
      <c r="AD67" s="54"/>
      <c r="AE67" s="62"/>
      <c r="AF67" s="53"/>
      <c r="AG67" s="53"/>
      <c r="AH67" s="58"/>
      <c r="AJ67" s="10"/>
      <c r="AK67" s="2"/>
      <c r="AL67" s="53"/>
      <c r="AM67" s="53"/>
      <c r="AN67" s="53"/>
      <c r="AO67" s="54"/>
      <c r="AP67" s="62"/>
      <c r="AQ67" s="53"/>
      <c r="AR67" s="53"/>
      <c r="AS67" s="58"/>
      <c r="AT67" s="57"/>
    </row>
    <row r="68" spans="2:46" x14ac:dyDescent="0.35">
      <c r="B68" s="10"/>
      <c r="C68" s="2" t="s">
        <v>416</v>
      </c>
      <c r="D68" s="53">
        <v>0</v>
      </c>
      <c r="E68" s="53">
        <v>0</v>
      </c>
      <c r="F68" s="54">
        <v>0</v>
      </c>
      <c r="G68" s="53">
        <v>0</v>
      </c>
      <c r="H68" s="53">
        <v>0</v>
      </c>
      <c r="I68" s="54">
        <v>0</v>
      </c>
      <c r="J68" s="53">
        <v>0</v>
      </c>
      <c r="K68" s="53">
        <v>0</v>
      </c>
      <c r="L68" s="59">
        <v>1</v>
      </c>
      <c r="N68" s="10"/>
      <c r="O68" s="2" t="s">
        <v>376</v>
      </c>
      <c r="P68" s="53">
        <v>0</v>
      </c>
      <c r="Q68" s="54">
        <v>0</v>
      </c>
      <c r="R68" s="62">
        <v>0</v>
      </c>
      <c r="S68" s="53">
        <v>0</v>
      </c>
      <c r="T68" s="62">
        <v>0</v>
      </c>
      <c r="U68" s="57">
        <v>1</v>
      </c>
      <c r="V68" s="57">
        <v>1</v>
      </c>
      <c r="X68" s="10"/>
      <c r="Y68" s="2"/>
      <c r="Z68" s="53"/>
      <c r="AA68" s="53"/>
      <c r="AB68" s="53"/>
      <c r="AC68" s="53"/>
      <c r="AD68" s="54"/>
      <c r="AE68" s="62"/>
      <c r="AF68" s="53"/>
      <c r="AG68" s="53"/>
      <c r="AH68" s="58"/>
      <c r="AJ68" s="10"/>
      <c r="AK68" s="2"/>
      <c r="AL68" s="53"/>
      <c r="AM68" s="53"/>
      <c r="AN68" s="53"/>
      <c r="AO68" s="54"/>
      <c r="AP68" s="62"/>
      <c r="AQ68" s="53"/>
      <c r="AR68" s="53"/>
      <c r="AS68" s="58"/>
      <c r="AT68" s="57"/>
    </row>
    <row r="69" spans="2:46" x14ac:dyDescent="0.35">
      <c r="B69" s="10"/>
      <c r="C69" s="2" t="s">
        <v>417</v>
      </c>
      <c r="D69" s="53">
        <v>0</v>
      </c>
      <c r="E69" s="53">
        <v>0</v>
      </c>
      <c r="F69" s="54">
        <v>0</v>
      </c>
      <c r="G69" s="53">
        <v>0</v>
      </c>
      <c r="H69" s="53">
        <v>0</v>
      </c>
      <c r="I69" s="54">
        <v>0</v>
      </c>
      <c r="J69" s="53">
        <v>0</v>
      </c>
      <c r="K69" s="53">
        <v>0</v>
      </c>
      <c r="L69" s="59">
        <v>1</v>
      </c>
      <c r="N69" s="10"/>
      <c r="O69" s="2" t="s">
        <v>377</v>
      </c>
      <c r="P69" s="53">
        <v>0</v>
      </c>
      <c r="Q69" s="54">
        <v>0</v>
      </c>
      <c r="R69" s="62">
        <v>0</v>
      </c>
      <c r="S69" s="53">
        <v>0</v>
      </c>
      <c r="T69" s="62">
        <v>0</v>
      </c>
      <c r="U69" s="57">
        <v>1</v>
      </c>
      <c r="V69" s="57">
        <v>1</v>
      </c>
      <c r="X69" s="10"/>
      <c r="Y69" s="2"/>
      <c r="Z69" s="53"/>
      <c r="AA69" s="53"/>
      <c r="AB69" s="53"/>
      <c r="AC69" s="53"/>
      <c r="AD69" s="54"/>
      <c r="AE69" s="62"/>
      <c r="AF69" s="53"/>
      <c r="AG69" s="53"/>
      <c r="AH69" s="58"/>
      <c r="AJ69" s="10"/>
      <c r="AK69" s="2"/>
      <c r="AL69" s="53"/>
      <c r="AM69" s="53"/>
      <c r="AN69" s="53"/>
      <c r="AO69" s="54"/>
      <c r="AP69" s="62"/>
      <c r="AQ69" s="53"/>
      <c r="AR69" s="53"/>
      <c r="AS69" s="58"/>
      <c r="AT69" s="57"/>
    </row>
    <row r="70" spans="2:46" x14ac:dyDescent="0.35">
      <c r="B70" s="10"/>
      <c r="C70" s="2" t="s">
        <v>629</v>
      </c>
      <c r="D70" s="53">
        <v>0</v>
      </c>
      <c r="E70" s="53">
        <v>0</v>
      </c>
      <c r="F70" s="54">
        <v>0</v>
      </c>
      <c r="G70" s="53">
        <v>0</v>
      </c>
      <c r="H70" s="53">
        <v>0</v>
      </c>
      <c r="I70" s="54">
        <v>0</v>
      </c>
      <c r="J70" s="53">
        <v>0</v>
      </c>
      <c r="K70" s="53">
        <v>0</v>
      </c>
      <c r="L70" s="59">
        <v>1</v>
      </c>
      <c r="N70" s="10"/>
      <c r="O70" s="2" t="s">
        <v>672</v>
      </c>
      <c r="P70" s="53">
        <v>0</v>
      </c>
      <c r="Q70" s="54">
        <v>0</v>
      </c>
      <c r="R70" s="62">
        <v>0</v>
      </c>
      <c r="S70" s="53">
        <v>0</v>
      </c>
      <c r="T70" s="62">
        <v>0</v>
      </c>
      <c r="U70" s="57">
        <v>1</v>
      </c>
      <c r="V70" s="57">
        <v>1</v>
      </c>
      <c r="X70" s="10"/>
      <c r="Y70" s="2"/>
      <c r="Z70" s="53"/>
      <c r="AA70" s="53"/>
      <c r="AB70" s="53"/>
      <c r="AC70" s="53"/>
      <c r="AD70" s="54"/>
      <c r="AE70" s="62"/>
      <c r="AF70" s="53"/>
      <c r="AG70" s="53"/>
      <c r="AH70" s="58"/>
      <c r="AJ70" s="10"/>
      <c r="AK70" s="2"/>
      <c r="AL70" s="53"/>
      <c r="AM70" s="53"/>
      <c r="AN70" s="53"/>
      <c r="AO70" s="54"/>
      <c r="AP70" s="62"/>
      <c r="AQ70" s="53"/>
      <c r="AR70" s="53"/>
      <c r="AS70" s="58"/>
      <c r="AT70" s="57"/>
    </row>
    <row r="71" spans="2:46" x14ac:dyDescent="0.35">
      <c r="B71" s="10"/>
      <c r="C71" s="2" t="s">
        <v>788</v>
      </c>
      <c r="D71" s="53">
        <v>0</v>
      </c>
      <c r="E71" s="53">
        <v>0</v>
      </c>
      <c r="F71" s="54">
        <v>0</v>
      </c>
      <c r="G71" s="53">
        <v>0</v>
      </c>
      <c r="H71" s="53">
        <v>0</v>
      </c>
      <c r="I71" s="54">
        <v>0</v>
      </c>
      <c r="J71" s="53">
        <v>0</v>
      </c>
      <c r="K71" s="53">
        <v>0</v>
      </c>
      <c r="L71" s="59">
        <v>1</v>
      </c>
      <c r="N71" s="10"/>
      <c r="O71" s="2" t="s">
        <v>814</v>
      </c>
      <c r="P71" s="53">
        <v>0</v>
      </c>
      <c r="Q71" s="54">
        <v>0</v>
      </c>
      <c r="R71" s="62">
        <v>0</v>
      </c>
      <c r="S71" s="53">
        <v>0</v>
      </c>
      <c r="T71" s="62">
        <v>0</v>
      </c>
      <c r="U71" s="57">
        <v>1</v>
      </c>
      <c r="V71" s="57">
        <v>1</v>
      </c>
      <c r="X71" s="10"/>
      <c r="Y71" s="2"/>
      <c r="Z71" s="53"/>
      <c r="AA71" s="53"/>
      <c r="AB71" s="53"/>
      <c r="AC71" s="53"/>
      <c r="AD71" s="54"/>
      <c r="AE71" s="62"/>
      <c r="AF71" s="53"/>
      <c r="AG71" s="53"/>
      <c r="AH71" s="58"/>
      <c r="AJ71" s="10"/>
      <c r="AK71" s="2"/>
      <c r="AL71" s="53"/>
      <c r="AM71" s="53"/>
      <c r="AN71" s="53"/>
      <c r="AO71" s="54"/>
      <c r="AP71" s="62"/>
      <c r="AQ71" s="53"/>
      <c r="AR71" s="53"/>
      <c r="AS71" s="58"/>
      <c r="AT71" s="57"/>
    </row>
    <row r="72" spans="2:46" x14ac:dyDescent="0.35">
      <c r="B72" s="10"/>
      <c r="C72" s="2" t="s">
        <v>418</v>
      </c>
      <c r="D72" s="53">
        <v>0</v>
      </c>
      <c r="E72" s="53">
        <v>0</v>
      </c>
      <c r="F72" s="54">
        <v>0</v>
      </c>
      <c r="G72" s="53">
        <v>0</v>
      </c>
      <c r="H72" s="53">
        <v>0</v>
      </c>
      <c r="I72" s="54">
        <v>0</v>
      </c>
      <c r="J72" s="53">
        <v>0</v>
      </c>
      <c r="K72" s="53">
        <v>0</v>
      </c>
      <c r="L72" s="59">
        <v>1</v>
      </c>
      <c r="N72" s="10"/>
      <c r="O72" s="2" t="s">
        <v>378</v>
      </c>
      <c r="P72" s="53">
        <v>0</v>
      </c>
      <c r="Q72" s="54">
        <v>0</v>
      </c>
      <c r="R72" s="62">
        <v>0</v>
      </c>
      <c r="S72" s="53">
        <v>0</v>
      </c>
      <c r="T72" s="62">
        <v>0</v>
      </c>
      <c r="U72" s="57">
        <v>1</v>
      </c>
      <c r="V72" s="57">
        <v>1</v>
      </c>
      <c r="X72" s="10"/>
      <c r="Y72" s="2"/>
      <c r="Z72" s="53"/>
      <c r="AA72" s="53"/>
      <c r="AB72" s="53"/>
      <c r="AC72" s="53"/>
      <c r="AD72" s="54"/>
      <c r="AE72" s="62"/>
      <c r="AF72" s="53"/>
      <c r="AG72" s="53"/>
      <c r="AH72" s="58"/>
      <c r="AJ72" s="10"/>
      <c r="AK72" s="2"/>
      <c r="AL72" s="53"/>
      <c r="AM72" s="53"/>
      <c r="AN72" s="53"/>
      <c r="AO72" s="54"/>
      <c r="AP72" s="62"/>
      <c r="AQ72" s="53"/>
      <c r="AR72" s="53"/>
      <c r="AS72" s="58"/>
      <c r="AT72" s="57"/>
    </row>
    <row r="73" spans="2:46" x14ac:dyDescent="0.35">
      <c r="B73" s="10"/>
      <c r="C73" s="2" t="s">
        <v>419</v>
      </c>
      <c r="D73" s="53">
        <v>0</v>
      </c>
      <c r="E73" s="53">
        <v>0</v>
      </c>
      <c r="F73" s="54">
        <v>0</v>
      </c>
      <c r="G73" s="53">
        <v>0</v>
      </c>
      <c r="H73" s="53">
        <v>0</v>
      </c>
      <c r="I73" s="54">
        <v>0</v>
      </c>
      <c r="J73" s="53">
        <v>0</v>
      </c>
      <c r="K73" s="53">
        <v>0</v>
      </c>
      <c r="L73" s="59">
        <v>1</v>
      </c>
      <c r="N73" s="10"/>
      <c r="O73" s="2" t="s">
        <v>379</v>
      </c>
      <c r="P73" s="53">
        <v>0</v>
      </c>
      <c r="Q73" s="54">
        <v>0</v>
      </c>
      <c r="R73" s="62">
        <v>0</v>
      </c>
      <c r="S73" s="53">
        <v>0</v>
      </c>
      <c r="T73" s="62">
        <v>0</v>
      </c>
      <c r="U73" s="57">
        <v>1</v>
      </c>
      <c r="V73" s="57">
        <v>1</v>
      </c>
      <c r="X73" s="10"/>
      <c r="Y73" s="2"/>
      <c r="Z73" s="53"/>
      <c r="AA73" s="53"/>
      <c r="AB73" s="53"/>
      <c r="AC73" s="53"/>
      <c r="AD73" s="54"/>
      <c r="AE73" s="62"/>
      <c r="AF73" s="53"/>
      <c r="AG73" s="53"/>
      <c r="AH73" s="58"/>
      <c r="AJ73" s="10"/>
      <c r="AK73" s="2"/>
      <c r="AL73" s="53"/>
      <c r="AM73" s="53"/>
      <c r="AN73" s="53"/>
      <c r="AO73" s="54"/>
      <c r="AP73" s="62"/>
      <c r="AQ73" s="53"/>
      <c r="AR73" s="53"/>
      <c r="AS73" s="58"/>
      <c r="AT73" s="57"/>
    </row>
    <row r="74" spans="2:46" x14ac:dyDescent="0.35">
      <c r="B74" s="10"/>
      <c r="C74" s="2" t="s">
        <v>420</v>
      </c>
      <c r="D74" s="53">
        <v>0</v>
      </c>
      <c r="E74" s="53">
        <v>0</v>
      </c>
      <c r="F74" s="54">
        <v>0</v>
      </c>
      <c r="G74" s="53">
        <v>0</v>
      </c>
      <c r="H74" s="53">
        <v>0</v>
      </c>
      <c r="I74" s="54">
        <v>0</v>
      </c>
      <c r="J74" s="53">
        <v>0</v>
      </c>
      <c r="K74" s="53">
        <v>0</v>
      </c>
      <c r="L74" s="59">
        <v>1</v>
      </c>
      <c r="N74" s="10"/>
      <c r="O74" s="2" t="s">
        <v>380</v>
      </c>
      <c r="P74" s="53">
        <v>0</v>
      </c>
      <c r="Q74" s="54">
        <v>0</v>
      </c>
      <c r="R74" s="62">
        <v>0</v>
      </c>
      <c r="S74" s="53">
        <v>0</v>
      </c>
      <c r="T74" s="62">
        <v>0</v>
      </c>
      <c r="U74" s="57">
        <v>1</v>
      </c>
      <c r="V74" s="57">
        <v>1</v>
      </c>
      <c r="X74" s="10"/>
      <c r="Y74" s="2"/>
      <c r="Z74" s="53"/>
      <c r="AA74" s="53"/>
      <c r="AB74" s="53"/>
      <c r="AC74" s="53"/>
      <c r="AD74" s="54"/>
      <c r="AE74" s="62"/>
      <c r="AF74" s="53"/>
      <c r="AG74" s="53"/>
      <c r="AH74" s="58"/>
      <c r="AJ74" s="10"/>
      <c r="AK74" s="2"/>
      <c r="AL74" s="53"/>
      <c r="AM74" s="53"/>
      <c r="AN74" s="53"/>
      <c r="AO74" s="54"/>
      <c r="AP74" s="62"/>
      <c r="AQ74" s="53"/>
      <c r="AR74" s="53"/>
      <c r="AS74" s="58"/>
      <c r="AT74" s="57"/>
    </row>
    <row r="75" spans="2:46" x14ac:dyDescent="0.35">
      <c r="B75" s="10"/>
      <c r="C75" s="2" t="s">
        <v>421</v>
      </c>
      <c r="D75" s="53">
        <v>0</v>
      </c>
      <c r="E75" s="53">
        <v>0</v>
      </c>
      <c r="F75" s="54">
        <v>0</v>
      </c>
      <c r="G75" s="53">
        <v>0</v>
      </c>
      <c r="H75" s="53">
        <v>0</v>
      </c>
      <c r="I75" s="54">
        <v>0</v>
      </c>
      <c r="J75" s="53">
        <v>0</v>
      </c>
      <c r="K75" s="53">
        <v>0</v>
      </c>
      <c r="L75" s="59">
        <v>1</v>
      </c>
      <c r="N75" s="10"/>
      <c r="O75" s="2" t="s">
        <v>381</v>
      </c>
      <c r="P75" s="53">
        <v>0</v>
      </c>
      <c r="Q75" s="54">
        <v>0</v>
      </c>
      <c r="R75" s="62">
        <v>0</v>
      </c>
      <c r="S75" s="53">
        <v>0</v>
      </c>
      <c r="T75" s="62">
        <v>0</v>
      </c>
      <c r="U75" s="57">
        <v>1</v>
      </c>
      <c r="V75" s="57">
        <v>1</v>
      </c>
      <c r="X75" s="10"/>
      <c r="Y75" s="2"/>
      <c r="Z75" s="53"/>
      <c r="AA75" s="53"/>
      <c r="AB75" s="53"/>
      <c r="AC75" s="53"/>
      <c r="AD75" s="54"/>
      <c r="AE75" s="62"/>
      <c r="AF75" s="53"/>
      <c r="AG75" s="53"/>
      <c r="AH75" s="58"/>
      <c r="AJ75" s="10"/>
      <c r="AK75" s="2"/>
      <c r="AL75" s="53"/>
      <c r="AM75" s="53"/>
      <c r="AN75" s="53"/>
      <c r="AO75" s="54"/>
      <c r="AP75" s="62"/>
      <c r="AQ75" s="53"/>
      <c r="AR75" s="53"/>
      <c r="AS75" s="58"/>
      <c r="AT75" s="57"/>
    </row>
    <row r="76" spans="2:46" x14ac:dyDescent="0.35">
      <c r="B76" s="10"/>
      <c r="C76" s="2" t="s">
        <v>422</v>
      </c>
      <c r="D76" s="53">
        <v>0</v>
      </c>
      <c r="E76" s="53">
        <v>0</v>
      </c>
      <c r="F76" s="54">
        <v>0</v>
      </c>
      <c r="G76" s="53">
        <v>0</v>
      </c>
      <c r="H76" s="53">
        <v>0</v>
      </c>
      <c r="I76" s="54">
        <v>0</v>
      </c>
      <c r="J76" s="53">
        <v>0</v>
      </c>
      <c r="K76" s="53">
        <v>0</v>
      </c>
      <c r="L76" s="59">
        <v>1</v>
      </c>
      <c r="N76" s="10"/>
      <c r="O76" s="2" t="s">
        <v>382</v>
      </c>
      <c r="P76" s="53">
        <v>0</v>
      </c>
      <c r="Q76" s="54">
        <v>0</v>
      </c>
      <c r="R76" s="62">
        <v>0</v>
      </c>
      <c r="S76" s="53">
        <v>0</v>
      </c>
      <c r="T76" s="62">
        <v>0</v>
      </c>
      <c r="U76" s="57">
        <v>1</v>
      </c>
      <c r="V76" s="57">
        <v>1</v>
      </c>
      <c r="X76" s="10"/>
      <c r="Y76" s="2"/>
      <c r="Z76" s="53"/>
      <c r="AA76" s="53"/>
      <c r="AB76" s="53"/>
      <c r="AC76" s="53"/>
      <c r="AD76" s="54"/>
      <c r="AE76" s="62"/>
      <c r="AF76" s="53"/>
      <c r="AG76" s="53"/>
      <c r="AH76" s="58"/>
      <c r="AJ76" s="10"/>
      <c r="AK76" s="2"/>
      <c r="AL76" s="53"/>
      <c r="AM76" s="53"/>
      <c r="AN76" s="53"/>
      <c r="AO76" s="54"/>
      <c r="AP76" s="62"/>
      <c r="AQ76" s="53"/>
      <c r="AR76" s="53"/>
      <c r="AS76" s="58"/>
      <c r="AT76" s="57"/>
    </row>
    <row r="77" spans="2:46" x14ac:dyDescent="0.35">
      <c r="B77" s="10"/>
      <c r="C77" s="2" t="s">
        <v>423</v>
      </c>
      <c r="D77" s="53">
        <v>0</v>
      </c>
      <c r="E77" s="53">
        <v>0</v>
      </c>
      <c r="F77" s="54">
        <v>0</v>
      </c>
      <c r="G77" s="53">
        <v>0</v>
      </c>
      <c r="H77" s="53">
        <v>0</v>
      </c>
      <c r="I77" s="54">
        <v>0</v>
      </c>
      <c r="J77" s="53">
        <v>0</v>
      </c>
      <c r="K77" s="53">
        <v>0</v>
      </c>
      <c r="L77" s="59">
        <v>1</v>
      </c>
      <c r="N77" s="10"/>
      <c r="O77" s="2" t="s">
        <v>383</v>
      </c>
      <c r="P77" s="53">
        <v>0</v>
      </c>
      <c r="Q77" s="54">
        <v>0</v>
      </c>
      <c r="R77" s="62">
        <v>0</v>
      </c>
      <c r="S77" s="53">
        <v>0</v>
      </c>
      <c r="T77" s="62">
        <v>0</v>
      </c>
      <c r="U77" s="57">
        <v>1</v>
      </c>
      <c r="V77" s="57">
        <v>1</v>
      </c>
      <c r="X77" s="10"/>
      <c r="Y77" s="2"/>
      <c r="Z77" s="53"/>
      <c r="AA77" s="53"/>
      <c r="AB77" s="53"/>
      <c r="AC77" s="53"/>
      <c r="AD77" s="54"/>
      <c r="AE77" s="62"/>
      <c r="AF77" s="53"/>
      <c r="AG77" s="53"/>
      <c r="AH77" s="58"/>
      <c r="AJ77" s="10"/>
      <c r="AK77" s="2"/>
      <c r="AL77" s="53"/>
      <c r="AM77" s="53"/>
      <c r="AN77" s="53"/>
      <c r="AO77" s="54"/>
      <c r="AP77" s="62"/>
      <c r="AQ77" s="53"/>
      <c r="AR77" s="53"/>
      <c r="AS77" s="58"/>
      <c r="AT77" s="57"/>
    </row>
    <row r="78" spans="2:46" x14ac:dyDescent="0.35">
      <c r="B78" s="10"/>
      <c r="C78" s="2" t="s">
        <v>789</v>
      </c>
      <c r="D78" s="53">
        <v>0</v>
      </c>
      <c r="E78" s="53">
        <v>0</v>
      </c>
      <c r="F78" s="54">
        <v>0</v>
      </c>
      <c r="G78" s="53">
        <v>0</v>
      </c>
      <c r="H78" s="53">
        <v>0</v>
      </c>
      <c r="I78" s="54">
        <v>0</v>
      </c>
      <c r="J78" s="53">
        <v>0</v>
      </c>
      <c r="K78" s="53">
        <v>0</v>
      </c>
      <c r="L78" s="59">
        <v>1</v>
      </c>
      <c r="N78" s="10"/>
      <c r="O78" s="2" t="s">
        <v>815</v>
      </c>
      <c r="P78" s="53">
        <v>0</v>
      </c>
      <c r="Q78" s="54">
        <v>0</v>
      </c>
      <c r="R78" s="62">
        <v>0</v>
      </c>
      <c r="S78" s="53">
        <v>0</v>
      </c>
      <c r="T78" s="62">
        <v>0</v>
      </c>
      <c r="U78" s="57">
        <v>1</v>
      </c>
      <c r="V78" s="57">
        <v>1</v>
      </c>
      <c r="X78" s="10"/>
      <c r="Y78" s="2"/>
      <c r="Z78" s="53"/>
      <c r="AA78" s="53"/>
      <c r="AB78" s="53"/>
      <c r="AC78" s="53"/>
      <c r="AD78" s="54"/>
      <c r="AE78" s="62"/>
      <c r="AF78" s="53"/>
      <c r="AG78" s="53"/>
      <c r="AH78" s="58"/>
      <c r="AJ78" s="10"/>
      <c r="AK78" s="2"/>
      <c r="AL78" s="53"/>
      <c r="AM78" s="53"/>
      <c r="AN78" s="53"/>
      <c r="AO78" s="54"/>
      <c r="AP78" s="62"/>
      <c r="AQ78" s="53"/>
      <c r="AR78" s="53"/>
      <c r="AS78" s="58"/>
      <c r="AT78" s="57"/>
    </row>
    <row r="79" spans="2:46" x14ac:dyDescent="0.35">
      <c r="B79" s="10"/>
      <c r="C79" s="2" t="s">
        <v>424</v>
      </c>
      <c r="D79" s="53">
        <v>0</v>
      </c>
      <c r="E79" s="53">
        <v>0</v>
      </c>
      <c r="F79" s="54">
        <v>0</v>
      </c>
      <c r="G79" s="53">
        <v>0</v>
      </c>
      <c r="H79" s="53">
        <v>0</v>
      </c>
      <c r="I79" s="54">
        <v>0</v>
      </c>
      <c r="J79" s="53">
        <v>0</v>
      </c>
      <c r="K79" s="53">
        <v>0</v>
      </c>
      <c r="L79" s="59">
        <v>1</v>
      </c>
      <c r="N79" s="10"/>
      <c r="O79" s="2" t="s">
        <v>384</v>
      </c>
      <c r="P79" s="53">
        <v>0</v>
      </c>
      <c r="Q79" s="54">
        <v>0</v>
      </c>
      <c r="R79" s="62">
        <v>0</v>
      </c>
      <c r="S79" s="53">
        <v>0</v>
      </c>
      <c r="T79" s="62">
        <v>0</v>
      </c>
      <c r="U79" s="57">
        <v>1</v>
      </c>
      <c r="V79" s="57">
        <v>1</v>
      </c>
      <c r="X79" s="10"/>
      <c r="Y79" s="2"/>
      <c r="Z79" s="53"/>
      <c r="AA79" s="53"/>
      <c r="AB79" s="53"/>
      <c r="AC79" s="53"/>
      <c r="AD79" s="54"/>
      <c r="AE79" s="62"/>
      <c r="AF79" s="53"/>
      <c r="AG79" s="53"/>
      <c r="AH79" s="58"/>
      <c r="AJ79" s="10"/>
      <c r="AK79" s="2"/>
      <c r="AL79" s="53"/>
      <c r="AM79" s="53"/>
      <c r="AN79" s="53"/>
      <c r="AO79" s="54"/>
      <c r="AP79" s="62"/>
      <c r="AQ79" s="53"/>
      <c r="AR79" s="53"/>
      <c r="AS79" s="58"/>
      <c r="AT79" s="57"/>
    </row>
    <row r="80" spans="2:46" x14ac:dyDescent="0.35">
      <c r="B80" s="10"/>
      <c r="C80" s="2" t="s">
        <v>790</v>
      </c>
      <c r="D80" s="53">
        <v>0</v>
      </c>
      <c r="E80" s="53">
        <v>0</v>
      </c>
      <c r="F80" s="54">
        <v>0</v>
      </c>
      <c r="G80" s="53">
        <v>0</v>
      </c>
      <c r="H80" s="53">
        <v>0</v>
      </c>
      <c r="I80" s="54">
        <v>0</v>
      </c>
      <c r="J80" s="53">
        <v>0</v>
      </c>
      <c r="K80" s="53">
        <v>0</v>
      </c>
      <c r="L80" s="59">
        <v>1</v>
      </c>
      <c r="N80" s="10"/>
      <c r="O80" s="2" t="s">
        <v>816</v>
      </c>
      <c r="P80" s="53">
        <v>0</v>
      </c>
      <c r="Q80" s="54">
        <v>0</v>
      </c>
      <c r="R80" s="62">
        <v>0</v>
      </c>
      <c r="S80" s="53">
        <v>0</v>
      </c>
      <c r="T80" s="62">
        <v>0</v>
      </c>
      <c r="U80" s="57">
        <v>1</v>
      </c>
      <c r="V80" s="57">
        <v>1</v>
      </c>
      <c r="X80" s="10"/>
      <c r="Y80" s="2"/>
      <c r="Z80" s="53"/>
      <c r="AA80" s="53"/>
      <c r="AB80" s="53"/>
      <c r="AC80" s="53"/>
      <c r="AD80" s="54"/>
      <c r="AE80" s="62"/>
      <c r="AF80" s="53"/>
      <c r="AG80" s="53"/>
      <c r="AH80" s="58"/>
      <c r="AJ80" s="10"/>
      <c r="AK80" s="2"/>
      <c r="AL80" s="53"/>
      <c r="AM80" s="53"/>
      <c r="AN80" s="53"/>
      <c r="AO80" s="54"/>
      <c r="AP80" s="62"/>
      <c r="AQ80" s="53"/>
      <c r="AR80" s="53"/>
      <c r="AS80" s="58"/>
      <c r="AT80" s="57"/>
    </row>
    <row r="81" spans="2:46" x14ac:dyDescent="0.35">
      <c r="B81" s="10"/>
      <c r="C81" s="2" t="s">
        <v>425</v>
      </c>
      <c r="D81" s="53">
        <v>0</v>
      </c>
      <c r="E81" s="53">
        <v>0</v>
      </c>
      <c r="F81" s="54">
        <v>0</v>
      </c>
      <c r="G81" s="53">
        <v>0</v>
      </c>
      <c r="H81" s="53">
        <v>0</v>
      </c>
      <c r="I81" s="54">
        <v>0</v>
      </c>
      <c r="J81" s="53">
        <v>0</v>
      </c>
      <c r="K81" s="53">
        <v>0</v>
      </c>
      <c r="L81" s="59">
        <v>1</v>
      </c>
      <c r="N81" s="10"/>
      <c r="O81" s="2" t="s">
        <v>385</v>
      </c>
      <c r="P81" s="53">
        <v>0</v>
      </c>
      <c r="Q81" s="54">
        <v>0</v>
      </c>
      <c r="R81" s="62">
        <v>0</v>
      </c>
      <c r="S81" s="53">
        <v>0</v>
      </c>
      <c r="T81" s="62">
        <v>0</v>
      </c>
      <c r="U81" s="57">
        <v>1</v>
      </c>
      <c r="V81" s="57">
        <v>1</v>
      </c>
      <c r="X81" s="10"/>
      <c r="Y81" s="2"/>
      <c r="Z81" s="53"/>
      <c r="AA81" s="53"/>
      <c r="AB81" s="53"/>
      <c r="AC81" s="53"/>
      <c r="AD81" s="54"/>
      <c r="AE81" s="62"/>
      <c r="AF81" s="53"/>
      <c r="AG81" s="53"/>
      <c r="AH81" s="58"/>
      <c r="AJ81" s="10"/>
      <c r="AK81" s="2"/>
      <c r="AL81" s="53"/>
      <c r="AM81" s="53"/>
      <c r="AN81" s="53"/>
      <c r="AO81" s="54"/>
      <c r="AP81" s="62"/>
      <c r="AQ81" s="53"/>
      <c r="AR81" s="53"/>
      <c r="AS81" s="58"/>
      <c r="AT81" s="57"/>
    </row>
    <row r="82" spans="2:46" x14ac:dyDescent="0.35">
      <c r="B82" s="10"/>
      <c r="C82" s="2" t="s">
        <v>791</v>
      </c>
      <c r="D82" s="53">
        <v>0</v>
      </c>
      <c r="E82" s="53">
        <v>0</v>
      </c>
      <c r="F82" s="54">
        <v>0</v>
      </c>
      <c r="G82" s="53">
        <v>0</v>
      </c>
      <c r="H82" s="53">
        <v>0</v>
      </c>
      <c r="I82" s="54">
        <v>0</v>
      </c>
      <c r="J82" s="53">
        <v>0</v>
      </c>
      <c r="K82" s="53">
        <v>0</v>
      </c>
      <c r="L82" s="59">
        <v>1</v>
      </c>
      <c r="N82" s="10"/>
      <c r="O82" s="2" t="s">
        <v>817</v>
      </c>
      <c r="P82" s="53">
        <v>0</v>
      </c>
      <c r="Q82" s="54">
        <v>0</v>
      </c>
      <c r="R82" s="62">
        <v>0</v>
      </c>
      <c r="S82" s="53">
        <v>0</v>
      </c>
      <c r="T82" s="62">
        <v>0</v>
      </c>
      <c r="U82" s="57">
        <v>1</v>
      </c>
      <c r="V82" s="57">
        <v>1</v>
      </c>
      <c r="X82" s="10"/>
      <c r="Y82" s="2"/>
      <c r="Z82" s="53"/>
      <c r="AA82" s="53"/>
      <c r="AB82" s="53"/>
      <c r="AC82" s="53"/>
      <c r="AD82" s="54"/>
      <c r="AE82" s="62"/>
      <c r="AF82" s="53"/>
      <c r="AG82" s="53"/>
      <c r="AH82" s="58"/>
      <c r="AJ82" s="10"/>
      <c r="AK82" s="2"/>
      <c r="AL82" s="53"/>
      <c r="AM82" s="53"/>
      <c r="AN82" s="53"/>
      <c r="AO82" s="54"/>
      <c r="AP82" s="62"/>
      <c r="AQ82" s="53"/>
      <c r="AR82" s="53"/>
      <c r="AS82" s="58"/>
      <c r="AT82" s="57"/>
    </row>
    <row r="83" spans="2:46" x14ac:dyDescent="0.35">
      <c r="B83" s="10"/>
      <c r="C83" s="2" t="s">
        <v>792</v>
      </c>
      <c r="D83" s="53">
        <v>0</v>
      </c>
      <c r="E83" s="53">
        <v>0</v>
      </c>
      <c r="F83" s="54">
        <v>0</v>
      </c>
      <c r="G83" s="53">
        <v>0</v>
      </c>
      <c r="H83" s="53">
        <v>0</v>
      </c>
      <c r="I83" s="54">
        <v>0</v>
      </c>
      <c r="J83" s="53">
        <v>0</v>
      </c>
      <c r="K83" s="53">
        <v>0</v>
      </c>
      <c r="L83" s="59">
        <v>1</v>
      </c>
      <c r="N83" s="10"/>
      <c r="O83" s="2" t="s">
        <v>818</v>
      </c>
      <c r="P83" s="53">
        <v>0</v>
      </c>
      <c r="Q83" s="54">
        <v>0</v>
      </c>
      <c r="R83" s="62">
        <v>0</v>
      </c>
      <c r="S83" s="53">
        <v>0</v>
      </c>
      <c r="T83" s="62">
        <v>0</v>
      </c>
      <c r="U83" s="57">
        <v>1</v>
      </c>
      <c r="V83" s="57">
        <v>1</v>
      </c>
      <c r="X83" s="10"/>
      <c r="Y83" s="2"/>
      <c r="Z83" s="53"/>
      <c r="AA83" s="53"/>
      <c r="AB83" s="53"/>
      <c r="AC83" s="53"/>
      <c r="AD83" s="54"/>
      <c r="AE83" s="62"/>
      <c r="AF83" s="53"/>
      <c r="AG83" s="53"/>
      <c r="AH83" s="58"/>
      <c r="AJ83" s="10"/>
      <c r="AK83" s="2"/>
      <c r="AL83" s="53"/>
      <c r="AM83" s="53"/>
      <c r="AN83" s="53"/>
      <c r="AO83" s="54"/>
      <c r="AP83" s="62"/>
      <c r="AQ83" s="53"/>
      <c r="AR83" s="53"/>
      <c r="AS83" s="58"/>
      <c r="AT83" s="57"/>
    </row>
    <row r="84" spans="2:46" x14ac:dyDescent="0.35">
      <c r="B84" s="10"/>
      <c r="C84" s="2" t="s">
        <v>793</v>
      </c>
      <c r="D84" s="53">
        <v>0</v>
      </c>
      <c r="E84" s="53">
        <v>0</v>
      </c>
      <c r="F84" s="54">
        <v>0</v>
      </c>
      <c r="G84" s="53">
        <v>0</v>
      </c>
      <c r="H84" s="53">
        <v>0</v>
      </c>
      <c r="I84" s="54">
        <v>0</v>
      </c>
      <c r="J84" s="53">
        <v>0</v>
      </c>
      <c r="K84" s="53">
        <v>0</v>
      </c>
      <c r="L84" s="59">
        <v>1</v>
      </c>
      <c r="N84" s="10"/>
      <c r="O84" s="2" t="s">
        <v>819</v>
      </c>
      <c r="P84" s="53">
        <v>0</v>
      </c>
      <c r="Q84" s="54">
        <v>0</v>
      </c>
      <c r="R84" s="62">
        <v>0</v>
      </c>
      <c r="S84" s="53">
        <v>0</v>
      </c>
      <c r="T84" s="62">
        <v>0</v>
      </c>
      <c r="U84" s="57">
        <v>1</v>
      </c>
      <c r="V84" s="57">
        <v>1</v>
      </c>
      <c r="X84" s="10"/>
      <c r="Y84" s="2"/>
      <c r="Z84" s="53"/>
      <c r="AA84" s="53"/>
      <c r="AB84" s="53"/>
      <c r="AC84" s="53"/>
      <c r="AD84" s="54"/>
      <c r="AE84" s="62"/>
      <c r="AF84" s="53"/>
      <c r="AG84" s="53"/>
      <c r="AH84" s="58"/>
      <c r="AJ84" s="10"/>
      <c r="AK84" s="2"/>
      <c r="AL84" s="53"/>
      <c r="AM84" s="53"/>
      <c r="AN84" s="53"/>
      <c r="AO84" s="54"/>
      <c r="AP84" s="62"/>
      <c r="AQ84" s="53"/>
      <c r="AR84" s="53"/>
      <c r="AS84" s="58"/>
      <c r="AT84" s="57"/>
    </row>
    <row r="85" spans="2:46" x14ac:dyDescent="0.35">
      <c r="B85" s="10"/>
      <c r="C85" s="2" t="s">
        <v>794</v>
      </c>
      <c r="D85" s="53">
        <v>0</v>
      </c>
      <c r="E85" s="53">
        <v>0</v>
      </c>
      <c r="F85" s="54">
        <v>0</v>
      </c>
      <c r="G85" s="53">
        <v>0</v>
      </c>
      <c r="H85" s="53">
        <v>0</v>
      </c>
      <c r="I85" s="54">
        <v>0</v>
      </c>
      <c r="J85" s="53">
        <v>0</v>
      </c>
      <c r="K85" s="53">
        <v>0</v>
      </c>
      <c r="L85" s="59">
        <v>1</v>
      </c>
      <c r="N85" s="10"/>
      <c r="O85" s="2" t="s">
        <v>820</v>
      </c>
      <c r="P85" s="53">
        <v>0</v>
      </c>
      <c r="Q85" s="54">
        <v>0</v>
      </c>
      <c r="R85" s="62">
        <v>0</v>
      </c>
      <c r="S85" s="53">
        <v>0</v>
      </c>
      <c r="T85" s="62">
        <v>0</v>
      </c>
      <c r="U85" s="57">
        <v>1</v>
      </c>
      <c r="V85" s="57">
        <v>1</v>
      </c>
      <c r="X85" s="10"/>
      <c r="Y85" s="2"/>
      <c r="Z85" s="53"/>
      <c r="AA85" s="53"/>
      <c r="AB85" s="53"/>
      <c r="AC85" s="53"/>
      <c r="AD85" s="54"/>
      <c r="AE85" s="62"/>
      <c r="AF85" s="53"/>
      <c r="AG85" s="53"/>
      <c r="AH85" s="58"/>
      <c r="AJ85" s="10"/>
      <c r="AK85" s="2"/>
      <c r="AL85" s="53"/>
      <c r="AM85" s="53"/>
      <c r="AN85" s="53"/>
      <c r="AO85" s="54"/>
      <c r="AP85" s="62"/>
      <c r="AQ85" s="53"/>
      <c r="AR85" s="53"/>
      <c r="AS85" s="58"/>
      <c r="AT85" s="57"/>
    </row>
    <row r="86" spans="2:46" x14ac:dyDescent="0.35">
      <c r="B86" s="10"/>
      <c r="C86" s="2" t="s">
        <v>795</v>
      </c>
      <c r="D86" s="53">
        <v>0</v>
      </c>
      <c r="E86" s="53">
        <v>0</v>
      </c>
      <c r="F86" s="54">
        <v>0</v>
      </c>
      <c r="G86" s="53">
        <v>0</v>
      </c>
      <c r="H86" s="53">
        <v>0</v>
      </c>
      <c r="I86" s="54">
        <v>0</v>
      </c>
      <c r="J86" s="53">
        <v>0</v>
      </c>
      <c r="K86" s="53">
        <v>0</v>
      </c>
      <c r="L86" s="59">
        <v>1</v>
      </c>
      <c r="N86" s="10"/>
      <c r="O86" s="2" t="s">
        <v>821</v>
      </c>
      <c r="P86" s="53">
        <v>0</v>
      </c>
      <c r="Q86" s="54">
        <v>0</v>
      </c>
      <c r="R86" s="62">
        <v>0</v>
      </c>
      <c r="S86" s="53">
        <v>0</v>
      </c>
      <c r="T86" s="62">
        <v>0</v>
      </c>
      <c r="U86" s="57">
        <v>1</v>
      </c>
      <c r="V86" s="57">
        <v>1</v>
      </c>
      <c r="X86" s="10"/>
      <c r="Y86" s="2"/>
      <c r="Z86" s="53"/>
      <c r="AA86" s="53"/>
      <c r="AB86" s="53"/>
      <c r="AC86" s="53"/>
      <c r="AD86" s="54"/>
      <c r="AE86" s="62"/>
      <c r="AF86" s="53"/>
      <c r="AG86" s="53"/>
      <c r="AH86" s="58"/>
      <c r="AJ86" s="10"/>
      <c r="AK86" s="2"/>
      <c r="AL86" s="53"/>
      <c r="AM86" s="53"/>
      <c r="AN86" s="53"/>
      <c r="AO86" s="54"/>
      <c r="AP86" s="62"/>
      <c r="AQ86" s="53"/>
      <c r="AR86" s="53"/>
      <c r="AS86" s="58"/>
      <c r="AT86" s="57"/>
    </row>
    <row r="87" spans="2:46" x14ac:dyDescent="0.35">
      <c r="B87" s="10"/>
      <c r="C87" s="2" t="s">
        <v>427</v>
      </c>
      <c r="D87" s="53">
        <v>0</v>
      </c>
      <c r="E87" s="53">
        <v>0</v>
      </c>
      <c r="F87" s="54">
        <v>0</v>
      </c>
      <c r="G87" s="53">
        <v>0</v>
      </c>
      <c r="H87" s="53">
        <v>0</v>
      </c>
      <c r="I87" s="54">
        <v>0</v>
      </c>
      <c r="J87" s="53">
        <v>0</v>
      </c>
      <c r="K87" s="53">
        <v>0</v>
      </c>
      <c r="L87" s="59">
        <v>1</v>
      </c>
      <c r="N87" s="10"/>
      <c r="O87" s="2" t="s">
        <v>387</v>
      </c>
      <c r="P87" s="53">
        <v>0</v>
      </c>
      <c r="Q87" s="54">
        <v>0</v>
      </c>
      <c r="R87" s="62">
        <v>0</v>
      </c>
      <c r="S87" s="53">
        <v>0</v>
      </c>
      <c r="T87" s="62">
        <v>0</v>
      </c>
      <c r="U87" s="57">
        <v>1</v>
      </c>
      <c r="V87" s="57">
        <v>1</v>
      </c>
      <c r="X87" s="10"/>
      <c r="Y87" s="2"/>
      <c r="Z87" s="53"/>
      <c r="AA87" s="53"/>
      <c r="AB87" s="53"/>
      <c r="AC87" s="53"/>
      <c r="AD87" s="54"/>
      <c r="AE87" s="62"/>
      <c r="AF87" s="53"/>
      <c r="AG87" s="53"/>
      <c r="AH87" s="58"/>
      <c r="AJ87" s="10"/>
      <c r="AK87" s="2"/>
      <c r="AL87" s="53"/>
      <c r="AM87" s="53"/>
      <c r="AN87" s="53"/>
      <c r="AO87" s="54"/>
      <c r="AP87" s="62"/>
      <c r="AQ87" s="53"/>
      <c r="AR87" s="53"/>
      <c r="AS87" s="58"/>
      <c r="AT87" s="57"/>
    </row>
    <row r="88" spans="2:46" x14ac:dyDescent="0.35">
      <c r="B88" s="10"/>
      <c r="C88" s="2" t="s">
        <v>796</v>
      </c>
      <c r="D88" s="53">
        <v>0</v>
      </c>
      <c r="E88" s="53">
        <v>0</v>
      </c>
      <c r="F88" s="54">
        <v>0</v>
      </c>
      <c r="G88" s="53">
        <v>0</v>
      </c>
      <c r="H88" s="53">
        <v>0</v>
      </c>
      <c r="I88" s="54">
        <v>0</v>
      </c>
      <c r="J88" s="53">
        <v>0</v>
      </c>
      <c r="K88" s="53">
        <v>0</v>
      </c>
      <c r="L88" s="59">
        <v>1</v>
      </c>
      <c r="N88" s="10"/>
      <c r="O88" s="2" t="s">
        <v>822</v>
      </c>
      <c r="P88" s="53">
        <v>0</v>
      </c>
      <c r="Q88" s="54">
        <v>0</v>
      </c>
      <c r="R88" s="62">
        <v>0</v>
      </c>
      <c r="S88" s="53">
        <v>0</v>
      </c>
      <c r="T88" s="62">
        <v>0</v>
      </c>
      <c r="U88" s="57">
        <v>1</v>
      </c>
      <c r="V88" s="57">
        <v>1</v>
      </c>
      <c r="X88" s="10"/>
      <c r="Y88" s="2"/>
      <c r="Z88" s="53"/>
      <c r="AA88" s="53"/>
      <c r="AB88" s="53"/>
      <c r="AC88" s="53"/>
      <c r="AD88" s="54"/>
      <c r="AE88" s="62"/>
      <c r="AF88" s="53"/>
      <c r="AG88" s="53"/>
      <c r="AH88" s="58"/>
      <c r="AJ88" s="10"/>
      <c r="AK88" s="2"/>
      <c r="AL88" s="53"/>
      <c r="AM88" s="53"/>
      <c r="AN88" s="53"/>
      <c r="AO88" s="54"/>
      <c r="AP88" s="62"/>
      <c r="AQ88" s="53"/>
      <c r="AR88" s="53"/>
      <c r="AS88" s="58"/>
      <c r="AT88" s="57"/>
    </row>
    <row r="89" spans="2:46" x14ac:dyDescent="0.35">
      <c r="B89" s="10"/>
      <c r="C89" s="2" t="s">
        <v>429</v>
      </c>
      <c r="D89" s="53">
        <v>0</v>
      </c>
      <c r="E89" s="53">
        <v>0</v>
      </c>
      <c r="F89" s="54">
        <v>0</v>
      </c>
      <c r="G89" s="53">
        <v>0</v>
      </c>
      <c r="H89" s="53">
        <v>0</v>
      </c>
      <c r="I89" s="54">
        <v>0</v>
      </c>
      <c r="J89" s="53">
        <v>0</v>
      </c>
      <c r="K89" s="53">
        <v>0</v>
      </c>
      <c r="L89" s="59">
        <v>1</v>
      </c>
      <c r="N89" s="10"/>
      <c r="O89" s="2" t="s">
        <v>389</v>
      </c>
      <c r="P89" s="53">
        <v>0</v>
      </c>
      <c r="Q89" s="54">
        <v>0</v>
      </c>
      <c r="R89" s="62">
        <v>0</v>
      </c>
      <c r="S89" s="53">
        <v>0</v>
      </c>
      <c r="T89" s="62">
        <v>0</v>
      </c>
      <c r="U89" s="57">
        <v>1</v>
      </c>
      <c r="V89" s="57">
        <v>1</v>
      </c>
      <c r="X89" s="10"/>
      <c r="Y89" s="2"/>
      <c r="Z89" s="53"/>
      <c r="AA89" s="53"/>
      <c r="AB89" s="53"/>
      <c r="AC89" s="53"/>
      <c r="AD89" s="54"/>
      <c r="AE89" s="62"/>
      <c r="AF89" s="53"/>
      <c r="AG89" s="53"/>
      <c r="AH89" s="58"/>
      <c r="AJ89" s="10"/>
      <c r="AK89" s="2"/>
      <c r="AL89" s="53"/>
      <c r="AM89" s="53"/>
      <c r="AN89" s="53"/>
      <c r="AO89" s="54"/>
      <c r="AP89" s="62"/>
      <c r="AQ89" s="53"/>
      <c r="AR89" s="53"/>
      <c r="AS89" s="58"/>
      <c r="AT89" s="57"/>
    </row>
    <row r="90" spans="2:46" x14ac:dyDescent="0.35">
      <c r="B90" s="10"/>
      <c r="C90" s="2" t="s">
        <v>430</v>
      </c>
      <c r="D90" s="53">
        <v>0</v>
      </c>
      <c r="E90" s="53">
        <v>0</v>
      </c>
      <c r="F90" s="54">
        <v>0</v>
      </c>
      <c r="G90" s="53">
        <v>0</v>
      </c>
      <c r="H90" s="53">
        <v>0</v>
      </c>
      <c r="I90" s="54">
        <v>0</v>
      </c>
      <c r="J90" s="53">
        <v>0</v>
      </c>
      <c r="K90" s="53">
        <v>0</v>
      </c>
      <c r="L90" s="59">
        <v>1</v>
      </c>
      <c r="N90" s="10"/>
      <c r="O90" s="2" t="s">
        <v>390</v>
      </c>
      <c r="P90" s="53">
        <v>0</v>
      </c>
      <c r="Q90" s="54">
        <v>0</v>
      </c>
      <c r="R90" s="62">
        <v>0</v>
      </c>
      <c r="S90" s="53">
        <v>0</v>
      </c>
      <c r="T90" s="62">
        <v>0</v>
      </c>
      <c r="U90" s="57">
        <v>1</v>
      </c>
      <c r="V90" s="57">
        <v>1</v>
      </c>
      <c r="X90" s="10"/>
      <c r="Y90" s="2"/>
      <c r="Z90" s="53"/>
      <c r="AA90" s="53"/>
      <c r="AB90" s="53"/>
      <c r="AC90" s="53"/>
      <c r="AD90" s="54"/>
      <c r="AE90" s="62"/>
      <c r="AF90" s="53"/>
      <c r="AG90" s="53"/>
      <c r="AH90" s="58"/>
      <c r="AJ90" s="10"/>
      <c r="AK90" s="2"/>
      <c r="AL90" s="53"/>
      <c r="AM90" s="53"/>
      <c r="AN90" s="53"/>
      <c r="AO90" s="54"/>
      <c r="AP90" s="62"/>
      <c r="AQ90" s="53"/>
      <c r="AR90" s="53"/>
      <c r="AS90" s="58"/>
      <c r="AT90" s="57"/>
    </row>
    <row r="91" spans="2:46" x14ac:dyDescent="0.35">
      <c r="B91" s="10"/>
      <c r="C91" s="2" t="s">
        <v>431</v>
      </c>
      <c r="D91" s="53">
        <v>0</v>
      </c>
      <c r="E91" s="53">
        <v>0</v>
      </c>
      <c r="F91" s="54">
        <v>0</v>
      </c>
      <c r="G91" s="53">
        <v>0</v>
      </c>
      <c r="H91" s="53">
        <v>0</v>
      </c>
      <c r="I91" s="54">
        <v>0</v>
      </c>
      <c r="J91" s="53">
        <v>0</v>
      </c>
      <c r="K91" s="53">
        <v>0</v>
      </c>
      <c r="L91" s="59">
        <v>1</v>
      </c>
      <c r="N91" s="10"/>
      <c r="O91" s="2" t="s">
        <v>391</v>
      </c>
      <c r="P91" s="53">
        <v>0</v>
      </c>
      <c r="Q91" s="54">
        <v>0</v>
      </c>
      <c r="R91" s="62">
        <v>0</v>
      </c>
      <c r="S91" s="53">
        <v>0</v>
      </c>
      <c r="T91" s="62">
        <v>0</v>
      </c>
      <c r="U91" s="57">
        <v>1</v>
      </c>
      <c r="V91" s="57">
        <v>1</v>
      </c>
      <c r="X91" s="10"/>
      <c r="Y91" s="2"/>
      <c r="Z91" s="53"/>
      <c r="AA91" s="53"/>
      <c r="AB91" s="53"/>
      <c r="AC91" s="53"/>
      <c r="AD91" s="54"/>
      <c r="AE91" s="62"/>
      <c r="AF91" s="53"/>
      <c r="AG91" s="53"/>
      <c r="AH91" s="58"/>
      <c r="AJ91" s="10"/>
      <c r="AK91" s="2"/>
      <c r="AL91" s="53"/>
      <c r="AM91" s="53"/>
      <c r="AN91" s="53"/>
      <c r="AO91" s="54"/>
      <c r="AP91" s="62"/>
      <c r="AQ91" s="53"/>
      <c r="AR91" s="53"/>
      <c r="AS91" s="58"/>
      <c r="AT91" s="57"/>
    </row>
    <row r="92" spans="2:46" x14ac:dyDescent="0.35">
      <c r="B92" s="10"/>
      <c r="C92" s="2" t="s">
        <v>797</v>
      </c>
      <c r="D92" s="53">
        <v>0</v>
      </c>
      <c r="E92" s="53">
        <v>0</v>
      </c>
      <c r="F92" s="54">
        <v>0</v>
      </c>
      <c r="G92" s="53">
        <v>0</v>
      </c>
      <c r="H92" s="53">
        <v>0</v>
      </c>
      <c r="I92" s="54">
        <v>0</v>
      </c>
      <c r="J92" s="53">
        <v>0</v>
      </c>
      <c r="K92" s="53">
        <v>0</v>
      </c>
      <c r="L92" s="59">
        <v>1</v>
      </c>
      <c r="N92" s="10"/>
      <c r="O92" s="2" t="s">
        <v>823</v>
      </c>
      <c r="P92" s="53">
        <v>0</v>
      </c>
      <c r="Q92" s="54">
        <v>0</v>
      </c>
      <c r="R92" s="62">
        <v>0</v>
      </c>
      <c r="S92" s="53">
        <v>0</v>
      </c>
      <c r="T92" s="62">
        <v>0</v>
      </c>
      <c r="U92" s="57">
        <v>1</v>
      </c>
      <c r="V92" s="57">
        <v>1</v>
      </c>
      <c r="X92" s="10"/>
      <c r="Y92" s="2"/>
      <c r="Z92" s="53"/>
      <c r="AA92" s="53"/>
      <c r="AB92" s="53"/>
      <c r="AC92" s="53"/>
      <c r="AD92" s="54"/>
      <c r="AE92" s="62"/>
      <c r="AF92" s="53"/>
      <c r="AG92" s="53"/>
      <c r="AH92" s="58"/>
      <c r="AJ92" s="10"/>
      <c r="AK92" s="2"/>
      <c r="AL92" s="53"/>
      <c r="AM92" s="53"/>
      <c r="AN92" s="53"/>
      <c r="AO92" s="54"/>
      <c r="AP92" s="62"/>
      <c r="AQ92" s="53"/>
      <c r="AR92" s="53"/>
      <c r="AS92" s="58"/>
      <c r="AT92" s="57"/>
    </row>
    <row r="93" spans="2:46" x14ac:dyDescent="0.35">
      <c r="B93" s="10"/>
      <c r="C93" s="2" t="s">
        <v>798</v>
      </c>
      <c r="D93" s="53">
        <v>0</v>
      </c>
      <c r="E93" s="53">
        <v>0</v>
      </c>
      <c r="F93" s="54">
        <v>0</v>
      </c>
      <c r="G93" s="53">
        <v>0</v>
      </c>
      <c r="H93" s="53">
        <v>0</v>
      </c>
      <c r="I93" s="54">
        <v>0</v>
      </c>
      <c r="J93" s="53">
        <v>0</v>
      </c>
      <c r="K93" s="53">
        <v>0</v>
      </c>
      <c r="L93" s="59">
        <v>1</v>
      </c>
      <c r="N93" s="10"/>
      <c r="O93" s="2" t="s">
        <v>824</v>
      </c>
      <c r="P93" s="53">
        <v>0</v>
      </c>
      <c r="Q93" s="54">
        <v>0</v>
      </c>
      <c r="R93" s="62">
        <v>0</v>
      </c>
      <c r="S93" s="53">
        <v>0</v>
      </c>
      <c r="T93" s="62">
        <v>0</v>
      </c>
      <c r="U93" s="57">
        <v>1</v>
      </c>
      <c r="V93" s="57">
        <v>1</v>
      </c>
      <c r="X93" s="10"/>
      <c r="Y93" s="2"/>
      <c r="Z93" s="53"/>
      <c r="AA93" s="53"/>
      <c r="AB93" s="53"/>
      <c r="AC93" s="53"/>
      <c r="AD93" s="54"/>
      <c r="AE93" s="62"/>
      <c r="AF93" s="53"/>
      <c r="AG93" s="53"/>
      <c r="AH93" s="58"/>
      <c r="AJ93" s="10"/>
      <c r="AK93" s="2"/>
      <c r="AL93" s="53"/>
      <c r="AM93" s="53"/>
      <c r="AN93" s="53"/>
      <c r="AO93" s="54"/>
      <c r="AP93" s="62"/>
      <c r="AQ93" s="53"/>
      <c r="AR93" s="53"/>
      <c r="AS93" s="58"/>
      <c r="AT93" s="57"/>
    </row>
    <row r="94" spans="2:46" x14ac:dyDescent="0.35">
      <c r="B94" s="10"/>
      <c r="C94" s="2" t="s">
        <v>799</v>
      </c>
      <c r="D94" s="53">
        <v>0</v>
      </c>
      <c r="E94" s="53">
        <v>0</v>
      </c>
      <c r="F94" s="54">
        <v>0</v>
      </c>
      <c r="G94" s="53">
        <v>0</v>
      </c>
      <c r="H94" s="53">
        <v>0</v>
      </c>
      <c r="I94" s="54">
        <v>0</v>
      </c>
      <c r="J94" s="53">
        <v>0</v>
      </c>
      <c r="K94" s="53">
        <v>0</v>
      </c>
      <c r="L94" s="59">
        <v>1</v>
      </c>
      <c r="N94" s="10"/>
      <c r="O94" s="2" t="s">
        <v>825</v>
      </c>
      <c r="P94" s="53">
        <v>0</v>
      </c>
      <c r="Q94" s="54">
        <v>0</v>
      </c>
      <c r="R94" s="62">
        <v>0</v>
      </c>
      <c r="S94" s="53">
        <v>0</v>
      </c>
      <c r="T94" s="62">
        <v>0</v>
      </c>
      <c r="U94" s="57">
        <v>1</v>
      </c>
      <c r="V94" s="57">
        <v>1</v>
      </c>
      <c r="X94" s="10"/>
      <c r="Y94" s="2"/>
      <c r="Z94" s="53"/>
      <c r="AA94" s="53"/>
      <c r="AB94" s="53"/>
      <c r="AC94" s="53"/>
      <c r="AD94" s="54"/>
      <c r="AE94" s="62"/>
      <c r="AF94" s="53"/>
      <c r="AG94" s="53"/>
      <c r="AH94" s="58"/>
      <c r="AJ94" s="10"/>
      <c r="AK94" s="2"/>
      <c r="AL94" s="53"/>
      <c r="AM94" s="53"/>
      <c r="AN94" s="53"/>
      <c r="AO94" s="54"/>
      <c r="AP94" s="62"/>
      <c r="AQ94" s="53"/>
      <c r="AR94" s="53"/>
      <c r="AS94" s="58"/>
      <c r="AT94" s="57"/>
    </row>
    <row r="95" spans="2:46" x14ac:dyDescent="0.35">
      <c r="B95" s="10"/>
      <c r="C95" s="2" t="s">
        <v>432</v>
      </c>
      <c r="D95" s="53">
        <v>0</v>
      </c>
      <c r="E95" s="53">
        <v>0</v>
      </c>
      <c r="F95" s="54">
        <v>0</v>
      </c>
      <c r="G95" s="53">
        <v>0</v>
      </c>
      <c r="H95" s="53">
        <v>0</v>
      </c>
      <c r="I95" s="54">
        <v>0</v>
      </c>
      <c r="J95" s="53">
        <v>0</v>
      </c>
      <c r="K95" s="53">
        <v>0</v>
      </c>
      <c r="L95" s="59">
        <v>1</v>
      </c>
      <c r="N95" s="10"/>
      <c r="O95" s="2" t="s">
        <v>392</v>
      </c>
      <c r="P95" s="53">
        <v>0</v>
      </c>
      <c r="Q95" s="54">
        <v>0</v>
      </c>
      <c r="R95" s="62">
        <v>0</v>
      </c>
      <c r="S95" s="53">
        <v>0</v>
      </c>
      <c r="T95" s="62">
        <v>0</v>
      </c>
      <c r="U95" s="57">
        <v>1</v>
      </c>
      <c r="V95" s="57">
        <v>1</v>
      </c>
      <c r="X95" s="10"/>
      <c r="Y95" s="2"/>
      <c r="Z95" s="53"/>
      <c r="AA95" s="53"/>
      <c r="AB95" s="53"/>
      <c r="AC95" s="53"/>
      <c r="AD95" s="54"/>
      <c r="AE95" s="62"/>
      <c r="AF95" s="53"/>
      <c r="AG95" s="53"/>
      <c r="AH95" s="58"/>
      <c r="AJ95" s="10"/>
      <c r="AK95" s="2"/>
      <c r="AL95" s="53"/>
      <c r="AM95" s="53"/>
      <c r="AN95" s="53"/>
      <c r="AO95" s="54"/>
      <c r="AP95" s="62"/>
      <c r="AQ95" s="53"/>
      <c r="AR95" s="53"/>
      <c r="AS95" s="58"/>
      <c r="AT95" s="57"/>
    </row>
    <row r="96" spans="2:46" x14ac:dyDescent="0.35">
      <c r="B96" s="10"/>
      <c r="C96" s="2" t="s">
        <v>800</v>
      </c>
      <c r="D96" s="53">
        <v>0</v>
      </c>
      <c r="E96" s="53">
        <v>0</v>
      </c>
      <c r="F96" s="54">
        <v>0</v>
      </c>
      <c r="G96" s="53">
        <v>0</v>
      </c>
      <c r="H96" s="53">
        <v>0</v>
      </c>
      <c r="I96" s="54">
        <v>0</v>
      </c>
      <c r="J96" s="53">
        <v>0</v>
      </c>
      <c r="K96" s="53">
        <v>0</v>
      </c>
      <c r="L96" s="59">
        <v>1</v>
      </c>
      <c r="N96" s="10"/>
      <c r="O96" s="2" t="s">
        <v>826</v>
      </c>
      <c r="P96" s="53">
        <v>0</v>
      </c>
      <c r="Q96" s="54">
        <v>0</v>
      </c>
      <c r="R96" s="62">
        <v>0</v>
      </c>
      <c r="S96" s="53">
        <v>0</v>
      </c>
      <c r="T96" s="62">
        <v>0</v>
      </c>
      <c r="U96" s="57">
        <v>1</v>
      </c>
      <c r="V96" s="57">
        <v>1</v>
      </c>
      <c r="X96" s="10"/>
      <c r="Y96" s="2"/>
      <c r="Z96" s="53"/>
      <c r="AA96" s="53"/>
      <c r="AB96" s="53"/>
      <c r="AC96" s="53"/>
      <c r="AD96" s="54"/>
      <c r="AE96" s="62"/>
      <c r="AF96" s="53"/>
      <c r="AG96" s="53"/>
      <c r="AH96" s="58"/>
      <c r="AJ96" s="10"/>
      <c r="AK96" s="2"/>
      <c r="AL96" s="53"/>
      <c r="AM96" s="53"/>
      <c r="AN96" s="53"/>
      <c r="AO96" s="54"/>
      <c r="AP96" s="62"/>
      <c r="AQ96" s="53"/>
      <c r="AR96" s="53"/>
      <c r="AS96" s="58"/>
      <c r="AT96" s="57"/>
    </row>
    <row r="97" spans="2:46" x14ac:dyDescent="0.35">
      <c r="B97" s="10"/>
      <c r="C97" s="2"/>
      <c r="D97" s="53"/>
      <c r="E97" s="53"/>
      <c r="F97" s="54"/>
      <c r="G97" s="53"/>
      <c r="H97" s="53"/>
      <c r="I97" s="54"/>
      <c r="J97" s="53"/>
      <c r="K97" s="53"/>
      <c r="L97" s="59"/>
      <c r="N97" s="10"/>
      <c r="O97" s="2"/>
      <c r="P97" s="53"/>
      <c r="Q97" s="54"/>
      <c r="R97" s="62"/>
      <c r="S97" s="53"/>
      <c r="T97" s="62"/>
      <c r="U97" s="57"/>
      <c r="V97" s="57"/>
      <c r="X97" s="10"/>
      <c r="Y97" s="2"/>
      <c r="Z97" s="53"/>
      <c r="AA97" s="53"/>
      <c r="AB97" s="53"/>
      <c r="AC97" s="53"/>
      <c r="AD97" s="54"/>
      <c r="AE97" s="62"/>
      <c r="AF97" s="53"/>
      <c r="AG97" s="53"/>
      <c r="AH97" s="58"/>
      <c r="AJ97" s="10"/>
      <c r="AK97" s="2"/>
      <c r="AL97" s="53"/>
      <c r="AM97" s="53"/>
      <c r="AN97" s="53"/>
      <c r="AO97" s="54"/>
      <c r="AP97" s="62"/>
      <c r="AQ97" s="53"/>
      <c r="AR97" s="53"/>
      <c r="AS97" s="58"/>
      <c r="AT97" s="57"/>
    </row>
    <row r="98" spans="2:46" x14ac:dyDescent="0.35">
      <c r="B98" s="10"/>
      <c r="C98" s="2"/>
      <c r="D98" s="53"/>
      <c r="E98" s="53"/>
      <c r="F98" s="54"/>
      <c r="G98" s="53"/>
      <c r="H98" s="53"/>
      <c r="I98" s="54"/>
      <c r="J98" s="53"/>
      <c r="K98" s="53"/>
      <c r="L98" s="59"/>
      <c r="N98" s="10"/>
      <c r="O98" s="2"/>
      <c r="P98" s="53"/>
      <c r="Q98" s="54"/>
      <c r="R98" s="62"/>
      <c r="S98" s="53"/>
      <c r="T98" s="62"/>
      <c r="U98" s="57"/>
      <c r="V98" s="57"/>
      <c r="X98" s="10"/>
      <c r="Y98" s="2"/>
      <c r="Z98" s="53"/>
      <c r="AA98" s="53"/>
      <c r="AB98" s="53"/>
      <c r="AC98" s="53"/>
      <c r="AD98" s="54"/>
      <c r="AE98" s="62"/>
      <c r="AF98" s="53"/>
      <c r="AG98" s="53"/>
      <c r="AH98" s="58"/>
      <c r="AJ98" s="10"/>
      <c r="AK98" s="2"/>
      <c r="AL98" s="53"/>
      <c r="AM98" s="53"/>
      <c r="AN98" s="53"/>
      <c r="AO98" s="54"/>
      <c r="AP98" s="62"/>
      <c r="AQ98" s="53"/>
      <c r="AR98" s="53"/>
      <c r="AS98" s="58"/>
      <c r="AT98" s="57"/>
    </row>
    <row r="99" spans="2:46" x14ac:dyDescent="0.35">
      <c r="B99" s="10"/>
      <c r="C99" s="2"/>
      <c r="D99" s="53"/>
      <c r="E99" s="53"/>
      <c r="F99" s="54"/>
      <c r="G99" s="53"/>
      <c r="H99" s="53"/>
      <c r="I99" s="54"/>
      <c r="J99" s="53"/>
      <c r="K99" s="53"/>
      <c r="L99" s="59"/>
      <c r="N99" s="10"/>
      <c r="O99" s="2"/>
      <c r="P99" s="53"/>
      <c r="Q99" s="54"/>
      <c r="R99" s="62"/>
      <c r="S99" s="53"/>
      <c r="T99" s="62"/>
      <c r="U99" s="57"/>
      <c r="V99" s="57"/>
      <c r="X99" s="10"/>
      <c r="Y99" s="2"/>
      <c r="Z99" s="53"/>
      <c r="AA99" s="53"/>
      <c r="AB99" s="53"/>
      <c r="AC99" s="53"/>
      <c r="AD99" s="54"/>
      <c r="AE99" s="62"/>
      <c r="AF99" s="53"/>
      <c r="AG99" s="53"/>
      <c r="AH99" s="58"/>
      <c r="AJ99" s="10"/>
      <c r="AK99" s="2"/>
      <c r="AL99" s="53"/>
      <c r="AM99" s="53"/>
      <c r="AN99" s="53"/>
      <c r="AO99" s="54"/>
      <c r="AP99" s="62"/>
      <c r="AQ99" s="53"/>
      <c r="AR99" s="53"/>
      <c r="AS99" s="58"/>
      <c r="AT99" s="57"/>
    </row>
    <row r="100" spans="2:46" x14ac:dyDescent="0.35">
      <c r="B100" s="10"/>
      <c r="C100" s="2"/>
      <c r="D100" s="53"/>
      <c r="E100" s="53"/>
      <c r="F100" s="54"/>
      <c r="G100" s="53"/>
      <c r="H100" s="53"/>
      <c r="I100" s="54"/>
      <c r="J100" s="53"/>
      <c r="K100" s="53"/>
      <c r="L100" s="59"/>
      <c r="N100" s="10"/>
      <c r="O100" s="2"/>
      <c r="P100" s="53"/>
      <c r="Q100" s="54"/>
      <c r="R100" s="62"/>
      <c r="S100" s="53"/>
      <c r="T100" s="62"/>
      <c r="U100" s="57"/>
      <c r="V100" s="57"/>
      <c r="X100" s="10"/>
      <c r="Y100" s="2"/>
      <c r="Z100" s="53"/>
      <c r="AA100" s="53"/>
      <c r="AB100" s="53"/>
      <c r="AC100" s="53"/>
      <c r="AD100" s="54"/>
      <c r="AE100" s="62"/>
      <c r="AF100" s="53"/>
      <c r="AG100" s="53"/>
      <c r="AH100" s="58"/>
      <c r="AJ100" s="10"/>
      <c r="AK100" s="2"/>
      <c r="AL100" s="53"/>
      <c r="AM100" s="53"/>
      <c r="AN100" s="53"/>
      <c r="AO100" s="54"/>
      <c r="AP100" s="62"/>
      <c r="AQ100" s="53"/>
      <c r="AR100" s="53"/>
      <c r="AS100" s="58"/>
      <c r="AT100" s="57"/>
    </row>
    <row r="101" spans="2:46" x14ac:dyDescent="0.35">
      <c r="B101" s="10"/>
      <c r="C101" s="2"/>
      <c r="D101" s="53"/>
      <c r="E101" s="53"/>
      <c r="F101" s="54"/>
      <c r="G101" s="53"/>
      <c r="H101" s="53"/>
      <c r="I101" s="54"/>
      <c r="J101" s="53"/>
      <c r="K101" s="53"/>
      <c r="L101" s="59"/>
      <c r="N101" s="10"/>
      <c r="O101" s="2"/>
      <c r="P101" s="53"/>
      <c r="Q101" s="54"/>
      <c r="R101" s="62"/>
      <c r="S101" s="53"/>
      <c r="T101" s="62"/>
      <c r="U101" s="57"/>
      <c r="V101" s="57"/>
      <c r="X101" s="10"/>
      <c r="Y101" s="2"/>
      <c r="Z101" s="53"/>
      <c r="AA101" s="53"/>
      <c r="AB101" s="53"/>
      <c r="AC101" s="53"/>
      <c r="AD101" s="54"/>
      <c r="AE101" s="62"/>
      <c r="AF101" s="53"/>
      <c r="AG101" s="53"/>
      <c r="AH101" s="58"/>
      <c r="AJ101" s="10"/>
      <c r="AK101" s="2"/>
      <c r="AL101" s="53"/>
      <c r="AM101" s="53"/>
      <c r="AN101" s="53"/>
      <c r="AO101" s="54"/>
      <c r="AP101" s="62"/>
      <c r="AQ101" s="53"/>
      <c r="AR101" s="53"/>
      <c r="AS101" s="58"/>
      <c r="AT101" s="57"/>
    </row>
    <row r="102" spans="2:46" x14ac:dyDescent="0.35">
      <c r="B102" s="10"/>
      <c r="C102" s="2"/>
      <c r="D102" s="53"/>
      <c r="E102" s="53"/>
      <c r="F102" s="54"/>
      <c r="G102" s="53"/>
      <c r="H102" s="53"/>
      <c r="I102" s="54"/>
      <c r="J102" s="53"/>
      <c r="K102" s="53"/>
      <c r="L102" s="59"/>
      <c r="N102" s="10"/>
      <c r="O102" s="2"/>
      <c r="P102" s="53"/>
      <c r="Q102" s="54"/>
      <c r="R102" s="62"/>
      <c r="S102" s="53"/>
      <c r="T102" s="62"/>
      <c r="U102" s="57"/>
      <c r="V102" s="57"/>
      <c r="X102" s="10"/>
      <c r="Y102" s="2"/>
      <c r="Z102" s="53"/>
      <c r="AA102" s="53"/>
      <c r="AB102" s="53"/>
      <c r="AC102" s="53"/>
      <c r="AD102" s="54"/>
      <c r="AE102" s="62"/>
      <c r="AF102" s="53"/>
      <c r="AG102" s="53"/>
      <c r="AH102" s="58"/>
      <c r="AJ102" s="10"/>
      <c r="AK102" s="2"/>
      <c r="AL102" s="53"/>
      <c r="AM102" s="53"/>
      <c r="AN102" s="53"/>
      <c r="AO102" s="54"/>
      <c r="AP102" s="62"/>
      <c r="AQ102" s="53"/>
      <c r="AR102" s="53"/>
      <c r="AS102" s="58"/>
      <c r="AT102" s="57"/>
    </row>
    <row r="103" spans="2:46" x14ac:dyDescent="0.35">
      <c r="B103" s="10"/>
      <c r="C103" s="2"/>
      <c r="D103" s="53"/>
      <c r="E103" s="53"/>
      <c r="F103" s="54"/>
      <c r="G103" s="53"/>
      <c r="H103" s="53"/>
      <c r="I103" s="54"/>
      <c r="J103" s="53"/>
      <c r="K103" s="53"/>
      <c r="L103" s="59"/>
      <c r="N103" s="10"/>
      <c r="O103" s="2"/>
      <c r="P103" s="53"/>
      <c r="Q103" s="54"/>
      <c r="R103" s="62"/>
      <c r="S103" s="53"/>
      <c r="T103" s="62"/>
      <c r="U103" s="57"/>
      <c r="V103" s="57"/>
      <c r="X103" s="10"/>
      <c r="Y103" s="2"/>
      <c r="Z103" s="53"/>
      <c r="AA103" s="53"/>
      <c r="AB103" s="53"/>
      <c r="AC103" s="53"/>
      <c r="AD103" s="54"/>
      <c r="AE103" s="62"/>
      <c r="AF103" s="53"/>
      <c r="AG103" s="53"/>
      <c r="AH103" s="58"/>
      <c r="AJ103" s="10"/>
      <c r="AK103" s="2"/>
      <c r="AL103" s="53"/>
      <c r="AM103" s="53"/>
      <c r="AN103" s="53"/>
      <c r="AO103" s="54"/>
      <c r="AP103" s="62"/>
      <c r="AQ103" s="53"/>
      <c r="AR103" s="53"/>
      <c r="AS103" s="58"/>
      <c r="AT103" s="57"/>
    </row>
    <row r="104" spans="2:46" x14ac:dyDescent="0.35">
      <c r="B104" s="10"/>
      <c r="C104" s="2"/>
      <c r="D104" s="53"/>
      <c r="E104" s="53"/>
      <c r="F104" s="54"/>
      <c r="G104" s="53"/>
      <c r="H104" s="53"/>
      <c r="I104" s="54"/>
      <c r="J104" s="53"/>
      <c r="K104" s="53"/>
      <c r="L104" s="59"/>
      <c r="N104" s="10"/>
      <c r="O104" s="2"/>
      <c r="P104" s="53"/>
      <c r="Q104" s="54"/>
      <c r="R104" s="62"/>
      <c r="S104" s="53"/>
      <c r="T104" s="62"/>
      <c r="U104" s="57"/>
      <c r="V104" s="57"/>
      <c r="X104" s="10"/>
      <c r="Y104" s="2"/>
      <c r="Z104" s="53"/>
      <c r="AA104" s="53"/>
      <c r="AB104" s="53"/>
      <c r="AC104" s="53"/>
      <c r="AD104" s="54"/>
      <c r="AE104" s="62"/>
      <c r="AF104" s="53"/>
      <c r="AG104" s="53"/>
      <c r="AH104" s="58"/>
      <c r="AJ104" s="10"/>
      <c r="AK104" s="2"/>
      <c r="AL104" s="53"/>
      <c r="AM104" s="53"/>
      <c r="AN104" s="53"/>
      <c r="AO104" s="54"/>
      <c r="AP104" s="62"/>
      <c r="AQ104" s="53"/>
      <c r="AR104" s="53"/>
      <c r="AS104" s="58"/>
      <c r="AT104" s="57"/>
    </row>
    <row r="105" spans="2:46" x14ac:dyDescent="0.35">
      <c r="B105" s="10"/>
      <c r="C105" s="2"/>
      <c r="D105" s="53"/>
      <c r="E105" s="53"/>
      <c r="F105" s="54"/>
      <c r="G105" s="53"/>
      <c r="H105" s="53"/>
      <c r="I105" s="54"/>
      <c r="J105" s="53"/>
      <c r="K105" s="53"/>
      <c r="L105" s="59"/>
      <c r="N105" s="10"/>
      <c r="O105" s="2"/>
      <c r="P105" s="53"/>
      <c r="Q105" s="54"/>
      <c r="R105" s="62"/>
      <c r="S105" s="53"/>
      <c r="T105" s="62"/>
      <c r="U105" s="57"/>
      <c r="V105" s="57"/>
      <c r="X105" s="10"/>
      <c r="Y105" s="2"/>
      <c r="Z105" s="53"/>
      <c r="AA105" s="53"/>
      <c r="AB105" s="53"/>
      <c r="AC105" s="53"/>
      <c r="AD105" s="54"/>
      <c r="AE105" s="62"/>
      <c r="AF105" s="53"/>
      <c r="AG105" s="53"/>
      <c r="AH105" s="58"/>
      <c r="AJ105" s="10"/>
      <c r="AK105" s="2"/>
      <c r="AL105" s="53"/>
      <c r="AM105" s="53"/>
      <c r="AN105" s="53"/>
      <c r="AO105" s="54"/>
      <c r="AP105" s="62"/>
      <c r="AQ105" s="53"/>
      <c r="AR105" s="53"/>
      <c r="AS105" s="58"/>
      <c r="AT105" s="57"/>
    </row>
    <row r="106" spans="2:46" x14ac:dyDescent="0.35">
      <c r="B106" s="10"/>
      <c r="C106" s="2"/>
      <c r="D106" s="53"/>
      <c r="E106" s="53"/>
      <c r="F106" s="54"/>
      <c r="G106" s="53"/>
      <c r="H106" s="53"/>
      <c r="I106" s="54"/>
      <c r="J106" s="53"/>
      <c r="K106" s="53"/>
      <c r="L106" s="59"/>
      <c r="N106" s="10"/>
      <c r="O106" s="2"/>
      <c r="P106" s="53"/>
      <c r="Q106" s="54"/>
      <c r="R106" s="62"/>
      <c r="S106" s="53"/>
      <c r="T106" s="62"/>
      <c r="U106" s="57"/>
      <c r="V106" s="57"/>
      <c r="X106" s="10"/>
      <c r="Y106" s="2"/>
      <c r="Z106" s="53"/>
      <c r="AA106" s="53"/>
      <c r="AB106" s="53"/>
      <c r="AC106" s="53"/>
      <c r="AD106" s="54"/>
      <c r="AE106" s="62"/>
      <c r="AF106" s="53"/>
      <c r="AG106" s="53"/>
      <c r="AH106" s="58"/>
      <c r="AJ106" s="10"/>
      <c r="AK106" s="2"/>
      <c r="AL106" s="53"/>
      <c r="AM106" s="53"/>
      <c r="AN106" s="53"/>
      <c r="AO106" s="54"/>
      <c r="AP106" s="62"/>
      <c r="AQ106" s="53"/>
      <c r="AR106" s="53"/>
      <c r="AS106" s="58"/>
      <c r="AT106" s="57"/>
    </row>
    <row r="107" spans="2:46" x14ac:dyDescent="0.35">
      <c r="B107" s="10"/>
      <c r="C107" s="2"/>
      <c r="D107" s="53"/>
      <c r="E107" s="53"/>
      <c r="F107" s="54"/>
      <c r="G107" s="53"/>
      <c r="H107" s="53"/>
      <c r="I107" s="54"/>
      <c r="J107" s="53"/>
      <c r="K107" s="53"/>
      <c r="L107" s="59"/>
      <c r="N107" s="10"/>
      <c r="O107" s="2"/>
      <c r="P107" s="53"/>
      <c r="Q107" s="54"/>
      <c r="R107" s="62"/>
      <c r="S107" s="53"/>
      <c r="T107" s="62"/>
      <c r="U107" s="57"/>
      <c r="V107" s="57"/>
      <c r="X107" s="10"/>
      <c r="Y107" s="2"/>
      <c r="Z107" s="53"/>
      <c r="AA107" s="53"/>
      <c r="AB107" s="53"/>
      <c r="AC107" s="53"/>
      <c r="AD107" s="54"/>
      <c r="AE107" s="62"/>
      <c r="AF107" s="53"/>
      <c r="AG107" s="53"/>
      <c r="AH107" s="58"/>
      <c r="AJ107" s="10"/>
      <c r="AK107" s="2"/>
      <c r="AL107" s="53"/>
      <c r="AM107" s="53"/>
      <c r="AN107" s="53"/>
      <c r="AO107" s="54"/>
      <c r="AP107" s="62"/>
      <c r="AQ107" s="53"/>
      <c r="AR107" s="53"/>
      <c r="AS107" s="58"/>
      <c r="AT107" s="57"/>
    </row>
    <row r="108" spans="2:46" x14ac:dyDescent="0.35">
      <c r="B108" s="10"/>
      <c r="C108" s="2"/>
      <c r="D108" s="53"/>
      <c r="E108" s="53"/>
      <c r="F108" s="54"/>
      <c r="G108" s="53"/>
      <c r="H108" s="53"/>
      <c r="I108" s="54"/>
      <c r="J108" s="53"/>
      <c r="K108" s="53"/>
      <c r="L108" s="59"/>
      <c r="N108" s="10"/>
      <c r="O108" s="2"/>
      <c r="P108" s="53"/>
      <c r="Q108" s="54"/>
      <c r="R108" s="62"/>
      <c r="S108" s="53"/>
      <c r="T108" s="62"/>
      <c r="U108" s="57"/>
      <c r="V108" s="57"/>
      <c r="X108" s="10"/>
      <c r="Y108" s="2"/>
      <c r="Z108" s="53"/>
      <c r="AA108" s="53"/>
      <c r="AB108" s="53"/>
      <c r="AC108" s="53"/>
      <c r="AD108" s="54"/>
      <c r="AE108" s="62"/>
      <c r="AF108" s="53"/>
      <c r="AG108" s="53"/>
      <c r="AH108" s="58"/>
      <c r="AJ108" s="10"/>
      <c r="AK108" s="2"/>
      <c r="AL108" s="53"/>
      <c r="AM108" s="53"/>
      <c r="AN108" s="53"/>
      <c r="AO108" s="54"/>
      <c r="AP108" s="62"/>
      <c r="AQ108" s="53"/>
      <c r="AR108" s="53"/>
      <c r="AS108" s="58"/>
      <c r="AT108" s="57"/>
    </row>
    <row r="109" spans="2:46" x14ac:dyDescent="0.35">
      <c r="B109" s="10"/>
      <c r="C109" s="2"/>
      <c r="D109" s="53"/>
      <c r="E109" s="53"/>
      <c r="F109" s="54"/>
      <c r="G109" s="53"/>
      <c r="H109" s="53"/>
      <c r="I109" s="54"/>
      <c r="J109" s="53"/>
      <c r="K109" s="53"/>
      <c r="L109" s="59"/>
      <c r="N109" s="10"/>
      <c r="O109" s="2"/>
      <c r="P109" s="53"/>
      <c r="Q109" s="54"/>
      <c r="R109" s="62"/>
      <c r="S109" s="53"/>
      <c r="T109" s="62"/>
      <c r="U109" s="57"/>
      <c r="V109" s="57"/>
      <c r="X109" s="10"/>
      <c r="Y109" s="2"/>
      <c r="Z109" s="53"/>
      <c r="AA109" s="53"/>
      <c r="AB109" s="53"/>
      <c r="AC109" s="53"/>
      <c r="AD109" s="54"/>
      <c r="AE109" s="62"/>
      <c r="AF109" s="53"/>
      <c r="AG109" s="53"/>
      <c r="AH109" s="58"/>
      <c r="AJ109" s="10"/>
      <c r="AK109" s="2"/>
      <c r="AL109" s="53"/>
      <c r="AM109" s="53"/>
      <c r="AN109" s="53"/>
      <c r="AO109" s="54"/>
      <c r="AP109" s="62"/>
      <c r="AQ109" s="53"/>
      <c r="AR109" s="53"/>
      <c r="AS109" s="58"/>
      <c r="AT109" s="57"/>
    </row>
    <row r="110" spans="2:46" x14ac:dyDescent="0.35">
      <c r="B110" s="10"/>
      <c r="C110" s="2"/>
      <c r="D110" s="53"/>
      <c r="E110" s="53"/>
      <c r="F110" s="54"/>
      <c r="G110" s="53"/>
      <c r="H110" s="53"/>
      <c r="I110" s="54"/>
      <c r="J110" s="53"/>
      <c r="K110" s="53"/>
      <c r="L110" s="59"/>
      <c r="N110" s="10"/>
      <c r="O110" s="2"/>
      <c r="P110" s="53"/>
      <c r="Q110" s="54"/>
      <c r="R110" s="62"/>
      <c r="S110" s="53"/>
      <c r="T110" s="62"/>
      <c r="U110" s="57"/>
      <c r="V110" s="57"/>
      <c r="X110" s="10"/>
      <c r="Y110" s="2"/>
      <c r="Z110" s="53"/>
      <c r="AA110" s="53"/>
      <c r="AB110" s="53"/>
      <c r="AC110" s="53"/>
      <c r="AD110" s="54"/>
      <c r="AE110" s="62"/>
      <c r="AF110" s="53"/>
      <c r="AG110" s="53"/>
      <c r="AH110" s="58"/>
      <c r="AJ110" s="10"/>
      <c r="AK110" s="2"/>
      <c r="AL110" s="53"/>
      <c r="AM110" s="53"/>
      <c r="AN110" s="53"/>
      <c r="AO110" s="54"/>
      <c r="AP110" s="62"/>
      <c r="AQ110" s="53"/>
      <c r="AR110" s="53"/>
      <c r="AS110" s="58"/>
      <c r="AT110" s="57"/>
    </row>
    <row r="111" spans="2:46" x14ac:dyDescent="0.35">
      <c r="B111" s="10"/>
      <c r="C111" s="2"/>
      <c r="D111" s="53"/>
      <c r="E111" s="53"/>
      <c r="F111" s="54"/>
      <c r="G111" s="53"/>
      <c r="H111" s="53"/>
      <c r="I111" s="54"/>
      <c r="J111" s="53"/>
      <c r="K111" s="53"/>
      <c r="L111" s="59"/>
      <c r="N111" s="10"/>
      <c r="O111" s="2"/>
      <c r="P111" s="53"/>
      <c r="Q111" s="54"/>
      <c r="R111" s="62"/>
      <c r="S111" s="53"/>
      <c r="T111" s="62"/>
      <c r="U111" s="57"/>
      <c r="V111" s="57"/>
      <c r="X111" s="10"/>
      <c r="Y111" s="2"/>
      <c r="Z111" s="53"/>
      <c r="AA111" s="53"/>
      <c r="AB111" s="53"/>
      <c r="AC111" s="53"/>
      <c r="AD111" s="54"/>
      <c r="AE111" s="62"/>
      <c r="AF111" s="53"/>
      <c r="AG111" s="53"/>
      <c r="AH111" s="58"/>
      <c r="AJ111" s="10"/>
      <c r="AK111" s="2"/>
      <c r="AL111" s="53"/>
      <c r="AM111" s="53"/>
      <c r="AN111" s="53"/>
      <c r="AO111" s="54"/>
      <c r="AP111" s="62"/>
      <c r="AQ111" s="53"/>
      <c r="AR111" s="53"/>
      <c r="AS111" s="58"/>
      <c r="AT111" s="57"/>
    </row>
    <row r="112" spans="2:46" x14ac:dyDescent="0.35">
      <c r="B112" s="10"/>
      <c r="C112" s="2"/>
      <c r="D112" s="53"/>
      <c r="E112" s="53"/>
      <c r="F112" s="54"/>
      <c r="G112" s="53"/>
      <c r="H112" s="53"/>
      <c r="I112" s="54"/>
      <c r="J112" s="53"/>
      <c r="K112" s="53"/>
      <c r="L112" s="59"/>
      <c r="N112" s="10"/>
      <c r="O112" s="2"/>
      <c r="P112" s="53"/>
      <c r="Q112" s="54"/>
      <c r="R112" s="62"/>
      <c r="S112" s="53"/>
      <c r="T112" s="62"/>
      <c r="U112" s="57"/>
      <c r="V112" s="57"/>
      <c r="X112" s="10"/>
      <c r="Y112" s="2"/>
      <c r="Z112" s="53"/>
      <c r="AA112" s="53"/>
      <c r="AB112" s="53"/>
      <c r="AC112" s="53"/>
      <c r="AD112" s="54"/>
      <c r="AE112" s="62"/>
      <c r="AF112" s="53"/>
      <c r="AG112" s="53"/>
      <c r="AH112" s="58"/>
      <c r="AJ112" s="10"/>
      <c r="AK112" s="2"/>
      <c r="AL112" s="53"/>
      <c r="AM112" s="53"/>
      <c r="AN112" s="53"/>
      <c r="AO112" s="54"/>
      <c r="AP112" s="62"/>
      <c r="AQ112" s="53"/>
      <c r="AR112" s="53"/>
      <c r="AS112" s="58"/>
      <c r="AT112" s="57"/>
    </row>
    <row r="113" spans="2:46" x14ac:dyDescent="0.35">
      <c r="B113" s="10"/>
      <c r="C113" s="2"/>
      <c r="D113" s="53"/>
      <c r="E113" s="53"/>
      <c r="F113" s="54"/>
      <c r="G113" s="53"/>
      <c r="H113" s="53"/>
      <c r="I113" s="54"/>
      <c r="J113" s="53"/>
      <c r="K113" s="53"/>
      <c r="L113" s="59"/>
      <c r="N113" s="10"/>
      <c r="O113" s="2"/>
      <c r="P113" s="53"/>
      <c r="Q113" s="54"/>
      <c r="R113" s="62"/>
      <c r="S113" s="53"/>
      <c r="T113" s="62"/>
      <c r="U113" s="57"/>
      <c r="V113" s="57"/>
      <c r="X113" s="10"/>
      <c r="Y113" s="2"/>
      <c r="Z113" s="53"/>
      <c r="AA113" s="53"/>
      <c r="AB113" s="53"/>
      <c r="AC113" s="53"/>
      <c r="AD113" s="54"/>
      <c r="AE113" s="62"/>
      <c r="AF113" s="53"/>
      <c r="AG113" s="53"/>
      <c r="AH113" s="58"/>
      <c r="AJ113" s="10"/>
      <c r="AK113" s="2"/>
      <c r="AL113" s="53"/>
      <c r="AM113" s="53"/>
      <c r="AN113" s="53"/>
      <c r="AO113" s="54"/>
      <c r="AP113" s="62"/>
      <c r="AQ113" s="53"/>
      <c r="AR113" s="53"/>
      <c r="AS113" s="58"/>
      <c r="AT113" s="57"/>
    </row>
    <row r="114" spans="2:46" x14ac:dyDescent="0.35">
      <c r="B114" s="10"/>
      <c r="C114" s="2"/>
      <c r="D114" s="53"/>
      <c r="E114" s="53"/>
      <c r="F114" s="54"/>
      <c r="G114" s="53"/>
      <c r="H114" s="53"/>
      <c r="I114" s="54"/>
      <c r="J114" s="53"/>
      <c r="K114" s="53"/>
      <c r="L114" s="59"/>
      <c r="N114" s="10"/>
      <c r="O114" s="2"/>
      <c r="P114" s="53"/>
      <c r="Q114" s="54"/>
      <c r="R114" s="62"/>
      <c r="S114" s="53"/>
      <c r="T114" s="62"/>
      <c r="U114" s="57"/>
      <c r="V114" s="57"/>
      <c r="X114" s="10"/>
      <c r="Y114" s="2"/>
      <c r="Z114" s="53"/>
      <c r="AA114" s="53"/>
      <c r="AB114" s="53"/>
      <c r="AC114" s="53"/>
      <c r="AD114" s="54"/>
      <c r="AE114" s="62"/>
      <c r="AF114" s="53"/>
      <c r="AG114" s="53"/>
      <c r="AH114" s="58"/>
      <c r="AJ114" s="10"/>
      <c r="AK114" s="2"/>
      <c r="AL114" s="53"/>
      <c r="AM114" s="53"/>
      <c r="AN114" s="53"/>
      <c r="AO114" s="54"/>
      <c r="AP114" s="62"/>
      <c r="AQ114" s="53"/>
      <c r="AR114" s="53"/>
      <c r="AS114" s="58"/>
      <c r="AT114" s="57"/>
    </row>
    <row r="115" spans="2:46" x14ac:dyDescent="0.35">
      <c r="B115" s="10"/>
      <c r="C115" s="2"/>
      <c r="D115" s="53"/>
      <c r="E115" s="53"/>
      <c r="F115" s="54"/>
      <c r="G115" s="53"/>
      <c r="H115" s="53"/>
      <c r="I115" s="54"/>
      <c r="J115" s="53"/>
      <c r="K115" s="53"/>
      <c r="L115" s="59"/>
      <c r="N115" s="10"/>
      <c r="O115" s="2"/>
      <c r="P115" s="53"/>
      <c r="Q115" s="54"/>
      <c r="R115" s="62"/>
      <c r="S115" s="53"/>
      <c r="T115" s="62"/>
      <c r="U115" s="57"/>
      <c r="V115" s="57"/>
      <c r="X115" s="10"/>
      <c r="Y115" s="2"/>
      <c r="Z115" s="53"/>
      <c r="AA115" s="53"/>
      <c r="AB115" s="53"/>
      <c r="AC115" s="53"/>
      <c r="AD115" s="54"/>
      <c r="AE115" s="62"/>
      <c r="AF115" s="53"/>
      <c r="AG115" s="53"/>
      <c r="AH115" s="58"/>
      <c r="AJ115" s="10"/>
      <c r="AK115" s="2"/>
      <c r="AL115" s="53"/>
      <c r="AM115" s="53"/>
      <c r="AN115" s="53"/>
      <c r="AO115" s="54"/>
      <c r="AP115" s="62"/>
      <c r="AQ115" s="53"/>
      <c r="AR115" s="53"/>
      <c r="AS115" s="58"/>
      <c r="AT115" s="57"/>
    </row>
    <row r="116" spans="2:46" x14ac:dyDescent="0.35">
      <c r="B116" s="10"/>
      <c r="C116" s="2"/>
      <c r="D116" s="53"/>
      <c r="E116" s="53"/>
      <c r="F116" s="54"/>
      <c r="G116" s="53"/>
      <c r="H116" s="53"/>
      <c r="I116" s="54"/>
      <c r="J116" s="53"/>
      <c r="K116" s="53"/>
      <c r="L116" s="59"/>
      <c r="N116" s="10"/>
      <c r="O116" s="2"/>
      <c r="P116" s="53"/>
      <c r="Q116" s="54"/>
      <c r="R116" s="62"/>
      <c r="S116" s="53"/>
      <c r="T116" s="62"/>
      <c r="U116" s="57"/>
      <c r="V116" s="57"/>
      <c r="X116" s="10"/>
      <c r="Y116" s="2"/>
      <c r="Z116" s="53"/>
      <c r="AA116" s="53"/>
      <c r="AB116" s="53"/>
      <c r="AC116" s="53"/>
      <c r="AD116" s="54"/>
      <c r="AE116" s="62"/>
      <c r="AF116" s="53"/>
      <c r="AG116" s="53"/>
      <c r="AH116" s="58"/>
      <c r="AJ116" s="10"/>
      <c r="AK116" s="2"/>
      <c r="AL116" s="53"/>
      <c r="AM116" s="53"/>
      <c r="AN116" s="53"/>
      <c r="AO116" s="54"/>
      <c r="AP116" s="62"/>
      <c r="AQ116" s="53"/>
      <c r="AR116" s="53"/>
      <c r="AS116" s="58"/>
      <c r="AT116" s="57"/>
    </row>
    <row r="117" spans="2:46" x14ac:dyDescent="0.35">
      <c r="B117" s="10"/>
      <c r="C117" s="2"/>
      <c r="D117" s="53"/>
      <c r="E117" s="53"/>
      <c r="F117" s="54"/>
      <c r="G117" s="53"/>
      <c r="H117" s="53"/>
      <c r="I117" s="54"/>
      <c r="J117" s="53"/>
      <c r="K117" s="53"/>
      <c r="L117" s="59"/>
      <c r="N117" s="10"/>
      <c r="O117" s="2"/>
      <c r="P117" s="53"/>
      <c r="Q117" s="54"/>
      <c r="R117" s="62"/>
      <c r="S117" s="53"/>
      <c r="T117" s="62"/>
      <c r="U117" s="57"/>
      <c r="V117" s="57"/>
      <c r="X117" s="10"/>
      <c r="Y117" s="2"/>
      <c r="Z117" s="53"/>
      <c r="AA117" s="53"/>
      <c r="AB117" s="53"/>
      <c r="AC117" s="53"/>
      <c r="AD117" s="54"/>
      <c r="AE117" s="62"/>
      <c r="AF117" s="53"/>
      <c r="AG117" s="53"/>
      <c r="AH117" s="58"/>
      <c r="AJ117" s="10"/>
      <c r="AK117" s="2"/>
      <c r="AL117" s="53"/>
      <c r="AM117" s="53"/>
      <c r="AN117" s="53"/>
      <c r="AO117" s="54"/>
      <c r="AP117" s="62"/>
      <c r="AQ117" s="53"/>
      <c r="AR117" s="53"/>
      <c r="AS117" s="58"/>
      <c r="AT117" s="57"/>
    </row>
    <row r="118" spans="2:46" x14ac:dyDescent="0.35">
      <c r="B118" s="10"/>
      <c r="C118" s="2"/>
      <c r="D118" s="53"/>
      <c r="E118" s="53"/>
      <c r="F118" s="54"/>
      <c r="G118" s="53"/>
      <c r="H118" s="53"/>
      <c r="I118" s="54"/>
      <c r="J118" s="53"/>
      <c r="K118" s="53"/>
      <c r="L118" s="59"/>
      <c r="N118" s="10"/>
      <c r="O118" s="2"/>
      <c r="P118" s="53"/>
      <c r="Q118" s="54"/>
      <c r="R118" s="62"/>
      <c r="S118" s="53"/>
      <c r="T118" s="62"/>
      <c r="U118" s="57"/>
      <c r="V118" s="57"/>
      <c r="X118" s="10"/>
      <c r="Y118" s="2"/>
      <c r="Z118" s="53"/>
      <c r="AA118" s="53"/>
      <c r="AB118" s="53"/>
      <c r="AC118" s="53"/>
      <c r="AD118" s="54"/>
      <c r="AE118" s="62"/>
      <c r="AF118" s="53"/>
      <c r="AG118" s="53"/>
      <c r="AH118" s="58"/>
      <c r="AJ118" s="10"/>
      <c r="AK118" s="2"/>
      <c r="AL118" s="53"/>
      <c r="AM118" s="53"/>
      <c r="AN118" s="53"/>
      <c r="AO118" s="54"/>
      <c r="AP118" s="62"/>
      <c r="AQ118" s="53"/>
      <c r="AR118" s="53"/>
      <c r="AS118" s="58"/>
      <c r="AT118" s="57"/>
    </row>
    <row r="119" spans="2:46" x14ac:dyDescent="0.35">
      <c r="B119" s="10"/>
      <c r="C119" s="2"/>
      <c r="D119" s="53"/>
      <c r="E119" s="53"/>
      <c r="F119" s="54"/>
      <c r="G119" s="53"/>
      <c r="H119" s="53"/>
      <c r="I119" s="54"/>
      <c r="J119" s="53"/>
      <c r="K119" s="53"/>
      <c r="L119" s="59"/>
      <c r="N119" s="10"/>
      <c r="O119" s="2"/>
      <c r="P119" s="53"/>
      <c r="Q119" s="54"/>
      <c r="R119" s="62"/>
      <c r="S119" s="53"/>
      <c r="T119" s="62"/>
      <c r="U119" s="57"/>
      <c r="V119" s="57"/>
      <c r="X119" s="10"/>
      <c r="Y119" s="2"/>
      <c r="Z119" s="53"/>
      <c r="AA119" s="53"/>
      <c r="AB119" s="53"/>
      <c r="AC119" s="53"/>
      <c r="AD119" s="54"/>
      <c r="AE119" s="62"/>
      <c r="AF119" s="53"/>
      <c r="AG119" s="53"/>
      <c r="AH119" s="58"/>
      <c r="AJ119" s="10"/>
      <c r="AK119" s="2"/>
      <c r="AL119" s="53"/>
      <c r="AM119" s="53"/>
      <c r="AN119" s="53"/>
      <c r="AO119" s="54"/>
      <c r="AP119" s="62"/>
      <c r="AQ119" s="53"/>
      <c r="AR119" s="53"/>
      <c r="AS119" s="58"/>
      <c r="AT119" s="57"/>
    </row>
    <row r="120" spans="2:46" x14ac:dyDescent="0.35">
      <c r="B120" s="10"/>
      <c r="C120" s="2"/>
      <c r="D120" s="53"/>
      <c r="E120" s="53"/>
      <c r="F120" s="54"/>
      <c r="G120" s="53"/>
      <c r="H120" s="53"/>
      <c r="I120" s="54"/>
      <c r="J120" s="53"/>
      <c r="K120" s="53"/>
      <c r="L120" s="59"/>
      <c r="N120" s="10"/>
      <c r="O120" s="2"/>
      <c r="P120" s="53"/>
      <c r="Q120" s="54"/>
      <c r="R120" s="62"/>
      <c r="S120" s="53"/>
      <c r="T120" s="62"/>
      <c r="U120" s="57"/>
      <c r="V120" s="57"/>
      <c r="X120" s="10"/>
      <c r="Y120" s="2"/>
      <c r="Z120" s="53"/>
      <c r="AA120" s="53"/>
      <c r="AB120" s="53"/>
      <c r="AC120" s="53"/>
      <c r="AD120" s="54"/>
      <c r="AE120" s="62"/>
      <c r="AF120" s="53"/>
      <c r="AG120" s="53"/>
      <c r="AH120" s="58"/>
      <c r="AJ120" s="10"/>
      <c r="AK120" s="2"/>
      <c r="AL120" s="53"/>
      <c r="AM120" s="53"/>
      <c r="AN120" s="53"/>
      <c r="AO120" s="54"/>
      <c r="AP120" s="62"/>
      <c r="AQ120" s="53"/>
      <c r="AR120" s="53"/>
      <c r="AS120" s="58"/>
      <c r="AT120" s="57"/>
    </row>
    <row r="121" spans="2:46" x14ac:dyDescent="0.35">
      <c r="B121" s="10"/>
      <c r="C121" s="2"/>
      <c r="D121" s="53"/>
      <c r="E121" s="53"/>
      <c r="F121" s="54"/>
      <c r="G121" s="53"/>
      <c r="H121" s="53"/>
      <c r="I121" s="54"/>
      <c r="J121" s="53"/>
      <c r="K121" s="53"/>
      <c r="L121" s="59"/>
      <c r="N121" s="10"/>
      <c r="O121" s="2"/>
      <c r="P121" s="53"/>
      <c r="Q121" s="54"/>
      <c r="R121" s="62"/>
      <c r="S121" s="53"/>
      <c r="T121" s="62"/>
      <c r="U121" s="57"/>
      <c r="V121" s="57"/>
      <c r="X121" s="10"/>
      <c r="Y121" s="2"/>
      <c r="Z121" s="53"/>
      <c r="AA121" s="53"/>
      <c r="AB121" s="53"/>
      <c r="AC121" s="53"/>
      <c r="AD121" s="54"/>
      <c r="AE121" s="62"/>
      <c r="AF121" s="53"/>
      <c r="AG121" s="53"/>
      <c r="AH121" s="58"/>
      <c r="AJ121" s="10"/>
      <c r="AK121" s="2"/>
      <c r="AL121" s="53"/>
      <c r="AM121" s="53"/>
      <c r="AN121" s="53"/>
      <c r="AO121" s="54"/>
      <c r="AP121" s="62"/>
      <c r="AQ121" s="53"/>
      <c r="AR121" s="53"/>
      <c r="AS121" s="58"/>
      <c r="AT121" s="57"/>
    </row>
    <row r="122" spans="2:46" x14ac:dyDescent="0.35">
      <c r="B122" s="10"/>
      <c r="C122" s="2"/>
      <c r="D122" s="53"/>
      <c r="E122" s="53"/>
      <c r="F122" s="54"/>
      <c r="G122" s="53"/>
      <c r="H122" s="53"/>
      <c r="I122" s="54"/>
      <c r="J122" s="53"/>
      <c r="K122" s="53"/>
      <c r="L122" s="59"/>
      <c r="N122" s="10"/>
      <c r="O122" s="2"/>
      <c r="P122" s="53"/>
      <c r="Q122" s="54"/>
      <c r="R122" s="62"/>
      <c r="S122" s="53"/>
      <c r="T122" s="62"/>
      <c r="U122" s="57"/>
      <c r="V122" s="57"/>
      <c r="X122" s="10"/>
      <c r="Y122" s="2"/>
      <c r="Z122" s="53"/>
      <c r="AA122" s="53"/>
      <c r="AB122" s="53"/>
      <c r="AC122" s="53"/>
      <c r="AD122" s="54"/>
      <c r="AE122" s="62"/>
      <c r="AF122" s="53"/>
      <c r="AG122" s="53"/>
      <c r="AH122" s="58"/>
      <c r="AJ122" s="10"/>
      <c r="AK122" s="2"/>
      <c r="AL122" s="53"/>
      <c r="AM122" s="53"/>
      <c r="AN122" s="53"/>
      <c r="AO122" s="54"/>
      <c r="AP122" s="62"/>
      <c r="AQ122" s="53"/>
      <c r="AR122" s="53"/>
      <c r="AS122" s="58"/>
      <c r="AT122" s="57"/>
    </row>
    <row r="123" spans="2:46" x14ac:dyDescent="0.35">
      <c r="B123" s="10"/>
      <c r="C123" s="2"/>
      <c r="D123" s="53"/>
      <c r="E123" s="53"/>
      <c r="F123" s="54"/>
      <c r="G123" s="53"/>
      <c r="H123" s="53"/>
      <c r="I123" s="54"/>
      <c r="J123" s="53"/>
      <c r="K123" s="53"/>
      <c r="L123" s="59"/>
      <c r="N123" s="10"/>
      <c r="O123" s="2"/>
      <c r="P123" s="53"/>
      <c r="Q123" s="54"/>
      <c r="R123" s="62"/>
      <c r="S123" s="53"/>
      <c r="T123" s="62"/>
      <c r="U123" s="57"/>
      <c r="V123" s="57"/>
      <c r="X123" s="10"/>
      <c r="Y123" s="2"/>
      <c r="Z123" s="53"/>
      <c r="AA123" s="53"/>
      <c r="AB123" s="53"/>
      <c r="AC123" s="53"/>
      <c r="AD123" s="54"/>
      <c r="AE123" s="62"/>
      <c r="AF123" s="53"/>
      <c r="AG123" s="53"/>
      <c r="AH123" s="58"/>
      <c r="AJ123" s="10"/>
      <c r="AK123" s="2"/>
      <c r="AL123" s="53"/>
      <c r="AM123" s="53"/>
      <c r="AN123" s="53"/>
      <c r="AO123" s="54"/>
      <c r="AP123" s="62"/>
      <c r="AQ123" s="53"/>
      <c r="AR123" s="53"/>
      <c r="AS123" s="58"/>
      <c r="AT123" s="57"/>
    </row>
    <row r="124" spans="2:46" x14ac:dyDescent="0.35">
      <c r="B124" s="10"/>
      <c r="C124" s="2"/>
      <c r="D124" s="53"/>
      <c r="E124" s="53"/>
      <c r="F124" s="54"/>
      <c r="G124" s="53"/>
      <c r="H124" s="53"/>
      <c r="I124" s="54"/>
      <c r="J124" s="53"/>
      <c r="K124" s="53"/>
      <c r="L124" s="59"/>
      <c r="N124" s="10"/>
      <c r="O124" s="2"/>
      <c r="P124" s="53"/>
      <c r="Q124" s="54"/>
      <c r="R124" s="62"/>
      <c r="S124" s="53"/>
      <c r="T124" s="62"/>
      <c r="U124" s="57"/>
      <c r="V124" s="57"/>
      <c r="X124" s="10"/>
      <c r="Y124" s="2"/>
      <c r="Z124" s="53"/>
      <c r="AA124" s="53"/>
      <c r="AB124" s="53"/>
      <c r="AC124" s="53"/>
      <c r="AD124" s="54"/>
      <c r="AE124" s="62"/>
      <c r="AF124" s="53"/>
      <c r="AG124" s="53"/>
      <c r="AH124" s="58"/>
      <c r="AJ124" s="10"/>
      <c r="AK124" s="2"/>
      <c r="AL124" s="53"/>
      <c r="AM124" s="53"/>
      <c r="AN124" s="53"/>
      <c r="AO124" s="54"/>
      <c r="AP124" s="62"/>
      <c r="AQ124" s="53"/>
      <c r="AR124" s="53"/>
      <c r="AS124" s="58"/>
      <c r="AT124" s="57"/>
    </row>
    <row r="125" spans="2:46" x14ac:dyDescent="0.35">
      <c r="B125" s="10"/>
      <c r="C125" s="2"/>
      <c r="D125" s="53"/>
      <c r="E125" s="53"/>
      <c r="F125" s="54"/>
      <c r="G125" s="53"/>
      <c r="H125" s="53"/>
      <c r="I125" s="54"/>
      <c r="J125" s="53"/>
      <c r="K125" s="53"/>
      <c r="L125" s="59"/>
      <c r="N125" s="10"/>
      <c r="O125" s="2"/>
      <c r="P125" s="53"/>
      <c r="Q125" s="54"/>
      <c r="R125" s="62"/>
      <c r="S125" s="53"/>
      <c r="T125" s="62"/>
      <c r="U125" s="57"/>
      <c r="V125" s="57"/>
      <c r="X125" s="10"/>
      <c r="Y125" s="2"/>
      <c r="Z125" s="53"/>
      <c r="AA125" s="53"/>
      <c r="AB125" s="53"/>
      <c r="AC125" s="53"/>
      <c r="AD125" s="54"/>
      <c r="AE125" s="62"/>
      <c r="AF125" s="53"/>
      <c r="AG125" s="53"/>
      <c r="AH125" s="58"/>
      <c r="AJ125" s="10"/>
      <c r="AK125" s="2"/>
      <c r="AL125" s="53"/>
      <c r="AM125" s="53"/>
      <c r="AN125" s="53"/>
      <c r="AO125" s="54"/>
      <c r="AP125" s="62"/>
      <c r="AQ125" s="53"/>
      <c r="AR125" s="53"/>
      <c r="AS125" s="58"/>
      <c r="AT125" s="57"/>
    </row>
    <row r="126" spans="2:46" x14ac:dyDescent="0.35">
      <c r="B126" s="10"/>
      <c r="C126" s="2"/>
      <c r="D126" s="53"/>
      <c r="E126" s="53"/>
      <c r="F126" s="54"/>
      <c r="G126" s="53"/>
      <c r="H126" s="53"/>
      <c r="I126" s="54"/>
      <c r="J126" s="53"/>
      <c r="K126" s="53"/>
      <c r="L126" s="59"/>
      <c r="N126" s="10"/>
      <c r="O126" s="2"/>
      <c r="P126" s="53"/>
      <c r="Q126" s="54"/>
      <c r="R126" s="62"/>
      <c r="S126" s="53"/>
      <c r="T126" s="62"/>
      <c r="U126" s="57"/>
      <c r="V126" s="57"/>
      <c r="X126" s="10"/>
      <c r="Y126" s="2"/>
      <c r="Z126" s="53"/>
      <c r="AA126" s="53"/>
      <c r="AB126" s="53"/>
      <c r="AC126" s="53"/>
      <c r="AD126" s="54"/>
      <c r="AE126" s="62"/>
      <c r="AF126" s="53"/>
      <c r="AG126" s="53"/>
      <c r="AH126" s="58"/>
      <c r="AJ126" s="10"/>
      <c r="AK126" s="2"/>
      <c r="AL126" s="53"/>
      <c r="AM126" s="53"/>
      <c r="AN126" s="53"/>
      <c r="AO126" s="54"/>
      <c r="AP126" s="62"/>
      <c r="AQ126" s="53"/>
      <c r="AR126" s="53"/>
      <c r="AS126" s="58"/>
      <c r="AT126" s="57"/>
    </row>
    <row r="127" spans="2:46" x14ac:dyDescent="0.35">
      <c r="B127" s="10"/>
      <c r="C127" s="2"/>
      <c r="D127" s="53"/>
      <c r="E127" s="53"/>
      <c r="F127" s="54"/>
      <c r="G127" s="53"/>
      <c r="H127" s="53"/>
      <c r="I127" s="54"/>
      <c r="J127" s="53"/>
      <c r="K127" s="53"/>
      <c r="L127" s="59"/>
      <c r="N127" s="10"/>
      <c r="O127" s="2"/>
      <c r="P127" s="53"/>
      <c r="Q127" s="54"/>
      <c r="R127" s="62"/>
      <c r="S127" s="53"/>
      <c r="T127" s="62"/>
      <c r="U127" s="57"/>
      <c r="V127" s="57"/>
      <c r="X127" s="10"/>
      <c r="Y127" s="2"/>
      <c r="Z127" s="53"/>
      <c r="AA127" s="53"/>
      <c r="AB127" s="53"/>
      <c r="AC127" s="53"/>
      <c r="AD127" s="54"/>
      <c r="AE127" s="62"/>
      <c r="AF127" s="53"/>
      <c r="AG127" s="53"/>
      <c r="AH127" s="58"/>
      <c r="AJ127" s="10"/>
      <c r="AK127" s="2"/>
      <c r="AL127" s="53"/>
      <c r="AM127" s="53"/>
      <c r="AN127" s="53"/>
      <c r="AO127" s="54"/>
      <c r="AP127" s="62"/>
      <c r="AQ127" s="53"/>
      <c r="AR127" s="53"/>
      <c r="AS127" s="58"/>
      <c r="AT127" s="57"/>
    </row>
    <row r="128" spans="2:46" x14ac:dyDescent="0.35">
      <c r="B128" s="10"/>
      <c r="C128" s="2"/>
      <c r="D128" s="53"/>
      <c r="E128" s="53"/>
      <c r="F128" s="54"/>
      <c r="G128" s="53"/>
      <c r="H128" s="53"/>
      <c r="I128" s="54"/>
      <c r="J128" s="53"/>
      <c r="K128" s="53"/>
      <c r="L128" s="59"/>
      <c r="N128" s="10"/>
      <c r="O128" s="2"/>
      <c r="P128" s="53"/>
      <c r="Q128" s="54"/>
      <c r="R128" s="62"/>
      <c r="S128" s="53"/>
      <c r="T128" s="62"/>
      <c r="U128" s="57"/>
      <c r="V128" s="57"/>
      <c r="X128" s="10"/>
      <c r="Y128" s="2"/>
      <c r="Z128" s="53"/>
      <c r="AA128" s="53"/>
      <c r="AB128" s="53"/>
      <c r="AC128" s="53"/>
      <c r="AD128" s="54"/>
      <c r="AE128" s="62"/>
      <c r="AF128" s="53"/>
      <c r="AG128" s="53"/>
      <c r="AH128" s="58"/>
      <c r="AJ128" s="10"/>
      <c r="AK128" s="2"/>
      <c r="AL128" s="53"/>
      <c r="AM128" s="53"/>
      <c r="AN128" s="53"/>
      <c r="AO128" s="54"/>
      <c r="AP128" s="62"/>
      <c r="AQ128" s="53"/>
      <c r="AR128" s="53"/>
      <c r="AS128" s="58"/>
      <c r="AT128" s="57"/>
    </row>
    <row r="129" spans="2:46" x14ac:dyDescent="0.35">
      <c r="B129" s="10"/>
      <c r="C129" s="2"/>
      <c r="D129" s="53"/>
      <c r="E129" s="53"/>
      <c r="F129" s="54"/>
      <c r="G129" s="53"/>
      <c r="H129" s="53"/>
      <c r="I129" s="54"/>
      <c r="J129" s="53"/>
      <c r="K129" s="53"/>
      <c r="L129" s="59"/>
      <c r="N129" s="10"/>
      <c r="O129" s="2"/>
      <c r="P129" s="53"/>
      <c r="Q129" s="54"/>
      <c r="R129" s="62"/>
      <c r="S129" s="53"/>
      <c r="T129" s="62"/>
      <c r="U129" s="57"/>
      <c r="V129" s="57"/>
      <c r="X129" s="10"/>
      <c r="Y129" s="2"/>
      <c r="Z129" s="53"/>
      <c r="AA129" s="53"/>
      <c r="AB129" s="53"/>
      <c r="AC129" s="53"/>
      <c r="AD129" s="54"/>
      <c r="AE129" s="62"/>
      <c r="AF129" s="53"/>
      <c r="AG129" s="53"/>
      <c r="AH129" s="58"/>
      <c r="AJ129" s="10"/>
      <c r="AK129" s="2"/>
      <c r="AL129" s="53"/>
      <c r="AM129" s="53"/>
      <c r="AN129" s="53"/>
      <c r="AO129" s="54"/>
      <c r="AP129" s="62"/>
      <c r="AQ129" s="53"/>
      <c r="AR129" s="53"/>
      <c r="AS129" s="58"/>
      <c r="AT129" s="57"/>
    </row>
    <row r="130" spans="2:46" x14ac:dyDescent="0.35">
      <c r="B130" s="10"/>
      <c r="C130" s="2"/>
      <c r="D130" s="53"/>
      <c r="E130" s="53"/>
      <c r="F130" s="54"/>
      <c r="G130" s="53"/>
      <c r="H130" s="53"/>
      <c r="I130" s="54"/>
      <c r="J130" s="53"/>
      <c r="K130" s="53"/>
      <c r="L130" s="59"/>
      <c r="N130" s="10"/>
      <c r="O130" s="2"/>
      <c r="P130" s="53"/>
      <c r="Q130" s="54"/>
      <c r="R130" s="62"/>
      <c r="S130" s="53"/>
      <c r="T130" s="62"/>
      <c r="U130" s="57"/>
      <c r="V130" s="57"/>
      <c r="X130" s="10"/>
      <c r="Y130" s="2"/>
      <c r="Z130" s="53"/>
      <c r="AA130" s="53"/>
      <c r="AB130" s="53"/>
      <c r="AC130" s="53"/>
      <c r="AD130" s="54"/>
      <c r="AE130" s="62"/>
      <c r="AF130" s="53"/>
      <c r="AG130" s="53"/>
      <c r="AH130" s="58"/>
      <c r="AJ130" s="10"/>
      <c r="AK130" s="2"/>
      <c r="AL130" s="53"/>
      <c r="AM130" s="53"/>
      <c r="AN130" s="53"/>
      <c r="AO130" s="54"/>
      <c r="AP130" s="62"/>
      <c r="AQ130" s="53"/>
      <c r="AR130" s="53"/>
      <c r="AS130" s="58"/>
      <c r="AT130" s="57"/>
    </row>
    <row r="131" spans="2:46" x14ac:dyDescent="0.35">
      <c r="B131" s="10"/>
      <c r="C131" s="2"/>
      <c r="D131" s="53"/>
      <c r="E131" s="53"/>
      <c r="F131" s="54"/>
      <c r="G131" s="53"/>
      <c r="H131" s="53"/>
      <c r="I131" s="54"/>
      <c r="J131" s="53"/>
      <c r="K131" s="53"/>
      <c r="L131" s="59"/>
      <c r="N131" s="10"/>
      <c r="O131" s="2"/>
      <c r="P131" s="53"/>
      <c r="Q131" s="54"/>
      <c r="R131" s="62"/>
      <c r="S131" s="53"/>
      <c r="T131" s="62"/>
      <c r="U131" s="57"/>
      <c r="V131" s="57"/>
      <c r="X131" s="10"/>
      <c r="Y131" s="2"/>
      <c r="Z131" s="53"/>
      <c r="AA131" s="53"/>
      <c r="AB131" s="53"/>
      <c r="AC131" s="53"/>
      <c r="AD131" s="54"/>
      <c r="AE131" s="62"/>
      <c r="AF131" s="53"/>
      <c r="AG131" s="53"/>
      <c r="AH131" s="58"/>
      <c r="AJ131" s="10"/>
      <c r="AK131" s="2"/>
      <c r="AL131" s="53"/>
      <c r="AM131" s="53"/>
      <c r="AN131" s="53"/>
      <c r="AO131" s="54"/>
      <c r="AP131" s="62"/>
      <c r="AQ131" s="53"/>
      <c r="AR131" s="53"/>
      <c r="AS131" s="58"/>
      <c r="AT131" s="57"/>
    </row>
    <row r="132" spans="2:46" x14ac:dyDescent="0.35">
      <c r="B132" s="10"/>
      <c r="C132" s="2"/>
      <c r="D132" s="53"/>
      <c r="E132" s="53"/>
      <c r="F132" s="54"/>
      <c r="G132" s="53"/>
      <c r="H132" s="53"/>
      <c r="I132" s="54"/>
      <c r="J132" s="53"/>
      <c r="K132" s="53"/>
      <c r="L132" s="59"/>
      <c r="N132" s="10"/>
      <c r="O132" s="2"/>
      <c r="P132" s="53"/>
      <c r="Q132" s="54"/>
      <c r="R132" s="62"/>
      <c r="S132" s="53"/>
      <c r="T132" s="62"/>
      <c r="U132" s="57"/>
      <c r="V132" s="57"/>
      <c r="X132" s="10"/>
      <c r="Y132" s="2"/>
      <c r="Z132" s="53"/>
      <c r="AA132" s="53"/>
      <c r="AB132" s="53"/>
      <c r="AC132" s="53"/>
      <c r="AD132" s="54"/>
      <c r="AE132" s="62"/>
      <c r="AF132" s="53"/>
      <c r="AG132" s="53"/>
      <c r="AH132" s="58"/>
      <c r="AJ132" s="10"/>
      <c r="AK132" s="2"/>
      <c r="AL132" s="53"/>
      <c r="AM132" s="53"/>
      <c r="AN132" s="53"/>
      <c r="AO132" s="54"/>
      <c r="AP132" s="62"/>
      <c r="AQ132" s="53"/>
      <c r="AR132" s="53"/>
      <c r="AS132" s="58"/>
      <c r="AT132" s="57"/>
    </row>
    <row r="133" spans="2:46" x14ac:dyDescent="0.35">
      <c r="B133" s="10"/>
      <c r="C133" s="2"/>
      <c r="D133" s="53"/>
      <c r="E133" s="53"/>
      <c r="F133" s="54"/>
      <c r="G133" s="53"/>
      <c r="H133" s="53"/>
      <c r="I133" s="54"/>
      <c r="J133" s="53"/>
      <c r="K133" s="53"/>
      <c r="L133" s="59"/>
      <c r="N133" s="10"/>
      <c r="O133" s="2"/>
      <c r="P133" s="53"/>
      <c r="Q133" s="54"/>
      <c r="R133" s="62"/>
      <c r="S133" s="53"/>
      <c r="T133" s="62"/>
      <c r="U133" s="57"/>
      <c r="V133" s="57"/>
      <c r="X133" s="10"/>
      <c r="Y133" s="2"/>
      <c r="Z133" s="53"/>
      <c r="AA133" s="53"/>
      <c r="AB133" s="53"/>
      <c r="AC133" s="53"/>
      <c r="AD133" s="54"/>
      <c r="AE133" s="62"/>
      <c r="AF133" s="53"/>
      <c r="AG133" s="53"/>
      <c r="AH133" s="58"/>
      <c r="AJ133" s="10"/>
      <c r="AK133" s="2"/>
      <c r="AL133" s="53"/>
      <c r="AM133" s="53"/>
      <c r="AN133" s="53"/>
      <c r="AO133" s="54"/>
      <c r="AP133" s="62"/>
      <c r="AQ133" s="53"/>
      <c r="AR133" s="53"/>
      <c r="AS133" s="58"/>
      <c r="AT133" s="57"/>
    </row>
    <row r="134" spans="2:46" x14ac:dyDescent="0.35">
      <c r="B134" s="10"/>
      <c r="C134" s="2"/>
      <c r="D134" s="53"/>
      <c r="E134" s="53"/>
      <c r="F134" s="54"/>
      <c r="G134" s="53"/>
      <c r="H134" s="53"/>
      <c r="I134" s="54"/>
      <c r="J134" s="53"/>
      <c r="K134" s="53"/>
      <c r="L134" s="59"/>
      <c r="N134" s="10"/>
      <c r="O134" s="2"/>
      <c r="P134" s="53"/>
      <c r="Q134" s="54"/>
      <c r="R134" s="62"/>
      <c r="S134" s="53"/>
      <c r="T134" s="62"/>
      <c r="U134" s="57"/>
      <c r="V134" s="57"/>
      <c r="X134" s="10"/>
      <c r="Y134" s="2"/>
      <c r="Z134" s="53"/>
      <c r="AA134" s="53"/>
      <c r="AB134" s="53"/>
      <c r="AC134" s="53"/>
      <c r="AD134" s="54"/>
      <c r="AE134" s="62"/>
      <c r="AF134" s="53"/>
      <c r="AG134" s="53"/>
      <c r="AH134" s="58"/>
      <c r="AJ134" s="10"/>
      <c r="AK134" s="2"/>
      <c r="AL134" s="53"/>
      <c r="AM134" s="53"/>
      <c r="AN134" s="53"/>
      <c r="AO134" s="54"/>
      <c r="AP134" s="62"/>
      <c r="AQ134" s="53"/>
      <c r="AR134" s="53"/>
      <c r="AS134" s="58"/>
      <c r="AT134" s="57"/>
    </row>
    <row r="135" spans="2:46" x14ac:dyDescent="0.35">
      <c r="B135" s="10"/>
      <c r="C135" s="2"/>
      <c r="D135" s="53"/>
      <c r="E135" s="53"/>
      <c r="F135" s="54"/>
      <c r="G135" s="53"/>
      <c r="H135" s="53"/>
      <c r="I135" s="54"/>
      <c r="J135" s="53"/>
      <c r="K135" s="53"/>
      <c r="L135" s="59"/>
      <c r="N135" s="10"/>
      <c r="O135" s="2"/>
      <c r="P135" s="53"/>
      <c r="Q135" s="54"/>
      <c r="R135" s="62"/>
      <c r="S135" s="53"/>
      <c r="T135" s="62"/>
      <c r="U135" s="57"/>
      <c r="V135" s="57"/>
      <c r="X135" s="10"/>
      <c r="Y135" s="2"/>
      <c r="Z135" s="53"/>
      <c r="AA135" s="53"/>
      <c r="AB135" s="53"/>
      <c r="AC135" s="53"/>
      <c r="AD135" s="54"/>
      <c r="AE135" s="62"/>
      <c r="AF135" s="53"/>
      <c r="AG135" s="53"/>
      <c r="AH135" s="58"/>
      <c r="AJ135" s="10"/>
      <c r="AK135" s="2"/>
      <c r="AL135" s="53"/>
      <c r="AM135" s="53"/>
      <c r="AN135" s="53"/>
      <c r="AO135" s="54"/>
      <c r="AP135" s="62"/>
      <c r="AQ135" s="53"/>
      <c r="AR135" s="53"/>
      <c r="AS135" s="58"/>
      <c r="AT135" s="57"/>
    </row>
    <row r="136" spans="2:46" x14ac:dyDescent="0.35">
      <c r="B136" s="10"/>
      <c r="C136" s="2"/>
      <c r="D136" s="53"/>
      <c r="E136" s="53"/>
      <c r="F136" s="54"/>
      <c r="G136" s="53"/>
      <c r="H136" s="53"/>
      <c r="I136" s="54"/>
      <c r="J136" s="53"/>
      <c r="K136" s="53"/>
      <c r="L136" s="59"/>
      <c r="N136" s="10"/>
      <c r="O136" s="2"/>
      <c r="P136" s="53"/>
      <c r="Q136" s="54"/>
      <c r="R136" s="62"/>
      <c r="S136" s="53"/>
      <c r="T136" s="62"/>
      <c r="U136" s="57"/>
      <c r="V136" s="57"/>
      <c r="X136" s="10"/>
      <c r="Y136" s="2"/>
      <c r="Z136" s="53"/>
      <c r="AA136" s="53"/>
      <c r="AB136" s="53"/>
      <c r="AC136" s="53"/>
      <c r="AD136" s="54"/>
      <c r="AE136" s="62"/>
      <c r="AF136" s="53"/>
      <c r="AG136" s="53"/>
      <c r="AH136" s="58"/>
      <c r="AJ136" s="10"/>
      <c r="AK136" s="2"/>
      <c r="AL136" s="53"/>
      <c r="AM136" s="53"/>
      <c r="AN136" s="53"/>
      <c r="AO136" s="54"/>
      <c r="AP136" s="62"/>
      <c r="AQ136" s="53"/>
      <c r="AR136" s="53"/>
      <c r="AS136" s="58"/>
      <c r="AT136" s="57"/>
    </row>
    <row r="137" spans="2:46" x14ac:dyDescent="0.35">
      <c r="B137" s="10"/>
      <c r="C137" s="2"/>
      <c r="D137" s="53"/>
      <c r="E137" s="53"/>
      <c r="F137" s="54"/>
      <c r="G137" s="53"/>
      <c r="H137" s="53"/>
      <c r="I137" s="54"/>
      <c r="J137" s="53"/>
      <c r="K137" s="53"/>
      <c r="L137" s="59"/>
      <c r="N137" s="10"/>
      <c r="O137" s="2"/>
      <c r="P137" s="53"/>
      <c r="Q137" s="54"/>
      <c r="R137" s="62"/>
      <c r="S137" s="53"/>
      <c r="T137" s="62"/>
      <c r="U137" s="57"/>
      <c r="V137" s="57"/>
      <c r="X137" s="10"/>
      <c r="Y137" s="2"/>
      <c r="Z137" s="53"/>
      <c r="AA137" s="53"/>
      <c r="AB137" s="53"/>
      <c r="AC137" s="53"/>
      <c r="AD137" s="54"/>
      <c r="AE137" s="62"/>
      <c r="AF137" s="53"/>
      <c r="AG137" s="53"/>
      <c r="AH137" s="58"/>
      <c r="AJ137" s="10"/>
      <c r="AK137" s="2"/>
      <c r="AL137" s="53"/>
      <c r="AM137" s="53"/>
      <c r="AN137" s="53"/>
      <c r="AO137" s="54"/>
      <c r="AP137" s="62"/>
      <c r="AQ137" s="53"/>
      <c r="AR137" s="53"/>
      <c r="AS137" s="58"/>
      <c r="AT137" s="57"/>
    </row>
    <row r="138" spans="2:46" x14ac:dyDescent="0.35">
      <c r="B138" s="10"/>
      <c r="C138" s="2"/>
      <c r="D138" s="53"/>
      <c r="E138" s="53"/>
      <c r="F138" s="54"/>
      <c r="G138" s="53"/>
      <c r="H138" s="53"/>
      <c r="I138" s="54"/>
      <c r="J138" s="53"/>
      <c r="K138" s="53"/>
      <c r="L138" s="59"/>
      <c r="N138" s="10"/>
      <c r="O138" s="2"/>
      <c r="P138" s="53"/>
      <c r="Q138" s="54"/>
      <c r="R138" s="62"/>
      <c r="S138" s="53"/>
      <c r="T138" s="62"/>
      <c r="U138" s="57"/>
      <c r="V138" s="57"/>
      <c r="X138" s="10"/>
      <c r="Y138" s="2"/>
      <c r="Z138" s="53"/>
      <c r="AA138" s="53"/>
      <c r="AB138" s="53"/>
      <c r="AC138" s="53"/>
      <c r="AD138" s="54"/>
      <c r="AE138" s="62"/>
      <c r="AF138" s="53"/>
      <c r="AG138" s="53"/>
      <c r="AH138" s="58"/>
      <c r="AJ138" s="10"/>
      <c r="AK138" s="2"/>
      <c r="AL138" s="53"/>
      <c r="AM138" s="53"/>
      <c r="AN138" s="53"/>
      <c r="AO138" s="54"/>
      <c r="AP138" s="62"/>
      <c r="AQ138" s="53"/>
      <c r="AR138" s="53"/>
      <c r="AS138" s="58"/>
      <c r="AT138" s="57"/>
    </row>
    <row r="139" spans="2:46" x14ac:dyDescent="0.35">
      <c r="B139" s="10"/>
      <c r="C139" s="2"/>
      <c r="D139" s="53"/>
      <c r="E139" s="53"/>
      <c r="F139" s="54"/>
      <c r="G139" s="53"/>
      <c r="H139" s="53"/>
      <c r="I139" s="54"/>
      <c r="J139" s="53"/>
      <c r="K139" s="53"/>
      <c r="L139" s="59"/>
      <c r="N139" s="10"/>
      <c r="O139" s="2"/>
      <c r="P139" s="53"/>
      <c r="Q139" s="54"/>
      <c r="R139" s="62"/>
      <c r="S139" s="53"/>
      <c r="T139" s="62"/>
      <c r="U139" s="57"/>
      <c r="V139" s="57"/>
      <c r="X139" s="10"/>
      <c r="Y139" s="2"/>
      <c r="Z139" s="53"/>
      <c r="AA139" s="53"/>
      <c r="AB139" s="53"/>
      <c r="AC139" s="53"/>
      <c r="AD139" s="54"/>
      <c r="AE139" s="62"/>
      <c r="AF139" s="53"/>
      <c r="AG139" s="53"/>
      <c r="AH139" s="58"/>
      <c r="AJ139" s="10"/>
      <c r="AK139" s="2"/>
      <c r="AL139" s="53"/>
      <c r="AM139" s="53"/>
      <c r="AN139" s="53"/>
      <c r="AO139" s="54"/>
      <c r="AP139" s="62"/>
      <c r="AQ139" s="53"/>
      <c r="AR139" s="53"/>
      <c r="AS139" s="58"/>
      <c r="AT139" s="57"/>
    </row>
    <row r="140" spans="2:46" x14ac:dyDescent="0.35">
      <c r="B140" s="10"/>
      <c r="C140" s="2"/>
      <c r="D140" s="53"/>
      <c r="E140" s="53"/>
      <c r="F140" s="54"/>
      <c r="G140" s="53"/>
      <c r="H140" s="53"/>
      <c r="I140" s="54"/>
      <c r="J140" s="53"/>
      <c r="K140" s="53"/>
      <c r="L140" s="59"/>
      <c r="N140" s="10"/>
      <c r="O140" s="2"/>
      <c r="P140" s="53"/>
      <c r="Q140" s="54"/>
      <c r="R140" s="62"/>
      <c r="S140" s="53"/>
      <c r="T140" s="62"/>
      <c r="U140" s="57"/>
      <c r="V140" s="57"/>
      <c r="X140" s="10"/>
      <c r="Y140" s="2"/>
      <c r="Z140" s="53"/>
      <c r="AA140" s="53"/>
      <c r="AB140" s="53"/>
      <c r="AC140" s="53"/>
      <c r="AD140" s="54"/>
      <c r="AE140" s="62"/>
      <c r="AF140" s="53"/>
      <c r="AG140" s="53"/>
      <c r="AH140" s="58"/>
      <c r="AJ140" s="10"/>
      <c r="AK140" s="2"/>
      <c r="AL140" s="53"/>
      <c r="AM140" s="53"/>
      <c r="AN140" s="53"/>
      <c r="AO140" s="54"/>
      <c r="AP140" s="62"/>
      <c r="AQ140" s="53"/>
      <c r="AR140" s="53"/>
      <c r="AS140" s="58"/>
      <c r="AT140" s="57"/>
    </row>
    <row r="141" spans="2:46" x14ac:dyDescent="0.35">
      <c r="B141" s="10"/>
      <c r="C141" s="2"/>
      <c r="D141" s="53"/>
      <c r="E141" s="53"/>
      <c r="F141" s="54"/>
      <c r="G141" s="53"/>
      <c r="H141" s="53"/>
      <c r="I141" s="54"/>
      <c r="J141" s="53"/>
      <c r="K141" s="53"/>
      <c r="L141" s="59"/>
      <c r="N141" s="10"/>
      <c r="O141" s="2"/>
      <c r="P141" s="53"/>
      <c r="Q141" s="54"/>
      <c r="R141" s="62"/>
      <c r="S141" s="53"/>
      <c r="T141" s="62"/>
      <c r="U141" s="57"/>
      <c r="V141" s="57"/>
      <c r="X141" s="10"/>
      <c r="Y141" s="2"/>
      <c r="Z141" s="53"/>
      <c r="AA141" s="53"/>
      <c r="AB141" s="53"/>
      <c r="AC141" s="53"/>
      <c r="AD141" s="54"/>
      <c r="AE141" s="62"/>
      <c r="AF141" s="53"/>
      <c r="AG141" s="53"/>
      <c r="AH141" s="58"/>
      <c r="AJ141" s="10"/>
      <c r="AK141" s="2"/>
      <c r="AL141" s="53"/>
      <c r="AM141" s="53"/>
      <c r="AN141" s="53"/>
      <c r="AO141" s="54"/>
      <c r="AP141" s="62"/>
      <c r="AQ141" s="53"/>
      <c r="AR141" s="53"/>
      <c r="AS141" s="58"/>
      <c r="AT141" s="57"/>
    </row>
    <row r="142" spans="2:46" x14ac:dyDescent="0.35">
      <c r="B142" s="10"/>
      <c r="C142" s="2"/>
      <c r="D142" s="53"/>
      <c r="E142" s="53"/>
      <c r="F142" s="54"/>
      <c r="G142" s="53"/>
      <c r="H142" s="53"/>
      <c r="I142" s="54"/>
      <c r="J142" s="53"/>
      <c r="K142" s="53"/>
      <c r="L142" s="59"/>
      <c r="N142" s="10"/>
      <c r="O142" s="2"/>
      <c r="P142" s="53"/>
      <c r="Q142" s="54"/>
      <c r="R142" s="62"/>
      <c r="S142" s="53"/>
      <c r="T142" s="62"/>
      <c r="U142" s="57"/>
      <c r="V142" s="57"/>
      <c r="X142" s="10"/>
      <c r="Y142" s="2"/>
      <c r="Z142" s="53"/>
      <c r="AA142" s="53"/>
      <c r="AB142" s="53"/>
      <c r="AC142" s="53"/>
      <c r="AD142" s="54"/>
      <c r="AE142" s="62"/>
      <c r="AF142" s="53"/>
      <c r="AG142" s="53"/>
      <c r="AH142" s="58"/>
      <c r="AJ142" s="10"/>
      <c r="AK142" s="2"/>
      <c r="AL142" s="53"/>
      <c r="AM142" s="53"/>
      <c r="AN142" s="53"/>
      <c r="AO142" s="54"/>
      <c r="AP142" s="62"/>
      <c r="AQ142" s="53"/>
      <c r="AR142" s="53"/>
      <c r="AS142" s="58"/>
      <c r="AT142" s="57"/>
    </row>
    <row r="143" spans="2:46" x14ac:dyDescent="0.35">
      <c r="B143" s="10"/>
      <c r="C143" s="2"/>
      <c r="D143" s="53"/>
      <c r="E143" s="53"/>
      <c r="F143" s="54"/>
      <c r="G143" s="53"/>
      <c r="H143" s="53"/>
      <c r="I143" s="54"/>
      <c r="J143" s="53"/>
      <c r="K143" s="53"/>
      <c r="L143" s="59"/>
      <c r="N143" s="10"/>
      <c r="O143" s="2"/>
      <c r="P143" s="53"/>
      <c r="Q143" s="54"/>
      <c r="R143" s="62"/>
      <c r="S143" s="53"/>
      <c r="T143" s="62"/>
      <c r="U143" s="57"/>
      <c r="V143" s="57"/>
      <c r="X143" s="10"/>
      <c r="Y143" s="2"/>
      <c r="Z143" s="53"/>
      <c r="AA143" s="53"/>
      <c r="AB143" s="53"/>
      <c r="AC143" s="53"/>
      <c r="AD143" s="54"/>
      <c r="AE143" s="62"/>
      <c r="AF143" s="53"/>
      <c r="AG143" s="53"/>
      <c r="AH143" s="58"/>
      <c r="AJ143" s="10"/>
      <c r="AK143" s="2"/>
      <c r="AL143" s="53"/>
      <c r="AM143" s="53"/>
      <c r="AN143" s="53"/>
      <c r="AO143" s="54"/>
      <c r="AP143" s="62"/>
      <c r="AQ143" s="53"/>
      <c r="AR143" s="53"/>
      <c r="AS143" s="58"/>
      <c r="AT143" s="57"/>
    </row>
    <row r="144" spans="2:46" x14ac:dyDescent="0.35">
      <c r="B144" s="10"/>
      <c r="C144" s="2"/>
      <c r="D144" s="53"/>
      <c r="E144" s="53"/>
      <c r="F144" s="54"/>
      <c r="G144" s="53"/>
      <c r="H144" s="53"/>
      <c r="I144" s="54"/>
      <c r="J144" s="53"/>
      <c r="K144" s="53"/>
      <c r="L144" s="59"/>
      <c r="N144" s="10"/>
      <c r="O144" s="2"/>
      <c r="P144" s="53"/>
      <c r="Q144" s="54"/>
      <c r="R144" s="62"/>
      <c r="S144" s="53"/>
      <c r="T144" s="62"/>
      <c r="U144" s="57"/>
      <c r="V144" s="57"/>
      <c r="X144" s="10"/>
      <c r="Y144" s="2"/>
      <c r="Z144" s="53"/>
      <c r="AA144" s="53"/>
      <c r="AB144" s="53"/>
      <c r="AC144" s="53"/>
      <c r="AD144" s="54"/>
      <c r="AE144" s="62"/>
      <c r="AF144" s="53"/>
      <c r="AG144" s="53"/>
      <c r="AH144" s="58"/>
      <c r="AJ144" s="10"/>
      <c r="AK144" s="2"/>
      <c r="AL144" s="53"/>
      <c r="AM144" s="53"/>
      <c r="AN144" s="53"/>
      <c r="AO144" s="54"/>
      <c r="AP144" s="62"/>
      <c r="AQ144" s="53"/>
      <c r="AR144" s="53"/>
      <c r="AS144" s="58"/>
      <c r="AT144" s="57"/>
    </row>
    <row r="145" spans="2:46" x14ac:dyDescent="0.35">
      <c r="B145" s="10"/>
      <c r="C145" s="2"/>
      <c r="D145" s="53"/>
      <c r="E145" s="53"/>
      <c r="F145" s="54"/>
      <c r="G145" s="53"/>
      <c r="H145" s="53"/>
      <c r="I145" s="54"/>
      <c r="J145" s="53"/>
      <c r="K145" s="53"/>
      <c r="L145" s="59"/>
      <c r="N145" s="10"/>
      <c r="O145" s="2"/>
      <c r="P145" s="53"/>
      <c r="Q145" s="54"/>
      <c r="R145" s="62"/>
      <c r="S145" s="53"/>
      <c r="T145" s="62"/>
      <c r="U145" s="57"/>
      <c r="V145" s="57"/>
      <c r="X145" s="10"/>
      <c r="Y145" s="2"/>
      <c r="Z145" s="53"/>
      <c r="AA145" s="53"/>
      <c r="AB145" s="53"/>
      <c r="AC145" s="53"/>
      <c r="AD145" s="54"/>
      <c r="AE145" s="62"/>
      <c r="AF145" s="53"/>
      <c r="AG145" s="53"/>
      <c r="AH145" s="58"/>
      <c r="AJ145" s="10"/>
      <c r="AK145" s="2"/>
      <c r="AL145" s="53"/>
      <c r="AM145" s="53"/>
      <c r="AN145" s="53"/>
      <c r="AO145" s="54"/>
      <c r="AP145" s="62"/>
      <c r="AQ145" s="53"/>
      <c r="AR145" s="53"/>
      <c r="AS145" s="58"/>
      <c r="AT145" s="57"/>
    </row>
    <row r="146" spans="2:46" x14ac:dyDescent="0.35">
      <c r="B146" s="10"/>
      <c r="C146" s="2"/>
      <c r="D146" s="53"/>
      <c r="E146" s="53"/>
      <c r="F146" s="54"/>
      <c r="G146" s="53"/>
      <c r="H146" s="53"/>
      <c r="I146" s="54"/>
      <c r="J146" s="53"/>
      <c r="K146" s="53"/>
      <c r="L146" s="59"/>
      <c r="N146" s="10"/>
      <c r="O146" s="2"/>
      <c r="P146" s="53"/>
      <c r="Q146" s="54"/>
      <c r="R146" s="62"/>
      <c r="S146" s="53"/>
      <c r="T146" s="62"/>
      <c r="U146" s="57"/>
      <c r="V146" s="57"/>
      <c r="X146" s="10"/>
      <c r="Y146" s="2"/>
      <c r="Z146" s="53"/>
      <c r="AA146" s="53"/>
      <c r="AB146" s="53"/>
      <c r="AC146" s="53"/>
      <c r="AD146" s="54"/>
      <c r="AE146" s="62"/>
      <c r="AF146" s="53"/>
      <c r="AG146" s="53"/>
      <c r="AH146" s="58"/>
      <c r="AJ146" s="10"/>
      <c r="AK146" s="2"/>
      <c r="AL146" s="53"/>
      <c r="AM146" s="53"/>
      <c r="AN146" s="53"/>
      <c r="AO146" s="54"/>
      <c r="AP146" s="62"/>
      <c r="AQ146" s="53"/>
      <c r="AR146" s="53"/>
      <c r="AS146" s="58"/>
      <c r="AT146" s="57"/>
    </row>
    <row r="147" spans="2:46" x14ac:dyDescent="0.35">
      <c r="B147" s="10"/>
      <c r="C147" s="2"/>
      <c r="D147" s="53"/>
      <c r="E147" s="53"/>
      <c r="F147" s="54"/>
      <c r="G147" s="53"/>
      <c r="H147" s="53"/>
      <c r="I147" s="54"/>
      <c r="J147" s="53"/>
      <c r="K147" s="53"/>
      <c r="L147" s="59"/>
      <c r="N147" s="10"/>
      <c r="O147" s="2"/>
      <c r="P147" s="53"/>
      <c r="Q147" s="54"/>
      <c r="R147" s="62"/>
      <c r="S147" s="53"/>
      <c r="T147" s="62"/>
      <c r="U147" s="57"/>
      <c r="V147" s="57"/>
      <c r="X147" s="10"/>
      <c r="Y147" s="2"/>
      <c r="Z147" s="53"/>
      <c r="AA147" s="53"/>
      <c r="AB147" s="53"/>
      <c r="AC147" s="53"/>
      <c r="AD147" s="54"/>
      <c r="AE147" s="62"/>
      <c r="AF147" s="53"/>
      <c r="AG147" s="53"/>
      <c r="AH147" s="58"/>
      <c r="AJ147" s="10"/>
      <c r="AK147" s="2"/>
      <c r="AL147" s="53"/>
      <c r="AM147" s="53"/>
      <c r="AN147" s="53"/>
      <c r="AO147" s="54"/>
      <c r="AP147" s="62"/>
      <c r="AQ147" s="53"/>
      <c r="AR147" s="53"/>
      <c r="AS147" s="58"/>
      <c r="AT147" s="57"/>
    </row>
    <row r="148" spans="2:46" x14ac:dyDescent="0.35">
      <c r="B148" s="10"/>
      <c r="C148" s="2"/>
      <c r="D148" s="53"/>
      <c r="E148" s="53"/>
      <c r="F148" s="54"/>
      <c r="G148" s="53"/>
      <c r="H148" s="53"/>
      <c r="I148" s="54"/>
      <c r="J148" s="53"/>
      <c r="K148" s="53"/>
      <c r="L148" s="59"/>
      <c r="N148" s="10"/>
      <c r="O148" s="2"/>
      <c r="P148" s="53"/>
      <c r="Q148" s="54"/>
      <c r="R148" s="62"/>
      <c r="S148" s="53"/>
      <c r="T148" s="62"/>
      <c r="U148" s="57"/>
      <c r="V148" s="57"/>
      <c r="X148" s="10"/>
      <c r="Y148" s="2"/>
      <c r="Z148" s="53"/>
      <c r="AA148" s="53"/>
      <c r="AB148" s="53"/>
      <c r="AC148" s="53"/>
      <c r="AD148" s="54"/>
      <c r="AE148" s="62"/>
      <c r="AF148" s="53"/>
      <c r="AG148" s="53"/>
      <c r="AH148" s="58"/>
      <c r="AJ148" s="10"/>
      <c r="AK148" s="2"/>
      <c r="AL148" s="53"/>
      <c r="AM148" s="53"/>
      <c r="AN148" s="53"/>
      <c r="AO148" s="54"/>
      <c r="AP148" s="62"/>
      <c r="AQ148" s="53"/>
      <c r="AR148" s="53"/>
      <c r="AS148" s="58"/>
      <c r="AT148" s="57"/>
    </row>
    <row r="149" spans="2:46" x14ac:dyDescent="0.35">
      <c r="B149" s="10"/>
      <c r="C149" s="2"/>
      <c r="D149" s="53"/>
      <c r="E149" s="53"/>
      <c r="F149" s="54"/>
      <c r="G149" s="53"/>
      <c r="H149" s="53"/>
      <c r="I149" s="54"/>
      <c r="J149" s="53"/>
      <c r="K149" s="53"/>
      <c r="L149" s="59"/>
      <c r="N149" s="10"/>
      <c r="O149" s="2"/>
      <c r="P149" s="53"/>
      <c r="Q149" s="54"/>
      <c r="R149" s="62"/>
      <c r="S149" s="53"/>
      <c r="T149" s="62"/>
      <c r="U149" s="57"/>
      <c r="V149" s="57"/>
      <c r="X149" s="10"/>
      <c r="Y149" s="2"/>
      <c r="Z149" s="53"/>
      <c r="AA149" s="53"/>
      <c r="AB149" s="53"/>
      <c r="AC149" s="53"/>
      <c r="AD149" s="54"/>
      <c r="AE149" s="62"/>
      <c r="AF149" s="53"/>
      <c r="AG149" s="53"/>
      <c r="AH149" s="58"/>
      <c r="AJ149" s="10"/>
      <c r="AK149" s="2"/>
      <c r="AL149" s="53"/>
      <c r="AM149" s="53"/>
      <c r="AN149" s="53"/>
      <c r="AO149" s="54"/>
      <c r="AP149" s="62"/>
      <c r="AQ149" s="53"/>
      <c r="AR149" s="53"/>
      <c r="AS149" s="58"/>
      <c r="AT149" s="57"/>
    </row>
    <row r="150" spans="2:46" x14ac:dyDescent="0.35">
      <c r="B150" s="10"/>
      <c r="C150" s="2"/>
      <c r="D150" s="53"/>
      <c r="E150" s="53"/>
      <c r="F150" s="54"/>
      <c r="G150" s="53"/>
      <c r="H150" s="53"/>
      <c r="I150" s="54"/>
      <c r="J150" s="53"/>
      <c r="K150" s="53"/>
      <c r="L150" s="59"/>
      <c r="N150" s="10"/>
      <c r="O150" s="2"/>
      <c r="P150" s="53"/>
      <c r="Q150" s="54"/>
      <c r="R150" s="62"/>
      <c r="S150" s="53"/>
      <c r="T150" s="62"/>
      <c r="U150" s="57"/>
      <c r="V150" s="57"/>
      <c r="X150" s="10"/>
      <c r="Y150" s="2"/>
      <c r="Z150" s="53"/>
      <c r="AA150" s="53"/>
      <c r="AB150" s="53"/>
      <c r="AC150" s="53"/>
      <c r="AD150" s="54"/>
      <c r="AE150" s="62"/>
      <c r="AF150" s="53"/>
      <c r="AG150" s="53"/>
      <c r="AH150" s="58"/>
      <c r="AJ150" s="10"/>
      <c r="AK150" s="2"/>
      <c r="AL150" s="53"/>
      <c r="AM150" s="53"/>
      <c r="AN150" s="53"/>
      <c r="AO150" s="54"/>
      <c r="AP150" s="62"/>
      <c r="AQ150" s="53"/>
      <c r="AR150" s="53"/>
      <c r="AS150" s="58"/>
      <c r="AT150" s="57"/>
    </row>
    <row r="151" spans="2:46" x14ac:dyDescent="0.35">
      <c r="B151" s="10"/>
      <c r="C151" s="2"/>
      <c r="D151" s="53"/>
      <c r="E151" s="53"/>
      <c r="F151" s="54"/>
      <c r="G151" s="53"/>
      <c r="H151" s="53"/>
      <c r="I151" s="54"/>
      <c r="J151" s="53"/>
      <c r="K151" s="53"/>
      <c r="L151" s="59"/>
      <c r="N151" s="10"/>
      <c r="O151" s="2"/>
      <c r="P151" s="53"/>
      <c r="Q151" s="54"/>
      <c r="R151" s="62"/>
      <c r="S151" s="53"/>
      <c r="T151" s="62"/>
      <c r="U151" s="57"/>
      <c r="V151" s="57"/>
      <c r="X151" s="10"/>
      <c r="Y151" s="2"/>
      <c r="Z151" s="53"/>
      <c r="AA151" s="53"/>
      <c r="AB151" s="53"/>
      <c r="AC151" s="53"/>
      <c r="AD151" s="54"/>
      <c r="AE151" s="62"/>
      <c r="AF151" s="53"/>
      <c r="AG151" s="53"/>
      <c r="AH151" s="58"/>
      <c r="AJ151" s="10"/>
      <c r="AK151" s="2"/>
      <c r="AL151" s="53"/>
      <c r="AM151" s="53"/>
      <c r="AN151" s="53"/>
      <c r="AO151" s="54"/>
      <c r="AP151" s="62"/>
      <c r="AQ151" s="53"/>
      <c r="AR151" s="53"/>
      <c r="AS151" s="58"/>
      <c r="AT151" s="57"/>
    </row>
    <row r="152" spans="2:46" x14ac:dyDescent="0.35">
      <c r="B152" s="10"/>
      <c r="C152" s="2"/>
      <c r="D152" s="53"/>
      <c r="E152" s="53"/>
      <c r="F152" s="54"/>
      <c r="G152" s="53"/>
      <c r="H152" s="53"/>
      <c r="I152" s="54"/>
      <c r="J152" s="53"/>
      <c r="K152" s="53"/>
      <c r="L152" s="59"/>
      <c r="N152" s="10"/>
      <c r="O152" s="2"/>
      <c r="P152" s="53"/>
      <c r="Q152" s="54"/>
      <c r="R152" s="62"/>
      <c r="S152" s="53"/>
      <c r="T152" s="62"/>
      <c r="U152" s="57"/>
      <c r="V152" s="57"/>
      <c r="X152" s="10"/>
      <c r="Y152" s="2"/>
      <c r="Z152" s="53"/>
      <c r="AA152" s="53"/>
      <c r="AB152" s="53"/>
      <c r="AC152" s="53"/>
      <c r="AD152" s="54"/>
      <c r="AE152" s="62"/>
      <c r="AF152" s="53"/>
      <c r="AG152" s="53"/>
      <c r="AH152" s="58"/>
      <c r="AJ152" s="10"/>
      <c r="AK152" s="2"/>
      <c r="AL152" s="53"/>
      <c r="AM152" s="53"/>
      <c r="AN152" s="53"/>
      <c r="AO152" s="54"/>
      <c r="AP152" s="62"/>
      <c r="AQ152" s="53"/>
      <c r="AR152" s="53"/>
      <c r="AS152" s="58"/>
      <c r="AT152" s="57"/>
    </row>
    <row r="153" spans="2:46" x14ac:dyDescent="0.35">
      <c r="B153" s="10"/>
      <c r="C153" s="2"/>
      <c r="D153" s="53"/>
      <c r="E153" s="53"/>
      <c r="F153" s="54"/>
      <c r="G153" s="53"/>
      <c r="H153" s="53"/>
      <c r="I153" s="54"/>
      <c r="J153" s="53"/>
      <c r="K153" s="53"/>
      <c r="L153" s="59"/>
      <c r="N153" s="10"/>
      <c r="O153" s="2"/>
      <c r="P153" s="53"/>
      <c r="Q153" s="54"/>
      <c r="R153" s="62"/>
      <c r="S153" s="53"/>
      <c r="T153" s="62"/>
      <c r="U153" s="57"/>
      <c r="V153" s="57"/>
      <c r="X153" s="10"/>
      <c r="Y153" s="2"/>
      <c r="Z153" s="53"/>
      <c r="AA153" s="53"/>
      <c r="AB153" s="53"/>
      <c r="AC153" s="53"/>
      <c r="AD153" s="54"/>
      <c r="AE153" s="62"/>
      <c r="AF153" s="53"/>
      <c r="AG153" s="53"/>
      <c r="AH153" s="58"/>
      <c r="AJ153" s="10"/>
      <c r="AK153" s="2"/>
      <c r="AL153" s="53"/>
      <c r="AM153" s="53"/>
      <c r="AN153" s="53"/>
      <c r="AO153" s="54"/>
      <c r="AP153" s="62"/>
      <c r="AQ153" s="53"/>
      <c r="AR153" s="53"/>
      <c r="AS153" s="58"/>
      <c r="AT153" s="57"/>
    </row>
    <row r="154" spans="2:46" x14ac:dyDescent="0.35">
      <c r="B154" s="10"/>
      <c r="C154" s="2"/>
      <c r="D154" s="53"/>
      <c r="E154" s="53"/>
      <c r="F154" s="54"/>
      <c r="G154" s="53"/>
      <c r="H154" s="53"/>
      <c r="I154" s="54"/>
      <c r="J154" s="53"/>
      <c r="K154" s="53"/>
      <c r="L154" s="59"/>
      <c r="N154" s="10"/>
      <c r="O154" s="2"/>
      <c r="P154" s="53"/>
      <c r="Q154" s="54"/>
      <c r="R154" s="62"/>
      <c r="S154" s="53"/>
      <c r="T154" s="62"/>
      <c r="U154" s="57"/>
      <c r="V154" s="57"/>
      <c r="X154" s="10"/>
      <c r="Y154" s="2"/>
      <c r="Z154" s="53"/>
      <c r="AA154" s="53"/>
      <c r="AB154" s="53"/>
      <c r="AC154" s="53"/>
      <c r="AD154" s="54"/>
      <c r="AE154" s="62"/>
      <c r="AF154" s="53"/>
      <c r="AG154" s="53"/>
      <c r="AH154" s="58"/>
      <c r="AJ154" s="10"/>
      <c r="AK154" s="2"/>
      <c r="AL154" s="53"/>
      <c r="AM154" s="53"/>
      <c r="AN154" s="53"/>
      <c r="AO154" s="54"/>
      <c r="AP154" s="62"/>
      <c r="AQ154" s="53"/>
      <c r="AR154" s="53"/>
      <c r="AS154" s="58"/>
      <c r="AT154" s="57"/>
    </row>
    <row r="155" spans="2:46" x14ac:dyDescent="0.35">
      <c r="B155" s="10"/>
      <c r="C155" s="2"/>
      <c r="D155" s="53"/>
      <c r="E155" s="53"/>
      <c r="F155" s="54"/>
      <c r="G155" s="53"/>
      <c r="H155" s="53"/>
      <c r="I155" s="54"/>
      <c r="J155" s="53"/>
      <c r="K155" s="53"/>
      <c r="L155" s="59"/>
      <c r="N155" s="10"/>
      <c r="O155" s="2"/>
      <c r="P155" s="53"/>
      <c r="Q155" s="54"/>
      <c r="R155" s="62"/>
      <c r="S155" s="53"/>
      <c r="T155" s="62"/>
      <c r="U155" s="57"/>
      <c r="V155" s="57"/>
      <c r="X155" s="10"/>
      <c r="Y155" s="2"/>
      <c r="Z155" s="53"/>
      <c r="AA155" s="53"/>
      <c r="AB155" s="53"/>
      <c r="AC155" s="53"/>
      <c r="AD155" s="54"/>
      <c r="AE155" s="62"/>
      <c r="AF155" s="53"/>
      <c r="AG155" s="53"/>
      <c r="AH155" s="58"/>
      <c r="AJ155" s="10"/>
      <c r="AK155" s="2"/>
      <c r="AL155" s="53"/>
      <c r="AM155" s="53"/>
      <c r="AN155" s="53"/>
      <c r="AO155" s="54"/>
      <c r="AP155" s="62"/>
      <c r="AQ155" s="53"/>
      <c r="AR155" s="53"/>
      <c r="AS155" s="58"/>
      <c r="AT155" s="57"/>
    </row>
    <row r="156" spans="2:46" x14ac:dyDescent="0.35">
      <c r="B156" s="10"/>
      <c r="C156" s="2"/>
      <c r="D156" s="53"/>
      <c r="E156" s="53"/>
      <c r="F156" s="54"/>
      <c r="G156" s="53"/>
      <c r="H156" s="53"/>
      <c r="I156" s="54"/>
      <c r="J156" s="53"/>
      <c r="K156" s="53"/>
      <c r="L156" s="59"/>
      <c r="N156" s="10"/>
      <c r="O156" s="2"/>
      <c r="P156" s="53"/>
      <c r="Q156" s="54"/>
      <c r="R156" s="62"/>
      <c r="S156" s="53"/>
      <c r="T156" s="62"/>
      <c r="U156" s="57"/>
      <c r="V156" s="57"/>
      <c r="X156" s="10"/>
      <c r="Y156" s="2"/>
      <c r="Z156" s="53"/>
      <c r="AA156" s="53"/>
      <c r="AB156" s="53"/>
      <c r="AC156" s="53"/>
      <c r="AD156" s="54"/>
      <c r="AE156" s="62"/>
      <c r="AF156" s="53"/>
      <c r="AG156" s="53"/>
      <c r="AH156" s="58"/>
      <c r="AJ156" s="10"/>
      <c r="AK156" s="2"/>
      <c r="AL156" s="53"/>
      <c r="AM156" s="53"/>
      <c r="AN156" s="53"/>
      <c r="AO156" s="54"/>
      <c r="AP156" s="62"/>
      <c r="AQ156" s="53"/>
      <c r="AR156" s="53"/>
      <c r="AS156" s="58"/>
      <c r="AT156" s="57"/>
    </row>
    <row r="157" spans="2:46" x14ac:dyDescent="0.35">
      <c r="B157" s="10"/>
      <c r="C157" s="2"/>
      <c r="D157" s="53"/>
      <c r="E157" s="53"/>
      <c r="F157" s="54"/>
      <c r="G157" s="53"/>
      <c r="H157" s="53"/>
      <c r="I157" s="54"/>
      <c r="J157" s="53"/>
      <c r="K157" s="53"/>
      <c r="L157" s="59"/>
      <c r="N157" s="10"/>
      <c r="O157" s="2"/>
      <c r="P157" s="53"/>
      <c r="Q157" s="54"/>
      <c r="R157" s="62"/>
      <c r="S157" s="53"/>
      <c r="T157" s="62"/>
      <c r="U157" s="57"/>
      <c r="V157" s="57"/>
      <c r="X157" s="10"/>
      <c r="Y157" s="2"/>
      <c r="Z157" s="53"/>
      <c r="AA157" s="53"/>
      <c r="AB157" s="53"/>
      <c r="AC157" s="53"/>
      <c r="AD157" s="54"/>
      <c r="AE157" s="62"/>
      <c r="AF157" s="53"/>
      <c r="AG157" s="53"/>
      <c r="AH157" s="58"/>
      <c r="AJ157" s="10"/>
      <c r="AK157" s="2"/>
      <c r="AL157" s="53"/>
      <c r="AM157" s="53"/>
      <c r="AN157" s="53"/>
      <c r="AO157" s="54"/>
      <c r="AP157" s="62"/>
      <c r="AQ157" s="53"/>
      <c r="AR157" s="53"/>
      <c r="AS157" s="58"/>
      <c r="AT157" s="57"/>
    </row>
    <row r="158" spans="2:46" x14ac:dyDescent="0.35">
      <c r="B158" s="10"/>
      <c r="C158" s="2"/>
      <c r="D158" s="53"/>
      <c r="E158" s="53"/>
      <c r="F158" s="54"/>
      <c r="G158" s="53"/>
      <c r="H158" s="53"/>
      <c r="I158" s="54"/>
      <c r="J158" s="53"/>
      <c r="K158" s="53"/>
      <c r="L158" s="59"/>
      <c r="N158" s="10"/>
      <c r="O158" s="2"/>
      <c r="P158" s="53"/>
      <c r="Q158" s="54"/>
      <c r="R158" s="62"/>
      <c r="S158" s="53"/>
      <c r="T158" s="62"/>
      <c r="U158" s="57"/>
      <c r="V158" s="57"/>
      <c r="X158" s="10"/>
      <c r="Y158" s="2"/>
      <c r="Z158" s="53"/>
      <c r="AA158" s="53"/>
      <c r="AB158" s="53"/>
      <c r="AC158" s="53"/>
      <c r="AD158" s="54"/>
      <c r="AE158" s="62"/>
      <c r="AF158" s="53"/>
      <c r="AG158" s="53"/>
      <c r="AH158" s="58"/>
      <c r="AJ158" s="10"/>
      <c r="AK158" s="2"/>
      <c r="AL158" s="53"/>
      <c r="AM158" s="53"/>
      <c r="AN158" s="53"/>
      <c r="AO158" s="54"/>
      <c r="AP158" s="62"/>
      <c r="AQ158" s="53"/>
      <c r="AR158" s="53"/>
      <c r="AS158" s="58"/>
      <c r="AT158" s="57"/>
    </row>
    <row r="159" spans="2:46" x14ac:dyDescent="0.35">
      <c r="B159" s="10"/>
      <c r="C159" s="2"/>
      <c r="D159" s="53"/>
      <c r="E159" s="53"/>
      <c r="F159" s="54"/>
      <c r="G159" s="53"/>
      <c r="H159" s="53"/>
      <c r="I159" s="54"/>
      <c r="J159" s="53"/>
      <c r="K159" s="53"/>
      <c r="L159" s="59"/>
      <c r="N159" s="10"/>
      <c r="O159" s="2"/>
      <c r="P159" s="53"/>
      <c r="Q159" s="54"/>
      <c r="R159" s="62"/>
      <c r="S159" s="53"/>
      <c r="T159" s="62"/>
      <c r="U159" s="57"/>
      <c r="V159" s="57"/>
      <c r="X159" s="10"/>
      <c r="Y159" s="2"/>
      <c r="Z159" s="53"/>
      <c r="AA159" s="53"/>
      <c r="AB159" s="53"/>
      <c r="AC159" s="53"/>
      <c r="AD159" s="54"/>
      <c r="AE159" s="62"/>
      <c r="AF159" s="53"/>
      <c r="AG159" s="53"/>
      <c r="AH159" s="58"/>
      <c r="AJ159" s="10"/>
      <c r="AK159" s="2"/>
      <c r="AL159" s="53"/>
      <c r="AM159" s="53"/>
      <c r="AN159" s="53"/>
      <c r="AO159" s="54"/>
      <c r="AP159" s="62"/>
      <c r="AQ159" s="53"/>
      <c r="AR159" s="53"/>
      <c r="AS159" s="58"/>
      <c r="AT159" s="57"/>
    </row>
    <row r="160" spans="2:46" x14ac:dyDescent="0.35">
      <c r="B160" s="10"/>
      <c r="C160" s="2"/>
      <c r="D160" s="53"/>
      <c r="E160" s="53"/>
      <c r="F160" s="54"/>
      <c r="G160" s="53"/>
      <c r="H160" s="53"/>
      <c r="I160" s="54"/>
      <c r="J160" s="53"/>
      <c r="K160" s="53"/>
      <c r="L160" s="59"/>
      <c r="N160" s="10"/>
      <c r="O160" s="2"/>
      <c r="P160" s="53"/>
      <c r="Q160" s="54"/>
      <c r="R160" s="62"/>
      <c r="S160" s="53"/>
      <c r="T160" s="62"/>
      <c r="U160" s="57"/>
      <c r="V160" s="57"/>
      <c r="X160" s="10"/>
      <c r="Y160" s="2"/>
      <c r="Z160" s="53"/>
      <c r="AA160" s="53"/>
      <c r="AB160" s="53"/>
      <c r="AC160" s="53"/>
      <c r="AD160" s="54"/>
      <c r="AE160" s="62"/>
      <c r="AF160" s="53"/>
      <c r="AG160" s="53"/>
      <c r="AH160" s="58"/>
      <c r="AJ160" s="10"/>
      <c r="AK160" s="2"/>
      <c r="AL160" s="53"/>
      <c r="AM160" s="53"/>
      <c r="AN160" s="53"/>
      <c r="AO160" s="54"/>
      <c r="AP160" s="62"/>
      <c r="AQ160" s="53"/>
      <c r="AR160" s="53"/>
      <c r="AS160" s="58"/>
      <c r="AT160" s="57"/>
    </row>
    <row r="161" spans="2:46" x14ac:dyDescent="0.35">
      <c r="B161" s="10"/>
      <c r="C161" s="2"/>
      <c r="D161" s="53"/>
      <c r="E161" s="53"/>
      <c r="F161" s="54"/>
      <c r="G161" s="53"/>
      <c r="H161" s="53"/>
      <c r="I161" s="54"/>
      <c r="J161" s="53"/>
      <c r="K161" s="53"/>
      <c r="L161" s="59"/>
      <c r="N161" s="10"/>
      <c r="O161" s="2"/>
      <c r="P161" s="53"/>
      <c r="Q161" s="54"/>
      <c r="R161" s="62"/>
      <c r="S161" s="53"/>
      <c r="T161" s="62"/>
      <c r="U161" s="57"/>
      <c r="V161" s="57"/>
      <c r="X161" s="10"/>
      <c r="Y161" s="2"/>
      <c r="Z161" s="53"/>
      <c r="AA161" s="53"/>
      <c r="AB161" s="53"/>
      <c r="AC161" s="53"/>
      <c r="AD161" s="54"/>
      <c r="AE161" s="62"/>
      <c r="AF161" s="53"/>
      <c r="AG161" s="53"/>
      <c r="AH161" s="58"/>
      <c r="AJ161" s="10"/>
      <c r="AK161" s="2"/>
      <c r="AL161" s="53"/>
      <c r="AM161" s="53"/>
      <c r="AN161" s="53"/>
      <c r="AO161" s="54"/>
      <c r="AP161" s="62"/>
      <c r="AQ161" s="53"/>
      <c r="AR161" s="53"/>
      <c r="AS161" s="58"/>
      <c r="AT161" s="57"/>
    </row>
    <row r="162" spans="2:46" x14ac:dyDescent="0.35">
      <c r="B162" s="10"/>
      <c r="C162" s="2"/>
      <c r="D162" s="53"/>
      <c r="E162" s="53"/>
      <c r="F162" s="55"/>
      <c r="G162" s="56"/>
      <c r="H162" s="56"/>
      <c r="I162" s="55"/>
      <c r="J162" s="56"/>
      <c r="K162" s="56"/>
      <c r="L162" s="59"/>
      <c r="N162" s="10"/>
      <c r="O162" s="2"/>
      <c r="P162" s="53"/>
      <c r="Q162" s="55"/>
      <c r="R162" s="63"/>
      <c r="S162" s="53"/>
      <c r="T162" s="63"/>
      <c r="U162" s="57"/>
      <c r="V162" s="57"/>
      <c r="X162" s="10"/>
      <c r="Y162" s="2"/>
      <c r="Z162" s="53"/>
      <c r="AA162" s="53"/>
      <c r="AB162" s="53"/>
      <c r="AC162" s="53"/>
      <c r="AD162" s="55"/>
      <c r="AE162" s="63"/>
      <c r="AF162" s="53"/>
      <c r="AG162" s="53"/>
      <c r="AH162" s="64"/>
      <c r="AJ162" s="10"/>
      <c r="AK162" s="2"/>
      <c r="AL162" s="53"/>
      <c r="AM162" s="53"/>
      <c r="AN162" s="53"/>
      <c r="AO162" s="55"/>
      <c r="AP162" s="63"/>
      <c r="AQ162" s="53"/>
      <c r="AR162" s="53"/>
      <c r="AS162" s="64"/>
      <c r="AT162" s="65"/>
    </row>
    <row r="163" spans="2:46" x14ac:dyDescent="0.35">
      <c r="B163" s="38"/>
      <c r="C163" s="38"/>
      <c r="D163" s="38"/>
      <c r="E163" s="38"/>
      <c r="F163" s="38"/>
      <c r="G163" s="38"/>
      <c r="H163" s="38"/>
      <c r="I163" s="38"/>
      <c r="J163" s="38"/>
      <c r="K163" s="38"/>
      <c r="L163" s="38"/>
      <c r="N163" s="38"/>
      <c r="O163" s="38"/>
      <c r="P163" s="38"/>
      <c r="Q163" s="38"/>
      <c r="R163" s="38"/>
      <c r="S163" s="38"/>
      <c r="T163" s="38"/>
      <c r="U163" s="38"/>
      <c r="V163" s="38"/>
      <c r="X163" s="38"/>
      <c r="Y163" s="38"/>
      <c r="Z163" s="38"/>
      <c r="AA163" s="38"/>
      <c r="AB163" s="38"/>
      <c r="AC163" s="38"/>
      <c r="AD163" s="38"/>
      <c r="AE163" s="38"/>
      <c r="AF163" s="38"/>
      <c r="AG163" s="38"/>
      <c r="AH163" s="38"/>
      <c r="AJ163" s="38"/>
      <c r="AK163" s="38"/>
      <c r="AL163" s="38"/>
      <c r="AM163" s="38"/>
      <c r="AN163" s="38"/>
      <c r="AO163" s="38"/>
      <c r="AP163" s="38"/>
      <c r="AQ163" s="38"/>
      <c r="AR163" s="38"/>
      <c r="AS163" s="38"/>
      <c r="AT163" s="38"/>
    </row>
  </sheetData>
  <mergeCells count="11">
    <mergeCell ref="U4:V4"/>
    <mergeCell ref="D4:E4"/>
    <mergeCell ref="F4:H4"/>
    <mergeCell ref="I4:K4"/>
    <mergeCell ref="Q4:R4"/>
    <mergeCell ref="S4:T4"/>
    <mergeCell ref="AD4:AE4"/>
    <mergeCell ref="AF4:AG4"/>
    <mergeCell ref="AO4:AP4"/>
    <mergeCell ref="AQ4:AR4"/>
    <mergeCell ref="AS4:AT4"/>
  </mergeCells>
  <conditionalFormatting sqref="D9:K9">
    <cfRule type="cellIs" dxfId="198" priority="43" operator="greaterThan">
      <formula>1</formula>
    </cfRule>
  </conditionalFormatting>
  <conditionalFormatting sqref="L134:L162">
    <cfRule type="cellIs" dxfId="197" priority="23" operator="greaterThan">
      <formula>1</formula>
    </cfRule>
  </conditionalFormatting>
  <conditionalFormatting sqref="P9:R9">
    <cfRule type="cellIs" dxfId="196" priority="41" operator="greaterThan">
      <formula>1</formula>
    </cfRule>
  </conditionalFormatting>
  <conditionalFormatting sqref="P134:T162">
    <cfRule type="cellIs" dxfId="195" priority="21" operator="lessThan">
      <formula>0</formula>
    </cfRule>
    <cfRule type="cellIs" dxfId="194" priority="22" operator="greaterThan">
      <formula>0</formula>
    </cfRule>
  </conditionalFormatting>
  <conditionalFormatting sqref="U134:V162">
    <cfRule type="cellIs" dxfId="193" priority="20" operator="greaterThan">
      <formula>1</formula>
    </cfRule>
  </conditionalFormatting>
  <conditionalFormatting sqref="Z9:AG9">
    <cfRule type="cellIs" dxfId="192" priority="28" operator="greaterThan">
      <formula>1</formula>
    </cfRule>
  </conditionalFormatting>
  <conditionalFormatting sqref="Z134:AG162">
    <cfRule type="cellIs" dxfId="191" priority="18" operator="lessThan">
      <formula>0</formula>
    </cfRule>
    <cfRule type="cellIs" dxfId="190" priority="19" operator="greaterThan">
      <formula>0</formula>
    </cfRule>
  </conditionalFormatting>
  <conditionalFormatting sqref="AH134:AH162">
    <cfRule type="cellIs" dxfId="189" priority="17" operator="greaterThan">
      <formula>1</formula>
    </cfRule>
  </conditionalFormatting>
  <conditionalFormatting sqref="AL9:AR9">
    <cfRule type="cellIs" dxfId="188" priority="27" operator="greaterThan">
      <formula>1</formula>
    </cfRule>
  </conditionalFormatting>
  <conditionalFormatting sqref="AL134:AR162">
    <cfRule type="cellIs" dxfId="187" priority="15" operator="lessThan">
      <formula>0</formula>
    </cfRule>
    <cfRule type="cellIs" dxfId="186" priority="16" operator="greaterThan">
      <formula>0</formula>
    </cfRule>
  </conditionalFormatting>
  <conditionalFormatting sqref="AS134:AT162">
    <cfRule type="cellIs" dxfId="185" priority="14" operator="greaterThan">
      <formula>1</formula>
    </cfRule>
  </conditionalFormatting>
  <conditionalFormatting sqref="AY7:AY12 D134:K162">
    <cfRule type="cellIs" dxfId="184" priority="25" operator="lessThan">
      <formula>0</formula>
    </cfRule>
    <cfRule type="cellIs" dxfId="183" priority="26" operator="greaterThan">
      <formula>0</formula>
    </cfRule>
  </conditionalFormatting>
  <conditionalFormatting sqref="AZ7:AZ12">
    <cfRule type="cellIs" dxfId="182" priority="24" operator="greaterThan">
      <formula>1</formula>
    </cfRule>
  </conditionalFormatting>
  <conditionalFormatting sqref="L13:L133">
    <cfRule type="cellIs" dxfId="12" priority="10" operator="greaterThan">
      <formula>1</formula>
    </cfRule>
  </conditionalFormatting>
  <conditionalFormatting sqref="P13:T133">
    <cfRule type="cellIs" dxfId="11" priority="8" operator="lessThan">
      <formula>0</formula>
    </cfRule>
    <cfRule type="cellIs" dxfId="10" priority="9" operator="greaterThan">
      <formula>0</formula>
    </cfRule>
  </conditionalFormatting>
  <conditionalFormatting sqref="U13:V133">
    <cfRule type="cellIs" dxfId="9" priority="7" operator="greaterThan">
      <formula>1</formula>
    </cfRule>
  </conditionalFormatting>
  <conditionalFormatting sqref="Z13:AG133">
    <cfRule type="cellIs" dxfId="8" priority="5" operator="lessThan">
      <formula>0</formula>
    </cfRule>
    <cfRule type="cellIs" dxfId="7" priority="6" operator="greaterThan">
      <formula>0</formula>
    </cfRule>
  </conditionalFormatting>
  <conditionalFormatting sqref="AH13:AH133">
    <cfRule type="cellIs" dxfId="6" priority="4" operator="greaterThan">
      <formula>1</formula>
    </cfRule>
  </conditionalFormatting>
  <conditionalFormatting sqref="AL13:AR133">
    <cfRule type="cellIs" dxfId="5" priority="2" operator="lessThan">
      <formula>0</formula>
    </cfRule>
    <cfRule type="cellIs" dxfId="4" priority="3" operator="greaterThan">
      <formula>0</formula>
    </cfRule>
  </conditionalFormatting>
  <conditionalFormatting sqref="AS13:AT133">
    <cfRule type="cellIs" dxfId="3" priority="1" operator="greaterThan">
      <formula>1</formula>
    </cfRule>
  </conditionalFormatting>
  <conditionalFormatting sqref="AY13:AY23 D13:K133">
    <cfRule type="cellIs" dxfId="2" priority="12" operator="lessThan">
      <formula>0</formula>
    </cfRule>
    <cfRule type="cellIs" dxfId="1" priority="13" operator="greaterThan">
      <formula>0</formula>
    </cfRule>
  </conditionalFormatting>
  <conditionalFormatting sqref="AZ13:AZ23">
    <cfRule type="cellIs" dxfId="0" priority="11" operator="greaterThan">
      <formula>1</formula>
    </cfRule>
  </conditionalFormatting>
  <dataValidations count="4">
    <dataValidation type="whole" errorStyle="information" allowBlank="1" showInputMessage="1" showErrorMessage="1" errorTitle="Must select 1 or 2" error="1 = Included in shock_x000a_2 = Excluded" sqref="U13:U162" xr:uid="{DE317B52-6DD0-4324-88FF-5C7D9F398D4F}">
      <formula1>1</formula1>
      <formula2>2</formula2>
    </dataValidation>
    <dataValidation type="whole" errorStyle="information" allowBlank="1" showInputMessage="1" showErrorMessage="1" errorTitle="Must select 1 or 2" error="1 = Included in closure_x000a_2 = Excluded" sqref="V13:V162 AS13:AT162 AH13:AH162 L13:L162" xr:uid="{72297934-CB21-4203-9AFE-0999588E2B91}">
      <formula1>1</formula1>
      <formula2>2</formula2>
    </dataValidation>
    <dataValidation type="decimal" errorStyle="information" allowBlank="1" showInputMessage="1" showErrorMessage="1" errorTitle="Must select a number" error="Cannot choose letters or special characters." sqref="P13:T162 AY7:AY23 AL13:AR162 Z13:AG162 D13:K162" xr:uid="{B0F5BA69-9102-4721-B117-5ADAA6C9AA78}">
      <formula1>-1000000000</formula1>
      <formula2>1000000000</formula2>
    </dataValidation>
    <dataValidation type="whole" errorStyle="information" allowBlank="1" showInputMessage="1" showErrorMessage="1" errorTitle="Must select 1 or 2" error="1 = Multiplicative_x000a_2 = Additive" sqref="Z9:AG9 D9:K9 P9:R9 AL9:AR9 AZ7:AZ23" xr:uid="{0933499D-E313-40A1-849D-2D1151FEE7EB}">
      <formula1>1</formula1>
      <formula2>2</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EB4C-53B1-4626-9852-379CB85D4CBD}">
  <dimension ref="A1:E144"/>
  <sheetViews>
    <sheetView workbookViewId="0">
      <pane xSplit="3" ySplit="9" topLeftCell="D103" activePane="bottomRight" state="frozen"/>
      <selection pane="topRight" activeCell="D1" sqref="D1"/>
      <selection pane="bottomLeft" activeCell="A10" sqref="A10"/>
      <selection pane="bottomRight" activeCell="E133" sqref="E133"/>
    </sheetView>
  </sheetViews>
  <sheetFormatPr defaultRowHeight="14.5" x14ac:dyDescent="0.35"/>
  <sheetData>
    <row r="1" spans="1:5" ht="18.5" x14ac:dyDescent="0.45">
      <c r="A1" s="7" t="s">
        <v>309</v>
      </c>
      <c r="B1" s="26"/>
      <c r="C1" s="26"/>
      <c r="D1" s="26"/>
      <c r="E1" s="26"/>
    </row>
    <row r="5" spans="1:5" x14ac:dyDescent="0.35">
      <c r="D5" t="s">
        <v>142</v>
      </c>
      <c r="E5" t="s">
        <v>143</v>
      </c>
    </row>
    <row r="6" spans="1:5" x14ac:dyDescent="0.35">
      <c r="A6" t="s">
        <v>140</v>
      </c>
      <c r="B6" t="s">
        <v>138</v>
      </c>
      <c r="C6" t="s">
        <v>310</v>
      </c>
      <c r="D6">
        <v>1</v>
      </c>
    </row>
    <row r="7" spans="1:5" x14ac:dyDescent="0.35">
      <c r="A7" t="s">
        <v>141</v>
      </c>
      <c r="B7" t="s">
        <v>139</v>
      </c>
      <c r="C7" t="s">
        <v>310</v>
      </c>
      <c r="D7">
        <v>1</v>
      </c>
    </row>
    <row r="8" spans="1:5" x14ac:dyDescent="0.35">
      <c r="A8" t="s">
        <v>141</v>
      </c>
      <c r="B8" t="s">
        <v>136</v>
      </c>
      <c r="C8" t="s">
        <v>311</v>
      </c>
      <c r="D8">
        <v>1</v>
      </c>
      <c r="E8">
        <v>1</v>
      </c>
    </row>
    <row r="9" spans="1:5" x14ac:dyDescent="0.35">
      <c r="A9" t="s">
        <v>141</v>
      </c>
      <c r="B9" t="s">
        <v>137</v>
      </c>
      <c r="C9" t="s">
        <v>312</v>
      </c>
      <c r="D9">
        <v>1</v>
      </c>
      <c r="E9">
        <v>1</v>
      </c>
    </row>
    <row r="10" spans="1:5" x14ac:dyDescent="0.35">
      <c r="A10" t="s">
        <v>141</v>
      </c>
      <c r="B10" t="s">
        <v>147</v>
      </c>
      <c r="C10" t="s">
        <v>313</v>
      </c>
      <c r="D10">
        <v>1</v>
      </c>
      <c r="E10">
        <v>1</v>
      </c>
    </row>
    <row r="11" spans="1:5" x14ac:dyDescent="0.35">
      <c r="A11" t="s">
        <v>141</v>
      </c>
      <c r="B11" t="s">
        <v>148</v>
      </c>
      <c r="C11" t="s">
        <v>314</v>
      </c>
      <c r="D11">
        <v>1</v>
      </c>
      <c r="E11">
        <v>1</v>
      </c>
    </row>
    <row r="12" spans="1:5" x14ac:dyDescent="0.35">
      <c r="A12" t="s">
        <v>141</v>
      </c>
      <c r="B12" t="s">
        <v>149</v>
      </c>
      <c r="C12" t="s">
        <v>315</v>
      </c>
      <c r="D12">
        <v>1</v>
      </c>
      <c r="E12">
        <v>1</v>
      </c>
    </row>
    <row r="13" spans="1:5" x14ac:dyDescent="0.35">
      <c r="A13" t="s">
        <v>141</v>
      </c>
      <c r="B13" t="s">
        <v>150</v>
      </c>
      <c r="C13" t="s">
        <v>316</v>
      </c>
      <c r="D13">
        <v>1</v>
      </c>
      <c r="E13">
        <v>1</v>
      </c>
    </row>
    <row r="14" spans="1:5" x14ac:dyDescent="0.35">
      <c r="A14" t="s">
        <v>141</v>
      </c>
      <c r="B14" t="s">
        <v>151</v>
      </c>
      <c r="C14" t="s">
        <v>317</v>
      </c>
      <c r="D14">
        <v>1</v>
      </c>
      <c r="E14">
        <v>1</v>
      </c>
    </row>
    <row r="15" spans="1:5" x14ac:dyDescent="0.35">
      <c r="A15" t="s">
        <v>141</v>
      </c>
      <c r="B15" t="s">
        <v>152</v>
      </c>
      <c r="C15" t="s">
        <v>318</v>
      </c>
      <c r="D15">
        <v>1</v>
      </c>
      <c r="E15">
        <v>1</v>
      </c>
    </row>
    <row r="16" spans="1:5" x14ac:dyDescent="0.35">
      <c r="A16" t="s">
        <v>141</v>
      </c>
      <c r="B16" t="s">
        <v>153</v>
      </c>
      <c r="C16" t="s">
        <v>319</v>
      </c>
      <c r="D16">
        <v>1</v>
      </c>
      <c r="E16">
        <v>1</v>
      </c>
    </row>
    <row r="17" spans="1:5" x14ac:dyDescent="0.35">
      <c r="A17" t="s">
        <v>141</v>
      </c>
      <c r="B17" t="s">
        <v>154</v>
      </c>
      <c r="C17" t="s">
        <v>320</v>
      </c>
      <c r="D17">
        <v>1</v>
      </c>
      <c r="E17">
        <v>1</v>
      </c>
    </row>
    <row r="18" spans="1:5" x14ac:dyDescent="0.35">
      <c r="A18" t="s">
        <v>141</v>
      </c>
      <c r="B18" t="s">
        <v>155</v>
      </c>
      <c r="C18" t="s">
        <v>321</v>
      </c>
      <c r="D18">
        <v>1</v>
      </c>
      <c r="E18">
        <v>1</v>
      </c>
    </row>
    <row r="19" spans="1:5" x14ac:dyDescent="0.35">
      <c r="A19" t="s">
        <v>141</v>
      </c>
      <c r="B19" t="s">
        <v>156</v>
      </c>
      <c r="C19" t="s">
        <v>322</v>
      </c>
      <c r="D19">
        <v>1</v>
      </c>
      <c r="E19">
        <v>1</v>
      </c>
    </row>
    <row r="20" spans="1:5" x14ac:dyDescent="0.35">
      <c r="A20" t="s">
        <v>141</v>
      </c>
      <c r="B20" t="s">
        <v>157</v>
      </c>
      <c r="C20" t="s">
        <v>323</v>
      </c>
      <c r="D20">
        <v>1</v>
      </c>
      <c r="E20">
        <v>1</v>
      </c>
    </row>
    <row r="21" spans="1:5" x14ac:dyDescent="0.35">
      <c r="A21" t="s">
        <v>141</v>
      </c>
      <c r="B21" t="s">
        <v>158</v>
      </c>
      <c r="C21" t="s">
        <v>324</v>
      </c>
      <c r="D21">
        <v>1</v>
      </c>
      <c r="E21">
        <v>1</v>
      </c>
    </row>
    <row r="22" spans="1:5" x14ac:dyDescent="0.35">
      <c r="A22" t="s">
        <v>141</v>
      </c>
      <c r="B22" t="s">
        <v>159</v>
      </c>
      <c r="C22" t="s">
        <v>325</v>
      </c>
      <c r="D22">
        <v>1</v>
      </c>
      <c r="E22">
        <v>1</v>
      </c>
    </row>
    <row r="23" spans="1:5" x14ac:dyDescent="0.35">
      <c r="A23" t="s">
        <v>141</v>
      </c>
      <c r="B23" t="s">
        <v>160</v>
      </c>
      <c r="C23" t="s">
        <v>326</v>
      </c>
      <c r="D23">
        <v>1</v>
      </c>
      <c r="E23">
        <v>1</v>
      </c>
    </row>
    <row r="24" spans="1:5" x14ac:dyDescent="0.35">
      <c r="A24" t="s">
        <v>141</v>
      </c>
      <c r="B24" t="s">
        <v>161</v>
      </c>
      <c r="C24" t="s">
        <v>327</v>
      </c>
      <c r="D24">
        <v>1</v>
      </c>
      <c r="E24">
        <v>1</v>
      </c>
    </row>
    <row r="25" spans="1:5" x14ac:dyDescent="0.35">
      <c r="A25" t="s">
        <v>141</v>
      </c>
      <c r="B25" t="s">
        <v>162</v>
      </c>
      <c r="C25" t="s">
        <v>464</v>
      </c>
      <c r="D25">
        <v>1</v>
      </c>
      <c r="E25">
        <v>1</v>
      </c>
    </row>
    <row r="26" spans="1:5" x14ac:dyDescent="0.35">
      <c r="A26" t="s">
        <v>141</v>
      </c>
      <c r="B26" t="s">
        <v>163</v>
      </c>
      <c r="C26" t="s">
        <v>465</v>
      </c>
      <c r="D26">
        <v>1</v>
      </c>
      <c r="E26">
        <v>1</v>
      </c>
    </row>
    <row r="27" spans="1:5" x14ac:dyDescent="0.35">
      <c r="A27" t="s">
        <v>141</v>
      </c>
      <c r="B27" t="s">
        <v>164</v>
      </c>
      <c r="C27" t="s">
        <v>466</v>
      </c>
      <c r="D27">
        <v>1</v>
      </c>
      <c r="E27">
        <v>1</v>
      </c>
    </row>
    <row r="28" spans="1:5" x14ac:dyDescent="0.35">
      <c r="A28" t="s">
        <v>141</v>
      </c>
      <c r="B28" t="s">
        <v>165</v>
      </c>
      <c r="C28" t="s">
        <v>467</v>
      </c>
      <c r="D28">
        <v>1</v>
      </c>
      <c r="E28">
        <v>1</v>
      </c>
    </row>
    <row r="29" spans="1:5" x14ac:dyDescent="0.35">
      <c r="A29" t="s">
        <v>141</v>
      </c>
      <c r="B29" t="s">
        <v>166</v>
      </c>
      <c r="C29" t="s">
        <v>468</v>
      </c>
      <c r="D29">
        <v>1</v>
      </c>
      <c r="E29">
        <v>1</v>
      </c>
    </row>
    <row r="30" spans="1:5" x14ac:dyDescent="0.35">
      <c r="A30" t="s">
        <v>141</v>
      </c>
      <c r="B30" t="s">
        <v>167</v>
      </c>
      <c r="C30" t="s">
        <v>469</v>
      </c>
      <c r="D30">
        <v>1</v>
      </c>
      <c r="E30">
        <v>1</v>
      </c>
    </row>
    <row r="31" spans="1:5" x14ac:dyDescent="0.35">
      <c r="A31" t="s">
        <v>141</v>
      </c>
      <c r="B31" t="s">
        <v>168</v>
      </c>
      <c r="C31" t="s">
        <v>470</v>
      </c>
      <c r="D31">
        <v>1</v>
      </c>
      <c r="E31">
        <v>1</v>
      </c>
    </row>
    <row r="32" spans="1:5" x14ac:dyDescent="0.35">
      <c r="A32" t="s">
        <v>141</v>
      </c>
      <c r="B32" t="s">
        <v>169</v>
      </c>
      <c r="C32" t="s">
        <v>471</v>
      </c>
      <c r="D32">
        <v>1</v>
      </c>
      <c r="E32">
        <v>1</v>
      </c>
    </row>
    <row r="33" spans="1:5" x14ac:dyDescent="0.35">
      <c r="A33" t="s">
        <v>141</v>
      </c>
      <c r="B33" t="s">
        <v>170</v>
      </c>
      <c r="C33" t="s">
        <v>472</v>
      </c>
      <c r="D33">
        <v>1</v>
      </c>
      <c r="E33">
        <v>1</v>
      </c>
    </row>
    <row r="34" spans="1:5" x14ac:dyDescent="0.35">
      <c r="A34" t="s">
        <v>141</v>
      </c>
      <c r="B34" t="s">
        <v>171</v>
      </c>
      <c r="C34" t="s">
        <v>473</v>
      </c>
      <c r="D34">
        <v>1</v>
      </c>
      <c r="E34">
        <v>1</v>
      </c>
    </row>
    <row r="35" spans="1:5" x14ac:dyDescent="0.35">
      <c r="A35" t="s">
        <v>141</v>
      </c>
      <c r="B35" t="s">
        <v>172</v>
      </c>
      <c r="C35" t="s">
        <v>474</v>
      </c>
      <c r="D35">
        <v>1</v>
      </c>
      <c r="E35">
        <v>1</v>
      </c>
    </row>
    <row r="36" spans="1:5" x14ac:dyDescent="0.35">
      <c r="A36" t="s">
        <v>141</v>
      </c>
      <c r="B36" t="s">
        <v>173</v>
      </c>
      <c r="C36" t="s">
        <v>475</v>
      </c>
      <c r="D36">
        <v>1</v>
      </c>
      <c r="E36">
        <v>1</v>
      </c>
    </row>
    <row r="37" spans="1:5" x14ac:dyDescent="0.35">
      <c r="A37" t="s">
        <v>141</v>
      </c>
      <c r="B37" t="s">
        <v>174</v>
      </c>
      <c r="C37" t="s">
        <v>476</v>
      </c>
      <c r="D37">
        <v>1</v>
      </c>
      <c r="E37">
        <v>1</v>
      </c>
    </row>
    <row r="38" spans="1:5" x14ac:dyDescent="0.35">
      <c r="A38" t="s">
        <v>141</v>
      </c>
      <c r="B38" t="s">
        <v>175</v>
      </c>
      <c r="C38" t="s">
        <v>477</v>
      </c>
      <c r="D38">
        <v>1</v>
      </c>
      <c r="E38">
        <v>1</v>
      </c>
    </row>
    <row r="39" spans="1:5" x14ac:dyDescent="0.35">
      <c r="A39" t="s">
        <v>141</v>
      </c>
      <c r="B39" t="s">
        <v>176</v>
      </c>
      <c r="C39" t="s">
        <v>478</v>
      </c>
      <c r="D39">
        <v>1</v>
      </c>
      <c r="E39">
        <v>1</v>
      </c>
    </row>
    <row r="40" spans="1:5" x14ac:dyDescent="0.35">
      <c r="A40" t="s">
        <v>141</v>
      </c>
      <c r="B40" t="s">
        <v>177</v>
      </c>
      <c r="C40" t="s">
        <v>479</v>
      </c>
      <c r="D40">
        <v>1</v>
      </c>
      <c r="E40">
        <v>1</v>
      </c>
    </row>
    <row r="41" spans="1:5" x14ac:dyDescent="0.35">
      <c r="A41" t="s">
        <v>141</v>
      </c>
      <c r="B41" t="s">
        <v>178</v>
      </c>
      <c r="C41" t="s">
        <v>480</v>
      </c>
      <c r="D41">
        <v>1</v>
      </c>
      <c r="E41">
        <v>1</v>
      </c>
    </row>
    <row r="42" spans="1:5" x14ac:dyDescent="0.35">
      <c r="A42" t="s">
        <v>141</v>
      </c>
      <c r="B42" t="s">
        <v>179</v>
      </c>
      <c r="C42" t="s">
        <v>481</v>
      </c>
      <c r="D42">
        <v>1</v>
      </c>
      <c r="E42">
        <v>1</v>
      </c>
    </row>
    <row r="43" spans="1:5" x14ac:dyDescent="0.35">
      <c r="A43" t="s">
        <v>141</v>
      </c>
      <c r="B43" t="s">
        <v>180</v>
      </c>
      <c r="C43" t="s">
        <v>482</v>
      </c>
      <c r="D43">
        <v>1</v>
      </c>
      <c r="E43">
        <v>1</v>
      </c>
    </row>
    <row r="44" spans="1:5" x14ac:dyDescent="0.35">
      <c r="A44" t="s">
        <v>141</v>
      </c>
      <c r="B44" t="s">
        <v>181</v>
      </c>
      <c r="C44" t="s">
        <v>483</v>
      </c>
      <c r="D44">
        <v>1</v>
      </c>
      <c r="E44">
        <v>1</v>
      </c>
    </row>
    <row r="45" spans="1:5" x14ac:dyDescent="0.35">
      <c r="A45" t="s">
        <v>141</v>
      </c>
      <c r="B45" t="s">
        <v>182</v>
      </c>
      <c r="C45" t="s">
        <v>484</v>
      </c>
      <c r="D45">
        <v>1</v>
      </c>
      <c r="E45">
        <v>1</v>
      </c>
    </row>
    <row r="46" spans="1:5" x14ac:dyDescent="0.35">
      <c r="A46" t="s">
        <v>141</v>
      </c>
      <c r="B46" t="s">
        <v>183</v>
      </c>
      <c r="C46" t="s">
        <v>485</v>
      </c>
      <c r="D46">
        <v>1</v>
      </c>
      <c r="E46">
        <v>1</v>
      </c>
    </row>
    <row r="47" spans="1:5" x14ac:dyDescent="0.35">
      <c r="A47" t="s">
        <v>141</v>
      </c>
      <c r="B47" t="s">
        <v>184</v>
      </c>
      <c r="C47" t="s">
        <v>486</v>
      </c>
      <c r="D47">
        <v>1</v>
      </c>
      <c r="E47">
        <v>1</v>
      </c>
    </row>
    <row r="48" spans="1:5" x14ac:dyDescent="0.35">
      <c r="A48" t="s">
        <v>141</v>
      </c>
      <c r="B48" t="s">
        <v>185</v>
      </c>
      <c r="C48" t="s">
        <v>487</v>
      </c>
      <c r="D48">
        <v>1</v>
      </c>
      <c r="E48">
        <v>1</v>
      </c>
    </row>
    <row r="49" spans="1:5" x14ac:dyDescent="0.35">
      <c r="A49" t="s">
        <v>141</v>
      </c>
      <c r="B49" t="s">
        <v>186</v>
      </c>
      <c r="C49" t="s">
        <v>488</v>
      </c>
      <c r="D49">
        <v>1</v>
      </c>
      <c r="E49">
        <v>1</v>
      </c>
    </row>
    <row r="50" spans="1:5" x14ac:dyDescent="0.35">
      <c r="A50" t="s">
        <v>141</v>
      </c>
      <c r="B50" t="s">
        <v>187</v>
      </c>
      <c r="C50" t="s">
        <v>489</v>
      </c>
      <c r="D50">
        <v>1</v>
      </c>
      <c r="E50">
        <v>1</v>
      </c>
    </row>
    <row r="51" spans="1:5" x14ac:dyDescent="0.35">
      <c r="A51" t="s">
        <v>141</v>
      </c>
      <c r="B51" t="s">
        <v>188</v>
      </c>
      <c r="C51" t="s">
        <v>490</v>
      </c>
      <c r="D51">
        <v>1</v>
      </c>
      <c r="E51">
        <v>1</v>
      </c>
    </row>
    <row r="52" spans="1:5" x14ac:dyDescent="0.35">
      <c r="A52" t="s">
        <v>141</v>
      </c>
      <c r="B52" t="s">
        <v>189</v>
      </c>
      <c r="C52" t="s">
        <v>491</v>
      </c>
      <c r="D52">
        <v>1</v>
      </c>
      <c r="E52">
        <v>1</v>
      </c>
    </row>
    <row r="53" spans="1:5" x14ac:dyDescent="0.35">
      <c r="A53" t="s">
        <v>141</v>
      </c>
      <c r="B53" t="s">
        <v>190</v>
      </c>
      <c r="C53" t="s">
        <v>492</v>
      </c>
      <c r="D53">
        <v>1</v>
      </c>
      <c r="E53">
        <v>1</v>
      </c>
    </row>
    <row r="54" spans="1:5" x14ac:dyDescent="0.35">
      <c r="A54" t="s">
        <v>141</v>
      </c>
      <c r="B54" t="s">
        <v>191</v>
      </c>
      <c r="C54" t="s">
        <v>493</v>
      </c>
      <c r="D54">
        <v>1</v>
      </c>
      <c r="E54">
        <v>1</v>
      </c>
    </row>
    <row r="55" spans="1:5" x14ac:dyDescent="0.35">
      <c r="A55" t="s">
        <v>141</v>
      </c>
      <c r="B55" t="s">
        <v>192</v>
      </c>
      <c r="C55" t="s">
        <v>494</v>
      </c>
      <c r="D55">
        <v>1</v>
      </c>
      <c r="E55">
        <v>1</v>
      </c>
    </row>
    <row r="56" spans="1:5" x14ac:dyDescent="0.35">
      <c r="A56" t="s">
        <v>141</v>
      </c>
      <c r="B56" t="s">
        <v>193</v>
      </c>
      <c r="C56" t="s">
        <v>495</v>
      </c>
      <c r="D56">
        <v>1</v>
      </c>
      <c r="E56">
        <v>1</v>
      </c>
    </row>
    <row r="57" spans="1:5" x14ac:dyDescent="0.35">
      <c r="A57" t="s">
        <v>141</v>
      </c>
      <c r="B57" t="s">
        <v>194</v>
      </c>
      <c r="C57" t="s">
        <v>496</v>
      </c>
      <c r="D57">
        <v>1</v>
      </c>
      <c r="E57">
        <v>1</v>
      </c>
    </row>
    <row r="58" spans="1:5" x14ac:dyDescent="0.35">
      <c r="A58" t="s">
        <v>141</v>
      </c>
      <c r="B58" t="s">
        <v>195</v>
      </c>
      <c r="C58" t="s">
        <v>497</v>
      </c>
      <c r="D58">
        <v>1</v>
      </c>
      <c r="E58">
        <v>1</v>
      </c>
    </row>
    <row r="59" spans="1:5" x14ac:dyDescent="0.35">
      <c r="A59" t="s">
        <v>141</v>
      </c>
      <c r="B59" t="s">
        <v>196</v>
      </c>
      <c r="C59" t="s">
        <v>498</v>
      </c>
      <c r="D59">
        <v>1</v>
      </c>
      <c r="E59">
        <v>1</v>
      </c>
    </row>
    <row r="60" spans="1:5" x14ac:dyDescent="0.35">
      <c r="A60" t="s">
        <v>141</v>
      </c>
      <c r="B60" t="s">
        <v>197</v>
      </c>
      <c r="C60" t="s">
        <v>499</v>
      </c>
      <c r="D60">
        <v>1</v>
      </c>
      <c r="E60">
        <v>1</v>
      </c>
    </row>
    <row r="61" spans="1:5" x14ac:dyDescent="0.35">
      <c r="A61" t="s">
        <v>141</v>
      </c>
      <c r="B61" t="s">
        <v>198</v>
      </c>
      <c r="C61" t="s">
        <v>500</v>
      </c>
      <c r="D61">
        <v>1</v>
      </c>
      <c r="E61">
        <v>1</v>
      </c>
    </row>
    <row r="62" spans="1:5" x14ac:dyDescent="0.35">
      <c r="A62" t="s">
        <v>141</v>
      </c>
      <c r="B62" t="s">
        <v>199</v>
      </c>
      <c r="C62" t="s">
        <v>501</v>
      </c>
      <c r="D62">
        <v>1</v>
      </c>
      <c r="E62">
        <v>1</v>
      </c>
    </row>
    <row r="63" spans="1:5" x14ac:dyDescent="0.35">
      <c r="A63" t="s">
        <v>141</v>
      </c>
      <c r="B63" t="s">
        <v>200</v>
      </c>
      <c r="C63" t="s">
        <v>502</v>
      </c>
      <c r="D63">
        <v>1</v>
      </c>
      <c r="E63">
        <v>1</v>
      </c>
    </row>
    <row r="64" spans="1:5" x14ac:dyDescent="0.35">
      <c r="A64" t="s">
        <v>141</v>
      </c>
      <c r="B64" t="s">
        <v>201</v>
      </c>
      <c r="C64" t="s">
        <v>503</v>
      </c>
      <c r="D64">
        <v>1</v>
      </c>
      <c r="E64">
        <v>1</v>
      </c>
    </row>
    <row r="65" spans="1:5" x14ac:dyDescent="0.35">
      <c r="A65" t="s">
        <v>141</v>
      </c>
      <c r="B65" t="s">
        <v>202</v>
      </c>
      <c r="C65" t="s">
        <v>504</v>
      </c>
      <c r="D65">
        <v>1</v>
      </c>
      <c r="E65">
        <v>1</v>
      </c>
    </row>
    <row r="66" spans="1:5" x14ac:dyDescent="0.35">
      <c r="A66" t="s">
        <v>141</v>
      </c>
      <c r="B66" t="s">
        <v>203</v>
      </c>
      <c r="C66" t="s">
        <v>505</v>
      </c>
      <c r="D66">
        <v>1</v>
      </c>
      <c r="E66">
        <v>1</v>
      </c>
    </row>
    <row r="67" spans="1:5" x14ac:dyDescent="0.35">
      <c r="A67" t="s">
        <v>141</v>
      </c>
      <c r="B67" t="s">
        <v>204</v>
      </c>
      <c r="C67" t="s">
        <v>506</v>
      </c>
      <c r="D67">
        <v>1</v>
      </c>
      <c r="E67">
        <v>1</v>
      </c>
    </row>
    <row r="68" spans="1:5" x14ac:dyDescent="0.35">
      <c r="A68" t="s">
        <v>141</v>
      </c>
      <c r="B68" t="s">
        <v>205</v>
      </c>
      <c r="C68" t="s">
        <v>507</v>
      </c>
      <c r="D68">
        <v>1</v>
      </c>
      <c r="E68">
        <v>1</v>
      </c>
    </row>
    <row r="69" spans="1:5" x14ac:dyDescent="0.35">
      <c r="A69" t="s">
        <v>141</v>
      </c>
      <c r="B69" t="s">
        <v>206</v>
      </c>
      <c r="C69" t="s">
        <v>508</v>
      </c>
      <c r="D69">
        <v>1</v>
      </c>
      <c r="E69">
        <v>1</v>
      </c>
    </row>
    <row r="70" spans="1:5" x14ac:dyDescent="0.35">
      <c r="A70" t="s">
        <v>141</v>
      </c>
      <c r="B70" t="s">
        <v>269</v>
      </c>
      <c r="C70" t="s">
        <v>509</v>
      </c>
      <c r="D70">
        <v>1</v>
      </c>
      <c r="E70">
        <v>1</v>
      </c>
    </row>
    <row r="71" spans="1:5" x14ac:dyDescent="0.35">
      <c r="A71" t="s">
        <v>141</v>
      </c>
      <c r="B71" t="s">
        <v>270</v>
      </c>
      <c r="C71" t="s">
        <v>510</v>
      </c>
      <c r="D71">
        <v>1</v>
      </c>
      <c r="E71">
        <v>1</v>
      </c>
    </row>
    <row r="72" spans="1:5" x14ac:dyDescent="0.35">
      <c r="A72" t="s">
        <v>141</v>
      </c>
      <c r="B72" t="s">
        <v>271</v>
      </c>
      <c r="C72" t="s">
        <v>511</v>
      </c>
      <c r="D72">
        <v>1</v>
      </c>
      <c r="E72">
        <v>1</v>
      </c>
    </row>
    <row r="73" spans="1:5" x14ac:dyDescent="0.35">
      <c r="A73" t="s">
        <v>141</v>
      </c>
      <c r="B73" t="s">
        <v>272</v>
      </c>
      <c r="C73" t="s">
        <v>512</v>
      </c>
      <c r="D73">
        <v>1</v>
      </c>
      <c r="E73">
        <v>1</v>
      </c>
    </row>
    <row r="74" spans="1:5" x14ac:dyDescent="0.35">
      <c r="A74" t="s">
        <v>141</v>
      </c>
      <c r="B74" t="s">
        <v>273</v>
      </c>
      <c r="C74" t="s">
        <v>513</v>
      </c>
      <c r="D74">
        <v>1</v>
      </c>
      <c r="E74">
        <v>1</v>
      </c>
    </row>
    <row r="75" spans="1:5" x14ac:dyDescent="0.35">
      <c r="A75" t="s">
        <v>141</v>
      </c>
      <c r="B75" t="s">
        <v>274</v>
      </c>
      <c r="C75" t="s">
        <v>514</v>
      </c>
      <c r="D75">
        <v>1</v>
      </c>
      <c r="E75">
        <v>1</v>
      </c>
    </row>
    <row r="76" spans="1:5" x14ac:dyDescent="0.35">
      <c r="A76" t="s">
        <v>141</v>
      </c>
      <c r="B76" t="s">
        <v>275</v>
      </c>
      <c r="C76" t="s">
        <v>515</v>
      </c>
      <c r="D76">
        <v>1</v>
      </c>
      <c r="E76">
        <v>1</v>
      </c>
    </row>
    <row r="77" spans="1:5" x14ac:dyDescent="0.35">
      <c r="A77" t="s">
        <v>141</v>
      </c>
      <c r="B77" t="s">
        <v>276</v>
      </c>
      <c r="C77" t="s">
        <v>516</v>
      </c>
      <c r="D77">
        <v>1</v>
      </c>
      <c r="E77">
        <v>1</v>
      </c>
    </row>
    <row r="78" spans="1:5" x14ac:dyDescent="0.35">
      <c r="A78" t="s">
        <v>141</v>
      </c>
      <c r="B78" t="s">
        <v>277</v>
      </c>
      <c r="C78" t="s">
        <v>517</v>
      </c>
      <c r="D78">
        <v>1</v>
      </c>
      <c r="E78">
        <v>1</v>
      </c>
    </row>
    <row r="79" spans="1:5" x14ac:dyDescent="0.35">
      <c r="A79" t="s">
        <v>141</v>
      </c>
      <c r="B79" t="s">
        <v>278</v>
      </c>
      <c r="C79" t="s">
        <v>518</v>
      </c>
      <c r="D79">
        <v>1</v>
      </c>
      <c r="E79">
        <v>1</v>
      </c>
    </row>
    <row r="80" spans="1:5" x14ac:dyDescent="0.35">
      <c r="A80" t="s">
        <v>141</v>
      </c>
      <c r="B80" t="s">
        <v>279</v>
      </c>
      <c r="C80" t="s">
        <v>519</v>
      </c>
      <c r="D80">
        <v>1</v>
      </c>
      <c r="E80">
        <v>1</v>
      </c>
    </row>
    <row r="81" spans="1:5" x14ac:dyDescent="0.35">
      <c r="A81" t="s">
        <v>141</v>
      </c>
      <c r="B81" t="s">
        <v>280</v>
      </c>
      <c r="C81" t="s">
        <v>520</v>
      </c>
      <c r="D81">
        <v>1</v>
      </c>
      <c r="E81">
        <v>1</v>
      </c>
    </row>
    <row r="82" spans="1:5" x14ac:dyDescent="0.35">
      <c r="A82" t="s">
        <v>141</v>
      </c>
      <c r="B82" t="s">
        <v>281</v>
      </c>
      <c r="C82" t="s">
        <v>521</v>
      </c>
      <c r="D82">
        <v>1</v>
      </c>
      <c r="E82">
        <v>1</v>
      </c>
    </row>
    <row r="83" spans="1:5" x14ac:dyDescent="0.35">
      <c r="A83" t="s">
        <v>141</v>
      </c>
      <c r="B83" t="s">
        <v>282</v>
      </c>
      <c r="C83" t="s">
        <v>522</v>
      </c>
      <c r="D83">
        <v>1</v>
      </c>
      <c r="E83">
        <v>1</v>
      </c>
    </row>
    <row r="84" spans="1:5" x14ac:dyDescent="0.35">
      <c r="A84" s="5" t="s">
        <v>141</v>
      </c>
      <c r="B84" s="5" t="s">
        <v>283</v>
      </c>
      <c r="C84" s="5" t="s">
        <v>523</v>
      </c>
      <c r="D84" s="5">
        <v>1</v>
      </c>
      <c r="E84" s="5">
        <v>1</v>
      </c>
    </row>
    <row r="85" spans="1:5" x14ac:dyDescent="0.35">
      <c r="A85" t="s">
        <v>141</v>
      </c>
      <c r="B85" t="s">
        <v>209</v>
      </c>
      <c r="C85" t="s">
        <v>328</v>
      </c>
      <c r="E85">
        <v>1</v>
      </c>
    </row>
    <row r="86" spans="1:5" x14ac:dyDescent="0.35">
      <c r="A86" t="s">
        <v>141</v>
      </c>
      <c r="B86" t="s">
        <v>210</v>
      </c>
      <c r="C86" t="s">
        <v>329</v>
      </c>
      <c r="E86">
        <v>1</v>
      </c>
    </row>
    <row r="87" spans="1:5" x14ac:dyDescent="0.35">
      <c r="A87" t="s">
        <v>141</v>
      </c>
      <c r="B87" t="s">
        <v>211</v>
      </c>
      <c r="C87" t="s">
        <v>330</v>
      </c>
      <c r="E87">
        <v>1</v>
      </c>
    </row>
    <row r="88" spans="1:5" x14ac:dyDescent="0.35">
      <c r="A88" t="s">
        <v>141</v>
      </c>
      <c r="B88" t="s">
        <v>212</v>
      </c>
      <c r="C88" t="s">
        <v>331</v>
      </c>
      <c r="E88">
        <v>1</v>
      </c>
    </row>
    <row r="89" spans="1:5" x14ac:dyDescent="0.35">
      <c r="A89" t="s">
        <v>141</v>
      </c>
      <c r="B89" t="s">
        <v>213</v>
      </c>
      <c r="C89" t="s">
        <v>332</v>
      </c>
      <c r="E89">
        <v>1</v>
      </c>
    </row>
    <row r="90" spans="1:5" x14ac:dyDescent="0.35">
      <c r="A90" t="s">
        <v>141</v>
      </c>
      <c r="B90" t="s">
        <v>214</v>
      </c>
      <c r="C90" t="s">
        <v>333</v>
      </c>
      <c r="E90">
        <v>1</v>
      </c>
    </row>
    <row r="91" spans="1:5" x14ac:dyDescent="0.35">
      <c r="A91" t="s">
        <v>141</v>
      </c>
      <c r="B91" t="s">
        <v>215</v>
      </c>
      <c r="C91" t="s">
        <v>334</v>
      </c>
      <c r="E91">
        <v>1</v>
      </c>
    </row>
    <row r="92" spans="1:5" x14ac:dyDescent="0.35">
      <c r="A92" t="s">
        <v>141</v>
      </c>
      <c r="B92" t="s">
        <v>216</v>
      </c>
      <c r="C92" t="s">
        <v>335</v>
      </c>
      <c r="E92">
        <v>1</v>
      </c>
    </row>
    <row r="93" spans="1:5" x14ac:dyDescent="0.35">
      <c r="A93" t="s">
        <v>141</v>
      </c>
      <c r="B93" t="s">
        <v>217</v>
      </c>
      <c r="C93" t="s">
        <v>336</v>
      </c>
      <c r="E93">
        <v>1</v>
      </c>
    </row>
    <row r="94" spans="1:5" x14ac:dyDescent="0.35">
      <c r="A94" t="s">
        <v>141</v>
      </c>
      <c r="B94" t="s">
        <v>218</v>
      </c>
      <c r="C94" t="s">
        <v>337</v>
      </c>
      <c r="E94">
        <v>1</v>
      </c>
    </row>
    <row r="95" spans="1:5" x14ac:dyDescent="0.35">
      <c r="A95" t="s">
        <v>141</v>
      </c>
      <c r="B95" t="s">
        <v>219</v>
      </c>
      <c r="C95" t="s">
        <v>338</v>
      </c>
      <c r="E95">
        <v>1</v>
      </c>
    </row>
    <row r="96" spans="1:5" x14ac:dyDescent="0.35">
      <c r="A96" t="s">
        <v>141</v>
      </c>
      <c r="B96" t="s">
        <v>220</v>
      </c>
      <c r="C96" t="s">
        <v>339</v>
      </c>
      <c r="E96">
        <v>1</v>
      </c>
    </row>
    <row r="97" spans="1:5" x14ac:dyDescent="0.35">
      <c r="A97" t="s">
        <v>141</v>
      </c>
      <c r="B97" t="s">
        <v>221</v>
      </c>
      <c r="C97" t="s">
        <v>340</v>
      </c>
      <c r="E97">
        <v>1</v>
      </c>
    </row>
    <row r="98" spans="1:5" x14ac:dyDescent="0.35">
      <c r="A98" t="s">
        <v>141</v>
      </c>
      <c r="B98" t="s">
        <v>222</v>
      </c>
      <c r="C98" t="s">
        <v>341</v>
      </c>
      <c r="E98">
        <v>1</v>
      </c>
    </row>
    <row r="99" spans="1:5" x14ac:dyDescent="0.35">
      <c r="A99" t="s">
        <v>141</v>
      </c>
      <c r="B99" t="s">
        <v>223</v>
      </c>
      <c r="C99" t="s">
        <v>342</v>
      </c>
      <c r="E99">
        <v>1</v>
      </c>
    </row>
    <row r="100" spans="1:5" x14ac:dyDescent="0.35">
      <c r="A100" t="s">
        <v>141</v>
      </c>
      <c r="B100" t="s">
        <v>224</v>
      </c>
      <c r="C100" t="s">
        <v>524</v>
      </c>
      <c r="E100">
        <v>1</v>
      </c>
    </row>
    <row r="101" spans="1:5" x14ac:dyDescent="0.35">
      <c r="A101" t="s">
        <v>141</v>
      </c>
      <c r="B101" t="s">
        <v>225</v>
      </c>
      <c r="C101" t="s">
        <v>525</v>
      </c>
      <c r="E101">
        <v>1</v>
      </c>
    </row>
    <row r="102" spans="1:5" x14ac:dyDescent="0.35">
      <c r="A102" t="s">
        <v>141</v>
      </c>
      <c r="B102" t="s">
        <v>226</v>
      </c>
      <c r="C102" t="s">
        <v>526</v>
      </c>
      <c r="E102">
        <v>1</v>
      </c>
    </row>
    <row r="103" spans="1:5" x14ac:dyDescent="0.35">
      <c r="A103" t="s">
        <v>141</v>
      </c>
      <c r="B103" t="s">
        <v>227</v>
      </c>
      <c r="C103" t="s">
        <v>527</v>
      </c>
      <c r="E103">
        <v>1</v>
      </c>
    </row>
    <row r="104" spans="1:5" x14ac:dyDescent="0.35">
      <c r="A104" t="s">
        <v>141</v>
      </c>
      <c r="B104" t="s">
        <v>228</v>
      </c>
      <c r="C104" t="s">
        <v>528</v>
      </c>
      <c r="E104">
        <v>1</v>
      </c>
    </row>
    <row r="105" spans="1:5" x14ac:dyDescent="0.35">
      <c r="A105" t="s">
        <v>141</v>
      </c>
      <c r="B105" t="s">
        <v>229</v>
      </c>
      <c r="C105" t="s">
        <v>529</v>
      </c>
      <c r="E105">
        <v>1</v>
      </c>
    </row>
    <row r="106" spans="1:5" x14ac:dyDescent="0.35">
      <c r="A106" t="s">
        <v>141</v>
      </c>
      <c r="B106" t="s">
        <v>230</v>
      </c>
      <c r="C106" t="s">
        <v>530</v>
      </c>
      <c r="E106">
        <v>1</v>
      </c>
    </row>
    <row r="107" spans="1:5" x14ac:dyDescent="0.35">
      <c r="A107" t="s">
        <v>141</v>
      </c>
      <c r="B107" t="s">
        <v>231</v>
      </c>
      <c r="C107" t="s">
        <v>531</v>
      </c>
      <c r="E107">
        <v>1</v>
      </c>
    </row>
    <row r="108" spans="1:5" x14ac:dyDescent="0.35">
      <c r="A108" t="s">
        <v>141</v>
      </c>
      <c r="B108" t="s">
        <v>232</v>
      </c>
      <c r="C108" t="s">
        <v>532</v>
      </c>
      <c r="E108">
        <v>1</v>
      </c>
    </row>
    <row r="109" spans="1:5" x14ac:dyDescent="0.35">
      <c r="A109" t="s">
        <v>141</v>
      </c>
      <c r="B109" t="s">
        <v>233</v>
      </c>
      <c r="C109" t="s">
        <v>533</v>
      </c>
      <c r="E109">
        <v>1</v>
      </c>
    </row>
    <row r="110" spans="1:5" x14ac:dyDescent="0.35">
      <c r="A110" t="s">
        <v>141</v>
      </c>
      <c r="B110" t="s">
        <v>234</v>
      </c>
      <c r="C110" t="s">
        <v>534</v>
      </c>
      <c r="E110">
        <v>1</v>
      </c>
    </row>
    <row r="111" spans="1:5" x14ac:dyDescent="0.35">
      <c r="A111" t="s">
        <v>141</v>
      </c>
      <c r="B111" t="s">
        <v>235</v>
      </c>
      <c r="C111" t="s">
        <v>535</v>
      </c>
      <c r="E111">
        <v>1</v>
      </c>
    </row>
    <row r="112" spans="1:5" x14ac:dyDescent="0.35">
      <c r="A112" t="s">
        <v>141</v>
      </c>
      <c r="B112" t="s">
        <v>236</v>
      </c>
      <c r="C112" t="s">
        <v>536</v>
      </c>
      <c r="E112">
        <v>1</v>
      </c>
    </row>
    <row r="113" spans="1:5" x14ac:dyDescent="0.35">
      <c r="A113" t="s">
        <v>141</v>
      </c>
      <c r="B113" t="s">
        <v>237</v>
      </c>
      <c r="C113" t="s">
        <v>537</v>
      </c>
      <c r="E113">
        <v>1</v>
      </c>
    </row>
    <row r="114" spans="1:5" x14ac:dyDescent="0.35">
      <c r="A114" t="s">
        <v>141</v>
      </c>
      <c r="B114" t="s">
        <v>238</v>
      </c>
      <c r="C114" t="s">
        <v>538</v>
      </c>
      <c r="E114">
        <v>1</v>
      </c>
    </row>
    <row r="115" spans="1:5" x14ac:dyDescent="0.35">
      <c r="A115" t="s">
        <v>141</v>
      </c>
      <c r="B115" t="s">
        <v>239</v>
      </c>
      <c r="C115" t="s">
        <v>539</v>
      </c>
      <c r="E115">
        <v>1</v>
      </c>
    </row>
    <row r="116" spans="1:5" x14ac:dyDescent="0.35">
      <c r="A116" t="s">
        <v>141</v>
      </c>
      <c r="B116" t="s">
        <v>240</v>
      </c>
      <c r="C116" t="s">
        <v>540</v>
      </c>
      <c r="E116">
        <v>1</v>
      </c>
    </row>
    <row r="117" spans="1:5" x14ac:dyDescent="0.35">
      <c r="A117" t="s">
        <v>141</v>
      </c>
      <c r="B117" t="s">
        <v>241</v>
      </c>
      <c r="C117" t="s">
        <v>541</v>
      </c>
      <c r="E117">
        <v>1</v>
      </c>
    </row>
    <row r="118" spans="1:5" x14ac:dyDescent="0.35">
      <c r="A118" t="s">
        <v>141</v>
      </c>
      <c r="B118" t="s">
        <v>242</v>
      </c>
      <c r="C118" t="s">
        <v>542</v>
      </c>
      <c r="E118">
        <v>1</v>
      </c>
    </row>
    <row r="119" spans="1:5" x14ac:dyDescent="0.35">
      <c r="A119" t="s">
        <v>141</v>
      </c>
      <c r="B119" t="s">
        <v>243</v>
      </c>
      <c r="C119" t="s">
        <v>543</v>
      </c>
      <c r="E119">
        <v>1</v>
      </c>
    </row>
    <row r="120" spans="1:5" x14ac:dyDescent="0.35">
      <c r="A120" t="s">
        <v>141</v>
      </c>
      <c r="B120" t="s">
        <v>244</v>
      </c>
      <c r="C120" t="s">
        <v>544</v>
      </c>
      <c r="E120">
        <v>1</v>
      </c>
    </row>
    <row r="121" spans="1:5" x14ac:dyDescent="0.35">
      <c r="A121" t="s">
        <v>141</v>
      </c>
      <c r="B121" t="s">
        <v>245</v>
      </c>
      <c r="C121" t="s">
        <v>545</v>
      </c>
      <c r="E121">
        <v>1</v>
      </c>
    </row>
    <row r="122" spans="1:5" x14ac:dyDescent="0.35">
      <c r="A122" t="s">
        <v>141</v>
      </c>
      <c r="B122" t="s">
        <v>246</v>
      </c>
      <c r="C122" t="s">
        <v>546</v>
      </c>
      <c r="E122">
        <v>1</v>
      </c>
    </row>
    <row r="123" spans="1:5" x14ac:dyDescent="0.35">
      <c r="A123" t="s">
        <v>141</v>
      </c>
      <c r="B123" t="s">
        <v>247</v>
      </c>
      <c r="C123" t="s">
        <v>547</v>
      </c>
      <c r="E123">
        <v>1</v>
      </c>
    </row>
    <row r="124" spans="1:5" x14ac:dyDescent="0.35">
      <c r="A124" t="s">
        <v>141</v>
      </c>
      <c r="B124" t="s">
        <v>248</v>
      </c>
      <c r="C124" t="s">
        <v>548</v>
      </c>
      <c r="E124">
        <v>1</v>
      </c>
    </row>
    <row r="125" spans="1:5" x14ac:dyDescent="0.35">
      <c r="A125" t="s">
        <v>141</v>
      </c>
      <c r="B125" t="s">
        <v>249</v>
      </c>
      <c r="C125" t="s">
        <v>549</v>
      </c>
      <c r="E125">
        <v>1</v>
      </c>
    </row>
    <row r="126" spans="1:5" x14ac:dyDescent="0.35">
      <c r="A126" t="s">
        <v>141</v>
      </c>
      <c r="B126" t="s">
        <v>250</v>
      </c>
      <c r="C126" t="s">
        <v>550</v>
      </c>
      <c r="E126">
        <v>1</v>
      </c>
    </row>
    <row r="127" spans="1:5" x14ac:dyDescent="0.35">
      <c r="A127" t="s">
        <v>141</v>
      </c>
      <c r="B127" t="s">
        <v>251</v>
      </c>
      <c r="C127" t="s">
        <v>551</v>
      </c>
      <c r="E127">
        <v>1</v>
      </c>
    </row>
    <row r="128" spans="1:5" x14ac:dyDescent="0.35">
      <c r="A128" t="s">
        <v>141</v>
      </c>
      <c r="B128" t="s">
        <v>252</v>
      </c>
      <c r="C128" t="s">
        <v>552</v>
      </c>
      <c r="E128">
        <v>1</v>
      </c>
    </row>
    <row r="129" spans="1:5" x14ac:dyDescent="0.35">
      <c r="A129" t="s">
        <v>141</v>
      </c>
      <c r="B129" t="s">
        <v>253</v>
      </c>
      <c r="C129" t="s">
        <v>553</v>
      </c>
      <c r="E129">
        <v>1</v>
      </c>
    </row>
    <row r="130" spans="1:5" x14ac:dyDescent="0.35">
      <c r="A130" t="s">
        <v>141</v>
      </c>
      <c r="B130" t="s">
        <v>254</v>
      </c>
      <c r="C130" t="s">
        <v>554</v>
      </c>
      <c r="E130">
        <v>1</v>
      </c>
    </row>
    <row r="131" spans="1:5" x14ac:dyDescent="0.35">
      <c r="A131" t="s">
        <v>141</v>
      </c>
      <c r="B131" t="s">
        <v>255</v>
      </c>
      <c r="C131" t="s">
        <v>555</v>
      </c>
      <c r="E131">
        <v>1</v>
      </c>
    </row>
    <row r="132" spans="1:5" x14ac:dyDescent="0.35">
      <c r="A132" t="s">
        <v>141</v>
      </c>
      <c r="B132" t="s">
        <v>256</v>
      </c>
      <c r="C132" t="s">
        <v>556</v>
      </c>
      <c r="E132">
        <v>1</v>
      </c>
    </row>
    <row r="133" spans="1:5" x14ac:dyDescent="0.35">
      <c r="A133" t="s">
        <v>141</v>
      </c>
      <c r="B133" t="s">
        <v>257</v>
      </c>
      <c r="C133" t="s">
        <v>557</v>
      </c>
      <c r="E133">
        <v>1</v>
      </c>
    </row>
    <row r="134" spans="1:5" x14ac:dyDescent="0.35">
      <c r="A134" t="s">
        <v>141</v>
      </c>
      <c r="B134" t="s">
        <v>258</v>
      </c>
      <c r="C134" t="s">
        <v>558</v>
      </c>
      <c r="E134">
        <v>1</v>
      </c>
    </row>
    <row r="135" spans="1:5" x14ac:dyDescent="0.35">
      <c r="A135" t="s">
        <v>141</v>
      </c>
      <c r="B135" t="s">
        <v>259</v>
      </c>
      <c r="C135" t="s">
        <v>559</v>
      </c>
      <c r="E135">
        <v>1</v>
      </c>
    </row>
    <row r="136" spans="1:5" x14ac:dyDescent="0.35">
      <c r="A136" t="s">
        <v>141</v>
      </c>
      <c r="B136" t="s">
        <v>260</v>
      </c>
      <c r="C136" t="s">
        <v>560</v>
      </c>
      <c r="E136">
        <v>1</v>
      </c>
    </row>
    <row r="137" spans="1:5" x14ac:dyDescent="0.35">
      <c r="A137" t="s">
        <v>141</v>
      </c>
      <c r="B137" t="s">
        <v>261</v>
      </c>
      <c r="C137" t="s">
        <v>561</v>
      </c>
      <c r="E137">
        <v>1</v>
      </c>
    </row>
    <row r="138" spans="1:5" x14ac:dyDescent="0.35">
      <c r="A138" t="s">
        <v>141</v>
      </c>
      <c r="B138" t="s">
        <v>262</v>
      </c>
      <c r="C138" t="s">
        <v>562</v>
      </c>
      <c r="E138">
        <v>1</v>
      </c>
    </row>
    <row r="139" spans="1:5" x14ac:dyDescent="0.35">
      <c r="A139" t="s">
        <v>141</v>
      </c>
      <c r="B139" t="s">
        <v>263</v>
      </c>
      <c r="C139" t="s">
        <v>563</v>
      </c>
      <c r="E139">
        <v>1</v>
      </c>
    </row>
    <row r="140" spans="1:5" x14ac:dyDescent="0.35">
      <c r="A140" t="s">
        <v>141</v>
      </c>
      <c r="B140" t="s">
        <v>264</v>
      </c>
      <c r="C140" t="s">
        <v>564</v>
      </c>
      <c r="E140">
        <v>1</v>
      </c>
    </row>
    <row r="141" spans="1:5" x14ac:dyDescent="0.35">
      <c r="A141" t="s">
        <v>141</v>
      </c>
      <c r="B141" t="s">
        <v>265</v>
      </c>
      <c r="C141" t="s">
        <v>565</v>
      </c>
      <c r="E141">
        <v>1</v>
      </c>
    </row>
    <row r="142" spans="1:5" x14ac:dyDescent="0.35">
      <c r="A142" t="s">
        <v>141</v>
      </c>
      <c r="B142" t="s">
        <v>266</v>
      </c>
      <c r="C142" t="s">
        <v>566</v>
      </c>
      <c r="E142">
        <v>1</v>
      </c>
    </row>
    <row r="143" spans="1:5" x14ac:dyDescent="0.35">
      <c r="A143" t="s">
        <v>141</v>
      </c>
      <c r="B143" t="s">
        <v>267</v>
      </c>
      <c r="C143" t="s">
        <v>567</v>
      </c>
      <c r="E143">
        <v>1</v>
      </c>
    </row>
    <row r="144" spans="1:5" x14ac:dyDescent="0.35">
      <c r="A144" t="s">
        <v>141</v>
      </c>
      <c r="B144" t="s">
        <v>268</v>
      </c>
      <c r="C144" t="s">
        <v>568</v>
      </c>
      <c r="E14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Notes</vt:lpstr>
      <vt:lpstr>Main</vt:lpstr>
      <vt:lpstr>S1</vt:lpstr>
      <vt:lpstr>S2</vt:lpstr>
      <vt:lpstr>S3</vt:lpstr>
      <vt:lpstr>S4</vt:lpstr>
      <vt:lpstr>S5</vt:lpstr>
      <vt:lpstr>S6</vt:lpstr>
      <vt:lpstr>S7</vt:lpstr>
      <vt:lpstr>S8</vt:lpstr>
      <vt:lpstr>S9</vt:lpstr>
      <vt:lpstr>S10</vt:lpstr>
      <vt:lpstr>S11</vt:lpstr>
      <vt:lpstr>S12</vt:lpstr>
      <vt:lpstr>S13</vt:lpstr>
      <vt:lpstr>S14</vt:lpstr>
      <vt:lpstr>S15</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Thurlow</dc:creator>
  <cp:lastModifiedBy>Aragie, Emerta (IFPRI)</cp:lastModifiedBy>
  <dcterms:created xsi:type="dcterms:W3CDTF">2015-06-05T18:17:20Z</dcterms:created>
  <dcterms:modified xsi:type="dcterms:W3CDTF">2026-01-30T22:37:32Z</dcterms:modified>
</cp:coreProperties>
</file>